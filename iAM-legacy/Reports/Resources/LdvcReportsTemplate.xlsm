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rummler\Documents\RoadCare reports - additions\Ldvc updates\Aditya feedback\"/>
    </mc:Choice>
  </mc:AlternateContent>
  <bookViews>
    <workbookView xWindow="0" yWindow="0" windowWidth="28800" windowHeight="13020"/>
  </bookViews>
  <sheets>
    <sheet name="LM_DM_VMT_Condition" sheetId="17" r:id="rId1"/>
    <sheet name="Avg_Condition_per_LM_DM_VMT" sheetId="24" r:id="rId2"/>
    <sheet name="PivotTables" sheetId="52" r:id="rId3"/>
    <sheet name="Lookup" sheetId="39" r:id="rId4"/>
    <sheet name="Formulas" sheetId="43" r:id="rId5"/>
    <sheet name="Condition Levels &amp; OCI Formula" sheetId="20" state="hidden" r:id="rId6"/>
  </sheets>
  <definedNames>
    <definedName name="_xlnm._FilterDatabase" localSheetId="1" hidden="1">Avg_Condition_per_LM_DM_VMT!$A$2:$L$2</definedName>
    <definedName name="_xlnm._FilterDatabase" localSheetId="0" hidden="1">LM_DM_VMT_Condition!$A$2:$J$11762</definedName>
  </definedNames>
  <calcPr calcId="152511"/>
  <pivotCaches>
    <pivotCache cacheId="14" r:id="rId7"/>
    <pivotCache cacheId="15" r:id="rId8"/>
  </pivotCaches>
</workbook>
</file>

<file path=xl/calcChain.xml><?xml version="1.0" encoding="utf-8"?>
<calcChain xmlns="http://schemas.openxmlformats.org/spreadsheetml/2006/main">
  <c r="A36" i="52" l="1"/>
  <c r="B2" i="43"/>
  <c r="B37" i="52"/>
  <c r="B42" i="52"/>
  <c r="B39" i="52"/>
  <c r="B40" i="52"/>
  <c r="B43" i="52"/>
  <c r="B38" i="52"/>
  <c r="B41" i="52"/>
  <c r="C37" i="52" l="1"/>
  <c r="B7" i="52"/>
  <c r="C41" i="52"/>
  <c r="D37" i="52" l="1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C43" i="52"/>
  <c r="C42" i="52"/>
  <c r="C38" i="52"/>
  <c r="D40" i="52"/>
  <c r="C40" i="52"/>
  <c r="D38" i="52"/>
  <c r="D42" i="52"/>
  <c r="C39" i="52"/>
  <c r="D41" i="52"/>
  <c r="E37" i="52" l="1"/>
  <c r="O31" i="39"/>
  <c r="O32" i="39" s="1"/>
  <c r="M31" i="39"/>
  <c r="M32" i="39" s="1"/>
  <c r="L31" i="39"/>
  <c r="L32" i="39" s="1"/>
  <c r="K31" i="39"/>
  <c r="K32" i="39" s="1"/>
  <c r="J31" i="39"/>
  <c r="J32" i="39" s="1"/>
  <c r="I31" i="39"/>
  <c r="I32" i="39" s="1"/>
  <c r="H31" i="39"/>
  <c r="H32" i="39" s="1"/>
  <c r="C4" i="43"/>
  <c r="D39" i="52"/>
  <c r="E38" i="52"/>
  <c r="D43" i="52"/>
  <c r="E42" i="52"/>
  <c r="F37" i="52" l="1"/>
  <c r="C14" i="43"/>
  <c r="B23" i="43"/>
  <c r="D14" i="43"/>
  <c r="B19" i="43"/>
  <c r="B16" i="43"/>
  <c r="B20" i="43"/>
  <c r="B18" i="43"/>
  <c r="B15" i="43"/>
  <c r="E14" i="43"/>
  <c r="B17" i="43"/>
  <c r="F39" i="52"/>
  <c r="F38" i="52"/>
  <c r="E39" i="52"/>
  <c r="F40" i="52"/>
  <c r="E43" i="52"/>
  <c r="F43" i="52"/>
  <c r="E41" i="52"/>
  <c r="F41" i="52"/>
  <c r="E40" i="52"/>
  <c r="F42" i="52"/>
  <c r="G37" i="52" l="1"/>
  <c r="B4" i="43"/>
  <c r="B22" i="43" s="1"/>
  <c r="G43" i="52"/>
  <c r="G38" i="52"/>
  <c r="H37" i="52" l="1"/>
  <c r="B12" i="43"/>
  <c r="B11" i="43"/>
  <c r="B10" i="43"/>
  <c r="B7" i="43"/>
  <c r="B13" i="43"/>
  <c r="D6" i="43"/>
  <c r="E6" i="43"/>
  <c r="B9" i="43"/>
  <c r="B8" i="43"/>
  <c r="C6" i="43"/>
  <c r="G40" i="52"/>
  <c r="H41" i="52"/>
  <c r="H43" i="52"/>
  <c r="G39" i="52"/>
  <c r="H42" i="52"/>
  <c r="G41" i="52"/>
  <c r="G42" i="52"/>
  <c r="I37" i="52" l="1"/>
  <c r="N3" i="39"/>
  <c r="N4" i="39"/>
  <c r="N5" i="39"/>
  <c r="N6" i="39"/>
  <c r="N7" i="39"/>
  <c r="N8" i="39"/>
  <c r="B8" i="52" s="1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2" i="39"/>
  <c r="I41" i="52"/>
  <c r="I39" i="52"/>
  <c r="H40" i="52"/>
  <c r="H39" i="52"/>
  <c r="H38" i="52"/>
  <c r="I38" i="52"/>
  <c r="I42" i="52"/>
  <c r="J37" i="52" l="1"/>
  <c r="U7" i="20"/>
  <c r="U6" i="20"/>
  <c r="U5" i="20"/>
  <c r="U4" i="20"/>
  <c r="U8" i="20"/>
  <c r="I40" i="52"/>
  <c r="J39" i="52"/>
  <c r="I43" i="52"/>
  <c r="J41" i="52"/>
  <c r="J42" i="52"/>
  <c r="J40" i="52"/>
  <c r="K37" i="52" l="1"/>
  <c r="B4" i="39"/>
  <c r="B3" i="39"/>
  <c r="B7" i="39"/>
  <c r="B6" i="39"/>
  <c r="B5" i="39"/>
  <c r="J43" i="52"/>
  <c r="J38" i="52"/>
  <c r="K40" i="52"/>
  <c r="L37" i="52" l="1"/>
  <c r="K41" i="52"/>
  <c r="K38" i="52"/>
  <c r="K39" i="52"/>
  <c r="K43" i="52"/>
  <c r="L38" i="52"/>
  <c r="L42" i="52"/>
  <c r="L43" i="52"/>
  <c r="L39" i="52"/>
  <c r="K42" i="52"/>
  <c r="L40" i="52"/>
  <c r="M37" i="52" l="1"/>
  <c r="M38" i="52"/>
  <c r="L41" i="52"/>
  <c r="M42" i="52"/>
  <c r="N37" i="52" l="1"/>
  <c r="M41" i="52"/>
  <c r="M40" i="52"/>
  <c r="M39" i="52"/>
  <c r="N42" i="52"/>
  <c r="M43" i="52"/>
  <c r="N43" i="52"/>
  <c r="N38" i="52"/>
  <c r="N40" i="52"/>
  <c r="O37" i="52" l="1"/>
  <c r="N39" i="52"/>
  <c r="N41" i="52"/>
  <c r="O39" i="52"/>
  <c r="P37" i="52" l="1"/>
  <c r="O40" i="52"/>
  <c r="O42" i="52"/>
  <c r="P39" i="52"/>
  <c r="O43" i="52"/>
  <c r="O41" i="52"/>
  <c r="O38" i="52"/>
  <c r="Q37" i="52" l="1"/>
  <c r="P43" i="52"/>
  <c r="P42" i="52"/>
  <c r="Q41" i="52"/>
  <c r="P41" i="52"/>
  <c r="Q42" i="52"/>
  <c r="P38" i="52"/>
  <c r="P40" i="52"/>
  <c r="R37" i="52" l="1"/>
  <c r="Q39" i="52"/>
  <c r="Q40" i="52"/>
  <c r="Q38" i="52"/>
  <c r="Q43" i="52"/>
  <c r="R41" i="52"/>
  <c r="S37" i="52" l="1"/>
  <c r="R40" i="52"/>
  <c r="S38" i="52"/>
  <c r="R43" i="52"/>
  <c r="R39" i="52"/>
  <c r="S41" i="52"/>
  <c r="R38" i="52"/>
  <c r="R42" i="52"/>
  <c r="T37" i="52" l="1"/>
  <c r="S43" i="52"/>
  <c r="S42" i="52"/>
  <c r="S39" i="52"/>
  <c r="T39" i="52"/>
  <c r="T43" i="52"/>
  <c r="S40" i="52"/>
  <c r="T40" i="52"/>
  <c r="T41" i="52"/>
  <c r="T38" i="52"/>
  <c r="U37" i="52" l="1"/>
  <c r="U43" i="52"/>
  <c r="T42" i="52"/>
  <c r="U42" i="52"/>
  <c r="U40" i="52"/>
  <c r="U38" i="52"/>
  <c r="V37" i="52" l="1"/>
  <c r="V40" i="52"/>
  <c r="V42" i="52"/>
  <c r="U41" i="52"/>
  <c r="V43" i="52"/>
  <c r="U39" i="52"/>
  <c r="V39" i="52"/>
  <c r="V38" i="52"/>
  <c r="V41" i="52"/>
</calcChain>
</file>

<file path=xl/sharedStrings.xml><?xml version="1.0" encoding="utf-8"?>
<sst xmlns="http://schemas.openxmlformats.org/spreadsheetml/2006/main" count="328" uniqueCount="165">
  <si>
    <t>District</t>
  </si>
  <si>
    <t>Condition</t>
  </si>
  <si>
    <t>Very Good</t>
  </si>
  <si>
    <t>Good</t>
  </si>
  <si>
    <t>Fair</t>
  </si>
  <si>
    <t>Mediocre</t>
  </si>
  <si>
    <t>Poor</t>
  </si>
  <si>
    <t>Functional Class</t>
  </si>
  <si>
    <t>Shop</t>
  </si>
  <si>
    <t>Performance Measure</t>
  </si>
  <si>
    <t>County</t>
  </si>
  <si>
    <t>AL</t>
  </si>
  <si>
    <t>Cambridge</t>
  </si>
  <si>
    <t>AVG_IRI</t>
  </si>
  <si>
    <t>CI_FUNCTIONAL</t>
  </si>
  <si>
    <t>CI_STRUCTURAL</t>
  </si>
  <si>
    <t>SPADJ_SKID_NUMBER</t>
  </si>
  <si>
    <t>AVG_RUT</t>
  </si>
  <si>
    <t>Condition Level</t>
  </si>
  <si>
    <t>Lower bound</t>
  </si>
  <si>
    <t>Upper bound</t>
  </si>
  <si>
    <t>&gt;=</t>
  </si>
  <si>
    <t>&lt;</t>
  </si>
  <si>
    <t>&lt;=</t>
  </si>
  <si>
    <t>&gt;</t>
  </si>
  <si>
    <t>LANE MILES, DIRECTIONAL MILES AND VMT IN EACH CONDITION STATE</t>
  </si>
  <si>
    <t>AA</t>
  </si>
  <si>
    <t>Princess Anne</t>
  </si>
  <si>
    <t>BA</t>
  </si>
  <si>
    <t>Salisbury</t>
  </si>
  <si>
    <t>CA</t>
  </si>
  <si>
    <t>Snow Hill</t>
  </si>
  <si>
    <t>CO</t>
  </si>
  <si>
    <t>Chestertown</t>
  </si>
  <si>
    <t>CL</t>
  </si>
  <si>
    <t>Centreville</t>
  </si>
  <si>
    <t>CE</t>
  </si>
  <si>
    <t>Denton</t>
  </si>
  <si>
    <t>CH</t>
  </si>
  <si>
    <t>Easton</t>
  </si>
  <si>
    <t>DO</t>
  </si>
  <si>
    <t>Elkton</t>
  </si>
  <si>
    <t>FR</t>
  </si>
  <si>
    <t>Gaithersburg</t>
  </si>
  <si>
    <t>GA</t>
  </si>
  <si>
    <t>Fairland</t>
  </si>
  <si>
    <t>HA</t>
  </si>
  <si>
    <t>Laurel</t>
  </si>
  <si>
    <t>HO</t>
  </si>
  <si>
    <t>Marlboro</t>
  </si>
  <si>
    <t>KE</t>
  </si>
  <si>
    <t>Churchville</t>
  </si>
  <si>
    <t>MO</t>
  </si>
  <si>
    <t>Owings Mills</t>
  </si>
  <si>
    <t>PG</t>
  </si>
  <si>
    <t>Hereford</t>
  </si>
  <si>
    <t>QA</t>
  </si>
  <si>
    <t>Golden Ring</t>
  </si>
  <si>
    <t>SM</t>
  </si>
  <si>
    <t>Annapolis</t>
  </si>
  <si>
    <t>SO</t>
  </si>
  <si>
    <t>Glen Burnie</t>
  </si>
  <si>
    <t>TA</t>
  </si>
  <si>
    <t>LaPlata</t>
  </si>
  <si>
    <t>WA</t>
  </si>
  <si>
    <t>Leonardtown</t>
  </si>
  <si>
    <t>WI</t>
  </si>
  <si>
    <t>Prince Frederick</t>
  </si>
  <si>
    <t>WO</t>
  </si>
  <si>
    <t>LaVale</t>
  </si>
  <si>
    <t>BC</t>
  </si>
  <si>
    <t>Hagerstown</t>
  </si>
  <si>
    <t>Dayton</t>
  </si>
  <si>
    <t>Frederick</t>
  </si>
  <si>
    <t>Westminster</t>
  </si>
  <si>
    <t>+</t>
  </si>
  <si>
    <t xml:space="preserve"> +</t>
  </si>
  <si>
    <t xml:space="preserve">(CASE </t>
  </si>
  <si>
    <t>(CI_STRUCTURAL*0.75+CI_FUNCTIONAL*0.25)*0.3)</t>
  </si>
  <si>
    <t>AVERAGE CONDITION INDEX PER LANE MILE, PER VMT AND PER DIRECTIONAL MILE</t>
  </si>
  <si>
    <t>Formula to determine Overall Condition Index for each segment</t>
  </si>
  <si>
    <t>IRI_PER_SCALE</t>
  </si>
  <si>
    <t>VMT</t>
  </si>
  <si>
    <t xml:space="preserve">  WHEN SPADJ_SKID_NUMBER&gt;=45  THEN SPADJ_SKID_NUMBER/3+75</t>
  </si>
  <si>
    <t xml:space="preserve">  WHEN SPADJ_SKID_NUMBER&gt;=40 AND SPADJ_SKID_NUMBER&lt;45 THEN SPADJ_SKID_NUMBER*2</t>
  </si>
  <si>
    <t xml:space="preserve">  WHEN SPADJ_SKID_NUMBER&gt;30 AND SPADJ_SKID_NUMBER&lt;40 THEN SPADJ_SKID_NUMBER*3-40</t>
  </si>
  <si>
    <t xml:space="preserve">  WHEN SPADJ_SKID_NUMBER&gt;15 AND SPADJ_SKID_NUMBER&lt;=30 THEN SPADJ_SKID_NUMBER*10/3-50</t>
  </si>
  <si>
    <t xml:space="preserve">  ELSE 0)*0.2</t>
  </si>
  <si>
    <t xml:space="preserve">  WHEN AVG_RUT&gt;0 AND AVG_RUT&lt;0.25 THEN 100-80*AVG_RUT</t>
  </si>
  <si>
    <t xml:space="preserve">  WHEN AVG_RUT&gt;=0.25 AND AVG_RUT&lt;0.25 THEN 95-60*AVG_RUT</t>
  </si>
  <si>
    <t xml:space="preserve">  WHEN AVG_RUT&gt;=0.5 AND AVG_RUT&lt;1 THEN 80-30*AVG_RUT</t>
  </si>
  <si>
    <t xml:space="preserve">  WHEN AVG_RUT&gt;=1 AND AVG_RUT&lt;2 THEN 100-50*AVG_RUT</t>
  </si>
  <si>
    <t xml:space="preserve">  ELSE 0)*0.1) </t>
  </si>
  <si>
    <t>Conversion Equation: IRI% = A + B * IRI</t>
  </si>
  <si>
    <t>A</t>
  </si>
  <si>
    <t>B</t>
  </si>
  <si>
    <t xml:space="preserve">  WHEN AVG_IRI&gt;=95 AND AVG_IRI&lt;=170 THEN (99-0.2*AVG_IRI)</t>
  </si>
  <si>
    <t xml:space="preserve">  WHEN AVG_IRI&gt;170 AND AVG_IRI&lt;=220 THEN (116-0.3*AVG_IRI)</t>
  </si>
  <si>
    <t>) *0.4</t>
  </si>
  <si>
    <t xml:space="preserve">  WHEN AVG_IRI&gt;=0 AND AVG_IRI&lt;60 THEN (100-(AVG_IRI/6))</t>
  </si>
  <si>
    <t xml:space="preserve">  WHEN AVG_IRI&gt;220 AND AVG_IRI&lt;=640 THEN ((1600/21)-(5/42)*AVG_IRI)</t>
  </si>
  <si>
    <t>IRI --&gt; IRI%</t>
  </si>
  <si>
    <t xml:space="preserve">  WHEN AVG_IRI&gt;=60 AND AVG_IRI&lt;95 THEN ((750-2*AVG_IRI)/7)</t>
  </si>
  <si>
    <t>Average Index</t>
  </si>
  <si>
    <t>% Condition</t>
  </si>
  <si>
    <t>x-axis:</t>
  </si>
  <si>
    <t>y-axis:</t>
  </si>
  <si>
    <t>Year</t>
  </si>
  <si>
    <t>Lane-miles</t>
  </si>
  <si>
    <t>Dir-miles</t>
  </si>
  <si>
    <t>Area</t>
  </si>
  <si>
    <t>Chart/axis titles</t>
  </si>
  <si>
    <t>Index</t>
  </si>
  <si>
    <t>No. of yrs:</t>
  </si>
  <si>
    <t>LM</t>
  </si>
  <si>
    <t>DM</t>
  </si>
  <si>
    <t>Sum range</t>
  </si>
  <si>
    <t>Row count:</t>
  </si>
  <si>
    <t>Performance range</t>
  </si>
  <si>
    <t>Year range</t>
  </si>
  <si>
    <t>Condition level range</t>
  </si>
  <si>
    <t>Simulation Start yr:</t>
  </si>
  <si>
    <t>Simulation End yr:</t>
  </si>
  <si>
    <t>Shop range</t>
  </si>
  <si>
    <t>FC range</t>
  </si>
  <si>
    <t>District range</t>
  </si>
  <si>
    <t>County Range</t>
  </si>
  <si>
    <t>AVG INDEX PER LM</t>
  </si>
  <si>
    <t>AVG INDEX PER DM</t>
  </si>
  <si>
    <t>AVG INDEX PER VMT</t>
  </si>
  <si>
    <t>Keysers Ridge</t>
  </si>
  <si>
    <t>Row number</t>
  </si>
  <si>
    <t>Description</t>
  </si>
  <si>
    <t>Ride Quality</t>
  </si>
  <si>
    <t>Rutting</t>
  </si>
  <si>
    <t>Friction</t>
  </si>
  <si>
    <t>Functional Cracking</t>
  </si>
  <si>
    <t>Structural Cracking</t>
  </si>
  <si>
    <t>Chart Title</t>
  </si>
  <si>
    <t>Overall</t>
  </si>
  <si>
    <t>Table range</t>
  </si>
  <si>
    <t>(All)</t>
  </si>
  <si>
    <t>Column Labels</t>
  </si>
  <si>
    <t>Sum of LM</t>
  </si>
  <si>
    <t>Sum of DM</t>
  </si>
  <si>
    <t>Sum of VMT</t>
  </si>
  <si>
    <t>Lookup!$L$2:$L$9</t>
  </si>
  <si>
    <t>Lookup!$M$2:$M$26</t>
  </si>
  <si>
    <t>Lookup!$J$2:$J$30</t>
  </si>
  <si>
    <t>Lookup!$K$2:$K$14</t>
  </si>
  <si>
    <t>Lookup!$I$2:$I$4</t>
  </si>
  <si>
    <t>Average LM</t>
  </si>
  <si>
    <t>Average DM</t>
  </si>
  <si>
    <t>Average VMT</t>
  </si>
  <si>
    <t>Values</t>
  </si>
  <si>
    <t>Other</t>
  </si>
  <si>
    <t>% VERY GOOD</t>
  </si>
  <si>
    <t>% GOOD</t>
  </si>
  <si>
    <t>% FAIR</t>
  </si>
  <si>
    <t>% MEDIOCRE</t>
  </si>
  <si>
    <t>% POOR</t>
  </si>
  <si>
    <t>Chart Template</t>
  </si>
  <si>
    <t>Lookup!$H$2:$H$7</t>
  </si>
  <si>
    <t>\\hanpmdata\pmdataprg\Aditya\Templates\Chart_Template\Performance_Condition_with_Avg.crtx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</si>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</sst>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3"/>
      <color rgb="FFFFFFFF"/>
      <name val="Calibri"/>
      <family val="2"/>
      <scheme val="minor"/>
    </font>
    <font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E6C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44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</cellStyleXfs>
  <cellXfs count="83">
    <xf numFmtId="0" fontId="0" fillId="0" borderId="0" xfId="0"/>
    <xf numFmtId="0" fontId="0" fillId="0" borderId="0" xfId="0" applyFont="1"/>
    <xf numFmtId="0" fontId="1" fillId="0" borderId="0" xfId="0" applyFont="1"/>
    <xf numFmtId="0" fontId="5" fillId="0" borderId="15" xfId="0" applyFont="1" applyFill="1" applyBorder="1" applyAlignment="1">
      <alignment wrapText="1"/>
    </xf>
    <xf numFmtId="0" fontId="5" fillId="0" borderId="10" xfId="0" applyFont="1" applyFill="1" applyBorder="1" applyAlignment="1">
      <alignment horizontal="right" wrapText="1"/>
    </xf>
    <xf numFmtId="0" fontId="5" fillId="0" borderId="5" xfId="0" applyFont="1" applyFill="1" applyBorder="1" applyAlignment="1">
      <alignment horizontal="left" wrapText="1"/>
    </xf>
    <xf numFmtId="0" fontId="5" fillId="0" borderId="4" xfId="0" applyFont="1" applyFill="1" applyBorder="1" applyAlignment="1">
      <alignment wrapText="1"/>
    </xf>
    <xf numFmtId="0" fontId="5" fillId="0" borderId="11" xfId="0" applyFont="1" applyFill="1" applyBorder="1" applyAlignment="1">
      <alignment horizontal="right" wrapText="1"/>
    </xf>
    <xf numFmtId="0" fontId="5" fillId="0" borderId="6" xfId="0" applyFont="1" applyFill="1" applyBorder="1" applyAlignment="1">
      <alignment horizontal="left" wrapText="1"/>
    </xf>
    <xf numFmtId="0" fontId="5" fillId="0" borderId="7" xfId="0" applyFont="1" applyFill="1" applyBorder="1" applyAlignment="1">
      <alignment wrapText="1"/>
    </xf>
    <xf numFmtId="0" fontId="5" fillId="0" borderId="12" xfId="0" applyFont="1" applyFill="1" applyBorder="1" applyAlignment="1">
      <alignment horizontal="right" wrapText="1"/>
    </xf>
    <xf numFmtId="0" fontId="5" fillId="0" borderId="8" xfId="0" applyFont="1" applyFill="1" applyBorder="1" applyAlignment="1">
      <alignment horizontal="left" wrapText="1"/>
    </xf>
    <xf numFmtId="0" fontId="0" fillId="0" borderId="1" xfId="0" applyBorder="1"/>
    <xf numFmtId="0" fontId="0" fillId="2" borderId="0" xfId="0" applyFill="1"/>
    <xf numFmtId="0" fontId="6" fillId="2" borderId="0" xfId="0" applyFont="1" applyFill="1"/>
    <xf numFmtId="0" fontId="0" fillId="2" borderId="0" xfId="0" applyFont="1" applyFill="1"/>
    <xf numFmtId="1" fontId="0" fillId="0" borderId="0" xfId="0" applyNumberFormat="1"/>
    <xf numFmtId="0" fontId="0" fillId="0" borderId="0" xfId="0" quotePrefix="1"/>
    <xf numFmtId="0" fontId="0" fillId="0" borderId="13" xfId="0" applyBorder="1"/>
    <xf numFmtId="0" fontId="0" fillId="0" borderId="23" xfId="0" quotePrefix="1" applyBorder="1"/>
    <xf numFmtId="0" fontId="0" fillId="0" borderId="24" xfId="0" quotePrefix="1" applyBorder="1"/>
    <xf numFmtId="0" fontId="5" fillId="0" borderId="2" xfId="0" applyFont="1" applyFill="1" applyBorder="1" applyAlignment="1">
      <alignment horizontal="left"/>
    </xf>
    <xf numFmtId="0" fontId="0" fillId="0" borderId="9" xfId="0" applyFont="1" applyBorder="1"/>
    <xf numFmtId="0" fontId="0" fillId="0" borderId="3" xfId="0" applyFont="1" applyBorder="1"/>
    <xf numFmtId="0" fontId="8" fillId="0" borderId="15" xfId="0" applyFont="1" applyFill="1" applyBorder="1" applyAlignment="1">
      <alignment horizontal="left" wrapText="1"/>
    </xf>
    <xf numFmtId="0" fontId="5" fillId="0" borderId="16" xfId="0" applyFont="1" applyFill="1" applyBorder="1" applyAlignment="1">
      <alignment horizontal="right" wrapText="1"/>
    </xf>
    <xf numFmtId="0" fontId="5" fillId="0" borderId="17" xfId="0" applyFont="1" applyFill="1" applyBorder="1" applyAlignment="1">
      <alignment horizontal="left" wrapText="1"/>
    </xf>
    <xf numFmtId="0" fontId="8" fillId="0" borderId="21" xfId="0" applyFont="1" applyFill="1" applyBorder="1" applyAlignment="1">
      <alignment horizontal="left" wrapText="1"/>
    </xf>
    <xf numFmtId="0" fontId="5" fillId="0" borderId="18" xfId="0" applyFont="1" applyFill="1" applyBorder="1" applyAlignment="1">
      <alignment horizontal="right" wrapText="1"/>
    </xf>
    <xf numFmtId="0" fontId="5" fillId="0" borderId="19" xfId="0" applyFont="1" applyFill="1" applyBorder="1" applyAlignment="1">
      <alignment horizontal="left" wrapText="1"/>
    </xf>
    <xf numFmtId="0" fontId="8" fillId="0" borderId="22" xfId="0" applyFont="1" applyFill="1" applyBorder="1" applyAlignment="1">
      <alignment horizontal="left" wrapText="1"/>
    </xf>
    <xf numFmtId="0" fontId="8" fillId="0" borderId="20" xfId="0" applyFont="1" applyFill="1" applyBorder="1" applyAlignment="1">
      <alignment horizontal="center" wrapText="1"/>
    </xf>
    <xf numFmtId="0" fontId="2" fillId="0" borderId="1" xfId="0" applyFont="1" applyBorder="1"/>
    <xf numFmtId="0" fontId="2" fillId="0" borderId="1" xfId="0" applyFont="1" applyFill="1" applyBorder="1"/>
    <xf numFmtId="0" fontId="2" fillId="0" borderId="0" xfId="0" applyFont="1" applyBorder="1"/>
    <xf numFmtId="0" fontId="0" fillId="0" borderId="0" xfId="0" applyBorder="1"/>
    <xf numFmtId="0" fontId="7" fillId="0" borderId="1" xfId="0" applyFont="1" applyBorder="1"/>
    <xf numFmtId="0" fontId="2" fillId="5" borderId="0" xfId="0" applyFont="1" applyFill="1" applyBorder="1"/>
    <xf numFmtId="0" fontId="0" fillId="5" borderId="1" xfId="0" applyFill="1" applyBorder="1"/>
    <xf numFmtId="0" fontId="0" fillId="0" borderId="0" xfId="0" applyFill="1" applyBorder="1"/>
    <xf numFmtId="0" fontId="9" fillId="0" borderId="1" xfId="0" applyFont="1" applyBorder="1"/>
    <xf numFmtId="0" fontId="2" fillId="0" borderId="1" xfId="0" quotePrefix="1" applyFont="1" applyBorder="1" applyAlignment="1">
      <alignment horizontal="center"/>
    </xf>
    <xf numFmtId="0" fontId="10" fillId="3" borderId="1" xfId="0" applyFont="1" applyFill="1" applyBorder="1"/>
    <xf numFmtId="0" fontId="10" fillId="3" borderId="1" xfId="0" applyFont="1" applyFill="1" applyBorder="1" applyAlignment="1"/>
    <xf numFmtId="0" fontId="11" fillId="4" borderId="1" xfId="0" applyFont="1" applyFill="1" applyBorder="1"/>
    <xf numFmtId="0" fontId="0" fillId="6" borderId="1" xfId="0" applyFill="1" applyBorder="1"/>
    <xf numFmtId="0" fontId="2" fillId="6" borderId="1" xfId="0" applyFont="1" applyFill="1" applyBorder="1"/>
    <xf numFmtId="0" fontId="10" fillId="6" borderId="1" xfId="0" applyFont="1" applyFill="1" applyBorder="1"/>
    <xf numFmtId="0" fontId="9" fillId="0" borderId="1" xfId="0" applyFont="1" applyFill="1" applyBorder="1"/>
    <xf numFmtId="0" fontId="2" fillId="4" borderId="1" xfId="0" applyFont="1" applyFill="1" applyBorder="1"/>
    <xf numFmtId="0" fontId="0" fillId="4" borderId="1" xfId="0" applyFont="1" applyFill="1" applyBorder="1"/>
    <xf numFmtId="0" fontId="0" fillId="4" borderId="1" xfId="0" applyFont="1" applyFill="1" applyBorder="1" applyAlignment="1"/>
    <xf numFmtId="0" fontId="12" fillId="4" borderId="1" xfId="0" applyFont="1" applyFill="1" applyBorder="1" applyAlignment="1"/>
    <xf numFmtId="10" fontId="0" fillId="0" borderId="1" xfId="3" applyNumberFormat="1" applyFont="1" applyBorder="1"/>
    <xf numFmtId="0" fontId="14" fillId="0" borderId="0" xfId="0" applyFont="1"/>
    <xf numFmtId="0" fontId="6" fillId="0" borderId="1" xfId="0" applyFont="1" applyBorder="1"/>
    <xf numFmtId="0" fontId="13" fillId="0" borderId="1" xfId="0" applyFont="1" applyFill="1" applyBorder="1"/>
    <xf numFmtId="0" fontId="13" fillId="0" borderId="1" xfId="0" applyFont="1" applyBorder="1" applyAlignment="1">
      <alignment horizontal="right"/>
    </xf>
    <xf numFmtId="0" fontId="13" fillId="0" borderId="1" xfId="0" applyFont="1" applyBorder="1"/>
    <xf numFmtId="0" fontId="0" fillId="0" borderId="1" xfId="0" applyFont="1" applyFill="1" applyBorder="1"/>
    <xf numFmtId="0" fontId="0" fillId="0" borderId="1" xfId="0" applyFont="1" applyFill="1" applyBorder="1" applyAlignment="1">
      <alignment horizontal="right"/>
    </xf>
    <xf numFmtId="0" fontId="0" fillId="0" borderId="1" xfId="0" applyFont="1" applyBorder="1"/>
    <xf numFmtId="0" fontId="0" fillId="0" borderId="1" xfId="0" applyFont="1" applyBorder="1" applyAlignment="1">
      <alignment horizontal="right"/>
    </xf>
    <xf numFmtId="0" fontId="0" fillId="0" borderId="0" xfId="0" pivotButton="1" applyFont="1"/>
    <xf numFmtId="10" fontId="0" fillId="0" borderId="0" xfId="0" applyNumberFormat="1" applyFont="1"/>
    <xf numFmtId="0" fontId="0" fillId="0" borderId="0" xfId="0" applyNumberFormat="1" applyFont="1"/>
    <xf numFmtId="0" fontId="15" fillId="2" borderId="1" xfId="1" applyFont="1" applyFill="1" applyBorder="1" applyAlignment="1">
      <alignment vertical="center"/>
    </xf>
    <xf numFmtId="0" fontId="0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2" fillId="0" borderId="0" xfId="0" applyFont="1"/>
    <xf numFmtId="0" fontId="5" fillId="0" borderId="0" xfId="0" applyFont="1" applyFill="1" applyBorder="1" applyAlignment="1">
      <alignment horizontal="left"/>
    </xf>
    <xf numFmtId="0" fontId="16" fillId="0" borderId="1" xfId="4" applyBorder="1" applyAlignment="1" applyProtection="1">
      <alignment horizontal="left"/>
    </xf>
    <xf numFmtId="0" fontId="0" fillId="0" borderId="0" xfId="0" applyNumberFormat="1" applyFill="1" applyBorder="1"/>
    <xf numFmtId="0" fontId="4" fillId="7" borderId="25" xfId="0" applyNumberFormat="1" applyFont="1" applyFill="1" applyBorder="1" applyAlignment="1">
      <alignment horizontal="left"/>
    </xf>
    <xf numFmtId="0" fontId="4" fillId="7" borderId="0" xfId="0" applyNumberFormat="1" applyFont="1" applyFill="1" applyAlignment="1"/>
    <xf numFmtId="0" fontId="2" fillId="0" borderId="1" xfId="0" applyFont="1" applyBorder="1" applyAlignment="1">
      <alignment horizontal="center"/>
    </xf>
    <xf numFmtId="0" fontId="5" fillId="0" borderId="13" xfId="0" applyFont="1" applyFill="1" applyBorder="1" applyAlignment="1">
      <alignment horizontal="left" wrapText="1"/>
    </xf>
    <xf numFmtId="0" fontId="5" fillId="0" borderId="14" xfId="0" applyFont="1" applyFill="1" applyBorder="1" applyAlignment="1">
      <alignment horizontal="left" wrapText="1"/>
    </xf>
    <xf numFmtId="0" fontId="5" fillId="0" borderId="2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 wrapText="1"/>
    </xf>
    <xf numFmtId="0" fontId="5" fillId="0" borderId="3" xfId="0" applyFont="1" applyFill="1" applyBorder="1" applyAlignment="1">
      <alignment horizontal="center" wrapText="1"/>
    </xf>
    <xf numFmtId="0" fontId="8" fillId="0" borderId="2" xfId="0" applyFont="1" applyFill="1" applyBorder="1" applyAlignment="1">
      <alignment horizontal="center" wrapText="1"/>
    </xf>
    <xf numFmtId="0" fontId="8" fillId="0" borderId="3" xfId="0" applyFont="1" applyFill="1" applyBorder="1" applyAlignment="1">
      <alignment horizontal="center" wrapText="1"/>
    </xf>
  </cellXfs>
  <cellStyles count="5">
    <cellStyle name="Currency 2" xfId="2"/>
    <cellStyle name="Hyperlink" xfId="4" builtinId="8"/>
    <cellStyle name="Normal" xfId="0" builtinId="0"/>
    <cellStyle name="Normal 2" xfId="1"/>
    <cellStyle name="Percent" xfId="3" builtinId="5"/>
  </cellStyles>
  <dxfs count="6">
    <dxf>
      <font>
        <name val="Calibri"/>
        <scheme val="minor"/>
      </font>
    </dxf>
    <dxf>
      <font>
        <name val="Calibri"/>
        <scheme val="minor"/>
      </font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rgb="FFDDDDDD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MDSHA" defaultPivotStyle="PivotStyleLight16">
    <tableStyle name="TableStyleMedium9MDSHA" pivot="0" count="4">
      <tableStyleElement type="wholeTable" dxfId="5"/>
      <tableStyleElement type="headerRow" dxfId="4"/>
      <tableStyleElement type="firstRowStripe" dxfId="3"/>
      <tableStyleElement type="secondRowStripe" dxfId="2"/>
    </tableStyle>
  </tableStyles>
  <colors>
    <mruColors>
      <color rgb="FFDDDDDD"/>
      <color rgb="FF002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6</xdr:row>
          <xdr:rowOff>85725</xdr:rowOff>
        </xdr:from>
        <xdr:to>
          <xdr:col>2</xdr:col>
          <xdr:colOff>857250</xdr:colOff>
          <xdr:row>7</xdr:row>
          <xdr:rowOff>142875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M_DM_VMT_Condition_Reports_Template%2008-27-14.xlsm" TargetMode="External"/></Relationships>
</file>

<file path=xl/pivotCache/_rels/pivotCacheDefinition2.xml.rels><?xml version="1.0" encoding="UTF-8" standalone="yes"?>
<Relationships xmlns="http://schemas.openxmlformats.org/package/2006/relationships"><Relationship Id="rId1" Type="http://schemas.microsoft.com/office/2006/relationships/xlExternalLinkPath/xlPathMissing" Target="LM_DM_VMT_Condition_Reports_Template%2008-27-14.xlsm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ditya Ramachandran" refreshedDate="41878.472491087959" createdVersion="3" refreshedVersion="3" minRefreshableVersion="3" recordCount="1">
  <cacheSource type="worksheet">
    <worksheetSource ref="A2:L3" sheet="Avg_Condition_per_LM_DM_VMT" r:id="rId1"/>
  </cacheSource>
  <cacheFields count="12">
    <cacheField name="District" numFmtId="0">
      <sharedItems containsNonDate="0" containsString="0" containsBlank="1" count="1">
        <m/>
      </sharedItems>
    </cacheField>
    <cacheField name="County" numFmtId="0">
      <sharedItems containsNonDate="0" containsString="0" containsBlank="1" count="1">
        <m/>
      </sharedItems>
    </cacheField>
    <cacheField name="Shop" numFmtId="0">
      <sharedItems containsNonDate="0" containsString="0" containsBlank="1" count="1">
        <m/>
      </sharedItems>
    </cacheField>
    <cacheField name="Functional Class" numFmtId="0">
      <sharedItems containsNonDate="0" containsString="0" containsBlank="1" count="1">
        <m/>
      </sharedItems>
    </cacheField>
    <cacheField name="Index" numFmtId="0">
      <sharedItems containsNonDate="0" containsString="0" containsBlank="1" count="1">
        <m/>
      </sharedItems>
    </cacheField>
    <cacheField name="Year" numFmtId="0">
      <sharedItems containsNonDate="0" containsString="0" containsBlank="1" count="1">
        <m/>
      </sharedItems>
    </cacheField>
    <cacheField name="AVG INDEX PER LM" numFmtId="0">
      <sharedItems containsNonDate="0" containsString="0" containsBlank="1"/>
    </cacheField>
    <cacheField name="AVG INDEX PER DM" numFmtId="0">
      <sharedItems containsNonDate="0" containsString="0" containsBlank="1"/>
    </cacheField>
    <cacheField name="AVG INDEX PER VMT" numFmtId="0">
      <sharedItems containsNonDate="0" containsString="0" containsBlank="1"/>
    </cacheField>
    <cacheField name="LM" numFmtId="0">
      <sharedItems containsNonDate="0" containsString="0" containsBlank="1"/>
    </cacheField>
    <cacheField name="DM" numFmtId="0">
      <sharedItems containsNonDate="0" containsString="0" containsBlank="1"/>
    </cacheField>
    <cacheField name="VM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Aditya Ramachandran" refreshedDate="41878.472491203705" createdVersion="3" refreshedVersion="3" minRefreshableVersion="3" recordCount="1">
  <cacheSource type="worksheet">
    <worksheetSource ref="A2:J3" sheet="LM_DM_VMT_Condition" r:id="rId1"/>
  </cacheSource>
  <cacheFields count="10">
    <cacheField name="District" numFmtId="0">
      <sharedItems containsNonDate="0" containsString="0" containsBlank="1" count="1">
        <m/>
      </sharedItems>
    </cacheField>
    <cacheField name="County" numFmtId="0">
      <sharedItems containsNonDate="0" containsString="0" containsBlank="1" count="1">
        <m/>
      </sharedItems>
    </cacheField>
    <cacheField name="Shop" numFmtId="0">
      <sharedItems containsNonDate="0" containsString="0" containsBlank="1" count="1">
        <m/>
      </sharedItems>
    </cacheField>
    <cacheField name="Functional Class" numFmtId="0">
      <sharedItems containsNonDate="0" containsString="0" containsBlank="1" count="1">
        <m/>
      </sharedItems>
    </cacheField>
    <cacheField name="Performance Measure" numFmtId="0">
      <sharedItems containsNonDate="0" containsString="0" containsBlank="1" count="1">
        <m/>
      </sharedItems>
    </cacheField>
    <cacheField name="Year" numFmtId="0">
      <sharedItems containsNonDate="0" containsString="0" containsBlank="1" count="1">
        <m/>
      </sharedItems>
    </cacheField>
    <cacheField name="Condition" numFmtId="0">
      <sharedItems containsNonDate="0" containsString="0" containsBlank="1" count="1">
        <m/>
      </sharedItems>
    </cacheField>
    <cacheField name="LM" numFmtId="0">
      <sharedItems containsNonDate="0" containsString="0" containsBlank="1"/>
    </cacheField>
    <cacheField name="DM" numFmtId="0">
      <sharedItems containsNonDate="0" containsString="0" containsBlank="1"/>
    </cacheField>
    <cacheField name="VM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3" minRefreshableVersion="3" showCalcMbrs="0" rowGrandTotals="0" colGrandTotals="0" itemPrintTitles="1" createdVersion="3" indent="0" compact="0" compactData="0" multipleFieldFilters="0">
  <location ref="A16:D19" firstHeaderRow="1" firstDataRow="3" firstDataCol="1" rowPageCount="5" colPageCount="1"/>
  <pivotFields count="10"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Col" compact="0" outline="0" showAll="0">
      <items count="2">
        <item x="0"/>
        <item t="default"/>
      </items>
    </pivotField>
    <pivotField axis="axisRow" compact="0" outline="0" showAll="0">
      <items count="2">
        <item x="0"/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6"/>
  </rowFields>
  <rowItems count="1">
    <i>
      <x/>
    </i>
  </rowItems>
  <colFields count="2">
    <field x="5"/>
    <field x="-2"/>
  </colFields>
  <colItems count="3">
    <i>
      <x/>
      <x/>
    </i>
    <i r="1" i="1">
      <x v="1"/>
    </i>
    <i r="1" i="2">
      <x v="2"/>
    </i>
  </colItems>
  <pageFields count="5">
    <pageField fld="0" hier="-1"/>
    <pageField fld="1" hier="-1"/>
    <pageField fld="2" hier="-1"/>
    <pageField fld="3" hier="-1"/>
    <pageField fld="4" hier="-1"/>
  </pageFields>
  <dataFields count="3">
    <dataField name="Sum of LM" fld="7" showDataAs="percentOfCol" baseField="0" baseItem="0" numFmtId="10"/>
    <dataField name="Sum of DM" fld="8" showDataAs="percentOfCol" baseField="0" baseItem="0" numFmtId="10"/>
    <dataField name="Sum of VMT" fld="9" showDataAs="percentOfCol" baseField="0" baseItem="0" numFmtId="10"/>
  </dataFields>
  <formats count="1">
    <format dxfId="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14" applyNumberFormats="0" applyBorderFormats="0" applyFontFormats="0" applyPatternFormats="0" applyAlignmentFormats="0" applyWidthHeightFormats="1" dataCaption="Values" updatedVersion="3" minRefreshableVersion="3" showCalcMbrs="0" rowGrandTotals="0" colGrandTotals="0" itemPrintTitles="1" createdVersion="3" indent="0" outline="1" outlineData="1" multipleFieldFilters="0">
  <location ref="A31:C34" firstHeaderRow="1" firstDataRow="3" firstDataCol="0" rowPageCount="5" colPageCount="1"/>
  <pivotFields count="12"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dataField="1" numFmtId="2" showAll="0"/>
    <pivotField dataField="1" numFmtId="2" showAll="0"/>
    <pivotField dataField="1" numFmtId="2" showAll="0"/>
    <pivotField numFmtId="164" showAll="0"/>
    <pivotField numFmtId="164" showAll="0"/>
    <pivotField numFmtId="1" showAll="0"/>
  </pivotFields>
  <rowItems count="1">
    <i/>
  </rowItems>
  <colFields count="2">
    <field x="5"/>
    <field x="-2"/>
  </colFields>
  <colItems count="3">
    <i>
      <x/>
      <x/>
    </i>
    <i r="1" i="1">
      <x v="1"/>
    </i>
    <i r="1" i="2">
      <x v="2"/>
    </i>
  </colItems>
  <pageFields count="5">
    <pageField fld="0" hier="-1"/>
    <pageField fld="1" hier="-1"/>
    <pageField fld="2" hier="-1"/>
    <pageField fld="3" hier="-1"/>
    <pageField fld="4" hier="-1"/>
  </pageFields>
  <dataFields count="3">
    <dataField name="Average LM" fld="6" subtotal="average" baseField="4" baseItem="0"/>
    <dataField name="Average DM" fld="7" subtotal="average" baseField="0" baseItem="0"/>
    <dataField name="Average VMT" fld="8" subtotal="average" baseField="0" baseItem="0"/>
  </dataFields>
  <formats count="1">
    <format dxfId="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../../../Templates/Chart_Template/Performance_Condition_with_Avg.crtx" TargetMode="Externa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J2"/>
  <sheetViews>
    <sheetView tabSelected="1" zoomScaleNormal="100" workbookViewId="0">
      <selection sqref="A1:J1"/>
    </sheetView>
  </sheetViews>
  <sheetFormatPr defaultRowHeight="15" x14ac:dyDescent="0.25"/>
  <cols>
    <col min="1" max="2" width="7.28515625" style="72" bestFit="1" customWidth="1"/>
    <col min="3" max="3" width="5.42578125" style="72" bestFit="1" customWidth="1"/>
    <col min="4" max="4" width="15.28515625" style="72" bestFit="1" customWidth="1"/>
    <col min="5" max="5" width="20.85546875" style="72" bestFit="1" customWidth="1"/>
    <col min="6" max="6" width="4.85546875" style="72" bestFit="1" customWidth="1"/>
    <col min="7" max="7" width="9.7109375" style="72" bestFit="1" customWidth="1"/>
    <col min="8" max="8" width="3.5703125" style="72" bestFit="1" customWidth="1"/>
    <col min="9" max="9" width="4" style="72" bestFit="1" customWidth="1"/>
    <col min="10" max="10" width="5" style="72" bestFit="1" customWidth="1"/>
  </cols>
  <sheetData>
    <row r="1" spans="1:10" s="2" customFormat="1" ht="17.25" x14ac:dyDescent="0.3">
      <c r="A1" s="73" t="s">
        <v>25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s="2" customFormat="1" x14ac:dyDescent="0.25">
      <c r="A2" t="s">
        <v>0</v>
      </c>
      <c r="B2" t="s">
        <v>10</v>
      </c>
      <c r="C2" t="s">
        <v>8</v>
      </c>
      <c r="D2" t="s">
        <v>7</v>
      </c>
      <c r="E2" t="s">
        <v>9</v>
      </c>
      <c r="F2" t="s">
        <v>107</v>
      </c>
      <c r="G2" t="s">
        <v>1</v>
      </c>
      <c r="H2" t="s">
        <v>114</v>
      </c>
      <c r="I2" t="s">
        <v>115</v>
      </c>
      <c r="J2" t="s">
        <v>82</v>
      </c>
    </row>
  </sheetData>
  <mergeCells count="1">
    <mergeCell ref="A1:J1"/>
  </mergeCells>
  <pageMargins left="0.7" right="0.7" top="0.75" bottom="0.75" header="0.3" footer="0.3"/>
  <pageSetup scale="1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2"/>
  <sheetViews>
    <sheetView zoomScaleNormal="100" workbookViewId="0">
      <selection sqref="A1:L1"/>
    </sheetView>
  </sheetViews>
  <sheetFormatPr defaultRowHeight="15" x14ac:dyDescent="0.25"/>
  <cols>
    <col min="1" max="2" width="7.28515625" style="72" bestFit="1" customWidth="1"/>
    <col min="3" max="3" width="5.42578125" style="72" bestFit="1" customWidth="1"/>
    <col min="4" max="4" width="15.28515625" style="72" bestFit="1" customWidth="1"/>
    <col min="5" max="5" width="6" style="72" bestFit="1" customWidth="1"/>
    <col min="6" max="6" width="4.85546875" style="72" bestFit="1" customWidth="1"/>
    <col min="7" max="7" width="17.7109375" style="72" bestFit="1" customWidth="1"/>
    <col min="8" max="8" width="18.140625" style="72" bestFit="1" customWidth="1"/>
    <col min="9" max="9" width="19.140625" style="72" bestFit="1" customWidth="1"/>
    <col min="10" max="10" width="3.5703125" style="72" bestFit="1" customWidth="1"/>
    <col min="11" max="11" width="4" style="72" bestFit="1" customWidth="1"/>
    <col min="12" max="12" width="5" style="72" bestFit="1" customWidth="1"/>
  </cols>
  <sheetData>
    <row r="1" spans="1:12" s="2" customFormat="1" ht="17.25" x14ac:dyDescent="0.3">
      <c r="A1" s="74" t="s">
        <v>79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1:12" s="2" customFormat="1" x14ac:dyDescent="0.25">
      <c r="A2" t="s">
        <v>0</v>
      </c>
      <c r="B2" t="s">
        <v>10</v>
      </c>
      <c r="C2" t="s">
        <v>8</v>
      </c>
      <c r="D2" t="s">
        <v>7</v>
      </c>
      <c r="E2" t="s">
        <v>112</v>
      </c>
      <c r="F2" t="s">
        <v>107</v>
      </c>
      <c r="G2" t="s">
        <v>127</v>
      </c>
      <c r="H2" t="s">
        <v>128</v>
      </c>
      <c r="I2" t="s">
        <v>129</v>
      </c>
      <c r="J2" t="s">
        <v>114</v>
      </c>
      <c r="K2" t="s">
        <v>115</v>
      </c>
      <c r="L2" t="s">
        <v>82</v>
      </c>
    </row>
  </sheetData>
  <mergeCells count="1">
    <mergeCell ref="A1:L1"/>
  </mergeCells>
  <pageMargins left="0.7" right="0.7" top="0.75" bottom="0.75" header="0.3" footer="0.3"/>
  <pageSetup scale="1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31"/>
  <sheetViews>
    <sheetView workbookViewId="0"/>
  </sheetViews>
  <sheetFormatPr defaultRowHeight="15" x14ac:dyDescent="0.25"/>
  <cols>
    <col min="1" max="1" width="20.85546875" style="1" customWidth="1"/>
    <col min="2" max="19" width="13.85546875" style="1" customWidth="1"/>
    <col min="20" max="25" width="12.85546875" style="1" customWidth="1"/>
    <col min="26" max="26" width="15.28515625" style="1" bestFit="1" customWidth="1"/>
    <col min="27" max="27" width="15.7109375" style="1" customWidth="1"/>
    <col min="28" max="28" width="16.7109375" style="1" customWidth="1"/>
    <col min="29" max="16384" width="9.140625" style="1"/>
  </cols>
  <sheetData>
    <row r="1" spans="1:25" x14ac:dyDescent="0.25">
      <c r="A1" s="59" t="s">
        <v>110</v>
      </c>
      <c r="B1" s="60" t="s">
        <v>82</v>
      </c>
      <c r="C1" s="54" t="s">
        <v>150</v>
      </c>
    </row>
    <row r="2" spans="1:25" x14ac:dyDescent="0.25">
      <c r="A2" s="61" t="s">
        <v>0</v>
      </c>
      <c r="B2" s="62" t="s">
        <v>141</v>
      </c>
      <c r="C2" s="54" t="s">
        <v>146</v>
      </c>
    </row>
    <row r="3" spans="1:25" x14ac:dyDescent="0.25">
      <c r="A3" s="61" t="s">
        <v>10</v>
      </c>
      <c r="B3" s="62" t="s">
        <v>141</v>
      </c>
      <c r="C3" s="54" t="s">
        <v>147</v>
      </c>
    </row>
    <row r="4" spans="1:25" x14ac:dyDescent="0.25">
      <c r="A4" s="61" t="s">
        <v>8</v>
      </c>
      <c r="B4" s="62" t="s">
        <v>141</v>
      </c>
      <c r="C4" s="54" t="s">
        <v>148</v>
      </c>
    </row>
    <row r="5" spans="1:25" x14ac:dyDescent="0.25">
      <c r="A5" s="61" t="s">
        <v>7</v>
      </c>
      <c r="B5" s="62" t="s">
        <v>141</v>
      </c>
      <c r="C5" s="54" t="s">
        <v>149</v>
      </c>
    </row>
    <row r="6" spans="1:25" x14ac:dyDescent="0.25">
      <c r="A6" s="61" t="s">
        <v>9</v>
      </c>
      <c r="B6" s="62" t="s">
        <v>13</v>
      </c>
      <c r="C6" s="54" t="s">
        <v>162</v>
      </c>
    </row>
    <row r="7" spans="1:25" x14ac:dyDescent="0.25">
      <c r="A7" s="56" t="s">
        <v>112</v>
      </c>
      <c r="B7" s="57" t="e">
        <f>VLOOKUP(B6,Lookup!H1:O30,8,FALSE)</f>
        <v>#N/A</v>
      </c>
      <c r="C7" s="54" t="s">
        <v>162</v>
      </c>
    </row>
    <row r="8" spans="1:25" x14ac:dyDescent="0.25">
      <c r="A8" s="56" t="s">
        <v>131</v>
      </c>
      <c r="B8" s="58" t="e">
        <f>VLOOKUP(B6,Lookup!H1:N30,7,FALSE)</f>
        <v>#N/A</v>
      </c>
    </row>
    <row r="9" spans="1:25" x14ac:dyDescent="0.25">
      <c r="A9" s="40" t="s">
        <v>161</v>
      </c>
      <c r="B9" s="71" t="s">
        <v>163</v>
      </c>
    </row>
    <row r="10" spans="1:25" x14ac:dyDescent="0.25">
      <c r="A10" s="63" t="s">
        <v>0</v>
      </c>
      <c r="B10" s="1" t="s">
        <v>141</v>
      </c>
    </row>
    <row r="11" spans="1:25" x14ac:dyDescent="0.25">
      <c r="A11" s="63" t="s">
        <v>10</v>
      </c>
      <c r="B11" s="1" t="s">
        <v>141</v>
      </c>
    </row>
    <row r="12" spans="1:25" x14ac:dyDescent="0.25">
      <c r="A12" s="63" t="s">
        <v>8</v>
      </c>
      <c r="B12" s="1" t="s">
        <v>141</v>
      </c>
    </row>
    <row r="13" spans="1:25" x14ac:dyDescent="0.25">
      <c r="A13" s="63" t="s">
        <v>7</v>
      </c>
      <c r="B13" s="1" t="s">
        <v>141</v>
      </c>
    </row>
    <row r="14" spans="1:25" x14ac:dyDescent="0.25">
      <c r="A14" s="63" t="s">
        <v>9</v>
      </c>
      <c r="B14" s="1" t="s">
        <v>141</v>
      </c>
    </row>
    <row r="16" spans="1:25" x14ac:dyDescent="0.25">
      <c r="B16" s="63" t="s">
        <v>107</v>
      </c>
      <c r="C16" s="63" t="s">
        <v>154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1:25" x14ac:dyDescent="0.25">
      <c r="B17" s="1" t="s">
        <v>164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</row>
    <row r="18" spans="1:25" x14ac:dyDescent="0.25">
      <c r="A18" s="63" t="s">
        <v>1</v>
      </c>
      <c r="B18" s="1" t="s">
        <v>143</v>
      </c>
      <c r="C18" s="1" t="s">
        <v>144</v>
      </c>
      <c r="D18" s="1" t="s">
        <v>145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</row>
    <row r="19" spans="1:25" x14ac:dyDescent="0.25">
      <c r="A19" s="1" t="s">
        <v>164</v>
      </c>
      <c r="B19" s="64" t="e">
        <v>#DIV/0!</v>
      </c>
      <c r="C19" s="64" t="e">
        <v>#DIV/0!</v>
      </c>
      <c r="D19" s="64" t="e">
        <v>#DIV/0!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</row>
    <row r="20" spans="1:2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</row>
    <row r="21" spans="1:2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</row>
    <row r="22" spans="1:2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</row>
    <row r="23" spans="1:2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</row>
    <row r="25" spans="1:25" x14ac:dyDescent="0.25">
      <c r="A25" s="63" t="s">
        <v>0</v>
      </c>
      <c r="B25" s="1" t="s">
        <v>141</v>
      </c>
    </row>
    <row r="26" spans="1:25" x14ac:dyDescent="0.25">
      <c r="A26" s="63" t="s">
        <v>10</v>
      </c>
      <c r="B26" s="1" t="s">
        <v>141</v>
      </c>
    </row>
    <row r="27" spans="1:25" x14ac:dyDescent="0.25">
      <c r="A27" s="63" t="s">
        <v>8</v>
      </c>
      <c r="B27" s="1" t="s">
        <v>141</v>
      </c>
    </row>
    <row r="28" spans="1:25" x14ac:dyDescent="0.25">
      <c r="A28" s="63" t="s">
        <v>7</v>
      </c>
      <c r="B28" s="1" t="s">
        <v>141</v>
      </c>
    </row>
    <row r="29" spans="1:25" x14ac:dyDescent="0.25">
      <c r="A29" s="63" t="s">
        <v>112</v>
      </c>
      <c r="B29" s="1" t="s">
        <v>141</v>
      </c>
    </row>
    <row r="31" spans="1:25" x14ac:dyDescent="0.25">
      <c r="A31" s="63" t="s">
        <v>142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5" x14ac:dyDescent="0.25">
      <c r="A32" s="1" t="s">
        <v>164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 s="1" t="s">
        <v>151</v>
      </c>
      <c r="B33" s="1" t="s">
        <v>152</v>
      </c>
      <c r="C33" s="1" t="s">
        <v>153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 s="65"/>
      <c r="B34" s="65"/>
      <c r="C34" s="65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 s="65"/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</row>
    <row r="36" spans="1:24" x14ac:dyDescent="0.25">
      <c r="A36" s="55" t="str">
        <f>$B$6</f>
        <v>AVG_IRI</v>
      </c>
    </row>
    <row r="37" spans="1:24" x14ac:dyDescent="0.25">
      <c r="A37" s="55"/>
      <c r="B37" s="61">
        <f>Formulas!$B$1</f>
        <v>0</v>
      </c>
      <c r="C37" s="66" t="e">
        <f>IF(B37+1&gt;Formulas!$B$2,NA(),B37+1)</f>
        <v>#N/A</v>
      </c>
      <c r="D37" s="66" t="e">
        <f>IF(C37+1&gt;Formulas!$B$2,NA(),C37+1)</f>
        <v>#N/A</v>
      </c>
      <c r="E37" s="66" t="e">
        <f>IF(D37+1&gt;Formulas!$B$2,NA(),D37+1)</f>
        <v>#N/A</v>
      </c>
      <c r="F37" s="66" t="e">
        <f>IF(E37+1&gt;Formulas!$B$2,NA(),E37+1)</f>
        <v>#N/A</v>
      </c>
      <c r="G37" s="66" t="e">
        <f>IF(F37+1&gt;Formulas!$B$2,NA(),F37+1)</f>
        <v>#N/A</v>
      </c>
      <c r="H37" s="66" t="e">
        <f>IF(G37+1&gt;Formulas!$B$2,NA(),G37+1)</f>
        <v>#N/A</v>
      </c>
      <c r="I37" s="66" t="e">
        <f>IF(H37+1&gt;Formulas!$B$2,NA(),H37+1)</f>
        <v>#N/A</v>
      </c>
      <c r="J37" s="66" t="e">
        <f>IF(I37+1&gt;Formulas!$B$2,NA(),I37+1)</f>
        <v>#N/A</v>
      </c>
      <c r="K37" s="66" t="e">
        <f>IF(J37+1&gt;Formulas!$B$2,NA(),J37+1)</f>
        <v>#N/A</v>
      </c>
      <c r="L37" s="66" t="e">
        <f>IF(K37+1&gt;Formulas!$B$2,NA(),K37+1)</f>
        <v>#N/A</v>
      </c>
      <c r="M37" s="66" t="e">
        <f>IF(L37+1&gt;Formulas!$B$2,NA(),L37+1)</f>
        <v>#N/A</v>
      </c>
      <c r="N37" s="66" t="e">
        <f>IF(M37+1&gt;Formulas!$B$2,NA(),M37+1)</f>
        <v>#N/A</v>
      </c>
      <c r="O37" s="66" t="e">
        <f>IF(N37+1&gt;Formulas!$B$2,NA(),N37+1)</f>
        <v>#N/A</v>
      </c>
      <c r="P37" s="66" t="e">
        <f>IF(O37+1&gt;Formulas!$B$2,NA(),O37+1)</f>
        <v>#N/A</v>
      </c>
      <c r="Q37" s="66" t="e">
        <f>IF(P37+1&gt;Formulas!$B$2,NA(),P37+1)</f>
        <v>#N/A</v>
      </c>
      <c r="R37" s="66" t="e">
        <f>IF(Q37+1&gt;Formulas!$B$2,NA(),Q37+1)</f>
        <v>#N/A</v>
      </c>
      <c r="S37" s="66" t="e">
        <f>IF(R37+1&gt;Formulas!$B$2,NA(),R37+1)</f>
        <v>#N/A</v>
      </c>
      <c r="T37" s="66" t="e">
        <f>IF(S37+1&gt;Formulas!$B$2,NA(),S37+1)</f>
        <v>#N/A</v>
      </c>
      <c r="U37" s="66" t="e">
        <f>IF(T37+1&gt;Formulas!$B$2,NA(),T37+1)</f>
        <v>#N/A</v>
      </c>
      <c r="V37" s="66" t="e">
        <f>IF(U37+1&gt;Formulas!$B$2,NA(),U37+1)</f>
        <v>#N/A</v>
      </c>
    </row>
    <row r="38" spans="1:24" x14ac:dyDescent="0.25">
      <c r="A38" s="68" t="s">
        <v>156</v>
      </c>
      <c r="B38" s="53" t="str">
        <f>IF(ISERROR(IF($B$1="Lane-miles",GETPIVOTDATA("Sum of LM",$A$16,"Condition",TRIM(MID($A38,3,20)),"Year",B$37),IF($B$1="Dir-miles",GETPIVOTDATA("Sum of DM",$A$16,"Condition",TRIM(MID($A38,3,20)),"Year",B$37),IF($B$1="VMT",GETPIVOTDATA("Sum of VMT",$A$16,"Condition",TRIM(MID($A38,3,20)),"Year",B$37))))),"",IF($B$1="Lane-miles",GETPIVOTDATA("Sum of LM",$A$16,"Condition",TRIM(MID($A38,3,20)),"Year",B$37),IF($B$1="Dir-miles",GETPIVOTDATA("Sum of DM",$A$16,"Condition",TRIM(MID($A38,3,20)),"Year",B$37),IF($B$1="VMT",GETPIVOTDATA("Sum of VMT",$A$16,"Condition",TRIM(MID($A38,3,20)),"Year",B$37)))))</f>
        <v/>
      </c>
      <c r="C38" s="53" t="str">
        <f t="shared" ref="C38:V42" si="0">IF(ISERROR(IF($B$1="Lane-miles",GETPIVOTDATA("Sum of LM",$A$16,"Condition",TRIM(MID($A38,3,20)),"Year",C$37),IF($B$1="Dir-miles",GETPIVOTDATA("Sum of DM",$A$16,"Condition",TRIM(MID($A38,3,20)),"Year",C$37),IF($B$1="VMT",GETPIVOTDATA("Sum of VMT",$A$16,"Condition",TRIM(MID($A38,3,20)),"Year",C$37))))),"",IF($B$1="Lane-miles",GETPIVOTDATA("Sum of LM",$A$16,"Condition",TRIM(MID($A38,3,20)),"Year",C$37),IF($B$1="Dir-miles",GETPIVOTDATA("Sum of DM",$A$16,"Condition",TRIM(MID($A38,3,20)),"Year",C$37),IF($B$1="VMT",GETPIVOTDATA("Sum of VMT",$A$16,"Condition",TRIM(MID($A38,3,20)),"Year",C$37)))))</f>
        <v/>
      </c>
      <c r="D38" s="53" t="str">
        <f t="shared" si="0"/>
        <v/>
      </c>
      <c r="E38" s="53" t="str">
        <f t="shared" si="0"/>
        <v/>
      </c>
      <c r="F38" s="53" t="str">
        <f t="shared" si="0"/>
        <v/>
      </c>
      <c r="G38" s="53" t="str">
        <f t="shared" si="0"/>
        <v/>
      </c>
      <c r="H38" s="53" t="str">
        <f t="shared" si="0"/>
        <v/>
      </c>
      <c r="I38" s="53" t="str">
        <f t="shared" si="0"/>
        <v/>
      </c>
      <c r="J38" s="53" t="str">
        <f t="shared" si="0"/>
        <v/>
      </c>
      <c r="K38" s="53" t="str">
        <f t="shared" si="0"/>
        <v/>
      </c>
      <c r="L38" s="53" t="str">
        <f t="shared" si="0"/>
        <v/>
      </c>
      <c r="M38" s="53" t="str">
        <f t="shared" si="0"/>
        <v/>
      </c>
      <c r="N38" s="53" t="str">
        <f t="shared" si="0"/>
        <v/>
      </c>
      <c r="O38" s="53" t="str">
        <f t="shared" si="0"/>
        <v/>
      </c>
      <c r="P38" s="53" t="str">
        <f t="shared" si="0"/>
        <v/>
      </c>
      <c r="Q38" s="53" t="str">
        <f t="shared" si="0"/>
        <v/>
      </c>
      <c r="R38" s="53" t="str">
        <f t="shared" si="0"/>
        <v/>
      </c>
      <c r="S38" s="53" t="str">
        <f t="shared" si="0"/>
        <v/>
      </c>
      <c r="T38" s="53" t="str">
        <f t="shared" si="0"/>
        <v/>
      </c>
      <c r="U38" s="53" t="str">
        <f t="shared" si="0"/>
        <v/>
      </c>
      <c r="V38" s="53" t="str">
        <f t="shared" si="0"/>
        <v/>
      </c>
    </row>
    <row r="39" spans="1:24" x14ac:dyDescent="0.25">
      <c r="A39" s="68" t="s">
        <v>157</v>
      </c>
      <c r="B39" s="53" t="str">
        <f t="shared" ref="B39:Q42" si="1">IF(ISERROR(IF($B$1="Lane-miles",GETPIVOTDATA("Sum of LM",$A$16,"Condition",TRIM(MID($A39,3,20)),"Year",B$37),IF($B$1="Dir-miles",GETPIVOTDATA("Sum of DM",$A$16,"Condition",TRIM(MID($A39,3,20)),"Year",B$37),IF($B$1="VMT",GETPIVOTDATA("Sum of VMT",$A$16,"Condition",TRIM(MID($A39,3,20)),"Year",B$37))))),"",IF($B$1="Lane-miles",GETPIVOTDATA("Sum of LM",$A$16,"Condition",TRIM(MID($A39,3,20)),"Year",B$37),IF($B$1="Dir-miles",GETPIVOTDATA("Sum of DM",$A$16,"Condition",TRIM(MID($A39,3,20)),"Year",B$37),IF($B$1="VMT",GETPIVOTDATA("Sum of VMT",$A$16,"Condition",TRIM(MID($A39,3,20)),"Year",B$37)))))</f>
        <v/>
      </c>
      <c r="C39" s="53" t="str">
        <f t="shared" si="1"/>
        <v/>
      </c>
      <c r="D39" s="53" t="str">
        <f t="shared" si="1"/>
        <v/>
      </c>
      <c r="E39" s="53" t="str">
        <f t="shared" si="1"/>
        <v/>
      </c>
      <c r="F39" s="53" t="str">
        <f t="shared" si="1"/>
        <v/>
      </c>
      <c r="G39" s="53" t="str">
        <f t="shared" si="1"/>
        <v/>
      </c>
      <c r="H39" s="53" t="str">
        <f t="shared" si="1"/>
        <v/>
      </c>
      <c r="I39" s="53" t="str">
        <f t="shared" si="1"/>
        <v/>
      </c>
      <c r="J39" s="53" t="str">
        <f t="shared" si="1"/>
        <v/>
      </c>
      <c r="K39" s="53" t="str">
        <f t="shared" si="1"/>
        <v/>
      </c>
      <c r="L39" s="53" t="str">
        <f t="shared" si="1"/>
        <v/>
      </c>
      <c r="M39" s="53" t="str">
        <f t="shared" si="1"/>
        <v/>
      </c>
      <c r="N39" s="53" t="str">
        <f t="shared" si="1"/>
        <v/>
      </c>
      <c r="O39" s="53" t="str">
        <f t="shared" si="1"/>
        <v/>
      </c>
      <c r="P39" s="53" t="str">
        <f t="shared" si="1"/>
        <v/>
      </c>
      <c r="Q39" s="53" t="str">
        <f t="shared" si="1"/>
        <v/>
      </c>
      <c r="R39" s="53" t="str">
        <f t="shared" si="0"/>
        <v/>
      </c>
      <c r="S39" s="53" t="str">
        <f t="shared" si="0"/>
        <v/>
      </c>
      <c r="T39" s="53" t="str">
        <f t="shared" si="0"/>
        <v/>
      </c>
      <c r="U39" s="53" t="str">
        <f t="shared" si="0"/>
        <v/>
      </c>
      <c r="V39" s="53" t="str">
        <f t="shared" si="0"/>
        <v/>
      </c>
    </row>
    <row r="40" spans="1:24" x14ac:dyDescent="0.25">
      <c r="A40" s="68" t="s">
        <v>158</v>
      </c>
      <c r="B40" s="53" t="str">
        <f t="shared" si="1"/>
        <v/>
      </c>
      <c r="C40" s="53" t="str">
        <f t="shared" si="1"/>
        <v/>
      </c>
      <c r="D40" s="53" t="str">
        <f t="shared" si="1"/>
        <v/>
      </c>
      <c r="E40" s="53" t="str">
        <f t="shared" si="1"/>
        <v/>
      </c>
      <c r="F40" s="53" t="str">
        <f t="shared" si="1"/>
        <v/>
      </c>
      <c r="G40" s="53" t="str">
        <f t="shared" si="1"/>
        <v/>
      </c>
      <c r="H40" s="53" t="str">
        <f t="shared" si="1"/>
        <v/>
      </c>
      <c r="I40" s="53" t="str">
        <f t="shared" si="1"/>
        <v/>
      </c>
      <c r="J40" s="53" t="str">
        <f t="shared" si="1"/>
        <v/>
      </c>
      <c r="K40" s="53" t="str">
        <f t="shared" si="1"/>
        <v/>
      </c>
      <c r="L40" s="53" t="str">
        <f t="shared" si="1"/>
        <v/>
      </c>
      <c r="M40" s="53" t="str">
        <f t="shared" si="0"/>
        <v/>
      </c>
      <c r="N40" s="53" t="str">
        <f t="shared" si="0"/>
        <v/>
      </c>
      <c r="O40" s="53" t="str">
        <f t="shared" si="0"/>
        <v/>
      </c>
      <c r="P40" s="53" t="str">
        <f t="shared" si="0"/>
        <v/>
      </c>
      <c r="Q40" s="53" t="str">
        <f t="shared" si="0"/>
        <v/>
      </c>
      <c r="R40" s="53" t="str">
        <f t="shared" si="0"/>
        <v/>
      </c>
      <c r="S40" s="53" t="str">
        <f t="shared" si="0"/>
        <v/>
      </c>
      <c r="T40" s="53" t="str">
        <f t="shared" si="0"/>
        <v/>
      </c>
      <c r="U40" s="53" t="str">
        <f t="shared" si="0"/>
        <v/>
      </c>
      <c r="V40" s="53" t="str">
        <f t="shared" si="0"/>
        <v/>
      </c>
    </row>
    <row r="41" spans="1:24" x14ac:dyDescent="0.25">
      <c r="A41" s="68" t="s">
        <v>159</v>
      </c>
      <c r="B41" s="53" t="str">
        <f t="shared" si="1"/>
        <v/>
      </c>
      <c r="C41" s="53" t="str">
        <f t="shared" si="1"/>
        <v/>
      </c>
      <c r="D41" s="53" t="str">
        <f t="shared" si="1"/>
        <v/>
      </c>
      <c r="E41" s="53" t="str">
        <f t="shared" si="1"/>
        <v/>
      </c>
      <c r="F41" s="53" t="str">
        <f t="shared" si="1"/>
        <v/>
      </c>
      <c r="G41" s="53" t="str">
        <f t="shared" si="1"/>
        <v/>
      </c>
      <c r="H41" s="53" t="str">
        <f t="shared" si="1"/>
        <v/>
      </c>
      <c r="I41" s="53" t="str">
        <f t="shared" si="1"/>
        <v/>
      </c>
      <c r="J41" s="53" t="str">
        <f t="shared" si="1"/>
        <v/>
      </c>
      <c r="K41" s="53" t="str">
        <f t="shared" si="1"/>
        <v/>
      </c>
      <c r="L41" s="53" t="str">
        <f t="shared" si="1"/>
        <v/>
      </c>
      <c r="M41" s="53" t="str">
        <f t="shared" si="0"/>
        <v/>
      </c>
      <c r="N41" s="53" t="str">
        <f t="shared" si="0"/>
        <v/>
      </c>
      <c r="O41" s="53" t="str">
        <f t="shared" si="0"/>
        <v/>
      </c>
      <c r="P41" s="53" t="str">
        <f t="shared" si="0"/>
        <v/>
      </c>
      <c r="Q41" s="53" t="str">
        <f t="shared" si="0"/>
        <v/>
      </c>
      <c r="R41" s="53" t="str">
        <f t="shared" si="0"/>
        <v/>
      </c>
      <c r="S41" s="53" t="str">
        <f t="shared" si="0"/>
        <v/>
      </c>
      <c r="T41" s="53" t="str">
        <f t="shared" si="0"/>
        <v/>
      </c>
      <c r="U41" s="53" t="str">
        <f t="shared" si="0"/>
        <v/>
      </c>
      <c r="V41" s="53" t="str">
        <f t="shared" si="0"/>
        <v/>
      </c>
    </row>
    <row r="42" spans="1:24" x14ac:dyDescent="0.25">
      <c r="A42" s="68" t="s">
        <v>160</v>
      </c>
      <c r="B42" s="53" t="str">
        <f t="shared" si="1"/>
        <v/>
      </c>
      <c r="C42" s="53" t="str">
        <f t="shared" si="1"/>
        <v/>
      </c>
      <c r="D42" s="53" t="str">
        <f t="shared" si="1"/>
        <v/>
      </c>
      <c r="E42" s="53" t="str">
        <f t="shared" si="1"/>
        <v/>
      </c>
      <c r="F42" s="53" t="str">
        <f t="shared" si="1"/>
        <v/>
      </c>
      <c r="G42" s="53" t="str">
        <f t="shared" si="1"/>
        <v/>
      </c>
      <c r="H42" s="53" t="str">
        <f t="shared" si="1"/>
        <v/>
      </c>
      <c r="I42" s="53" t="str">
        <f t="shared" si="1"/>
        <v/>
      </c>
      <c r="J42" s="53" t="str">
        <f t="shared" si="1"/>
        <v/>
      </c>
      <c r="K42" s="53" t="str">
        <f t="shared" si="1"/>
        <v/>
      </c>
      <c r="L42" s="53" t="str">
        <f t="shared" si="1"/>
        <v/>
      </c>
      <c r="M42" s="53" t="str">
        <f t="shared" si="0"/>
        <v/>
      </c>
      <c r="N42" s="53" t="str">
        <f t="shared" si="0"/>
        <v/>
      </c>
      <c r="O42" s="53" t="str">
        <f t="shared" si="0"/>
        <v/>
      </c>
      <c r="P42" s="53" t="str">
        <f t="shared" si="0"/>
        <v/>
      </c>
      <c r="Q42" s="53" t="str">
        <f t="shared" si="0"/>
        <v/>
      </c>
      <c r="R42" s="53" t="str">
        <f t="shared" si="0"/>
        <v/>
      </c>
      <c r="S42" s="53" t="str">
        <f t="shared" si="0"/>
        <v/>
      </c>
      <c r="T42" s="53" t="str">
        <f t="shared" si="0"/>
        <v/>
      </c>
      <c r="U42" s="53" t="str">
        <f t="shared" si="0"/>
        <v/>
      </c>
      <c r="V42" s="53" t="str">
        <f t="shared" si="0"/>
        <v/>
      </c>
    </row>
    <row r="43" spans="1:24" x14ac:dyDescent="0.25">
      <c r="A43" s="67" t="s">
        <v>103</v>
      </c>
      <c r="B43" s="53" t="str">
        <f>IF(ISERROR(IF($B$1="Lane-miles",GETPIVOTDATA("Average LM",$A$31,"Year",B$37),IF($B$1="Dir-miles",GETPIVOTDATA("Average DM",$A$31,"Year",B$37),IF($B$1="VMT",GETPIVOTDATA("Average VMT",$A$31,"Year",B$37))))),"",(1/100)*IF($B$1="Lane-miles",GETPIVOTDATA("Average LM",$A$31,"Year",B$37),IF($B$1="Dir-miles",GETPIVOTDATA("Average DM",$A$31,"Year",B$37),IF($B$1="VMT",GETPIVOTDATA("Average VMT",$A$31,"Year",B$37)))))</f>
        <v/>
      </c>
      <c r="C43" s="53" t="str">
        <f t="shared" ref="C43:V43" si="2">IF(ISERROR(IF($B$1="Lane-miles",GETPIVOTDATA("Average LM",$A$31,"Year",C$37),IF($B$1="Dir-miles",GETPIVOTDATA("Average DM",$A$31,"Year",C$37),IF($B$1="VMT",GETPIVOTDATA("Average VMT",$A$31,"Year",C$37))))),"",(1/100)*IF($B$1="Lane-miles",GETPIVOTDATA("Average LM",$A$31,"Year",C$37),IF($B$1="Dir-miles",GETPIVOTDATA("Average DM",$A$31,"Year",C$37),IF($B$1="VMT",GETPIVOTDATA("Average VMT",$A$31,"Year",C$37)))))</f>
        <v/>
      </c>
      <c r="D43" s="53" t="str">
        <f t="shared" si="2"/>
        <v/>
      </c>
      <c r="E43" s="53" t="str">
        <f t="shared" si="2"/>
        <v/>
      </c>
      <c r="F43" s="53" t="str">
        <f t="shared" si="2"/>
        <v/>
      </c>
      <c r="G43" s="53" t="str">
        <f t="shared" si="2"/>
        <v/>
      </c>
      <c r="H43" s="53" t="str">
        <f t="shared" si="2"/>
        <v/>
      </c>
      <c r="I43" s="53" t="str">
        <f t="shared" si="2"/>
        <v/>
      </c>
      <c r="J43" s="53" t="str">
        <f t="shared" si="2"/>
        <v/>
      </c>
      <c r="K43" s="53" t="str">
        <f t="shared" si="2"/>
        <v/>
      </c>
      <c r="L43" s="53" t="str">
        <f t="shared" si="2"/>
        <v/>
      </c>
      <c r="M43" s="53" t="str">
        <f t="shared" si="2"/>
        <v/>
      </c>
      <c r="N43" s="53" t="str">
        <f t="shared" si="2"/>
        <v/>
      </c>
      <c r="O43" s="53" t="str">
        <f t="shared" si="2"/>
        <v/>
      </c>
      <c r="P43" s="53" t="str">
        <f t="shared" si="2"/>
        <v/>
      </c>
      <c r="Q43" s="53" t="str">
        <f t="shared" si="2"/>
        <v/>
      </c>
      <c r="R43" s="53" t="str">
        <f t="shared" si="2"/>
        <v/>
      </c>
      <c r="S43" s="53" t="str">
        <f t="shared" si="2"/>
        <v/>
      </c>
      <c r="T43" s="53" t="str">
        <f t="shared" si="2"/>
        <v/>
      </c>
      <c r="U43" s="53" t="str">
        <f t="shared" si="2"/>
        <v/>
      </c>
      <c r="V43" s="53" t="str">
        <f t="shared" si="2"/>
        <v/>
      </c>
    </row>
    <row r="44" spans="1:24" x14ac:dyDescent="0.25">
      <c r="A44" s="69"/>
    </row>
    <row r="45" spans="1:24" x14ac:dyDescent="0.25">
      <c r="A45" s="32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</row>
    <row r="46" spans="1:24" x14ac:dyDescent="0.25">
      <c r="A46" s="67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</row>
    <row r="47" spans="1:24" x14ac:dyDescent="0.25">
      <c r="A47" s="67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</row>
    <row r="48" spans="1:24" x14ac:dyDescent="0.25">
      <c r="A48" s="67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</row>
    <row r="49" spans="1:22" x14ac:dyDescent="0.25">
      <c r="A49" s="67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</row>
    <row r="50" spans="1:22" x14ac:dyDescent="0.25">
      <c r="A50" s="67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</row>
    <row r="51" spans="1:22" x14ac:dyDescent="0.25">
      <c r="A51" s="67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</row>
    <row r="52" spans="1:22" x14ac:dyDescent="0.25">
      <c r="A52" s="69"/>
    </row>
    <row r="53" spans="1:22" x14ac:dyDescent="0.25">
      <c r="A53" s="32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</row>
    <row r="54" spans="1:22" x14ac:dyDescent="0.25">
      <c r="A54" s="67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</row>
    <row r="55" spans="1:22" x14ac:dyDescent="0.25">
      <c r="A55" s="67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</row>
    <row r="56" spans="1:22" x14ac:dyDescent="0.25">
      <c r="A56" s="67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</row>
    <row r="57" spans="1:22" x14ac:dyDescent="0.25">
      <c r="A57" s="67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</row>
    <row r="58" spans="1:22" x14ac:dyDescent="0.25">
      <c r="A58" s="67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</row>
    <row r="59" spans="1:22" x14ac:dyDescent="0.25">
      <c r="A59" s="67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</row>
    <row r="60" spans="1:22" x14ac:dyDescent="0.25">
      <c r="A60" s="69"/>
    </row>
    <row r="61" spans="1:22" x14ac:dyDescent="0.25">
      <c r="A61" s="32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</row>
    <row r="62" spans="1:22" x14ac:dyDescent="0.25">
      <c r="A62" s="67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</row>
    <row r="63" spans="1:22" x14ac:dyDescent="0.25">
      <c r="A63" s="67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</row>
    <row r="64" spans="1:22" x14ac:dyDescent="0.25">
      <c r="A64" s="67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</row>
    <row r="65" spans="1:22" x14ac:dyDescent="0.25">
      <c r="A65" s="67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</row>
    <row r="66" spans="1:22" x14ac:dyDescent="0.25">
      <c r="A66" s="67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</row>
    <row r="67" spans="1:22" x14ac:dyDescent="0.25">
      <c r="A67" s="67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</row>
    <row r="68" spans="1:22" x14ac:dyDescent="0.25">
      <c r="A68" s="69"/>
    </row>
    <row r="69" spans="1:22" x14ac:dyDescent="0.25">
      <c r="A69" s="32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</row>
    <row r="70" spans="1:22" x14ac:dyDescent="0.25">
      <c r="A70" s="67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</row>
    <row r="71" spans="1:22" x14ac:dyDescent="0.25">
      <c r="A71" s="67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</row>
    <row r="72" spans="1:22" x14ac:dyDescent="0.25">
      <c r="A72" s="67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</row>
    <row r="73" spans="1:22" x14ac:dyDescent="0.25">
      <c r="A73" s="67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</row>
    <row r="74" spans="1:22" x14ac:dyDescent="0.25">
      <c r="A74" s="67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</row>
    <row r="75" spans="1:22" x14ac:dyDescent="0.25">
      <c r="A75" s="67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</row>
    <row r="76" spans="1:22" x14ac:dyDescent="0.25">
      <c r="A76" s="69"/>
    </row>
    <row r="77" spans="1:22" x14ac:dyDescent="0.25">
      <c r="A77" s="32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</row>
    <row r="78" spans="1:22" x14ac:dyDescent="0.25">
      <c r="A78" s="67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</row>
    <row r="79" spans="1:22" x14ac:dyDescent="0.25">
      <c r="A79" s="67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</row>
    <row r="80" spans="1:22" x14ac:dyDescent="0.25">
      <c r="A80" s="67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</row>
    <row r="81" spans="1:22" x14ac:dyDescent="0.25">
      <c r="A81" s="67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</row>
    <row r="82" spans="1:22" x14ac:dyDescent="0.25">
      <c r="A82" s="67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</row>
    <row r="83" spans="1:22" x14ac:dyDescent="0.25">
      <c r="A83" s="67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</row>
    <row r="84" spans="1:22" x14ac:dyDescent="0.25">
      <c r="A84" s="69"/>
    </row>
    <row r="85" spans="1:22" x14ac:dyDescent="0.25">
      <c r="A85" s="32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</row>
    <row r="86" spans="1:22" x14ac:dyDescent="0.25">
      <c r="A86" s="67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</row>
    <row r="87" spans="1:22" x14ac:dyDescent="0.25">
      <c r="A87" s="67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</row>
    <row r="88" spans="1:22" x14ac:dyDescent="0.25">
      <c r="A88" s="67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</row>
    <row r="89" spans="1:22" x14ac:dyDescent="0.25">
      <c r="A89" s="67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</row>
    <row r="90" spans="1:22" x14ac:dyDescent="0.25">
      <c r="A90" s="67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</row>
    <row r="91" spans="1:22" x14ac:dyDescent="0.25">
      <c r="A91" s="67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</row>
    <row r="93" spans="1:22" x14ac:dyDescent="0.25">
      <c r="A93" s="32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</row>
    <row r="94" spans="1:22" x14ac:dyDescent="0.25">
      <c r="A94" s="67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</row>
    <row r="95" spans="1:22" x14ac:dyDescent="0.25">
      <c r="A95" s="67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</row>
    <row r="96" spans="1:22" x14ac:dyDescent="0.25">
      <c r="A96" s="67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</row>
    <row r="97" spans="1:22" x14ac:dyDescent="0.25">
      <c r="A97" s="67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</row>
    <row r="98" spans="1:22" x14ac:dyDescent="0.25">
      <c r="A98" s="67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</row>
    <row r="99" spans="1:22" x14ac:dyDescent="0.25">
      <c r="A99" s="67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</row>
    <row r="101" spans="1:22" x14ac:dyDescent="0.25">
      <c r="A101" s="32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</row>
    <row r="102" spans="1:22" x14ac:dyDescent="0.25">
      <c r="A102" s="67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</row>
    <row r="103" spans="1:22" x14ac:dyDescent="0.25">
      <c r="A103" s="67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</row>
    <row r="104" spans="1:22" x14ac:dyDescent="0.25">
      <c r="A104" s="67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</row>
    <row r="105" spans="1:22" x14ac:dyDescent="0.25">
      <c r="A105" s="67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</row>
    <row r="106" spans="1:22" x14ac:dyDescent="0.25">
      <c r="A106" s="67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</row>
    <row r="107" spans="1:22" x14ac:dyDescent="0.25">
      <c r="A107" s="67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</row>
    <row r="109" spans="1:22" x14ac:dyDescent="0.25">
      <c r="A109" s="32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</row>
    <row r="110" spans="1:22" x14ac:dyDescent="0.25">
      <c r="A110" s="67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</row>
    <row r="111" spans="1:22" x14ac:dyDescent="0.25">
      <c r="A111" s="67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</row>
    <row r="112" spans="1:22" x14ac:dyDescent="0.25">
      <c r="A112" s="67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</row>
    <row r="113" spans="1:22" x14ac:dyDescent="0.25">
      <c r="A113" s="67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</row>
    <row r="114" spans="1:22" x14ac:dyDescent="0.25">
      <c r="A114" s="67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</row>
    <row r="115" spans="1:22" x14ac:dyDescent="0.25">
      <c r="A115" s="67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</row>
    <row r="117" spans="1:22" x14ac:dyDescent="0.25">
      <c r="A117" s="32"/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</row>
    <row r="118" spans="1:22" x14ac:dyDescent="0.25">
      <c r="A118" s="67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</row>
    <row r="119" spans="1:22" x14ac:dyDescent="0.25">
      <c r="A119" s="67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</row>
    <row r="120" spans="1:22" x14ac:dyDescent="0.25">
      <c r="A120" s="67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</row>
    <row r="121" spans="1:22" x14ac:dyDescent="0.25">
      <c r="A121" s="67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</row>
    <row r="122" spans="1:22" x14ac:dyDescent="0.25">
      <c r="A122" s="67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</row>
    <row r="123" spans="1:22" x14ac:dyDescent="0.25">
      <c r="A123" s="67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</row>
    <row r="125" spans="1:22" x14ac:dyDescent="0.25">
      <c r="A125" s="32"/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</row>
    <row r="126" spans="1:22" x14ac:dyDescent="0.25">
      <c r="A126" s="67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</row>
    <row r="127" spans="1:22" x14ac:dyDescent="0.25">
      <c r="A127" s="67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</row>
    <row r="128" spans="1:22" x14ac:dyDescent="0.25">
      <c r="A128" s="67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</row>
    <row r="129" spans="1:22" x14ac:dyDescent="0.25">
      <c r="A129" s="67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</row>
    <row r="130" spans="1:22" x14ac:dyDescent="0.25">
      <c r="A130" s="67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</row>
    <row r="131" spans="1:22" x14ac:dyDescent="0.25">
      <c r="A131" s="67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</row>
  </sheetData>
  <dataValidations count="6">
    <dataValidation type="list" allowBlank="1" showInputMessage="1" showErrorMessage="1" sqref="B1">
      <formula1>INDIRECT($C$1)</formula1>
    </dataValidation>
    <dataValidation type="list" allowBlank="1" showInputMessage="1" showErrorMessage="1" sqref="B2">
      <formula1>INDIRECT($C$2)</formula1>
    </dataValidation>
    <dataValidation type="list" allowBlank="1" showInputMessage="1" showErrorMessage="1" sqref="B3">
      <formula1>INDIRECT($C$3)</formula1>
    </dataValidation>
    <dataValidation type="list" allowBlank="1" showInputMessage="1" showErrorMessage="1" sqref="B4">
      <formula1>INDIRECT($C$4)</formula1>
    </dataValidation>
    <dataValidation type="list" allowBlank="1" showInputMessage="1" showErrorMessage="1" sqref="B5">
      <formula1>INDIRECT($C$5)</formula1>
    </dataValidation>
    <dataValidation type="list" allowBlank="1" showInputMessage="1" showErrorMessage="1" sqref="B6">
      <formula1>INDIRECT($C$6)</formula1>
    </dataValidation>
  </dataValidations>
  <hyperlinks>
    <hyperlink ref="B9" r:id="rId3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1">
                <anchor moveWithCells="1" sizeWithCells="1">
                  <from>
                    <xdr:col>2</xdr:col>
                    <xdr:colOff>57150</xdr:colOff>
                    <xdr:row>6</xdr:row>
                    <xdr:rowOff>85725</xdr:rowOff>
                  </from>
                  <to>
                    <xdr:col>2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2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42578125" bestFit="1" customWidth="1"/>
    <col min="2" max="2" width="51.140625" bestFit="1" customWidth="1"/>
    <col min="3" max="3" width="2.7109375" customWidth="1"/>
    <col min="4" max="4" width="18.140625" hidden="1" customWidth="1"/>
    <col min="5" max="5" width="9.140625" hidden="1" customWidth="1"/>
    <col min="6" max="6" width="3" hidden="1" customWidth="1"/>
    <col min="7" max="7" width="15.5703125" hidden="1" customWidth="1"/>
    <col min="8" max="8" width="21" bestFit="1" customWidth="1"/>
    <col min="9" max="9" width="10.7109375" bestFit="1" customWidth="1"/>
    <col min="10" max="10" width="15.42578125" bestFit="1" customWidth="1"/>
    <col min="11" max="11" width="15.28515625" bestFit="1" customWidth="1"/>
    <col min="12" max="12" width="11.42578125" bestFit="1" customWidth="1"/>
    <col min="13" max="13" width="13" bestFit="1" customWidth="1"/>
    <col min="14" max="14" width="12.42578125" bestFit="1" customWidth="1"/>
    <col min="15" max="15" width="15.85546875" bestFit="1" customWidth="1"/>
  </cols>
  <sheetData>
    <row r="1" spans="1:15" x14ac:dyDescent="0.25">
      <c r="A1" s="75" t="s">
        <v>111</v>
      </c>
      <c r="B1" s="75"/>
      <c r="D1" s="75" t="s">
        <v>155</v>
      </c>
      <c r="E1" s="75"/>
      <c r="G1" s="34"/>
      <c r="H1" s="32" t="s">
        <v>9</v>
      </c>
      <c r="I1" s="32" t="s">
        <v>110</v>
      </c>
      <c r="J1" s="32" t="s">
        <v>8</v>
      </c>
      <c r="K1" s="32" t="s">
        <v>7</v>
      </c>
      <c r="L1" s="33" t="s">
        <v>0</v>
      </c>
      <c r="M1" s="33" t="s">
        <v>10</v>
      </c>
      <c r="N1" s="32" t="s">
        <v>131</v>
      </c>
      <c r="O1" s="33" t="s">
        <v>112</v>
      </c>
    </row>
    <row r="2" spans="1:15" x14ac:dyDescent="0.25">
      <c r="A2" s="41" t="s">
        <v>132</v>
      </c>
      <c r="B2" s="41" t="s">
        <v>138</v>
      </c>
      <c r="G2" s="35"/>
      <c r="H2" s="12" t="s">
        <v>141</v>
      </c>
      <c r="I2" s="42" t="s">
        <v>108</v>
      </c>
      <c r="J2" s="42" t="s">
        <v>141</v>
      </c>
      <c r="K2" s="42" t="s">
        <v>141</v>
      </c>
      <c r="L2" s="42" t="s">
        <v>141</v>
      </c>
      <c r="M2" s="42" t="s">
        <v>141</v>
      </c>
      <c r="N2" s="42">
        <f>ROW(H2)</f>
        <v>2</v>
      </c>
      <c r="O2" s="12" t="s">
        <v>141</v>
      </c>
    </row>
    <row r="3" spans="1:15" x14ac:dyDescent="0.25">
      <c r="A3" s="12" t="s">
        <v>133</v>
      </c>
      <c r="B3" s="43" t="str">
        <f>CONCATENATE("Comparison of ",Formulas!$B$1,"-",Formulas!$B$2," ",Lookup!A3," Condition")</f>
        <v>Comparison of --1 Ride Quality Condition</v>
      </c>
      <c r="G3" s="35"/>
      <c r="H3" s="12"/>
      <c r="I3" s="42" t="s">
        <v>109</v>
      </c>
      <c r="J3" s="42" t="s">
        <v>12</v>
      </c>
      <c r="K3" s="42">
        <v>1</v>
      </c>
      <c r="L3" s="42">
        <v>1</v>
      </c>
      <c r="M3" s="42" t="s">
        <v>11</v>
      </c>
      <c r="N3" s="42">
        <f t="shared" ref="N3:N30" si="0">ROW(H3)</f>
        <v>3</v>
      </c>
      <c r="O3" s="12"/>
    </row>
    <row r="4" spans="1:15" x14ac:dyDescent="0.25">
      <c r="A4" s="12" t="s">
        <v>134</v>
      </c>
      <c r="B4" s="43" t="str">
        <f>CONCATENATE("Comparison of ",Formulas!$B$1,"-",Formulas!$B$2," ",Lookup!A4," Condition")</f>
        <v>Comparison of --1 Rutting Condition</v>
      </c>
      <c r="G4" s="35"/>
      <c r="H4" s="12"/>
      <c r="I4" s="42" t="s">
        <v>82</v>
      </c>
      <c r="J4" s="42" t="s">
        <v>27</v>
      </c>
      <c r="K4" s="42">
        <v>2</v>
      </c>
      <c r="L4" s="42">
        <v>2</v>
      </c>
      <c r="M4" s="42" t="s">
        <v>26</v>
      </c>
      <c r="N4" s="42">
        <f t="shared" si="0"/>
        <v>4</v>
      </c>
      <c r="O4" s="12"/>
    </row>
    <row r="5" spans="1:15" x14ac:dyDescent="0.25">
      <c r="A5" s="12" t="s">
        <v>135</v>
      </c>
      <c r="B5" s="43" t="str">
        <f>CONCATENATE("Comparison of ",Formulas!$B$1,"-",Formulas!$B$2," ",Lookup!A5," Condition")</f>
        <v>Comparison of --1 Friction Condition</v>
      </c>
      <c r="G5" s="35"/>
      <c r="H5" s="12"/>
      <c r="I5" s="12"/>
      <c r="J5" s="42" t="s">
        <v>29</v>
      </c>
      <c r="K5" s="42">
        <v>6</v>
      </c>
      <c r="L5" s="42">
        <v>3</v>
      </c>
      <c r="M5" s="42" t="s">
        <v>28</v>
      </c>
      <c r="N5" s="42">
        <f t="shared" si="0"/>
        <v>5</v>
      </c>
      <c r="O5" s="12"/>
    </row>
    <row r="6" spans="1:15" x14ac:dyDescent="0.25">
      <c r="A6" s="12" t="s">
        <v>136</v>
      </c>
      <c r="B6" s="43" t="str">
        <f>CONCATENATE("Comparison of ",Formulas!$B$1,"-",Formulas!$B$2," ",Lookup!A6," Condition")</f>
        <v>Comparison of --1 Functional Cracking Condition</v>
      </c>
      <c r="G6" s="35"/>
      <c r="H6" s="12"/>
      <c r="I6" s="12"/>
      <c r="J6" s="42" t="s">
        <v>31</v>
      </c>
      <c r="K6" s="42">
        <v>7</v>
      </c>
      <c r="L6" s="42">
        <v>4</v>
      </c>
      <c r="M6" s="42" t="s">
        <v>30</v>
      </c>
      <c r="N6" s="42">
        <f t="shared" si="0"/>
        <v>6</v>
      </c>
      <c r="O6" s="12"/>
    </row>
    <row r="7" spans="1:15" x14ac:dyDescent="0.25">
      <c r="A7" s="12" t="s">
        <v>137</v>
      </c>
      <c r="B7" s="43" t="str">
        <f>CONCATENATE("Comparison of ",Formulas!$B$1,"-",Formulas!$B$2," ",Lookup!A7," Condition")</f>
        <v>Comparison of --1 Structural Cracking Condition</v>
      </c>
      <c r="G7" s="35"/>
      <c r="H7" s="12"/>
      <c r="I7" s="12"/>
      <c r="J7" s="42" t="s">
        <v>33</v>
      </c>
      <c r="K7" s="42">
        <v>8</v>
      </c>
      <c r="L7" s="42">
        <v>5</v>
      </c>
      <c r="M7" s="42" t="s">
        <v>32</v>
      </c>
      <c r="N7" s="42">
        <f t="shared" si="0"/>
        <v>7</v>
      </c>
      <c r="O7" s="12"/>
    </row>
    <row r="8" spans="1:15" x14ac:dyDescent="0.25">
      <c r="A8" s="12" t="s">
        <v>139</v>
      </c>
      <c r="B8" s="43" t="str">
        <f>CONCATENATE("Comparison of ",Formulas!$B$1,"-",Formulas!$B$2," ",Lookup!A8," Condition")</f>
        <v>Comparison of --1 Overall Condition</v>
      </c>
      <c r="H8" s="12"/>
      <c r="I8" s="12"/>
      <c r="J8" s="42" t="s">
        <v>35</v>
      </c>
      <c r="K8" s="42">
        <v>9</v>
      </c>
      <c r="L8" s="42">
        <v>6</v>
      </c>
      <c r="M8" s="42" t="s">
        <v>34</v>
      </c>
      <c r="N8" s="42">
        <f t="shared" si="0"/>
        <v>8</v>
      </c>
      <c r="O8" s="12"/>
    </row>
    <row r="9" spans="1:15" x14ac:dyDescent="0.25">
      <c r="A9" s="12"/>
      <c r="B9" s="43" t="str">
        <f>CONCATENATE("Comparison of ",Formulas!$B$1,"-",Formulas!$B$2," ",Lookup!A9," Condition")</f>
        <v>Comparison of --1  Condition</v>
      </c>
      <c r="H9" s="12"/>
      <c r="I9" s="12"/>
      <c r="J9" s="42" t="s">
        <v>37</v>
      </c>
      <c r="K9" s="42">
        <v>11</v>
      </c>
      <c r="L9" s="42">
        <v>7</v>
      </c>
      <c r="M9" s="42" t="s">
        <v>36</v>
      </c>
      <c r="N9" s="42">
        <f t="shared" si="0"/>
        <v>9</v>
      </c>
      <c r="O9" s="12"/>
    </row>
    <row r="10" spans="1:15" x14ac:dyDescent="0.25">
      <c r="A10" s="12"/>
      <c r="B10" s="43" t="str">
        <f>CONCATENATE("Comparison of ",Formulas!$B$1,"-",Formulas!$B$2," ",Lookup!A10," Condition")</f>
        <v>Comparison of --1  Condition</v>
      </c>
      <c r="H10" s="12"/>
      <c r="I10" s="12"/>
      <c r="J10" s="42" t="s">
        <v>39</v>
      </c>
      <c r="K10" s="42">
        <v>12</v>
      </c>
      <c r="L10" s="42"/>
      <c r="M10" s="42" t="s">
        <v>38</v>
      </c>
      <c r="N10" s="42">
        <f t="shared" si="0"/>
        <v>10</v>
      </c>
      <c r="O10" s="12"/>
    </row>
    <row r="11" spans="1:15" x14ac:dyDescent="0.25">
      <c r="A11" s="12"/>
      <c r="B11" s="43" t="str">
        <f>CONCATENATE("Comparison of ",Formulas!$B$1,"-",Formulas!$B$2," ",Lookup!A11," Condition")</f>
        <v>Comparison of --1  Condition</v>
      </c>
      <c r="H11" s="12"/>
      <c r="I11" s="12"/>
      <c r="J11" s="42" t="s">
        <v>41</v>
      </c>
      <c r="K11" s="42">
        <v>14</v>
      </c>
      <c r="L11" s="42"/>
      <c r="M11" s="42" t="s">
        <v>40</v>
      </c>
      <c r="N11" s="42">
        <f t="shared" si="0"/>
        <v>11</v>
      </c>
      <c r="O11" s="12"/>
    </row>
    <row r="12" spans="1:15" x14ac:dyDescent="0.25">
      <c r="A12" s="12"/>
      <c r="B12" s="43" t="str">
        <f>CONCATENATE("Comparison of ",Formulas!$B$1,"-",Formulas!$B$2," ",Lookup!A12," Condition")</f>
        <v>Comparison of --1  Condition</v>
      </c>
      <c r="H12" s="12"/>
      <c r="I12" s="12"/>
      <c r="J12" s="42" t="s">
        <v>43</v>
      </c>
      <c r="K12" s="42">
        <v>16</v>
      </c>
      <c r="L12" s="42"/>
      <c r="M12" s="42" t="s">
        <v>42</v>
      </c>
      <c r="N12" s="42">
        <f t="shared" si="0"/>
        <v>12</v>
      </c>
      <c r="O12" s="12"/>
    </row>
    <row r="13" spans="1:15" x14ac:dyDescent="0.25">
      <c r="A13" s="12"/>
      <c r="B13" s="43" t="str">
        <f>CONCATENATE("Comparison of ",Formulas!$B$1,"-",Formulas!$B$2," ",Lookup!A13," Condition")</f>
        <v>Comparison of --1  Condition</v>
      </c>
      <c r="H13" s="12"/>
      <c r="I13" s="12"/>
      <c r="J13" s="42" t="s">
        <v>45</v>
      </c>
      <c r="K13" s="42">
        <v>17</v>
      </c>
      <c r="L13" s="42"/>
      <c r="M13" s="42" t="s">
        <v>44</v>
      </c>
      <c r="N13" s="42">
        <f t="shared" si="0"/>
        <v>13</v>
      </c>
      <c r="O13" s="12"/>
    </row>
    <row r="14" spans="1:15" x14ac:dyDescent="0.25">
      <c r="A14" s="12"/>
      <c r="B14" s="43" t="str">
        <f>CONCATENATE("Comparison of ",Formulas!$B$1,"-",Formulas!$B$2," ",Lookup!A14," Condition")</f>
        <v>Comparison of --1  Condition</v>
      </c>
      <c r="H14" s="12"/>
      <c r="I14" s="12"/>
      <c r="J14" s="42" t="s">
        <v>47</v>
      </c>
      <c r="K14" s="42">
        <v>19</v>
      </c>
      <c r="L14" s="42"/>
      <c r="M14" s="42" t="s">
        <v>46</v>
      </c>
      <c r="N14" s="42">
        <f t="shared" si="0"/>
        <v>14</v>
      </c>
      <c r="O14" s="12"/>
    </row>
    <row r="15" spans="1:15" x14ac:dyDescent="0.25">
      <c r="A15" s="12"/>
      <c r="B15" s="43" t="str">
        <f>CONCATENATE("Comparison of ",Formulas!$B$1,"-",Formulas!$B$2," ",Lookup!A15," Condition")</f>
        <v>Comparison of --1  Condition</v>
      </c>
      <c r="H15" s="12"/>
      <c r="I15" s="12"/>
      <c r="J15" s="42" t="s">
        <v>49</v>
      </c>
      <c r="K15" s="42"/>
      <c r="L15" s="42"/>
      <c r="M15" s="42" t="s">
        <v>48</v>
      </c>
      <c r="N15" s="42">
        <f t="shared" si="0"/>
        <v>15</v>
      </c>
      <c r="O15" s="12"/>
    </row>
    <row r="16" spans="1:15" x14ac:dyDescent="0.25">
      <c r="A16" s="12"/>
      <c r="B16" s="43" t="str">
        <f>CONCATENATE("Comparison of ",Formulas!$B$1,"-",Formulas!$B$2," ",Lookup!A16," Condition")</f>
        <v>Comparison of --1  Condition</v>
      </c>
      <c r="H16" s="12"/>
      <c r="I16" s="12"/>
      <c r="J16" s="42" t="s">
        <v>51</v>
      </c>
      <c r="K16" s="42"/>
      <c r="L16" s="42"/>
      <c r="M16" s="42" t="s">
        <v>50</v>
      </c>
      <c r="N16" s="42">
        <f t="shared" si="0"/>
        <v>16</v>
      </c>
      <c r="O16" s="12"/>
    </row>
    <row r="17" spans="1:15" x14ac:dyDescent="0.25">
      <c r="A17" s="12"/>
      <c r="B17" s="43" t="str">
        <f>CONCATENATE("Comparison of ",Formulas!$B$1,"-",Formulas!$B$2," ",Lookup!A17," Condition")</f>
        <v>Comparison of --1  Condition</v>
      </c>
      <c r="H17" s="12"/>
      <c r="I17" s="12"/>
      <c r="J17" s="42" t="s">
        <v>53</v>
      </c>
      <c r="K17" s="42"/>
      <c r="L17" s="42"/>
      <c r="M17" s="42" t="s">
        <v>52</v>
      </c>
      <c r="N17" s="42">
        <f t="shared" si="0"/>
        <v>17</v>
      </c>
      <c r="O17" s="12"/>
    </row>
    <row r="18" spans="1:15" x14ac:dyDescent="0.25">
      <c r="A18" s="12"/>
      <c r="B18" s="43" t="str">
        <f>CONCATENATE("Comparison of ",Formulas!$B$1,"-",Formulas!$B$2," ",Lookup!A18," Condition")</f>
        <v>Comparison of --1  Condition</v>
      </c>
      <c r="H18" s="12"/>
      <c r="I18" s="12"/>
      <c r="J18" s="42" t="s">
        <v>55</v>
      </c>
      <c r="K18" s="42"/>
      <c r="L18" s="42"/>
      <c r="M18" s="42" t="s">
        <v>54</v>
      </c>
      <c r="N18" s="42">
        <f t="shared" si="0"/>
        <v>18</v>
      </c>
      <c r="O18" s="12"/>
    </row>
    <row r="19" spans="1:15" x14ac:dyDescent="0.25">
      <c r="A19" s="12"/>
      <c r="B19" s="43" t="str">
        <f>CONCATENATE("Comparison of ",Formulas!$B$1,"-",Formulas!$B$2," ",Lookup!A19," Condition")</f>
        <v>Comparison of --1  Condition</v>
      </c>
      <c r="H19" s="12"/>
      <c r="I19" s="12"/>
      <c r="J19" s="42" t="s">
        <v>57</v>
      </c>
      <c r="K19" s="42"/>
      <c r="L19" s="42"/>
      <c r="M19" s="42" t="s">
        <v>56</v>
      </c>
      <c r="N19" s="42">
        <f t="shared" si="0"/>
        <v>19</v>
      </c>
      <c r="O19" s="12"/>
    </row>
    <row r="20" spans="1:15" x14ac:dyDescent="0.25">
      <c r="A20" s="12"/>
      <c r="B20" s="43" t="str">
        <f>CONCATENATE("Comparison of ",Formulas!$B$1,"-",Formulas!$B$2," ",Lookup!A20," Condition")</f>
        <v>Comparison of --1  Condition</v>
      </c>
      <c r="H20" s="12"/>
      <c r="I20" s="12"/>
      <c r="J20" s="42" t="s">
        <v>59</v>
      </c>
      <c r="K20" s="42"/>
      <c r="L20" s="42"/>
      <c r="M20" s="42" t="s">
        <v>58</v>
      </c>
      <c r="N20" s="42">
        <f t="shared" si="0"/>
        <v>20</v>
      </c>
      <c r="O20" s="12"/>
    </row>
    <row r="21" spans="1:15" x14ac:dyDescent="0.25">
      <c r="A21" s="12"/>
      <c r="B21" s="43" t="str">
        <f>CONCATENATE("Comparison of ",Formulas!$B$1,"-",Formulas!$B$2," ",Lookup!A21," Condition")</f>
        <v>Comparison of --1  Condition</v>
      </c>
      <c r="H21" s="12"/>
      <c r="I21" s="12"/>
      <c r="J21" s="42" t="s">
        <v>61</v>
      </c>
      <c r="K21" s="42"/>
      <c r="L21" s="42"/>
      <c r="M21" s="42" t="s">
        <v>60</v>
      </c>
      <c r="N21" s="42">
        <f t="shared" si="0"/>
        <v>21</v>
      </c>
      <c r="O21" s="12"/>
    </row>
    <row r="22" spans="1:15" x14ac:dyDescent="0.25">
      <c r="A22" s="12"/>
      <c r="B22" s="43" t="str">
        <f>CONCATENATE("Comparison of ",Formulas!$B$1,"-",Formulas!$B$2," ",Lookup!A22," Condition")</f>
        <v>Comparison of --1  Condition</v>
      </c>
      <c r="H22" s="12"/>
      <c r="I22" s="12"/>
      <c r="J22" s="42" t="s">
        <v>63</v>
      </c>
      <c r="K22" s="42"/>
      <c r="L22" s="42"/>
      <c r="M22" s="42" t="s">
        <v>62</v>
      </c>
      <c r="N22" s="42">
        <f t="shared" si="0"/>
        <v>22</v>
      </c>
      <c r="O22" s="12"/>
    </row>
    <row r="23" spans="1:15" x14ac:dyDescent="0.25">
      <c r="A23" s="12"/>
      <c r="B23" s="43" t="str">
        <f>CONCATENATE("Comparison of ",Formulas!$B$1,"-",Formulas!$B$2," ",Lookup!A23," Condition")</f>
        <v>Comparison of --1  Condition</v>
      </c>
      <c r="H23" s="12"/>
      <c r="I23" s="12"/>
      <c r="J23" s="42" t="s">
        <v>65</v>
      </c>
      <c r="K23" s="42"/>
      <c r="L23" s="42"/>
      <c r="M23" s="42" t="s">
        <v>64</v>
      </c>
      <c r="N23" s="42">
        <f t="shared" si="0"/>
        <v>23</v>
      </c>
      <c r="O23" s="12"/>
    </row>
    <row r="24" spans="1:15" x14ac:dyDescent="0.25">
      <c r="A24" s="12"/>
      <c r="B24" s="43" t="str">
        <f>CONCATENATE("Comparison of ",Formulas!$B$1,"-",Formulas!$B$2," ",Lookup!A24," Condition")</f>
        <v>Comparison of --1  Condition</v>
      </c>
      <c r="H24" s="12"/>
      <c r="I24" s="12"/>
      <c r="J24" s="42" t="s">
        <v>67</v>
      </c>
      <c r="K24" s="42"/>
      <c r="L24" s="42"/>
      <c r="M24" s="42" t="s">
        <v>66</v>
      </c>
      <c r="N24" s="42">
        <f t="shared" si="0"/>
        <v>24</v>
      </c>
      <c r="O24" s="12"/>
    </row>
    <row r="25" spans="1:15" x14ac:dyDescent="0.25">
      <c r="A25" s="12"/>
      <c r="B25" s="43" t="str">
        <f>CONCATENATE("Comparison of ",Formulas!$B$1,"-",Formulas!$B$2," ",Lookup!A25," Condition")</f>
        <v>Comparison of --1  Condition</v>
      </c>
      <c r="H25" s="12"/>
      <c r="I25" s="12"/>
      <c r="J25" s="42" t="s">
        <v>69</v>
      </c>
      <c r="K25" s="42"/>
      <c r="L25" s="42"/>
      <c r="M25" s="42" t="s">
        <v>68</v>
      </c>
      <c r="N25" s="42">
        <f t="shared" si="0"/>
        <v>25</v>
      </c>
      <c r="O25" s="12"/>
    </row>
    <row r="26" spans="1:15" x14ac:dyDescent="0.25">
      <c r="A26" s="12"/>
      <c r="B26" s="43" t="str">
        <f>CONCATENATE("Comparison of ",Formulas!$B$1,"-",Formulas!$B$2," ",Lookup!A26," Condition")</f>
        <v>Comparison of --1  Condition</v>
      </c>
      <c r="H26" s="12"/>
      <c r="I26" s="12"/>
      <c r="J26" s="42" t="s">
        <v>71</v>
      </c>
      <c r="K26" s="42"/>
      <c r="L26" s="42"/>
      <c r="M26" s="42" t="s">
        <v>70</v>
      </c>
      <c r="N26" s="42">
        <f t="shared" si="0"/>
        <v>26</v>
      </c>
      <c r="O26" s="12"/>
    </row>
    <row r="27" spans="1:15" x14ac:dyDescent="0.25">
      <c r="A27" s="12"/>
      <c r="B27" s="43" t="str">
        <f>CONCATENATE("Comparison of ",Formulas!$B$1,"-",Formulas!$B$2," ",Lookup!A27," Condition")</f>
        <v>Comparison of --1  Condition</v>
      </c>
      <c r="H27" s="12"/>
      <c r="I27" s="12"/>
      <c r="J27" s="42" t="s">
        <v>130</v>
      </c>
      <c r="K27" s="42"/>
      <c r="L27" s="42"/>
      <c r="M27" s="42"/>
      <c r="N27" s="42">
        <f t="shared" si="0"/>
        <v>27</v>
      </c>
      <c r="O27" s="12"/>
    </row>
    <row r="28" spans="1:15" x14ac:dyDescent="0.25">
      <c r="A28" s="12"/>
      <c r="B28" s="43" t="str">
        <f>CONCATENATE("Comparison of ",Formulas!$B$1,"-",Formulas!$B$2," ",Lookup!A28," Condition")</f>
        <v>Comparison of --1  Condition</v>
      </c>
      <c r="H28" s="12"/>
      <c r="I28" s="12"/>
      <c r="J28" s="42" t="s">
        <v>72</v>
      </c>
      <c r="K28" s="42"/>
      <c r="L28" s="42"/>
      <c r="M28" s="42"/>
      <c r="N28" s="42">
        <f t="shared" si="0"/>
        <v>28</v>
      </c>
      <c r="O28" s="12"/>
    </row>
    <row r="29" spans="1:15" x14ac:dyDescent="0.25">
      <c r="A29" s="12"/>
      <c r="B29" s="43" t="str">
        <f>CONCATENATE("Comparison of ",Formulas!$B$1,"-",Formulas!$B$2," ",Lookup!A29," Condition")</f>
        <v>Comparison of --1  Condition</v>
      </c>
      <c r="H29" s="12"/>
      <c r="I29" s="12"/>
      <c r="J29" s="42" t="s">
        <v>73</v>
      </c>
      <c r="K29" s="42"/>
      <c r="L29" s="42"/>
      <c r="M29" s="42"/>
      <c r="N29" s="42">
        <f t="shared" si="0"/>
        <v>29</v>
      </c>
      <c r="O29" s="12"/>
    </row>
    <row r="30" spans="1:15" x14ac:dyDescent="0.25">
      <c r="A30" s="12"/>
      <c r="B30" s="43" t="str">
        <f>CONCATENATE("Comparison of ",Formulas!$B$1,"-",Formulas!$B$2," ",Lookup!A30," Condition")</f>
        <v>Comparison of --1  Condition</v>
      </c>
      <c r="H30" s="12"/>
      <c r="I30" s="12"/>
      <c r="J30" s="42" t="s">
        <v>74</v>
      </c>
      <c r="K30" s="42"/>
      <c r="L30" s="42"/>
      <c r="M30" s="42"/>
      <c r="N30" s="42">
        <f t="shared" si="0"/>
        <v>30</v>
      </c>
      <c r="O30" s="12"/>
    </row>
    <row r="31" spans="1:15" x14ac:dyDescent="0.25">
      <c r="A31" s="49" t="s">
        <v>105</v>
      </c>
      <c r="B31" s="50" t="s">
        <v>107</v>
      </c>
      <c r="H31" s="44">
        <f>COUNTA(H2:H30)-1</f>
        <v>0</v>
      </c>
      <c r="I31" s="44">
        <f>COUNTA(I2:I30)</f>
        <v>3</v>
      </c>
      <c r="J31" s="44">
        <f>COUNTA(J2:J30)-1</f>
        <v>28</v>
      </c>
      <c r="K31" s="44">
        <f>COUNTA(K2:K30)-1</f>
        <v>12</v>
      </c>
      <c r="L31" s="44">
        <f>COUNTA(L2:L30)-1</f>
        <v>7</v>
      </c>
      <c r="M31" s="44">
        <f>COUNTA(M2:M30)-1</f>
        <v>24</v>
      </c>
      <c r="N31" s="44"/>
      <c r="O31" s="44">
        <f>COUNTA(O2:O30)-1</f>
        <v>0</v>
      </c>
    </row>
    <row r="32" spans="1:15" x14ac:dyDescent="0.25">
      <c r="A32" s="49" t="s">
        <v>106</v>
      </c>
      <c r="B32" s="51" t="s">
        <v>104</v>
      </c>
      <c r="H32" s="52" t="str">
        <f>CONCATENATE("Lookup!$H$2:$H$",H31+2)</f>
        <v>Lookup!$H$2:$H$2</v>
      </c>
      <c r="I32" s="52" t="str">
        <f>CONCATENATE("Lookup!$I$2:$I$",I31+1)</f>
        <v>Lookup!$I$2:$I$4</v>
      </c>
      <c r="J32" s="52" t="str">
        <f>CONCATENATE("Lookup!$J$2:$J$",J31+2)</f>
        <v>Lookup!$J$2:$J$30</v>
      </c>
      <c r="K32" s="52" t="str">
        <f>CONCATENATE("Lookup!$K$2:$K$",K31+2)</f>
        <v>Lookup!$K$2:$K$14</v>
      </c>
      <c r="L32" s="52" t="str">
        <f>CONCATENATE("Lookup!$L$2:$L$",L31+2)</f>
        <v>Lookup!$L$2:$L$9</v>
      </c>
      <c r="M32" s="52" t="str">
        <f>CONCATENATE("Lookup!$M$2:$M$",M31+2)</f>
        <v>Lookup!$M$2:$M$26</v>
      </c>
      <c r="N32" s="52"/>
      <c r="O32" s="52" t="str">
        <f>CONCATENATE("Lookup!$O$2:$O$",O31+2)</f>
        <v>Lookup!$O$2:$O$2</v>
      </c>
    </row>
  </sheetData>
  <mergeCells count="2">
    <mergeCell ref="A1:B1"/>
    <mergeCell ref="D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3"/>
  <sheetViews>
    <sheetView workbookViewId="0"/>
  </sheetViews>
  <sheetFormatPr defaultRowHeight="15" x14ac:dyDescent="0.25"/>
  <cols>
    <col min="1" max="1" width="20.28515625" bestFit="1" customWidth="1"/>
    <col min="2" max="4" width="41.42578125" bestFit="1" customWidth="1"/>
    <col min="5" max="5" width="40" bestFit="1" customWidth="1"/>
    <col min="6" max="10" width="19.85546875" customWidth="1"/>
    <col min="11" max="13" width="17.7109375" customWidth="1"/>
  </cols>
  <sheetData>
    <row r="1" spans="1:5" x14ac:dyDescent="0.25">
      <c r="A1" s="36" t="s">
        <v>121</v>
      </c>
      <c r="B1" s="40"/>
      <c r="C1" s="1"/>
    </row>
    <row r="2" spans="1:5" x14ac:dyDescent="0.25">
      <c r="A2" s="36" t="s">
        <v>122</v>
      </c>
      <c r="B2" s="47">
        <f>B1+B3-1</f>
        <v>-1</v>
      </c>
      <c r="C2" s="1"/>
    </row>
    <row r="3" spans="1:5" x14ac:dyDescent="0.25">
      <c r="A3" s="36" t="s">
        <v>113</v>
      </c>
      <c r="B3" s="48"/>
      <c r="C3" s="1"/>
    </row>
    <row r="4" spans="1:5" hidden="1" x14ac:dyDescent="0.25">
      <c r="A4" s="36" t="s">
        <v>117</v>
      </c>
      <c r="B4" s="47">
        <f>COUNTA(LM_DM_VMT_Condition!D3:D1048576)</f>
        <v>0</v>
      </c>
      <c r="C4" s="47">
        <f>COUNTA(Avg_Condition_per_LM_DM_VMT!D3:D1048576)</f>
        <v>0</v>
      </c>
    </row>
    <row r="5" spans="1:5" hidden="1" x14ac:dyDescent="0.25">
      <c r="A5" s="37"/>
      <c r="B5" s="38"/>
      <c r="C5" s="46" t="s">
        <v>114</v>
      </c>
      <c r="D5" s="46" t="s">
        <v>115</v>
      </c>
      <c r="E5" s="46" t="s">
        <v>82</v>
      </c>
    </row>
    <row r="6" spans="1:5" hidden="1" x14ac:dyDescent="0.25">
      <c r="A6" s="45" t="s">
        <v>116</v>
      </c>
      <c r="B6" s="38"/>
      <c r="C6" s="47" t="str">
        <f>CONCATENATE("LM_DM_VMT_Condition!H3:H",B4+2)</f>
        <v>LM_DM_VMT_Condition!H3:H2</v>
      </c>
      <c r="D6" s="47" t="str">
        <f>CONCATENATE("LM_DM_VMT_Condition!I3:I",B4+2)</f>
        <v>LM_DM_VMT_Condition!I3:I2</v>
      </c>
      <c r="E6" s="47" t="str">
        <f>CONCATENATE("LM_DM_VMT_Condition!J3:J",B4+2)</f>
        <v>LM_DM_VMT_Condition!J3:J2</v>
      </c>
    </row>
    <row r="7" spans="1:5" hidden="1" x14ac:dyDescent="0.25">
      <c r="A7" s="45" t="s">
        <v>118</v>
      </c>
      <c r="B7" s="47" t="str">
        <f>CONCATENATE("LM_DM_VMT_Condition!E3:E",$B$4+2)</f>
        <v>LM_DM_VMT_Condition!E3:E2</v>
      </c>
      <c r="C7" s="39"/>
      <c r="D7" s="39"/>
      <c r="E7" s="39"/>
    </row>
    <row r="8" spans="1:5" hidden="1" x14ac:dyDescent="0.25">
      <c r="A8" s="45" t="s">
        <v>119</v>
      </c>
      <c r="B8" s="47" t="str">
        <f>CONCATENATE("LM_DM_VMT_Condition!G3:G",$B$4+2)</f>
        <v>LM_DM_VMT_Condition!G3:G2</v>
      </c>
      <c r="C8" s="39"/>
      <c r="D8" s="39"/>
      <c r="E8" s="39"/>
    </row>
    <row r="9" spans="1:5" hidden="1" x14ac:dyDescent="0.25">
      <c r="A9" s="45" t="s">
        <v>120</v>
      </c>
      <c r="B9" s="47" t="str">
        <f>CONCATENATE("LM_DM_VMT_Condition!F3:F",$B$4+2)</f>
        <v>LM_DM_VMT_Condition!F3:F2</v>
      </c>
      <c r="C9" s="39"/>
      <c r="D9" s="39"/>
      <c r="E9" s="39"/>
    </row>
    <row r="10" spans="1:5" hidden="1" x14ac:dyDescent="0.25">
      <c r="A10" s="45" t="s">
        <v>123</v>
      </c>
      <c r="B10" s="47" t="str">
        <f>CONCATENATE("LM_DM_VMT_Condition!C3:C",$B$4+2)</f>
        <v>LM_DM_VMT_Condition!C3:C2</v>
      </c>
      <c r="C10" s="39"/>
      <c r="D10" s="39"/>
      <c r="E10" s="39"/>
    </row>
    <row r="11" spans="1:5" hidden="1" x14ac:dyDescent="0.25">
      <c r="A11" s="45" t="s">
        <v>124</v>
      </c>
      <c r="B11" s="47" t="str">
        <f>CONCATENATE("LM_DM_VMT_Condition!D3:D",$B$4+2)</f>
        <v>LM_DM_VMT_Condition!D3:D2</v>
      </c>
      <c r="C11" s="39"/>
      <c r="D11" s="39"/>
      <c r="E11" s="39"/>
    </row>
    <row r="12" spans="1:5" hidden="1" x14ac:dyDescent="0.25">
      <c r="A12" s="45" t="s">
        <v>125</v>
      </c>
      <c r="B12" s="47" t="str">
        <f>CONCATENATE("LM_DM_VMT_Condition!A3:A",$B$4+2)</f>
        <v>LM_DM_VMT_Condition!A3:A2</v>
      </c>
      <c r="C12" s="39"/>
      <c r="D12" s="39"/>
      <c r="E12" s="39"/>
    </row>
    <row r="13" spans="1:5" hidden="1" x14ac:dyDescent="0.25">
      <c r="A13" s="45" t="s">
        <v>126</v>
      </c>
      <c r="B13" s="47" t="str">
        <f>CONCATENATE("LM_DM_VMT_Condition!B3:B",$B$4+2)</f>
        <v>LM_DM_VMT_Condition!B3:B2</v>
      </c>
      <c r="C13" s="39"/>
      <c r="D13" s="39"/>
      <c r="E13" s="39"/>
    </row>
    <row r="14" spans="1:5" hidden="1" x14ac:dyDescent="0.25">
      <c r="A14" s="45" t="s">
        <v>116</v>
      </c>
      <c r="B14" s="38"/>
      <c r="C14" s="47" t="str">
        <f>CONCATENATE("Avg_Condition_per_LM_DM_VMT!G3:G",C4+2)</f>
        <v>Avg_Condition_per_LM_DM_VMT!G3:G2</v>
      </c>
      <c r="D14" s="47" t="str">
        <f>CONCATENATE("Avg_Condition_per_LM_DM_VMT!H3:H",C4+2)</f>
        <v>Avg_Condition_per_LM_DM_VMT!H3:H2</v>
      </c>
      <c r="E14" s="47" t="str">
        <f>CONCATENATE("Avg_Condition_per_LM_DM_VMT!I3:I",C4+2)</f>
        <v>Avg_Condition_per_LM_DM_VMT!I3:I2</v>
      </c>
    </row>
    <row r="15" spans="1:5" hidden="1" x14ac:dyDescent="0.25">
      <c r="A15" s="45" t="s">
        <v>125</v>
      </c>
      <c r="B15" s="47" t="str">
        <f>CONCATENATE("Avg_Condition_per_LM_DM_VMT!A3:A",$C$4+2)</f>
        <v>Avg_Condition_per_LM_DM_VMT!A3:A2</v>
      </c>
      <c r="C15" s="39"/>
      <c r="D15" s="39"/>
      <c r="E15" s="39"/>
    </row>
    <row r="16" spans="1:5" hidden="1" x14ac:dyDescent="0.25">
      <c r="A16" s="45" t="s">
        <v>126</v>
      </c>
      <c r="B16" s="47" t="str">
        <f>CONCATENATE("Avg_Condition_per_LM_DM_VMT!B3:B",$C$4+2)</f>
        <v>Avg_Condition_per_LM_DM_VMT!B3:B2</v>
      </c>
      <c r="C16" s="39"/>
      <c r="D16" s="39"/>
      <c r="E16" s="39"/>
    </row>
    <row r="17" spans="1:5" hidden="1" x14ac:dyDescent="0.25">
      <c r="A17" s="45" t="s">
        <v>123</v>
      </c>
      <c r="B17" s="47" t="str">
        <f>CONCATENATE("Avg_Condition_per_LM_DM_VMT!C3:C",$C$4+2)</f>
        <v>Avg_Condition_per_LM_DM_VMT!C3:C2</v>
      </c>
      <c r="C17" s="39"/>
      <c r="D17" s="39"/>
      <c r="E17" s="39"/>
    </row>
    <row r="18" spans="1:5" hidden="1" x14ac:dyDescent="0.25">
      <c r="A18" s="45" t="s">
        <v>124</v>
      </c>
      <c r="B18" s="47" t="str">
        <f>CONCATENATE("Avg_Condition_per_LM_DM_VMT!D3:D",$C$4+2)</f>
        <v>Avg_Condition_per_LM_DM_VMT!D3:D2</v>
      </c>
      <c r="C18" s="39"/>
      <c r="D18" s="39"/>
      <c r="E18" s="39"/>
    </row>
    <row r="19" spans="1:5" hidden="1" x14ac:dyDescent="0.25">
      <c r="A19" s="45" t="s">
        <v>118</v>
      </c>
      <c r="B19" s="47" t="str">
        <f>CONCATENATE("Avg_Condition_per_LM_DM_VMT!E3:E",$C$4+2)</f>
        <v>Avg_Condition_per_LM_DM_VMT!E3:E2</v>
      </c>
      <c r="C19" s="39"/>
      <c r="D19" s="39"/>
      <c r="E19" s="39"/>
    </row>
    <row r="20" spans="1:5" hidden="1" x14ac:dyDescent="0.25">
      <c r="A20" s="45" t="s">
        <v>119</v>
      </c>
      <c r="B20" s="47" t="str">
        <f>CONCATENATE("Avg_Condition_per_LM_DM_VMT!F3:F",$C$4+2)</f>
        <v>Avg_Condition_per_LM_DM_VMT!F3:F2</v>
      </c>
      <c r="C20" s="39"/>
      <c r="D20" s="39"/>
      <c r="E20" s="39"/>
    </row>
    <row r="21" spans="1:5" hidden="1" x14ac:dyDescent="0.25"/>
    <row r="22" spans="1:5" hidden="1" x14ac:dyDescent="0.25">
      <c r="A22" s="45" t="s">
        <v>140</v>
      </c>
      <c r="B22" s="47" t="str">
        <f>CONCATENATE("LM_DM_VMT_Condition!A3:J",B4+2)</f>
        <v>LM_DM_VMT_Condition!A3:J2</v>
      </c>
    </row>
    <row r="23" spans="1:5" hidden="1" x14ac:dyDescent="0.25">
      <c r="A23" s="45" t="s">
        <v>140</v>
      </c>
      <c r="B23" s="47" t="str">
        <f>CONCATENATE("Avg_Condition_per_LM_DM_VMT!A3:L",C4+2)</f>
        <v>Avg_Condition_per_LM_DM_VMT!A3:L2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0"/>
  <sheetViews>
    <sheetView workbookViewId="0"/>
  </sheetViews>
  <sheetFormatPr defaultRowHeight="15" x14ac:dyDescent="0.25"/>
  <cols>
    <col min="13" max="13" width="11.28515625" bestFit="1" customWidth="1"/>
    <col min="18" max="18" width="11.7109375" bestFit="1" customWidth="1"/>
    <col min="19" max="19" width="12.28515625" bestFit="1" customWidth="1"/>
    <col min="21" max="21" width="10.42578125" bestFit="1" customWidth="1"/>
  </cols>
  <sheetData>
    <row r="1" spans="2:22" ht="15.75" thickBot="1" x14ac:dyDescent="0.3"/>
    <row r="2" spans="2:22" ht="15.75" thickBot="1" x14ac:dyDescent="0.3">
      <c r="B2" s="76" t="s">
        <v>18</v>
      </c>
      <c r="C2" s="78" t="s">
        <v>13</v>
      </c>
      <c r="D2" s="79"/>
      <c r="E2" s="79"/>
      <c r="F2" s="80"/>
      <c r="H2" s="76" t="s">
        <v>18</v>
      </c>
      <c r="I2" s="78" t="s">
        <v>16</v>
      </c>
      <c r="J2" s="79"/>
      <c r="K2" s="79"/>
      <c r="L2" s="80"/>
      <c r="N2" s="78" t="s">
        <v>81</v>
      </c>
      <c r="O2" s="79"/>
      <c r="P2" s="79"/>
      <c r="Q2" s="80"/>
      <c r="R2" s="81" t="s">
        <v>93</v>
      </c>
      <c r="S2" s="82"/>
    </row>
    <row r="3" spans="2:22" ht="15.75" thickBot="1" x14ac:dyDescent="0.3">
      <c r="B3" s="77"/>
      <c r="C3" s="78" t="s">
        <v>19</v>
      </c>
      <c r="D3" s="80"/>
      <c r="E3" s="78" t="s">
        <v>20</v>
      </c>
      <c r="F3" s="80"/>
      <c r="H3" s="77"/>
      <c r="I3" s="78" t="s">
        <v>19</v>
      </c>
      <c r="J3" s="80"/>
      <c r="K3" s="78" t="s">
        <v>20</v>
      </c>
      <c r="L3" s="80"/>
      <c r="N3" s="78" t="s">
        <v>19</v>
      </c>
      <c r="O3" s="80"/>
      <c r="P3" s="78" t="s">
        <v>20</v>
      </c>
      <c r="Q3" s="80"/>
      <c r="R3" s="31" t="s">
        <v>94</v>
      </c>
      <c r="S3" s="31" t="s">
        <v>95</v>
      </c>
      <c r="U3" s="18" t="s">
        <v>101</v>
      </c>
    </row>
    <row r="4" spans="2:22" ht="26.25" x14ac:dyDescent="0.25">
      <c r="B4" s="3" t="s">
        <v>2</v>
      </c>
      <c r="C4" s="4" t="s">
        <v>21</v>
      </c>
      <c r="D4" s="5">
        <v>0</v>
      </c>
      <c r="E4" s="4" t="s">
        <v>22</v>
      </c>
      <c r="F4" s="5">
        <v>60</v>
      </c>
      <c r="H4" s="3" t="s">
        <v>2</v>
      </c>
      <c r="I4" s="4" t="s">
        <v>21</v>
      </c>
      <c r="J4" s="5">
        <v>45</v>
      </c>
      <c r="K4" s="4"/>
      <c r="L4" s="5"/>
      <c r="N4" s="4" t="s">
        <v>24</v>
      </c>
      <c r="O4" s="5">
        <v>90</v>
      </c>
      <c r="P4" s="4" t="s">
        <v>23</v>
      </c>
      <c r="Q4" s="5">
        <v>100</v>
      </c>
      <c r="R4" s="24">
        <v>100</v>
      </c>
      <c r="S4" s="24">
        <v>-0.16666666669999999</v>
      </c>
      <c r="U4" s="19">
        <f>IF(AND(D4&gt;=0,D4&lt;60),(100-D4/6), IF(AND(D4&gt;=60,D4&lt;95),(750-D4*2)/7, IF(AND(D4&gt;=95,D4&lt;=170), (99-0.2*D4),IF(AND(D4&gt;170,D4&lt;=220), (116-0.3*D4), IF(AND(D4&gt;220,D4&lt;=640),(1600/21-D4*5/42))))))</f>
        <v>100</v>
      </c>
    </row>
    <row r="5" spans="2:22" x14ac:dyDescent="0.25">
      <c r="B5" s="6" t="s">
        <v>3</v>
      </c>
      <c r="C5" s="7" t="s">
        <v>21</v>
      </c>
      <c r="D5" s="8">
        <v>60</v>
      </c>
      <c r="E5" s="7" t="s">
        <v>22</v>
      </c>
      <c r="F5" s="8">
        <v>95</v>
      </c>
      <c r="H5" s="6" t="s">
        <v>3</v>
      </c>
      <c r="I5" s="7" t="s">
        <v>21</v>
      </c>
      <c r="J5" s="8">
        <v>40</v>
      </c>
      <c r="K5" s="7" t="s">
        <v>22</v>
      </c>
      <c r="L5" s="8">
        <v>45</v>
      </c>
      <c r="N5" s="25" t="s">
        <v>24</v>
      </c>
      <c r="O5" s="26">
        <v>80</v>
      </c>
      <c r="P5" s="25" t="s">
        <v>23</v>
      </c>
      <c r="Q5" s="26">
        <v>90</v>
      </c>
      <c r="R5" s="27">
        <v>107.1428571429</v>
      </c>
      <c r="S5" s="27">
        <v>-0.28571428570000001</v>
      </c>
      <c r="U5" s="19">
        <f>IF(AND(D5&gt;=0,D5&lt;60),(100-D5/6), IF(AND(D5&gt;=60,D5&lt;95),(750-D5*2)/7, IF(AND(D5&gt;=95,D5&lt;=170), (99-0.2*D5),IF(AND(D5&gt;170,D5&lt;=220), (116-0.3*D5), IF(AND(D5&gt;220,D5&lt;=640),(1600/21-D5*5/42))))))</f>
        <v>90</v>
      </c>
    </row>
    <row r="6" spans="2:22" x14ac:dyDescent="0.25">
      <c r="B6" s="6" t="s">
        <v>4</v>
      </c>
      <c r="C6" s="7" t="s">
        <v>21</v>
      </c>
      <c r="D6" s="8">
        <v>95</v>
      </c>
      <c r="E6" s="7" t="s">
        <v>23</v>
      </c>
      <c r="F6" s="8">
        <v>170</v>
      </c>
      <c r="H6" s="6" t="s">
        <v>4</v>
      </c>
      <c r="I6" s="7" t="s">
        <v>21</v>
      </c>
      <c r="J6" s="8">
        <v>35</v>
      </c>
      <c r="K6" s="7" t="s">
        <v>22</v>
      </c>
      <c r="L6" s="8">
        <v>40</v>
      </c>
      <c r="N6" s="25" t="s">
        <v>21</v>
      </c>
      <c r="O6" s="26">
        <v>65</v>
      </c>
      <c r="P6" s="25" t="s">
        <v>23</v>
      </c>
      <c r="Q6" s="26">
        <v>80</v>
      </c>
      <c r="R6" s="27">
        <v>99</v>
      </c>
      <c r="S6" s="27">
        <v>-0.2</v>
      </c>
      <c r="U6" s="19">
        <f>IF(AND(D6&gt;=0,D6&lt;60),(100-D6/6), IF(AND(D6&gt;=60,D6&lt;95),(750-D6*2)/7, IF(AND(D6&gt;=95,D6&lt;=170), (99-0.2*D6),IF(AND(D6&gt;170,D6&lt;=220), (116-0.3*D6), IF(AND(D6&gt;220,D6&lt;=640),(1600/21-D6*5/42))))))</f>
        <v>80</v>
      </c>
    </row>
    <row r="7" spans="2:22" x14ac:dyDescent="0.25">
      <c r="B7" s="6" t="s">
        <v>5</v>
      </c>
      <c r="C7" s="7" t="s">
        <v>24</v>
      </c>
      <c r="D7" s="8">
        <v>170</v>
      </c>
      <c r="E7" s="7" t="s">
        <v>23</v>
      </c>
      <c r="F7" s="8">
        <v>220</v>
      </c>
      <c r="H7" s="6" t="s">
        <v>5</v>
      </c>
      <c r="I7" s="7" t="s">
        <v>21</v>
      </c>
      <c r="J7" s="8">
        <v>30</v>
      </c>
      <c r="K7" s="7" t="s">
        <v>22</v>
      </c>
      <c r="L7" s="8">
        <v>35</v>
      </c>
      <c r="N7" s="25" t="s">
        <v>21</v>
      </c>
      <c r="O7" s="26">
        <v>50</v>
      </c>
      <c r="P7" s="25" t="s">
        <v>22</v>
      </c>
      <c r="Q7" s="26">
        <v>65</v>
      </c>
      <c r="R7" s="27">
        <v>116</v>
      </c>
      <c r="S7" s="27">
        <v>-0.3</v>
      </c>
      <c r="U7" s="19">
        <f>IF(AND(D7&gt;=0,D7&lt;60),(100-D7/6), IF(AND(D7&gt;=60,D7&lt;95),(750-D7*2)/7, IF(AND(D7&gt;=95,D7&lt;=170), (99-0.2*D7),IF(AND(D7&gt;170,D7&lt;=220), (116-0.3*D7), IF(AND(D7&gt;220,D7&lt;=640),(1600/21-D7*5/42))))))</f>
        <v>65</v>
      </c>
    </row>
    <row r="8" spans="2:22" ht="15.75" thickBot="1" x14ac:dyDescent="0.3">
      <c r="B8" s="9" t="s">
        <v>6</v>
      </c>
      <c r="C8" s="10" t="s">
        <v>24</v>
      </c>
      <c r="D8" s="11">
        <v>220</v>
      </c>
      <c r="E8" s="10" t="s">
        <v>23</v>
      </c>
      <c r="F8" s="11">
        <v>640</v>
      </c>
      <c r="H8" s="9" t="s">
        <v>6</v>
      </c>
      <c r="I8" s="10" t="s">
        <v>21</v>
      </c>
      <c r="J8" s="11">
        <v>0</v>
      </c>
      <c r="K8" s="10" t="s">
        <v>22</v>
      </c>
      <c r="L8" s="11">
        <v>30</v>
      </c>
      <c r="N8" s="28" t="s">
        <v>21</v>
      </c>
      <c r="O8" s="29">
        <v>0</v>
      </c>
      <c r="P8" s="28" t="s">
        <v>22</v>
      </c>
      <c r="Q8" s="29">
        <v>50</v>
      </c>
      <c r="R8" s="30">
        <v>76.190476190499993</v>
      </c>
      <c r="S8" s="30">
        <v>-0.11904761899999999</v>
      </c>
      <c r="U8" s="20">
        <f>IF(AND(D8&gt;=0,D8&lt;60),(100-D8/6), IF(AND(D8&gt;=60,D8&lt;95),(750-D8*2)/7, IF(AND(D8&gt;=95,D8&lt;=170), (99-0.2*D8),IF(AND(D8&gt;170,D8&lt;=220), (116-0.3*D8), IF(AND(D8&gt;220,D8&lt;=640),(1600/21-D8*5/42))))))</f>
        <v>50</v>
      </c>
      <c r="V8" s="16"/>
    </row>
    <row r="9" spans="2:22" ht="15.75" thickBot="1" x14ac:dyDescent="0.3">
      <c r="B9" s="1"/>
      <c r="C9" s="1"/>
      <c r="D9" s="1"/>
      <c r="E9" s="1"/>
      <c r="F9" s="1"/>
      <c r="H9" s="1"/>
      <c r="I9" s="1"/>
      <c r="J9" s="1"/>
      <c r="K9" s="1"/>
      <c r="L9" s="1"/>
      <c r="N9" s="21" t="s">
        <v>93</v>
      </c>
      <c r="O9" s="22"/>
      <c r="P9" s="22"/>
      <c r="Q9" s="22"/>
      <c r="R9" s="22"/>
      <c r="S9" s="23"/>
    </row>
    <row r="10" spans="2:22" ht="15.75" thickBot="1" x14ac:dyDescent="0.3">
      <c r="B10" s="76" t="s">
        <v>18</v>
      </c>
      <c r="C10" s="78" t="s">
        <v>17</v>
      </c>
      <c r="D10" s="79"/>
      <c r="E10" s="79"/>
      <c r="F10" s="80"/>
      <c r="H10" s="76" t="s">
        <v>18</v>
      </c>
      <c r="I10" s="78" t="s">
        <v>15</v>
      </c>
      <c r="J10" s="79"/>
      <c r="K10" s="79"/>
      <c r="L10" s="80"/>
    </row>
    <row r="11" spans="2:22" ht="15.75" thickBot="1" x14ac:dyDescent="0.3">
      <c r="B11" s="77"/>
      <c r="C11" s="78" t="s">
        <v>19</v>
      </c>
      <c r="D11" s="80"/>
      <c r="E11" s="78" t="s">
        <v>20</v>
      </c>
      <c r="F11" s="80"/>
      <c r="H11" s="77"/>
      <c r="I11" s="78" t="s">
        <v>19</v>
      </c>
      <c r="J11" s="80"/>
      <c r="K11" s="78" t="s">
        <v>20</v>
      </c>
      <c r="L11" s="80"/>
      <c r="N11" s="70"/>
    </row>
    <row r="12" spans="2:22" ht="26.25" x14ac:dyDescent="0.25">
      <c r="B12" s="3" t="s">
        <v>2</v>
      </c>
      <c r="C12" s="7" t="s">
        <v>24</v>
      </c>
      <c r="D12" s="8">
        <v>0</v>
      </c>
      <c r="E12" s="4" t="s">
        <v>22</v>
      </c>
      <c r="F12" s="5">
        <v>0.125</v>
      </c>
      <c r="H12" s="3" t="s">
        <v>2</v>
      </c>
      <c r="I12" s="4" t="s">
        <v>24</v>
      </c>
      <c r="J12" s="5">
        <v>90</v>
      </c>
      <c r="K12" s="4" t="s">
        <v>23</v>
      </c>
      <c r="L12" s="5">
        <v>100</v>
      </c>
    </row>
    <row r="13" spans="2:22" x14ac:dyDescent="0.25">
      <c r="B13" s="6" t="s">
        <v>3</v>
      </c>
      <c r="C13" s="7" t="s">
        <v>21</v>
      </c>
      <c r="D13" s="8">
        <v>0.125</v>
      </c>
      <c r="E13" s="7" t="s">
        <v>22</v>
      </c>
      <c r="F13" s="8">
        <v>0.25</v>
      </c>
      <c r="H13" s="6" t="s">
        <v>3</v>
      </c>
      <c r="I13" s="7" t="s">
        <v>24</v>
      </c>
      <c r="J13" s="8">
        <v>80</v>
      </c>
      <c r="K13" s="7" t="s">
        <v>23</v>
      </c>
      <c r="L13" s="8">
        <v>90</v>
      </c>
      <c r="N13" s="70"/>
    </row>
    <row r="14" spans="2:22" x14ac:dyDescent="0.25">
      <c r="B14" s="6" t="s">
        <v>4</v>
      </c>
      <c r="C14" s="7" t="s">
        <v>21</v>
      </c>
      <c r="D14" s="8">
        <v>0.25</v>
      </c>
      <c r="E14" s="7" t="s">
        <v>22</v>
      </c>
      <c r="F14" s="8">
        <v>0.5</v>
      </c>
      <c r="H14" s="6" t="s">
        <v>4</v>
      </c>
      <c r="I14" s="7" t="s">
        <v>21</v>
      </c>
      <c r="J14" s="8">
        <v>65</v>
      </c>
      <c r="K14" s="7" t="s">
        <v>23</v>
      </c>
      <c r="L14" s="8">
        <v>80</v>
      </c>
      <c r="N14" s="70"/>
    </row>
    <row r="15" spans="2:22" x14ac:dyDescent="0.25">
      <c r="B15" s="6" t="s">
        <v>5</v>
      </c>
      <c r="C15" s="7" t="s">
        <v>21</v>
      </c>
      <c r="D15" s="8">
        <v>0.5</v>
      </c>
      <c r="E15" s="7" t="s">
        <v>22</v>
      </c>
      <c r="F15" s="8">
        <v>1</v>
      </c>
      <c r="H15" s="6" t="s">
        <v>5</v>
      </c>
      <c r="I15" s="7" t="s">
        <v>21</v>
      </c>
      <c r="J15" s="8">
        <v>50</v>
      </c>
      <c r="K15" s="7" t="s">
        <v>22</v>
      </c>
      <c r="L15" s="8">
        <v>65</v>
      </c>
    </row>
    <row r="16" spans="2:22" ht="15.75" thickBot="1" x14ac:dyDescent="0.3">
      <c r="B16" s="9" t="s">
        <v>6</v>
      </c>
      <c r="C16" s="10" t="s">
        <v>21</v>
      </c>
      <c r="D16" s="11">
        <v>1</v>
      </c>
      <c r="E16" s="10"/>
      <c r="F16" s="11"/>
      <c r="H16" s="9" t="s">
        <v>6</v>
      </c>
      <c r="I16" s="10" t="s">
        <v>21</v>
      </c>
      <c r="J16" s="11">
        <v>0</v>
      </c>
      <c r="K16" s="10" t="s">
        <v>22</v>
      </c>
      <c r="L16" s="11">
        <v>50</v>
      </c>
    </row>
    <row r="17" spans="1:16" ht="15.75" thickBot="1" x14ac:dyDescent="0.3"/>
    <row r="18" spans="1:16" ht="15.75" thickBot="1" x14ac:dyDescent="0.3">
      <c r="H18" s="76" t="s">
        <v>18</v>
      </c>
      <c r="I18" s="78" t="s">
        <v>14</v>
      </c>
      <c r="J18" s="79"/>
      <c r="K18" s="79"/>
      <c r="L18" s="80"/>
    </row>
    <row r="19" spans="1:16" ht="15.75" thickBot="1" x14ac:dyDescent="0.3">
      <c r="H19" s="77"/>
      <c r="I19" s="78" t="s">
        <v>19</v>
      </c>
      <c r="J19" s="80"/>
      <c r="K19" s="78" t="s">
        <v>20</v>
      </c>
      <c r="L19" s="80"/>
    </row>
    <row r="20" spans="1:16" ht="26.25" x14ac:dyDescent="0.25">
      <c r="H20" s="3" t="s">
        <v>2</v>
      </c>
      <c r="I20" s="4" t="s">
        <v>24</v>
      </c>
      <c r="J20" s="5">
        <v>90</v>
      </c>
      <c r="K20" s="4" t="s">
        <v>23</v>
      </c>
      <c r="L20" s="5">
        <v>100</v>
      </c>
    </row>
    <row r="21" spans="1:16" x14ac:dyDescent="0.25">
      <c r="H21" s="6" t="s">
        <v>3</v>
      </c>
      <c r="I21" s="7" t="s">
        <v>24</v>
      </c>
      <c r="J21" s="8">
        <v>80</v>
      </c>
      <c r="K21" s="7" t="s">
        <v>23</v>
      </c>
      <c r="L21" s="8">
        <v>90</v>
      </c>
    </row>
    <row r="22" spans="1:16" x14ac:dyDescent="0.25">
      <c r="H22" s="6" t="s">
        <v>4</v>
      </c>
      <c r="I22" s="7" t="s">
        <v>21</v>
      </c>
      <c r="J22" s="8">
        <v>65</v>
      </c>
      <c r="K22" s="7" t="s">
        <v>23</v>
      </c>
      <c r="L22" s="8">
        <v>80</v>
      </c>
    </row>
    <row r="23" spans="1:16" x14ac:dyDescent="0.25">
      <c r="H23" s="6" t="s">
        <v>5</v>
      </c>
      <c r="I23" s="7" t="s">
        <v>21</v>
      </c>
      <c r="J23" s="8">
        <v>50</v>
      </c>
      <c r="K23" s="7" t="s">
        <v>22</v>
      </c>
      <c r="L23" s="8">
        <v>65</v>
      </c>
      <c r="P23" s="17"/>
    </row>
    <row r="24" spans="1:16" ht="15.75" thickBot="1" x14ac:dyDescent="0.3">
      <c r="H24" s="9" t="s">
        <v>6</v>
      </c>
      <c r="I24" s="10" t="s">
        <v>21</v>
      </c>
      <c r="J24" s="11">
        <v>0</v>
      </c>
      <c r="K24" s="10" t="s">
        <v>22</v>
      </c>
      <c r="L24" s="11">
        <v>50</v>
      </c>
    </row>
    <row r="26" spans="1:16" x14ac:dyDescent="0.25">
      <c r="A26" s="13"/>
      <c r="B26" s="14" t="s">
        <v>80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6" x14ac:dyDescent="0.25">
      <c r="A27" s="13"/>
      <c r="B27" s="13" t="s">
        <v>77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6" x14ac:dyDescent="0.25">
      <c r="A28" s="13"/>
      <c r="B28" s="13" t="s">
        <v>99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6" x14ac:dyDescent="0.25">
      <c r="A29" s="13"/>
      <c r="B29" s="13" t="s">
        <v>102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6" x14ac:dyDescent="0.25">
      <c r="A30" s="13"/>
      <c r="B30" s="13" t="s">
        <v>96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6" x14ac:dyDescent="0.25">
      <c r="A31" s="13"/>
      <c r="B31" s="13" t="s">
        <v>97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6" x14ac:dyDescent="0.25">
      <c r="A32" s="13"/>
      <c r="B32" s="13" t="s">
        <v>100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  <row r="33" spans="1:13" x14ac:dyDescent="0.25">
      <c r="A33" s="13"/>
      <c r="B33" s="13" t="s">
        <v>98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</row>
    <row r="34" spans="1:13" x14ac:dyDescent="0.25">
      <c r="A34" s="13"/>
      <c r="B34" s="13" t="s">
        <v>75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</row>
    <row r="35" spans="1:13" x14ac:dyDescent="0.25">
      <c r="A35" s="13"/>
      <c r="B35" s="13" t="s">
        <v>78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13"/>
      <c r="B36" s="13" t="s">
        <v>75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13"/>
      <c r="B37" s="13" t="s">
        <v>77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</row>
    <row r="38" spans="1:13" x14ac:dyDescent="0.25">
      <c r="A38" s="13"/>
      <c r="B38" s="15" t="s">
        <v>83</v>
      </c>
      <c r="C38" s="15"/>
      <c r="D38" s="13"/>
      <c r="E38" s="13"/>
      <c r="F38" s="13"/>
      <c r="G38" s="13"/>
      <c r="H38" s="13"/>
      <c r="I38" s="13"/>
      <c r="J38" s="13"/>
      <c r="K38" s="13"/>
      <c r="L38" s="13"/>
      <c r="M38" s="13"/>
    </row>
    <row r="39" spans="1:13" x14ac:dyDescent="0.25">
      <c r="A39" s="13"/>
      <c r="B39" s="15" t="s">
        <v>84</v>
      </c>
      <c r="C39" s="15"/>
      <c r="D39" s="13"/>
      <c r="E39" s="13"/>
      <c r="F39" s="13"/>
      <c r="G39" s="13"/>
      <c r="H39" s="13"/>
      <c r="I39" s="13"/>
      <c r="J39" s="13"/>
      <c r="K39" s="13"/>
      <c r="L39" s="13"/>
      <c r="M39" s="13"/>
    </row>
    <row r="40" spans="1:13" x14ac:dyDescent="0.25">
      <c r="A40" s="13"/>
      <c r="B40" s="15" t="s">
        <v>85</v>
      </c>
      <c r="C40" s="15"/>
      <c r="D40" s="13"/>
      <c r="E40" s="13"/>
      <c r="F40" s="13"/>
      <c r="G40" s="13"/>
      <c r="H40" s="13"/>
      <c r="I40" s="13"/>
      <c r="J40" s="13"/>
      <c r="K40" s="13"/>
      <c r="L40" s="13"/>
      <c r="M40" s="13"/>
    </row>
    <row r="41" spans="1:13" x14ac:dyDescent="0.25">
      <c r="A41" s="13"/>
      <c r="B41" s="15" t="s">
        <v>86</v>
      </c>
      <c r="C41" s="15"/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1:13" x14ac:dyDescent="0.25">
      <c r="A42" s="13"/>
      <c r="B42" s="15" t="s">
        <v>87</v>
      </c>
      <c r="C42" s="15"/>
      <c r="D42" s="13"/>
      <c r="E42" s="13"/>
      <c r="F42" s="13"/>
      <c r="G42" s="13"/>
      <c r="H42" s="13"/>
      <c r="I42" s="13"/>
      <c r="J42" s="13"/>
      <c r="K42" s="13"/>
      <c r="L42" s="13"/>
      <c r="M42" s="13"/>
    </row>
    <row r="43" spans="1:13" x14ac:dyDescent="0.25">
      <c r="A43" s="13"/>
      <c r="B43" s="15" t="s">
        <v>76</v>
      </c>
      <c r="C43" s="15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13"/>
      <c r="B44" s="15" t="s">
        <v>77</v>
      </c>
      <c r="C44" s="15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13"/>
      <c r="B45" s="15" t="s">
        <v>88</v>
      </c>
      <c r="C45" s="15"/>
      <c r="D45" s="13"/>
      <c r="E45" s="13"/>
      <c r="F45" s="13"/>
      <c r="G45" s="13"/>
      <c r="H45" s="13"/>
      <c r="I45" s="13"/>
      <c r="J45" s="13"/>
      <c r="K45" s="13"/>
      <c r="L45" s="13"/>
      <c r="M45" s="13"/>
    </row>
    <row r="46" spans="1:13" x14ac:dyDescent="0.25">
      <c r="A46" s="13"/>
      <c r="B46" s="15" t="s">
        <v>89</v>
      </c>
      <c r="C46" s="15"/>
      <c r="D46" s="13"/>
      <c r="E46" s="13"/>
      <c r="F46" s="13"/>
      <c r="G46" s="13"/>
      <c r="H46" s="13"/>
      <c r="I46" s="13"/>
      <c r="J46" s="13"/>
      <c r="K46" s="13"/>
      <c r="L46" s="13"/>
      <c r="M46" s="13"/>
    </row>
    <row r="47" spans="1:13" x14ac:dyDescent="0.25">
      <c r="A47" s="13"/>
      <c r="B47" s="15" t="s">
        <v>90</v>
      </c>
      <c r="C47" s="15"/>
      <c r="D47" s="13"/>
      <c r="E47" s="13"/>
      <c r="F47" s="13"/>
      <c r="G47" s="13"/>
      <c r="H47" s="13"/>
      <c r="I47" s="13"/>
      <c r="J47" s="13"/>
      <c r="K47" s="13"/>
      <c r="L47" s="13"/>
      <c r="M47" s="13"/>
    </row>
    <row r="48" spans="1:13" x14ac:dyDescent="0.25">
      <c r="A48" s="13"/>
      <c r="B48" s="15" t="s">
        <v>91</v>
      </c>
      <c r="C48" s="15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13"/>
      <c r="B49" s="15" t="s">
        <v>92</v>
      </c>
      <c r="C49" s="15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</row>
  </sheetData>
  <mergeCells count="24">
    <mergeCell ref="N2:Q2"/>
    <mergeCell ref="N3:O3"/>
    <mergeCell ref="P3:Q3"/>
    <mergeCell ref="R2:S2"/>
    <mergeCell ref="B2:B3"/>
    <mergeCell ref="B10:B11"/>
    <mergeCell ref="H2:H3"/>
    <mergeCell ref="H10:H11"/>
    <mergeCell ref="I2:L2"/>
    <mergeCell ref="I3:J3"/>
    <mergeCell ref="K3:L3"/>
    <mergeCell ref="C10:F10"/>
    <mergeCell ref="C11:D11"/>
    <mergeCell ref="E11:F11"/>
    <mergeCell ref="H18:H19"/>
    <mergeCell ref="I18:L18"/>
    <mergeCell ref="I19:J19"/>
    <mergeCell ref="K19:L19"/>
    <mergeCell ref="C2:F2"/>
    <mergeCell ref="C3:D3"/>
    <mergeCell ref="E3:F3"/>
    <mergeCell ref="I10:L10"/>
    <mergeCell ref="I11:J11"/>
    <mergeCell ref="K11:L1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LM_DM_VMT_Condition</vt:lpstr>
      <vt:lpstr>Avg_Condition_per_LM_DM_VMT</vt:lpstr>
      <vt:lpstr>PivotTables</vt:lpstr>
      <vt:lpstr>Lookup</vt:lpstr>
      <vt:lpstr>Formulas</vt:lpstr>
      <vt:lpstr>Condition Levels &amp; OCI Formula</vt:lpstr>
    </vt:vector>
  </TitlesOfParts>
  <Company>MDOT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jojo2</dc:creator>
  <cp:lastModifiedBy>William Rummler</cp:lastModifiedBy>
  <cp:lastPrinted>2014-02-06T13:36:19Z</cp:lastPrinted>
  <dcterms:created xsi:type="dcterms:W3CDTF">2013-05-21T11:50:14Z</dcterms:created>
  <dcterms:modified xsi:type="dcterms:W3CDTF">2014-08-27T20:32:31Z</dcterms:modified>
</cp:coreProperties>
</file>