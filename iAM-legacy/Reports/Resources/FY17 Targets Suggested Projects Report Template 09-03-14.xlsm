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8800" windowHeight="12435" activeTab="1"/>
  </bookViews>
  <sheets>
    <sheet name="Targets" sheetId="44" r:id="rId1"/>
    <sheet name="Suggested Projects" sheetId="40" r:id="rId2"/>
    <sheet name="Lookup &amp; Notes" sheetId="24" r:id="rId3"/>
    <sheet name="Treatment Categories" sheetId="25" r:id="rId4"/>
    <sheet name="SQL FY 17" sheetId="56" state="hidden" r:id="rId5"/>
    <sheet name="DIV_UNDIV" sheetId="59" state="hidden" r:id="rId6"/>
    <sheet name="Analysis Targets" sheetId="62" r:id="rId7"/>
  </sheets>
  <definedNames>
    <definedName name="_xlnm._FilterDatabase" localSheetId="5" hidden="1">DIV_UNDIV!$A$1:$F$10311</definedName>
    <definedName name="_xlnm._FilterDatabase" localSheetId="4" hidden="1">'SQL FY 17'!$A$1:$A$185</definedName>
    <definedName name="_xlnm._FilterDatabase" localSheetId="1" hidden="1">'Suggested Projects'!$A$3:$EH$23</definedName>
    <definedName name="_xlnm._FilterDatabase" localSheetId="0" hidden="1">Targets!$D$44:$H$77</definedName>
    <definedName name="Suggested_Projects_Range">INDIRECT(Targets!$P$7)</definedName>
  </definedNames>
  <calcPr calcId="152511"/>
  <pivotCaches>
    <pivotCache cacheId="2" r:id="rId8"/>
    <pivotCache cacheId="3" r:id="rId9"/>
  </pivotCaches>
</workbook>
</file>

<file path=xl/calcChain.xml><?xml version="1.0" encoding="utf-8"?>
<calcChain xmlns="http://schemas.openxmlformats.org/spreadsheetml/2006/main">
  <c r="P4" i="40" l="1"/>
  <c r="Q8" i="44"/>
  <c r="Q7" i="44"/>
  <c r="Q6" i="44"/>
  <c r="BZ4" i="40" l="1"/>
  <c r="A8456" i="59" l="1"/>
  <c r="A8457" i="59"/>
  <c r="A8458" i="59"/>
  <c r="A8459" i="59"/>
  <c r="A8460" i="59"/>
  <c r="A8461" i="59"/>
  <c r="A8462" i="59"/>
  <c r="A8463" i="59"/>
  <c r="A8464" i="59"/>
  <c r="A8465" i="59"/>
  <c r="A8466" i="59"/>
  <c r="A8467" i="59"/>
  <c r="A8468" i="59"/>
  <c r="A8469" i="59"/>
  <c r="A8470" i="59"/>
  <c r="A8471" i="59"/>
  <c r="A8472" i="59"/>
  <c r="A8473" i="59"/>
  <c r="A8474" i="59"/>
  <c r="A8475" i="59"/>
  <c r="A8476" i="59"/>
  <c r="A8477" i="59"/>
  <c r="A8478" i="59"/>
  <c r="A8479" i="59"/>
  <c r="A8480" i="59"/>
  <c r="A8481" i="59"/>
  <c r="A8482" i="59"/>
  <c r="A8483" i="59"/>
  <c r="A8484" i="59"/>
  <c r="A8485" i="59"/>
  <c r="A8486" i="59"/>
  <c r="A8487" i="59"/>
  <c r="A8488" i="59"/>
  <c r="A8489" i="59"/>
  <c r="A8490" i="59"/>
  <c r="A8491" i="59"/>
  <c r="A8492" i="59"/>
  <c r="A8493" i="59"/>
  <c r="A8494" i="59"/>
  <c r="A8495" i="59"/>
  <c r="A8496" i="59"/>
  <c r="A8497" i="59"/>
  <c r="A8498" i="59"/>
  <c r="A8499" i="59"/>
  <c r="A8500" i="59"/>
  <c r="A8501" i="59"/>
  <c r="A8502" i="59"/>
  <c r="A8503" i="59"/>
  <c r="A8504" i="59"/>
  <c r="A8505" i="59"/>
  <c r="A8506" i="59"/>
  <c r="A8507" i="59"/>
  <c r="A8508" i="59"/>
  <c r="A8509" i="59"/>
  <c r="A8510" i="59"/>
  <c r="A8511" i="59"/>
  <c r="A8512" i="59"/>
  <c r="A8513" i="59"/>
  <c r="A8514" i="59"/>
  <c r="A8515" i="59"/>
  <c r="A8516" i="59"/>
  <c r="A8517" i="59"/>
  <c r="A8518" i="59"/>
  <c r="A8519" i="59"/>
  <c r="A8520" i="59"/>
  <c r="A8521" i="59"/>
  <c r="A8522" i="59"/>
  <c r="A8523" i="59"/>
  <c r="A8524" i="59"/>
  <c r="A8525" i="59"/>
  <c r="A8526" i="59"/>
  <c r="A8527" i="59"/>
  <c r="A8528" i="59"/>
  <c r="A8529" i="59"/>
  <c r="A8530" i="59"/>
  <c r="A8531" i="59"/>
  <c r="A8532" i="59"/>
  <c r="A8533" i="59"/>
  <c r="A8534" i="59"/>
  <c r="A8535" i="59"/>
  <c r="A8536" i="59"/>
  <c r="A8537" i="59"/>
  <c r="A8538" i="59"/>
  <c r="A8539" i="59"/>
  <c r="A8540" i="59"/>
  <c r="A8541" i="59"/>
  <c r="A8542" i="59"/>
  <c r="A8543" i="59"/>
  <c r="A8544" i="59"/>
  <c r="A8545" i="59"/>
  <c r="A8546" i="59"/>
  <c r="A8547" i="59"/>
  <c r="A8548" i="59"/>
  <c r="A8549" i="59"/>
  <c r="A8550" i="59"/>
  <c r="A8551" i="59"/>
  <c r="A8552" i="59"/>
  <c r="A8553" i="59"/>
  <c r="A8554" i="59"/>
  <c r="A8555" i="59"/>
  <c r="A8556" i="59"/>
  <c r="A8557" i="59"/>
  <c r="A8558" i="59"/>
  <c r="A8559" i="59"/>
  <c r="A8560" i="59"/>
  <c r="A8561" i="59"/>
  <c r="A8562" i="59"/>
  <c r="A8563" i="59"/>
  <c r="A8564" i="59"/>
  <c r="A8565" i="59"/>
  <c r="A8566" i="59"/>
  <c r="A8567" i="59"/>
  <c r="A8568" i="59"/>
  <c r="A8569" i="59"/>
  <c r="A8570" i="59"/>
  <c r="A8571" i="59"/>
  <c r="A8572" i="59"/>
  <c r="A8573" i="59"/>
  <c r="A8574" i="59"/>
  <c r="A8575" i="59"/>
  <c r="A8576" i="59"/>
  <c r="A8577" i="59"/>
  <c r="A8578" i="59"/>
  <c r="A8579" i="59"/>
  <c r="A8580" i="59"/>
  <c r="A8581" i="59"/>
  <c r="A8582" i="59"/>
  <c r="A8583" i="59"/>
  <c r="A8584" i="59"/>
  <c r="A8585" i="59"/>
  <c r="A8586" i="59"/>
  <c r="A8587" i="59"/>
  <c r="A8588" i="59"/>
  <c r="A8589" i="59"/>
  <c r="A8590" i="59"/>
  <c r="A8591" i="59"/>
  <c r="A8592" i="59"/>
  <c r="A8593" i="59"/>
  <c r="A8594" i="59"/>
  <c r="A8595" i="59"/>
  <c r="A8596" i="59"/>
  <c r="A8597" i="59"/>
  <c r="A8598" i="59"/>
  <c r="A8599" i="59"/>
  <c r="A8600" i="59"/>
  <c r="A8601" i="59"/>
  <c r="A8602" i="59"/>
  <c r="A8603" i="59"/>
  <c r="A8604" i="59"/>
  <c r="A8605" i="59"/>
  <c r="A8606" i="59"/>
  <c r="A8607" i="59"/>
  <c r="A8608" i="59"/>
  <c r="A8609" i="59"/>
  <c r="A8610" i="59"/>
  <c r="A8611" i="59"/>
  <c r="A8612" i="59"/>
  <c r="A8613" i="59"/>
  <c r="A8614" i="59"/>
  <c r="A8615" i="59"/>
  <c r="A8616" i="59"/>
  <c r="A8617" i="59"/>
  <c r="A8618" i="59"/>
  <c r="A8619" i="59"/>
  <c r="A8620" i="59"/>
  <c r="A8621" i="59"/>
  <c r="A8622" i="59"/>
  <c r="A8623" i="59"/>
  <c r="A8624" i="59"/>
  <c r="A8625" i="59"/>
  <c r="A8626" i="59"/>
  <c r="A8627" i="59"/>
  <c r="A8628" i="59"/>
  <c r="A8629" i="59"/>
  <c r="A8630" i="59"/>
  <c r="A8631" i="59"/>
  <c r="A8632" i="59"/>
  <c r="A8633" i="59"/>
  <c r="A8634" i="59"/>
  <c r="A8635" i="59"/>
  <c r="A8636" i="59"/>
  <c r="A8637" i="59"/>
  <c r="A8638" i="59"/>
  <c r="A8639" i="59"/>
  <c r="A8640" i="59"/>
  <c r="A8641" i="59"/>
  <c r="A8642" i="59"/>
  <c r="A8643" i="59"/>
  <c r="A8644" i="59"/>
  <c r="A8645" i="59"/>
  <c r="A8646" i="59"/>
  <c r="A8647" i="59"/>
  <c r="A8648" i="59"/>
  <c r="A8649" i="59"/>
  <c r="A8650" i="59"/>
  <c r="A8651" i="59"/>
  <c r="A8652" i="59"/>
  <c r="A8653" i="59"/>
  <c r="A8654" i="59"/>
  <c r="A8655" i="59"/>
  <c r="A8656" i="59"/>
  <c r="A8657" i="59"/>
  <c r="A8658" i="59"/>
  <c r="A8659" i="59"/>
  <c r="A8660" i="59"/>
  <c r="A8661" i="59"/>
  <c r="A8662" i="59"/>
  <c r="A8663" i="59"/>
  <c r="A8664" i="59"/>
  <c r="A8665" i="59"/>
  <c r="A8666" i="59"/>
  <c r="A8667" i="59"/>
  <c r="A8668" i="59"/>
  <c r="A8669" i="59"/>
  <c r="A8670" i="59"/>
  <c r="A8671" i="59"/>
  <c r="A8672" i="59"/>
  <c r="A8673" i="59"/>
  <c r="A8674" i="59"/>
  <c r="A8675" i="59"/>
  <c r="A8676" i="59"/>
  <c r="A8677" i="59"/>
  <c r="A8678" i="59"/>
  <c r="A8679" i="59"/>
  <c r="A8680" i="59"/>
  <c r="A8681" i="59"/>
  <c r="A8682" i="59"/>
  <c r="A8683" i="59"/>
  <c r="A8684" i="59"/>
  <c r="A8685" i="59"/>
  <c r="A8686" i="59"/>
  <c r="A8687" i="59"/>
  <c r="A8688" i="59"/>
  <c r="A8689" i="59"/>
  <c r="A8690" i="59"/>
  <c r="A8691" i="59"/>
  <c r="A8692" i="59"/>
  <c r="A8693" i="59"/>
  <c r="A8694" i="59"/>
  <c r="A8695" i="59"/>
  <c r="A8696" i="59"/>
  <c r="A8697" i="59"/>
  <c r="A8698" i="59"/>
  <c r="A8699" i="59"/>
  <c r="A8700" i="59"/>
  <c r="A8701" i="59"/>
  <c r="A8702" i="59"/>
  <c r="A8703" i="59"/>
  <c r="A8704" i="59"/>
  <c r="A8705" i="59"/>
  <c r="A8706" i="59"/>
  <c r="A8707" i="59"/>
  <c r="A8708" i="59"/>
  <c r="A8709" i="59"/>
  <c r="A8710" i="59"/>
  <c r="A8711" i="59"/>
  <c r="A8712" i="59"/>
  <c r="A8713" i="59"/>
  <c r="A8714" i="59"/>
  <c r="A8715" i="59"/>
  <c r="A8716" i="59"/>
  <c r="A8717" i="59"/>
  <c r="A8718" i="59"/>
  <c r="A8719" i="59"/>
  <c r="A8720" i="59"/>
  <c r="A8721" i="59"/>
  <c r="A8722" i="59"/>
  <c r="A8723" i="59"/>
  <c r="A8724" i="59"/>
  <c r="A8725" i="59"/>
  <c r="A8726" i="59"/>
  <c r="A8727" i="59"/>
  <c r="A8728" i="59"/>
  <c r="A8729" i="59"/>
  <c r="A8730" i="59"/>
  <c r="A8731" i="59"/>
  <c r="A8732" i="59"/>
  <c r="A8733" i="59"/>
  <c r="A8734" i="59"/>
  <c r="A8735" i="59"/>
  <c r="A8736" i="59"/>
  <c r="A8737" i="59"/>
  <c r="A8738" i="59"/>
  <c r="A8739" i="59"/>
  <c r="A8740" i="59"/>
  <c r="A8741" i="59"/>
  <c r="A8742" i="59"/>
  <c r="A8743" i="59"/>
  <c r="A8744" i="59"/>
  <c r="A8745" i="59"/>
  <c r="A8746" i="59"/>
  <c r="A8747" i="59"/>
  <c r="A8748" i="59"/>
  <c r="A8749" i="59"/>
  <c r="A8750" i="59"/>
  <c r="A8751" i="59"/>
  <c r="A8752" i="59"/>
  <c r="A8753" i="59"/>
  <c r="A8754" i="59"/>
  <c r="A8755" i="59"/>
  <c r="A8756" i="59"/>
  <c r="A8757" i="59"/>
  <c r="A8758" i="59"/>
  <c r="A8759" i="59"/>
  <c r="A8760" i="59"/>
  <c r="A8761" i="59"/>
  <c r="A8762" i="59"/>
  <c r="A8763" i="59"/>
  <c r="A8764" i="59"/>
  <c r="A8765" i="59"/>
  <c r="A8766" i="59"/>
  <c r="A8767" i="59"/>
  <c r="A8768" i="59"/>
  <c r="A8769" i="59"/>
  <c r="A8770" i="59"/>
  <c r="A8771" i="59"/>
  <c r="A8772" i="59"/>
  <c r="A8773" i="59"/>
  <c r="A8774" i="59"/>
  <c r="A8775" i="59"/>
  <c r="A8776" i="59"/>
  <c r="A8777" i="59"/>
  <c r="A8778" i="59"/>
  <c r="A8779" i="59"/>
  <c r="A8780" i="59"/>
  <c r="A8781" i="59"/>
  <c r="A8782" i="59"/>
  <c r="A8783" i="59"/>
  <c r="A8784" i="59"/>
  <c r="A8785" i="59"/>
  <c r="A8786" i="59"/>
  <c r="A8787" i="59"/>
  <c r="A8788" i="59"/>
  <c r="A8789" i="59"/>
  <c r="A8790" i="59"/>
  <c r="A8791" i="59"/>
  <c r="A8792" i="59"/>
  <c r="A8793" i="59"/>
  <c r="A8794" i="59"/>
  <c r="A8795" i="59"/>
  <c r="A8796" i="59"/>
  <c r="A8797" i="59"/>
  <c r="A8798" i="59"/>
  <c r="A8799" i="59"/>
  <c r="A8800" i="59"/>
  <c r="A8801" i="59"/>
  <c r="A8802" i="59"/>
  <c r="A8803" i="59"/>
  <c r="A8804" i="59"/>
  <c r="A8805" i="59"/>
  <c r="A8806" i="59"/>
  <c r="A8807" i="59"/>
  <c r="A8808" i="59"/>
  <c r="A8809" i="59"/>
  <c r="A8810" i="59"/>
  <c r="A8811" i="59"/>
  <c r="A8812" i="59"/>
  <c r="A8813" i="59"/>
  <c r="A8814" i="59"/>
  <c r="A8815" i="59"/>
  <c r="A8816" i="59"/>
  <c r="A8817" i="59"/>
  <c r="A8818" i="59"/>
  <c r="A8819" i="59"/>
  <c r="A8820" i="59"/>
  <c r="A8821" i="59"/>
  <c r="A8822" i="59"/>
  <c r="A8823" i="59"/>
  <c r="A8824" i="59"/>
  <c r="A8825" i="59"/>
  <c r="A8826" i="59"/>
  <c r="A8827" i="59"/>
  <c r="A8828" i="59"/>
  <c r="A8829" i="59"/>
  <c r="A8830" i="59"/>
  <c r="A8831" i="59"/>
  <c r="A8832" i="59"/>
  <c r="A8833" i="59"/>
  <c r="A8834" i="59"/>
  <c r="A8835" i="59"/>
  <c r="A8836" i="59"/>
  <c r="A8837" i="59"/>
  <c r="A8838" i="59"/>
  <c r="A8839" i="59"/>
  <c r="A8840" i="59"/>
  <c r="A8841" i="59"/>
  <c r="A8842" i="59"/>
  <c r="A8843" i="59"/>
  <c r="A8844" i="59"/>
  <c r="A8845" i="59"/>
  <c r="A8846" i="59"/>
  <c r="A8847" i="59"/>
  <c r="A8848" i="59"/>
  <c r="A8849" i="59"/>
  <c r="A8850" i="59"/>
  <c r="A8851" i="59"/>
  <c r="A8852" i="59"/>
  <c r="A8853" i="59"/>
  <c r="A8854" i="59"/>
  <c r="A8855" i="59"/>
  <c r="A8856" i="59"/>
  <c r="A8857" i="59"/>
  <c r="A8858" i="59"/>
  <c r="A8859" i="59"/>
  <c r="A8860" i="59"/>
  <c r="A8861" i="59"/>
  <c r="A8862" i="59"/>
  <c r="A8863" i="59"/>
  <c r="A8864" i="59"/>
  <c r="A8865" i="59"/>
  <c r="A8866" i="59"/>
  <c r="A8867" i="59"/>
  <c r="A8868" i="59"/>
  <c r="A8869" i="59"/>
  <c r="A8870" i="59"/>
  <c r="A8871" i="59"/>
  <c r="A8872" i="59"/>
  <c r="A8873" i="59"/>
  <c r="A8874" i="59"/>
  <c r="A8875" i="59"/>
  <c r="A8876" i="59"/>
  <c r="A8877" i="59"/>
  <c r="A8878" i="59"/>
  <c r="A8879" i="59"/>
  <c r="A8880" i="59"/>
  <c r="A8881" i="59"/>
  <c r="A8882" i="59"/>
  <c r="A8883" i="59"/>
  <c r="A8884" i="59"/>
  <c r="A8885" i="59"/>
  <c r="A8886" i="59"/>
  <c r="A8887" i="59"/>
  <c r="A8888" i="59"/>
  <c r="A8889" i="59"/>
  <c r="A8890" i="59"/>
  <c r="A8891" i="59"/>
  <c r="A8892" i="59"/>
  <c r="A8893" i="59"/>
  <c r="A8894" i="59"/>
  <c r="A8895" i="59"/>
  <c r="A8896" i="59"/>
  <c r="A8897" i="59"/>
  <c r="A8898" i="59"/>
  <c r="A8899" i="59"/>
  <c r="A8900" i="59"/>
  <c r="A8901" i="59"/>
  <c r="A8902" i="59"/>
  <c r="A8903" i="59"/>
  <c r="A8904" i="59"/>
  <c r="A8905" i="59"/>
  <c r="A8906" i="59"/>
  <c r="A8907" i="59"/>
  <c r="A8908" i="59"/>
  <c r="A8909" i="59"/>
  <c r="A8910" i="59"/>
  <c r="A8911" i="59"/>
  <c r="A8912" i="59"/>
  <c r="A8913" i="59"/>
  <c r="A8914" i="59"/>
  <c r="A8915" i="59"/>
  <c r="A8916" i="59"/>
  <c r="A8917" i="59"/>
  <c r="A8918" i="59"/>
  <c r="A8919" i="59"/>
  <c r="A8920" i="59"/>
  <c r="A8921" i="59"/>
  <c r="A8922" i="59"/>
  <c r="A8923" i="59"/>
  <c r="A8924" i="59"/>
  <c r="A8925" i="59"/>
  <c r="A8926" i="59"/>
  <c r="A8927" i="59"/>
  <c r="A8928" i="59"/>
  <c r="A8929" i="59"/>
  <c r="A8930" i="59"/>
  <c r="A8931" i="59"/>
  <c r="A8932" i="59"/>
  <c r="A8933" i="59"/>
  <c r="A8934" i="59"/>
  <c r="A8935" i="59"/>
  <c r="A8936" i="59"/>
  <c r="A8937" i="59"/>
  <c r="A8938" i="59"/>
  <c r="A8939" i="59"/>
  <c r="A8940" i="59"/>
  <c r="A8941" i="59"/>
  <c r="A8942" i="59"/>
  <c r="A8943" i="59"/>
  <c r="A8944" i="59"/>
  <c r="A8945" i="59"/>
  <c r="A8946" i="59"/>
  <c r="A8947" i="59"/>
  <c r="A8948" i="59"/>
  <c r="A8949" i="59"/>
  <c r="A8950" i="59"/>
  <c r="A8951" i="59"/>
  <c r="A8952" i="59"/>
  <c r="A8953" i="59"/>
  <c r="A8954" i="59"/>
  <c r="A8955" i="59"/>
  <c r="A8956" i="59"/>
  <c r="A8957" i="59"/>
  <c r="A8958" i="59"/>
  <c r="A8959" i="59"/>
  <c r="A8960" i="59"/>
  <c r="A8961" i="59"/>
  <c r="A8962" i="59"/>
  <c r="A8963" i="59"/>
  <c r="A8964" i="59"/>
  <c r="A8965" i="59"/>
  <c r="A8966" i="59"/>
  <c r="A8967" i="59"/>
  <c r="A8968" i="59"/>
  <c r="A8969" i="59"/>
  <c r="A8970" i="59"/>
  <c r="A8971" i="59"/>
  <c r="A8972" i="59"/>
  <c r="A8973" i="59"/>
  <c r="A8974" i="59"/>
  <c r="A8975" i="59"/>
  <c r="A8976" i="59"/>
  <c r="A8977" i="59"/>
  <c r="A8978" i="59"/>
  <c r="A8979" i="59"/>
  <c r="A8980" i="59"/>
  <c r="A8981" i="59"/>
  <c r="A8982" i="59"/>
  <c r="A8983" i="59"/>
  <c r="A8984" i="59"/>
  <c r="A8985" i="59"/>
  <c r="A8986" i="59"/>
  <c r="A8987" i="59"/>
  <c r="A8988" i="59"/>
  <c r="A8989" i="59"/>
  <c r="A8990" i="59"/>
  <c r="A8991" i="59"/>
  <c r="A8992" i="59"/>
  <c r="A8993" i="59"/>
  <c r="A8994" i="59"/>
  <c r="A8995" i="59"/>
  <c r="A8996" i="59"/>
  <c r="A8997" i="59"/>
  <c r="A8998" i="59"/>
  <c r="A8999" i="59"/>
  <c r="A9000" i="59"/>
  <c r="A9001" i="59"/>
  <c r="A9002" i="59"/>
  <c r="A9003" i="59"/>
  <c r="A9004" i="59"/>
  <c r="A9005" i="59"/>
  <c r="A9006" i="59"/>
  <c r="A9007" i="59"/>
  <c r="A9008" i="59"/>
  <c r="A9009" i="59"/>
  <c r="A9010" i="59"/>
  <c r="A9011" i="59"/>
  <c r="A9012" i="59"/>
  <c r="A9013" i="59"/>
  <c r="A9014" i="59"/>
  <c r="A9015" i="59"/>
  <c r="A9016" i="59"/>
  <c r="A9017" i="59"/>
  <c r="A9018" i="59"/>
  <c r="A9019" i="59"/>
  <c r="A9020" i="59"/>
  <c r="A9021" i="59"/>
  <c r="A9022" i="59"/>
  <c r="A9023" i="59"/>
  <c r="A9024" i="59"/>
  <c r="A9025" i="59"/>
  <c r="A9026" i="59"/>
  <c r="A9027" i="59"/>
  <c r="A9028" i="59"/>
  <c r="A9029" i="59"/>
  <c r="A9030" i="59"/>
  <c r="A9031" i="59"/>
  <c r="A9032" i="59"/>
  <c r="A9033" i="59"/>
  <c r="A9034" i="59"/>
  <c r="A9035" i="59"/>
  <c r="A9036" i="59"/>
  <c r="A9037" i="59"/>
  <c r="A9038" i="59"/>
  <c r="A9039" i="59"/>
  <c r="A9040" i="59"/>
  <c r="A9041" i="59"/>
  <c r="A9042" i="59"/>
  <c r="A9043" i="59"/>
  <c r="A9044" i="59"/>
  <c r="A9045" i="59"/>
  <c r="A9046" i="59"/>
  <c r="A9047" i="59"/>
  <c r="A9048" i="59"/>
  <c r="A9049" i="59"/>
  <c r="A9050" i="59"/>
  <c r="A9051" i="59"/>
  <c r="A9052" i="59"/>
  <c r="A9053" i="59"/>
  <c r="A9054" i="59"/>
  <c r="A9055" i="59"/>
  <c r="A9056" i="59"/>
  <c r="A9057" i="59"/>
  <c r="A9058" i="59"/>
  <c r="A9059" i="59"/>
  <c r="A9060" i="59"/>
  <c r="A9061" i="59"/>
  <c r="A9062" i="59"/>
  <c r="A9063" i="59"/>
  <c r="A9064" i="59"/>
  <c r="A9065" i="59"/>
  <c r="A9066" i="59"/>
  <c r="A9067" i="59"/>
  <c r="A9068" i="59"/>
  <c r="A9069" i="59"/>
  <c r="A9070" i="59"/>
  <c r="A9071" i="59"/>
  <c r="A9072" i="59"/>
  <c r="A9073" i="59"/>
  <c r="A9074" i="59"/>
  <c r="A9075" i="59"/>
  <c r="A9076" i="59"/>
  <c r="A9077" i="59"/>
  <c r="A9078" i="59"/>
  <c r="A9079" i="59"/>
  <c r="A9080" i="59"/>
  <c r="A9081" i="59"/>
  <c r="A9082" i="59"/>
  <c r="A9083" i="59"/>
  <c r="A9084" i="59"/>
  <c r="A9085" i="59"/>
  <c r="A9086" i="59"/>
  <c r="A9087" i="59"/>
  <c r="A9088" i="59"/>
  <c r="A9089" i="59"/>
  <c r="A9090" i="59"/>
  <c r="A9091" i="59"/>
  <c r="A9092" i="59"/>
  <c r="A9093" i="59"/>
  <c r="A9094" i="59"/>
  <c r="A9095" i="59"/>
  <c r="A9096" i="59"/>
  <c r="A9097" i="59"/>
  <c r="A9098" i="59"/>
  <c r="A9099" i="59"/>
  <c r="A9100" i="59"/>
  <c r="A9101" i="59"/>
  <c r="A9102" i="59"/>
  <c r="A9103" i="59"/>
  <c r="A9104" i="59"/>
  <c r="A9105" i="59"/>
  <c r="A9106" i="59"/>
  <c r="A9107" i="59"/>
  <c r="A9108" i="59"/>
  <c r="A9109" i="59"/>
  <c r="A9110" i="59"/>
  <c r="A9111" i="59"/>
  <c r="A9112" i="59"/>
  <c r="A9113" i="59"/>
  <c r="A9114" i="59"/>
  <c r="A9115" i="59"/>
  <c r="A9116" i="59"/>
  <c r="A9117" i="59"/>
  <c r="A9118" i="59"/>
  <c r="A9119" i="59"/>
  <c r="A9120" i="59"/>
  <c r="A9121" i="59"/>
  <c r="A9122" i="59"/>
  <c r="A9123" i="59"/>
  <c r="A9124" i="59"/>
  <c r="A9125" i="59"/>
  <c r="A9126" i="59"/>
  <c r="A9127" i="59"/>
  <c r="A9128" i="59"/>
  <c r="A9129" i="59"/>
  <c r="A9130" i="59"/>
  <c r="A9131" i="59"/>
  <c r="A9132" i="59"/>
  <c r="A9133" i="59"/>
  <c r="A9134" i="59"/>
  <c r="A9135" i="59"/>
  <c r="A9136" i="59"/>
  <c r="A9137" i="59"/>
  <c r="A9138" i="59"/>
  <c r="A9139" i="59"/>
  <c r="A9140" i="59"/>
  <c r="A9141" i="59"/>
  <c r="A9142" i="59"/>
  <c r="A9143" i="59"/>
  <c r="A9144" i="59"/>
  <c r="A9145" i="59"/>
  <c r="A9146" i="59"/>
  <c r="A9147" i="59"/>
  <c r="A9148" i="59"/>
  <c r="A9149" i="59"/>
  <c r="A9150" i="59"/>
  <c r="A9151" i="59"/>
  <c r="A9152" i="59"/>
  <c r="A9153" i="59"/>
  <c r="A9154" i="59"/>
  <c r="A9155" i="59"/>
  <c r="A9156" i="59"/>
  <c r="A9157" i="59"/>
  <c r="A9158" i="59"/>
  <c r="A9159" i="59"/>
  <c r="A9160" i="59"/>
  <c r="A9161" i="59"/>
  <c r="A9162" i="59"/>
  <c r="A9163" i="59"/>
  <c r="A9164" i="59"/>
  <c r="A9165" i="59"/>
  <c r="A9166" i="59"/>
  <c r="A9167" i="59"/>
  <c r="A9168" i="59"/>
  <c r="A9169" i="59"/>
  <c r="A9170" i="59"/>
  <c r="A9171" i="59"/>
  <c r="A9172" i="59"/>
  <c r="A9173" i="59"/>
  <c r="A9174" i="59"/>
  <c r="A9175" i="59"/>
  <c r="A9176" i="59"/>
  <c r="A9177" i="59"/>
  <c r="A9178" i="59"/>
  <c r="A9179" i="59"/>
  <c r="A9180" i="59"/>
  <c r="A9181" i="59"/>
  <c r="A9182" i="59"/>
  <c r="A9183" i="59"/>
  <c r="A9184" i="59"/>
  <c r="A9185" i="59"/>
  <c r="A9186" i="59"/>
  <c r="A9187" i="59"/>
  <c r="A9188" i="59"/>
  <c r="A9189" i="59"/>
  <c r="A9190" i="59"/>
  <c r="A9191" i="59"/>
  <c r="A9192" i="59"/>
  <c r="A9193" i="59"/>
  <c r="A9194" i="59"/>
  <c r="A9195" i="59"/>
  <c r="A9196" i="59"/>
  <c r="A9197" i="59"/>
  <c r="A9198" i="59"/>
  <c r="A9199" i="59"/>
  <c r="A9200" i="59"/>
  <c r="A9201" i="59"/>
  <c r="A9202" i="59"/>
  <c r="A9203" i="59"/>
  <c r="A9204" i="59"/>
  <c r="A9205" i="59"/>
  <c r="A9206" i="59"/>
  <c r="A9207" i="59"/>
  <c r="A9208" i="59"/>
  <c r="A9209" i="59"/>
  <c r="A9210" i="59"/>
  <c r="A9211" i="59"/>
  <c r="A9212" i="59"/>
  <c r="A9213" i="59"/>
  <c r="A9214" i="59"/>
  <c r="A9215" i="59"/>
  <c r="A9216" i="59"/>
  <c r="A9217" i="59"/>
  <c r="A9218" i="59"/>
  <c r="A9219" i="59"/>
  <c r="A9220" i="59"/>
  <c r="A9221" i="59"/>
  <c r="A9222" i="59"/>
  <c r="A9223" i="59"/>
  <c r="A9224" i="59"/>
  <c r="A9225" i="59"/>
  <c r="A9226" i="59"/>
  <c r="A9227" i="59"/>
  <c r="A9228" i="59"/>
  <c r="A9229" i="59"/>
  <c r="A9230" i="59"/>
  <c r="A9231" i="59"/>
  <c r="A9232" i="59"/>
  <c r="A9233" i="59"/>
  <c r="A9234" i="59"/>
  <c r="A9235" i="59"/>
  <c r="A9236" i="59"/>
  <c r="A9237" i="59"/>
  <c r="A9238" i="59"/>
  <c r="A9239" i="59"/>
  <c r="A9240" i="59"/>
  <c r="A9241" i="59"/>
  <c r="A9242" i="59"/>
  <c r="A9243" i="59"/>
  <c r="A9244" i="59"/>
  <c r="A9245" i="59"/>
  <c r="A9246" i="59"/>
  <c r="A9247" i="59"/>
  <c r="A9248" i="59"/>
  <c r="A9249" i="59"/>
  <c r="A9250" i="59"/>
  <c r="A9251" i="59"/>
  <c r="A9252" i="59"/>
  <c r="A9253" i="59"/>
  <c r="A9254" i="59"/>
  <c r="A9255" i="59"/>
  <c r="A9256" i="59"/>
  <c r="A9257" i="59"/>
  <c r="A9258" i="59"/>
  <c r="A9259" i="59"/>
  <c r="A9260" i="59"/>
  <c r="A9261" i="59"/>
  <c r="A9262" i="59"/>
  <c r="A9263" i="59"/>
  <c r="A9264" i="59"/>
  <c r="A9265" i="59"/>
  <c r="A9266" i="59"/>
  <c r="A9267" i="59"/>
  <c r="A9268" i="59"/>
  <c r="A9269" i="59"/>
  <c r="A9270" i="59"/>
  <c r="A9271" i="59"/>
  <c r="A9272" i="59"/>
  <c r="A9273" i="59"/>
  <c r="A9274" i="59"/>
  <c r="A9275" i="59"/>
  <c r="A9276" i="59"/>
  <c r="A9277" i="59"/>
  <c r="A9278" i="59"/>
  <c r="A9279" i="59"/>
  <c r="A9280" i="59"/>
  <c r="A9281" i="59"/>
  <c r="A9282" i="59"/>
  <c r="A9283" i="59"/>
  <c r="A9284" i="59"/>
  <c r="A9285" i="59"/>
  <c r="A9286" i="59"/>
  <c r="A9287" i="59"/>
  <c r="A9288" i="59"/>
  <c r="A9289" i="59"/>
  <c r="A9290" i="59"/>
  <c r="A9291" i="59"/>
  <c r="A9292" i="59"/>
  <c r="A9293" i="59"/>
  <c r="A9294" i="59"/>
  <c r="A9295" i="59"/>
  <c r="A9296" i="59"/>
  <c r="A9297" i="59"/>
  <c r="A9298" i="59"/>
  <c r="A9299" i="59"/>
  <c r="A9300" i="59"/>
  <c r="A9301" i="59"/>
  <c r="A9302" i="59"/>
  <c r="A9303" i="59"/>
  <c r="A9304" i="59"/>
  <c r="A9305" i="59"/>
  <c r="A9306" i="59"/>
  <c r="A9307" i="59"/>
  <c r="A9308" i="59"/>
  <c r="A9309" i="59"/>
  <c r="A9310" i="59"/>
  <c r="A9311" i="59"/>
  <c r="A9312" i="59"/>
  <c r="A9313" i="59"/>
  <c r="A9314" i="59"/>
  <c r="A9315" i="59"/>
  <c r="A9316" i="59"/>
  <c r="A9317" i="59"/>
  <c r="A9318" i="59"/>
  <c r="A9319" i="59"/>
  <c r="A9320" i="59"/>
  <c r="A9321" i="59"/>
  <c r="A9322" i="59"/>
  <c r="A9323" i="59"/>
  <c r="A9324" i="59"/>
  <c r="A9325" i="59"/>
  <c r="A9326" i="59"/>
  <c r="A9327" i="59"/>
  <c r="A9328" i="59"/>
  <c r="A9329" i="59"/>
  <c r="A9330" i="59"/>
  <c r="A9331" i="59"/>
  <c r="A9332" i="59"/>
  <c r="A9333" i="59"/>
  <c r="A9334" i="59"/>
  <c r="A9335" i="59"/>
  <c r="A9336" i="59"/>
  <c r="A9337" i="59"/>
  <c r="A9338" i="59"/>
  <c r="A9339" i="59"/>
  <c r="A9340" i="59"/>
  <c r="A9341" i="59"/>
  <c r="A9342" i="59"/>
  <c r="A9343" i="59"/>
  <c r="A9344" i="59"/>
  <c r="A9345" i="59"/>
  <c r="A9346" i="59"/>
  <c r="A9347" i="59"/>
  <c r="A9348" i="59"/>
  <c r="A9349" i="59"/>
  <c r="A9350" i="59"/>
  <c r="A9351" i="59"/>
  <c r="A9352" i="59"/>
  <c r="A9353" i="59"/>
  <c r="A9354" i="59"/>
  <c r="A9355" i="59"/>
  <c r="A9356" i="59"/>
  <c r="A9357" i="59"/>
  <c r="A9358" i="59"/>
  <c r="A9359" i="59"/>
  <c r="A9360" i="59"/>
  <c r="A9361" i="59"/>
  <c r="A9362" i="59"/>
  <c r="A9363" i="59"/>
  <c r="A9364" i="59"/>
  <c r="A9365" i="59"/>
  <c r="A9366" i="59"/>
  <c r="A9367" i="59"/>
  <c r="A9368" i="59"/>
  <c r="A9369" i="59"/>
  <c r="A9370" i="59"/>
  <c r="A9371" i="59"/>
  <c r="A9372" i="59"/>
  <c r="A9373" i="59"/>
  <c r="A9374" i="59"/>
  <c r="A9375" i="59"/>
  <c r="A9376" i="59"/>
  <c r="A9377" i="59"/>
  <c r="A9378" i="59"/>
  <c r="A9379" i="59"/>
  <c r="A9380" i="59"/>
  <c r="A9381" i="59"/>
  <c r="A9382" i="59"/>
  <c r="A9383" i="59"/>
  <c r="A9384" i="59"/>
  <c r="A9385" i="59"/>
  <c r="A9386" i="59"/>
  <c r="A9387" i="59"/>
  <c r="A9388" i="59"/>
  <c r="A9389" i="59"/>
  <c r="A9390" i="59"/>
  <c r="A9391" i="59"/>
  <c r="A9392" i="59"/>
  <c r="A9393" i="59"/>
  <c r="A9394" i="59"/>
  <c r="A9395" i="59"/>
  <c r="A9396" i="59"/>
  <c r="A9397" i="59"/>
  <c r="A9398" i="59"/>
  <c r="A9399" i="59"/>
  <c r="A9400" i="59"/>
  <c r="A9401" i="59"/>
  <c r="A9402" i="59"/>
  <c r="A9403" i="59"/>
  <c r="A9404" i="59"/>
  <c r="A9405" i="59"/>
  <c r="A9406" i="59"/>
  <c r="A9407" i="59"/>
  <c r="A9408" i="59"/>
  <c r="A9409" i="59"/>
  <c r="A9410" i="59"/>
  <c r="A9411" i="59"/>
  <c r="A9412" i="59"/>
  <c r="A9413" i="59"/>
  <c r="A9414" i="59"/>
  <c r="A9415" i="59"/>
  <c r="A9416" i="59"/>
  <c r="A9417" i="59"/>
  <c r="A9418" i="59"/>
  <c r="A9419" i="59"/>
  <c r="A9420" i="59"/>
  <c r="A9421" i="59"/>
  <c r="A9422" i="59"/>
  <c r="A9423" i="59"/>
  <c r="A9424" i="59"/>
  <c r="A9425" i="59"/>
  <c r="A9426" i="59"/>
  <c r="A9427" i="59"/>
  <c r="A9428" i="59"/>
  <c r="A9429" i="59"/>
  <c r="A9430" i="59"/>
  <c r="A9431" i="59"/>
  <c r="A9432" i="59"/>
  <c r="A9433" i="59"/>
  <c r="A9434" i="59"/>
  <c r="A9435" i="59"/>
  <c r="A9436" i="59"/>
  <c r="A9437" i="59"/>
  <c r="A9438" i="59"/>
  <c r="A9439" i="59"/>
  <c r="A9440" i="59"/>
  <c r="A9441" i="59"/>
  <c r="A9442" i="59"/>
  <c r="A9443" i="59"/>
  <c r="A9444" i="59"/>
  <c r="A9445" i="59"/>
  <c r="A9446" i="59"/>
  <c r="A9447" i="59"/>
  <c r="A9448" i="59"/>
  <c r="A9449" i="59"/>
  <c r="A9450" i="59"/>
  <c r="A9451" i="59"/>
  <c r="A9452" i="59"/>
  <c r="A9453" i="59"/>
  <c r="A9454" i="59"/>
  <c r="A9455" i="59"/>
  <c r="A9456" i="59"/>
  <c r="A9457" i="59"/>
  <c r="A9458" i="59"/>
  <c r="A9459" i="59"/>
  <c r="A9460" i="59"/>
  <c r="A9461" i="59"/>
  <c r="A9462" i="59"/>
  <c r="A9463" i="59"/>
  <c r="A9464" i="59"/>
  <c r="A9465" i="59"/>
  <c r="A9466" i="59"/>
  <c r="A9467" i="59"/>
  <c r="A9468" i="59"/>
  <c r="A9469" i="59"/>
  <c r="A9470" i="59"/>
  <c r="A9471" i="59"/>
  <c r="A9472" i="59"/>
  <c r="A9473" i="59"/>
  <c r="A9474" i="59"/>
  <c r="A9475" i="59"/>
  <c r="A9476" i="59"/>
  <c r="A9477" i="59"/>
  <c r="A9478" i="59"/>
  <c r="A9479" i="59"/>
  <c r="A9480" i="59"/>
  <c r="A9481" i="59"/>
  <c r="A9482" i="59"/>
  <c r="A9483" i="59"/>
  <c r="A9484" i="59"/>
  <c r="A9485" i="59"/>
  <c r="A9486" i="59"/>
  <c r="A9487" i="59"/>
  <c r="A9488" i="59"/>
  <c r="A9489" i="59"/>
  <c r="A9490" i="59"/>
  <c r="A9491" i="59"/>
  <c r="A9492" i="59"/>
  <c r="A9493" i="59"/>
  <c r="A9494" i="59"/>
  <c r="A9495" i="59"/>
  <c r="A9496" i="59"/>
  <c r="A9497" i="59"/>
  <c r="A9498" i="59"/>
  <c r="A9499" i="59"/>
  <c r="A9500" i="59"/>
  <c r="A9501" i="59"/>
  <c r="A9502" i="59"/>
  <c r="A9503" i="59"/>
  <c r="A9504" i="59"/>
  <c r="A9505" i="59"/>
  <c r="A9506" i="59"/>
  <c r="A9507" i="59"/>
  <c r="A9508" i="59"/>
  <c r="A9509" i="59"/>
  <c r="A9510" i="59"/>
  <c r="A9511" i="59"/>
  <c r="A9512" i="59"/>
  <c r="A9513" i="59"/>
  <c r="A9514" i="59"/>
  <c r="A9515" i="59"/>
  <c r="A9516" i="59"/>
  <c r="A9517" i="59"/>
  <c r="A9518" i="59"/>
  <c r="A9519" i="59"/>
  <c r="A9520" i="59"/>
  <c r="A9521" i="59"/>
  <c r="A9522" i="59"/>
  <c r="A9523" i="59"/>
  <c r="A9524" i="59"/>
  <c r="A9525" i="59"/>
  <c r="A9526" i="59"/>
  <c r="A9527" i="59"/>
  <c r="A9528" i="59"/>
  <c r="A9529" i="59"/>
  <c r="A9530" i="59"/>
  <c r="A9531" i="59"/>
  <c r="A9532" i="59"/>
  <c r="A9533" i="59"/>
  <c r="A9534" i="59"/>
  <c r="A9535" i="59"/>
  <c r="A9536" i="59"/>
  <c r="A9537" i="59"/>
  <c r="A9538" i="59"/>
  <c r="A9539" i="59"/>
  <c r="A9540" i="59"/>
  <c r="A9541" i="59"/>
  <c r="A9542" i="59"/>
  <c r="A9543" i="59"/>
  <c r="A9544" i="59"/>
  <c r="A9545" i="59"/>
  <c r="A9546" i="59"/>
  <c r="A9547" i="59"/>
  <c r="A9548" i="59"/>
  <c r="A9549" i="59"/>
  <c r="A9550" i="59"/>
  <c r="A9551" i="59"/>
  <c r="A9552" i="59"/>
  <c r="A9553" i="59"/>
  <c r="A9554" i="59"/>
  <c r="A9555" i="59"/>
  <c r="A9556" i="59"/>
  <c r="A9557" i="59"/>
  <c r="A9558" i="59"/>
  <c r="A9559" i="59"/>
  <c r="A9560" i="59"/>
  <c r="A9561" i="59"/>
  <c r="A9562" i="59"/>
  <c r="A9563" i="59"/>
  <c r="A9564" i="59"/>
  <c r="A9565" i="59"/>
  <c r="A9566" i="59"/>
  <c r="A9567" i="59"/>
  <c r="A9568" i="59"/>
  <c r="A9569" i="59"/>
  <c r="A9570" i="59"/>
  <c r="A9571" i="59"/>
  <c r="A9572" i="59"/>
  <c r="A9573" i="59"/>
  <c r="A9574" i="59"/>
  <c r="A9575" i="59"/>
  <c r="A9576" i="59"/>
  <c r="A9577" i="59"/>
  <c r="A9578" i="59"/>
  <c r="A9579" i="59"/>
  <c r="A9580" i="59"/>
  <c r="A9581" i="59"/>
  <c r="A9582" i="59"/>
  <c r="A9583" i="59"/>
  <c r="A9584" i="59"/>
  <c r="A9585" i="59"/>
  <c r="A9586" i="59"/>
  <c r="A9587" i="59"/>
  <c r="A9588" i="59"/>
  <c r="A9589" i="59"/>
  <c r="A9590" i="59"/>
  <c r="A9591" i="59"/>
  <c r="A9592" i="59"/>
  <c r="A9593" i="59"/>
  <c r="A9594" i="59"/>
  <c r="A9595" i="59"/>
  <c r="A9596" i="59"/>
  <c r="A9597" i="59"/>
  <c r="A9598" i="59"/>
  <c r="A9599" i="59"/>
  <c r="A9600" i="59"/>
  <c r="A9601" i="59"/>
  <c r="A9602" i="59"/>
  <c r="A9603" i="59"/>
  <c r="A9604" i="59"/>
  <c r="A9605" i="59"/>
  <c r="A9606" i="59"/>
  <c r="A9607" i="59"/>
  <c r="A9608" i="59"/>
  <c r="A9609" i="59"/>
  <c r="A9610" i="59"/>
  <c r="A9611" i="59"/>
  <c r="A9612" i="59"/>
  <c r="A9613" i="59"/>
  <c r="A9614" i="59"/>
  <c r="A9615" i="59"/>
  <c r="A9616" i="59"/>
  <c r="A9617" i="59"/>
  <c r="A9618" i="59"/>
  <c r="A9619" i="59"/>
  <c r="A9620" i="59"/>
  <c r="A9621" i="59"/>
  <c r="A9622" i="59"/>
  <c r="A9623" i="59"/>
  <c r="A9624" i="59"/>
  <c r="A9625" i="59"/>
  <c r="A9626" i="59"/>
  <c r="A9627" i="59"/>
  <c r="A9628" i="59"/>
  <c r="A9629" i="59"/>
  <c r="A9630" i="59"/>
  <c r="A9631" i="59"/>
  <c r="A9632" i="59"/>
  <c r="A9633" i="59"/>
  <c r="A9634" i="59"/>
  <c r="A9635" i="59"/>
  <c r="A9636" i="59"/>
  <c r="A9637" i="59"/>
  <c r="A9638" i="59"/>
  <c r="A9639" i="59"/>
  <c r="A9640" i="59"/>
  <c r="A9641" i="59"/>
  <c r="A9642" i="59"/>
  <c r="A9643" i="59"/>
  <c r="A9644" i="59"/>
  <c r="A9645" i="59"/>
  <c r="A9646" i="59"/>
  <c r="A9647" i="59"/>
  <c r="A9648" i="59"/>
  <c r="A9649" i="59"/>
  <c r="A9650" i="59"/>
  <c r="A9651" i="59"/>
  <c r="A9652" i="59"/>
  <c r="A9653" i="59"/>
  <c r="A9654" i="59"/>
  <c r="A9655" i="59"/>
  <c r="A9656" i="59"/>
  <c r="A9657" i="59"/>
  <c r="A9658" i="59"/>
  <c r="A9659" i="59"/>
  <c r="A9660" i="59"/>
  <c r="A9661" i="59"/>
  <c r="A9662" i="59"/>
  <c r="A9663" i="59"/>
  <c r="A9664" i="59"/>
  <c r="A9665" i="59"/>
  <c r="A9666" i="59"/>
  <c r="A9667" i="59"/>
  <c r="A9668" i="59"/>
  <c r="A9669" i="59"/>
  <c r="A9670" i="59"/>
  <c r="A9671" i="59"/>
  <c r="A9672" i="59"/>
  <c r="A9673" i="59"/>
  <c r="A9674" i="59"/>
  <c r="A9675" i="59"/>
  <c r="A9676" i="59"/>
  <c r="A9677" i="59"/>
  <c r="A9678" i="59"/>
  <c r="A9679" i="59"/>
  <c r="A9680" i="59"/>
  <c r="A9681" i="59"/>
  <c r="A9682" i="59"/>
  <c r="A9683" i="59"/>
  <c r="A9684" i="59"/>
  <c r="A9685" i="59"/>
  <c r="A9686" i="59"/>
  <c r="A9687" i="59"/>
  <c r="A9688" i="59"/>
  <c r="A9689" i="59"/>
  <c r="A9690" i="59"/>
  <c r="A9691" i="59"/>
  <c r="A9692" i="59"/>
  <c r="A9693" i="59"/>
  <c r="A9694" i="59"/>
  <c r="A9695" i="59"/>
  <c r="A9696" i="59"/>
  <c r="A9697" i="59"/>
  <c r="A9698" i="59"/>
  <c r="A9699" i="59"/>
  <c r="A9700" i="59"/>
  <c r="A9701" i="59"/>
  <c r="A9702" i="59"/>
  <c r="A9703" i="59"/>
  <c r="A9704" i="59"/>
  <c r="A9705" i="59"/>
  <c r="A9706" i="59"/>
  <c r="A9707" i="59"/>
  <c r="A9708" i="59"/>
  <c r="A9709" i="59"/>
  <c r="A9710" i="59"/>
  <c r="A9711" i="59"/>
  <c r="A9712" i="59"/>
  <c r="A9713" i="59"/>
  <c r="A9714" i="59"/>
  <c r="A9715" i="59"/>
  <c r="A9716" i="59"/>
  <c r="A9717" i="59"/>
  <c r="A9718" i="59"/>
  <c r="A9719" i="59"/>
  <c r="A9720" i="59"/>
  <c r="A9721" i="59"/>
  <c r="A9722" i="59"/>
  <c r="A9723" i="59"/>
  <c r="A9724" i="59"/>
  <c r="A9725" i="59"/>
  <c r="A9726" i="59"/>
  <c r="A9727" i="59"/>
  <c r="A9728" i="59"/>
  <c r="A9729" i="59"/>
  <c r="A9730" i="59"/>
  <c r="A9731" i="59"/>
  <c r="A9732" i="59"/>
  <c r="A9733" i="59"/>
  <c r="A9734" i="59"/>
  <c r="A9735" i="59"/>
  <c r="A9736" i="59"/>
  <c r="A9737" i="59"/>
  <c r="A9738" i="59"/>
  <c r="A9739" i="59"/>
  <c r="A9740" i="59"/>
  <c r="A9741" i="59"/>
  <c r="A9742" i="59"/>
  <c r="A9743" i="59"/>
  <c r="A9744" i="59"/>
  <c r="A9745" i="59"/>
  <c r="A9746" i="59"/>
  <c r="A9747" i="59"/>
  <c r="A9748" i="59"/>
  <c r="A9749" i="59"/>
  <c r="A9750" i="59"/>
  <c r="A9751" i="59"/>
  <c r="A9752" i="59"/>
  <c r="A9753" i="59"/>
  <c r="A9754" i="59"/>
  <c r="A9755" i="59"/>
  <c r="A9756" i="59"/>
  <c r="A9757" i="59"/>
  <c r="A9758" i="59"/>
  <c r="A9759" i="59"/>
  <c r="A9760" i="59"/>
  <c r="A9761" i="59"/>
  <c r="A9762" i="59"/>
  <c r="A9763" i="59"/>
  <c r="A9764" i="59"/>
  <c r="A9765" i="59"/>
  <c r="A9766" i="59"/>
  <c r="A9767" i="59"/>
  <c r="A9768" i="59"/>
  <c r="A9769" i="59"/>
  <c r="A9770" i="59"/>
  <c r="A9771" i="59"/>
  <c r="A9772" i="59"/>
  <c r="A9773" i="59"/>
  <c r="A9774" i="59"/>
  <c r="A9775" i="59"/>
  <c r="A9776" i="59"/>
  <c r="A9777" i="59"/>
  <c r="A9778" i="59"/>
  <c r="A9779" i="59"/>
  <c r="A9780" i="59"/>
  <c r="A9781" i="59"/>
  <c r="A9782" i="59"/>
  <c r="A9783" i="59"/>
  <c r="A9784" i="59"/>
  <c r="A9785" i="59"/>
  <c r="A9786" i="59"/>
  <c r="A9787" i="59"/>
  <c r="A9788" i="59"/>
  <c r="A9789" i="59"/>
  <c r="A9790" i="59"/>
  <c r="A9791" i="59"/>
  <c r="A9792" i="59"/>
  <c r="A9793" i="59"/>
  <c r="A9794" i="59"/>
  <c r="A9795" i="59"/>
  <c r="A9796" i="59"/>
  <c r="A9797" i="59"/>
  <c r="A9798" i="59"/>
  <c r="A9799" i="59"/>
  <c r="A9800" i="59"/>
  <c r="A9801" i="59"/>
  <c r="A9802" i="59"/>
  <c r="A9803" i="59"/>
  <c r="A9804" i="59"/>
  <c r="A9805" i="59"/>
  <c r="A9806" i="59"/>
  <c r="A9807" i="59"/>
  <c r="A9808" i="59"/>
  <c r="A9809" i="59"/>
  <c r="A9810" i="59"/>
  <c r="A9811" i="59"/>
  <c r="A9812" i="59"/>
  <c r="A9813" i="59"/>
  <c r="A9814" i="59"/>
  <c r="A9815" i="59"/>
  <c r="A9816" i="59"/>
  <c r="A9817" i="59"/>
  <c r="A9818" i="59"/>
  <c r="A9819" i="59"/>
  <c r="A9820" i="59"/>
  <c r="A9821" i="59"/>
  <c r="A9822" i="59"/>
  <c r="A9823" i="59"/>
  <c r="A9824" i="59"/>
  <c r="A9825" i="59"/>
  <c r="A9826" i="59"/>
  <c r="A9827" i="59"/>
  <c r="A9828" i="59"/>
  <c r="A9829" i="59"/>
  <c r="A9830" i="59"/>
  <c r="A9831" i="59"/>
  <c r="A9832" i="59"/>
  <c r="A9833" i="59"/>
  <c r="A9834" i="59"/>
  <c r="A9835" i="59"/>
  <c r="A9836" i="59"/>
  <c r="A9837" i="59"/>
  <c r="A9838" i="59"/>
  <c r="A9839" i="59"/>
  <c r="A9840" i="59"/>
  <c r="A9841" i="59"/>
  <c r="A9842" i="59"/>
  <c r="A9843" i="59"/>
  <c r="A9844" i="59"/>
  <c r="A9845" i="59"/>
  <c r="A9846" i="59"/>
  <c r="A9847" i="59"/>
  <c r="A9848" i="59"/>
  <c r="A9849" i="59"/>
  <c r="A9850" i="59"/>
  <c r="A9851" i="59"/>
  <c r="A9852" i="59"/>
  <c r="A9853" i="59"/>
  <c r="A9854" i="59"/>
  <c r="A9855" i="59"/>
  <c r="A9856" i="59"/>
  <c r="A9857" i="59"/>
  <c r="A9858" i="59"/>
  <c r="A9859" i="59"/>
  <c r="A9860" i="59"/>
  <c r="A9861" i="59"/>
  <c r="A9862" i="59"/>
  <c r="A9863" i="59"/>
  <c r="A9864" i="59"/>
  <c r="A9865" i="59"/>
  <c r="A9866" i="59"/>
  <c r="A9867" i="59"/>
  <c r="A9868" i="59"/>
  <c r="A9869" i="59"/>
  <c r="A9870" i="59"/>
  <c r="A9871" i="59"/>
  <c r="A9872" i="59"/>
  <c r="A9873" i="59"/>
  <c r="A9874" i="59"/>
  <c r="A9875" i="59"/>
  <c r="A9876" i="59"/>
  <c r="A9877" i="59"/>
  <c r="A9878" i="59"/>
  <c r="A9879" i="59"/>
  <c r="A9880" i="59"/>
  <c r="A9881" i="59"/>
  <c r="A9882" i="59"/>
  <c r="A9883" i="59"/>
  <c r="A9884" i="59"/>
  <c r="A9885" i="59"/>
  <c r="A9886" i="59"/>
  <c r="A9887" i="59"/>
  <c r="A9888" i="59"/>
  <c r="A9889" i="59"/>
  <c r="A9890" i="59"/>
  <c r="A9891" i="59"/>
  <c r="A9892" i="59"/>
  <c r="A9893" i="59"/>
  <c r="A9894" i="59"/>
  <c r="A9895" i="59"/>
  <c r="A9896" i="59"/>
  <c r="A9897" i="59"/>
  <c r="A9898" i="59"/>
  <c r="A9899" i="59"/>
  <c r="A9900" i="59"/>
  <c r="A9901" i="59"/>
  <c r="A9902" i="59"/>
  <c r="A9903" i="59"/>
  <c r="A9904" i="59"/>
  <c r="A9905" i="59"/>
  <c r="A9906" i="59"/>
  <c r="A9907" i="59"/>
  <c r="A9908" i="59"/>
  <c r="A9909" i="59"/>
  <c r="A9910" i="59"/>
  <c r="A9911" i="59"/>
  <c r="A9912" i="59"/>
  <c r="A9913" i="59"/>
  <c r="A9914" i="59"/>
  <c r="A9915" i="59"/>
  <c r="A9916" i="59"/>
  <c r="A9917" i="59"/>
  <c r="A9918" i="59"/>
  <c r="A9919" i="59"/>
  <c r="A9920" i="59"/>
  <c r="A9921" i="59"/>
  <c r="A9922" i="59"/>
  <c r="A9923" i="59"/>
  <c r="A9924" i="59"/>
  <c r="A9925" i="59"/>
  <c r="A9926" i="59"/>
  <c r="A9927" i="59"/>
  <c r="A9928" i="59"/>
  <c r="A9929" i="59"/>
  <c r="A9930" i="59"/>
  <c r="A9931" i="59"/>
  <c r="A9932" i="59"/>
  <c r="A9933" i="59"/>
  <c r="A9934" i="59"/>
  <c r="A9935" i="59"/>
  <c r="A9936" i="59"/>
  <c r="A9937" i="59"/>
  <c r="A9938" i="59"/>
  <c r="A9939" i="59"/>
  <c r="A9940" i="59"/>
  <c r="A9941" i="59"/>
  <c r="A9942" i="59"/>
  <c r="A9943" i="59"/>
  <c r="A9944" i="59"/>
  <c r="A9945" i="59"/>
  <c r="A9946" i="59"/>
  <c r="A9947" i="59"/>
  <c r="A9948" i="59"/>
  <c r="A9949" i="59"/>
  <c r="A9950" i="59"/>
  <c r="A9951" i="59"/>
  <c r="A9952" i="59"/>
  <c r="A9953" i="59"/>
  <c r="A9954" i="59"/>
  <c r="A9955" i="59"/>
  <c r="A9956" i="59"/>
  <c r="A9957" i="59"/>
  <c r="A9958" i="59"/>
  <c r="A9959" i="59"/>
  <c r="A9960" i="59"/>
  <c r="A9961" i="59"/>
  <c r="A9962" i="59"/>
  <c r="A9963" i="59"/>
  <c r="A9964" i="59"/>
  <c r="A9965" i="59"/>
  <c r="A9966" i="59"/>
  <c r="A9967" i="59"/>
  <c r="A9968" i="59"/>
  <c r="A9969" i="59"/>
  <c r="A9970" i="59"/>
  <c r="A9971" i="59"/>
  <c r="A9972" i="59"/>
  <c r="A9973" i="59"/>
  <c r="A9974" i="59"/>
  <c r="A9975" i="59"/>
  <c r="A9976" i="59"/>
  <c r="A9977" i="59"/>
  <c r="A9978" i="59"/>
  <c r="A9979" i="59"/>
  <c r="A9980" i="59"/>
  <c r="A9981" i="59"/>
  <c r="A9982" i="59"/>
  <c r="A9983" i="59"/>
  <c r="A9984" i="59"/>
  <c r="A9985" i="59"/>
  <c r="A9986" i="59"/>
  <c r="A9987" i="59"/>
  <c r="A9988" i="59"/>
  <c r="A9989" i="59"/>
  <c r="A9990" i="59"/>
  <c r="A9991" i="59"/>
  <c r="A9992" i="59"/>
  <c r="A9993" i="59"/>
  <c r="A9994" i="59"/>
  <c r="A9995" i="59"/>
  <c r="A9996" i="59"/>
  <c r="A9997" i="59"/>
  <c r="A9998" i="59"/>
  <c r="A9999" i="59"/>
  <c r="A10000" i="59"/>
  <c r="A10001" i="59"/>
  <c r="A10002" i="59"/>
  <c r="A10003" i="59"/>
  <c r="A10004" i="59"/>
  <c r="A10005" i="59"/>
  <c r="A10006" i="59"/>
  <c r="A10007" i="59"/>
  <c r="A10008" i="59"/>
  <c r="A10009" i="59"/>
  <c r="A10010" i="59"/>
  <c r="A10011" i="59"/>
  <c r="A10012" i="59"/>
  <c r="A10013" i="59"/>
  <c r="A10014" i="59"/>
  <c r="A10015" i="59"/>
  <c r="A10016" i="59"/>
  <c r="A10017" i="59"/>
  <c r="A10018" i="59"/>
  <c r="A10019" i="59"/>
  <c r="A10020" i="59"/>
  <c r="A10021" i="59"/>
  <c r="A10022" i="59"/>
  <c r="A10023" i="59"/>
  <c r="A10024" i="59"/>
  <c r="A10025" i="59"/>
  <c r="A10026" i="59"/>
  <c r="A10027" i="59"/>
  <c r="A10028" i="59"/>
  <c r="A10029" i="59"/>
  <c r="A10030" i="59"/>
  <c r="A10031" i="59"/>
  <c r="A10032" i="59"/>
  <c r="A10033" i="59"/>
  <c r="A10034" i="59"/>
  <c r="A10035" i="59"/>
  <c r="A10036" i="59"/>
  <c r="A10037" i="59"/>
  <c r="A10038" i="59"/>
  <c r="A10039" i="59"/>
  <c r="A10040" i="59"/>
  <c r="A10041" i="59"/>
  <c r="A10042" i="59"/>
  <c r="A10043" i="59"/>
  <c r="A10044" i="59"/>
  <c r="A10045" i="59"/>
  <c r="A10046" i="59"/>
  <c r="A10047" i="59"/>
  <c r="A10048" i="59"/>
  <c r="A10049" i="59"/>
  <c r="A10050" i="59"/>
  <c r="A10051" i="59"/>
  <c r="A10052" i="59"/>
  <c r="A10053" i="59"/>
  <c r="A10054" i="59"/>
  <c r="A10055" i="59"/>
  <c r="A10056" i="59"/>
  <c r="A10057" i="59"/>
  <c r="A10058" i="59"/>
  <c r="A10059" i="59"/>
  <c r="A10060" i="59"/>
  <c r="A10061" i="59"/>
  <c r="A10062" i="59"/>
  <c r="A10063" i="59"/>
  <c r="A10064" i="59"/>
  <c r="A10065" i="59"/>
  <c r="A10066" i="59"/>
  <c r="A10067" i="59"/>
  <c r="A10068" i="59"/>
  <c r="A10069" i="59"/>
  <c r="A10070" i="59"/>
  <c r="A10071" i="59"/>
  <c r="A10072" i="59"/>
  <c r="A10073" i="59"/>
  <c r="A10074" i="59"/>
  <c r="A10075" i="59"/>
  <c r="A10076" i="59"/>
  <c r="A10077" i="59"/>
  <c r="A10078" i="59"/>
  <c r="A10079" i="59"/>
  <c r="A10080" i="59"/>
  <c r="A10081" i="59"/>
  <c r="A10082" i="59"/>
  <c r="A10083" i="59"/>
  <c r="A10084" i="59"/>
  <c r="A10085" i="59"/>
  <c r="A10086" i="59"/>
  <c r="A10087" i="59"/>
  <c r="A10088" i="59"/>
  <c r="A10089" i="59"/>
  <c r="A10090" i="59"/>
  <c r="A10091" i="59"/>
  <c r="A10092" i="59"/>
  <c r="A10093" i="59"/>
  <c r="A10094" i="59"/>
  <c r="A10095" i="59"/>
  <c r="A10096" i="59"/>
  <c r="A10097" i="59"/>
  <c r="A10098" i="59"/>
  <c r="A10099" i="59"/>
  <c r="A10100" i="59"/>
  <c r="A10101" i="59"/>
  <c r="A10102" i="59"/>
  <c r="A10103" i="59"/>
  <c r="A10104" i="59"/>
  <c r="A10105" i="59"/>
  <c r="A10106" i="59"/>
  <c r="A10107" i="59"/>
  <c r="A10108" i="59"/>
  <c r="A10109" i="59"/>
  <c r="A10110" i="59"/>
  <c r="A10111" i="59"/>
  <c r="A10112" i="59"/>
  <c r="A10113" i="59"/>
  <c r="A10114" i="59"/>
  <c r="A10115" i="59"/>
  <c r="A10116" i="59"/>
  <c r="A10117" i="59"/>
  <c r="A10118" i="59"/>
  <c r="A10119" i="59"/>
  <c r="A10120" i="59"/>
  <c r="A10121" i="59"/>
  <c r="A10122" i="59"/>
  <c r="A10123" i="59"/>
  <c r="A10124" i="59"/>
  <c r="A10125" i="59"/>
  <c r="A10126" i="59"/>
  <c r="A10127" i="59"/>
  <c r="A10128" i="59"/>
  <c r="A10129" i="59"/>
  <c r="A10130" i="59"/>
  <c r="A10131" i="59"/>
  <c r="A10132" i="59"/>
  <c r="A10133" i="59"/>
  <c r="A10134" i="59"/>
  <c r="A10135" i="59"/>
  <c r="A10136" i="59"/>
  <c r="A10137" i="59"/>
  <c r="A10138" i="59"/>
  <c r="A10139" i="59"/>
  <c r="A10140" i="59"/>
  <c r="A10141" i="59"/>
  <c r="A10142" i="59"/>
  <c r="A10143" i="59"/>
  <c r="A10144" i="59"/>
  <c r="A10145" i="59"/>
  <c r="A10146" i="59"/>
  <c r="A10147" i="59"/>
  <c r="A10148" i="59"/>
  <c r="A10149" i="59"/>
  <c r="A10150" i="59"/>
  <c r="A10151" i="59"/>
  <c r="A10152" i="59"/>
  <c r="A10153" i="59"/>
  <c r="A10154" i="59"/>
  <c r="A10155" i="59"/>
  <c r="A10156" i="59"/>
  <c r="A10157" i="59"/>
  <c r="A10158" i="59"/>
  <c r="A10159" i="59"/>
  <c r="A10160" i="59"/>
  <c r="A10161" i="59"/>
  <c r="A10162" i="59"/>
  <c r="A10163" i="59"/>
  <c r="A10164" i="59"/>
  <c r="A10165" i="59"/>
  <c r="A10166" i="59"/>
  <c r="A10167" i="59"/>
  <c r="A10168" i="59"/>
  <c r="A10169" i="59"/>
  <c r="A10170" i="59"/>
  <c r="A10171" i="59"/>
  <c r="A10172" i="59"/>
  <c r="A10173" i="59"/>
  <c r="A10174" i="59"/>
  <c r="A10175" i="59"/>
  <c r="A10176" i="59"/>
  <c r="A10177" i="59"/>
  <c r="A10178" i="59"/>
  <c r="A10179" i="59"/>
  <c r="A10180" i="59"/>
  <c r="A10181" i="59"/>
  <c r="A10182" i="59"/>
  <c r="A10183" i="59"/>
  <c r="A10184" i="59"/>
  <c r="A10185" i="59"/>
  <c r="A10186" i="59"/>
  <c r="A10187" i="59"/>
  <c r="A10188" i="59"/>
  <c r="A10189" i="59"/>
  <c r="A10190" i="59"/>
  <c r="A10191" i="59"/>
  <c r="A10192" i="59"/>
  <c r="A10193" i="59"/>
  <c r="A10194" i="59"/>
  <c r="A10195" i="59"/>
  <c r="A10196" i="59"/>
  <c r="A10197" i="59"/>
  <c r="A10198" i="59"/>
  <c r="A10199" i="59"/>
  <c r="A10200" i="59"/>
  <c r="A10201" i="59"/>
  <c r="A10202" i="59"/>
  <c r="A10203" i="59"/>
  <c r="A10204" i="59"/>
  <c r="A10205" i="59"/>
  <c r="A10206" i="59"/>
  <c r="A10207" i="59"/>
  <c r="A10208" i="59"/>
  <c r="A10209" i="59"/>
  <c r="A10210" i="59"/>
  <c r="A10211" i="59"/>
  <c r="A10212" i="59"/>
  <c r="A10213" i="59"/>
  <c r="A10214" i="59"/>
  <c r="A10215" i="59"/>
  <c r="A10216" i="59"/>
  <c r="A10217" i="59"/>
  <c r="A10218" i="59"/>
  <c r="A10219" i="59"/>
  <c r="A10220" i="59"/>
  <c r="A10221" i="59"/>
  <c r="A10222" i="59"/>
  <c r="A10223" i="59"/>
  <c r="A10224" i="59"/>
  <c r="A10225" i="59"/>
  <c r="A10226" i="59"/>
  <c r="A10227" i="59"/>
  <c r="A10228" i="59"/>
  <c r="A10229" i="59"/>
  <c r="A10230" i="59"/>
  <c r="A10231" i="59"/>
  <c r="A10232" i="59"/>
  <c r="A10233" i="59"/>
  <c r="A10234" i="59"/>
  <c r="A10235" i="59"/>
  <c r="A10236" i="59"/>
  <c r="A10237" i="59"/>
  <c r="A10238" i="59"/>
  <c r="A10239" i="59"/>
  <c r="A10240" i="59"/>
  <c r="A10241" i="59"/>
  <c r="A10242" i="59"/>
  <c r="A10243" i="59"/>
  <c r="A10244" i="59"/>
  <c r="A10245" i="59"/>
  <c r="A10246" i="59"/>
  <c r="A10247" i="59"/>
  <c r="A10248" i="59"/>
  <c r="A10249" i="59"/>
  <c r="A10250" i="59"/>
  <c r="A10251" i="59"/>
  <c r="A10252" i="59"/>
  <c r="A10253" i="59"/>
  <c r="A10254" i="59"/>
  <c r="A10255" i="59"/>
  <c r="A10256" i="59"/>
  <c r="A10257" i="59"/>
  <c r="A10258" i="59"/>
  <c r="A10259" i="59"/>
  <c r="A10260" i="59"/>
  <c r="A10261" i="59"/>
  <c r="A10262" i="59"/>
  <c r="A10263" i="59"/>
  <c r="A10264" i="59"/>
  <c r="A10265" i="59"/>
  <c r="A10266" i="59"/>
  <c r="A10267" i="59"/>
  <c r="A10268" i="59"/>
  <c r="A10269" i="59"/>
  <c r="A10270" i="59"/>
  <c r="A10271" i="59"/>
  <c r="A10272" i="59"/>
  <c r="A10273" i="59"/>
  <c r="A10274" i="59"/>
  <c r="A10275" i="59"/>
  <c r="A10276" i="59"/>
  <c r="A10277" i="59"/>
  <c r="A10278" i="59"/>
  <c r="A10279" i="59"/>
  <c r="A10280" i="59"/>
  <c r="A10281" i="59"/>
  <c r="A10282" i="59"/>
  <c r="A10283" i="59"/>
  <c r="A10284" i="59"/>
  <c r="A10285" i="59"/>
  <c r="A10286" i="59"/>
  <c r="A10287" i="59"/>
  <c r="A10288" i="59"/>
  <c r="A10289" i="59"/>
  <c r="A10290" i="59"/>
  <c r="A10291" i="59"/>
  <c r="A10292" i="59"/>
  <c r="A10293" i="59"/>
  <c r="A10294" i="59"/>
  <c r="A10295" i="59"/>
  <c r="A10296" i="59"/>
  <c r="A10297" i="59"/>
  <c r="A10298" i="59"/>
  <c r="A10299" i="59"/>
  <c r="A10300" i="59"/>
  <c r="A10301" i="59"/>
  <c r="A10302" i="59"/>
  <c r="A10303" i="59"/>
  <c r="A10304" i="59"/>
  <c r="A10305" i="59"/>
  <c r="A10306" i="59"/>
  <c r="A10307" i="59"/>
  <c r="A10308" i="59"/>
  <c r="A10309" i="59"/>
  <c r="A10310" i="59"/>
  <c r="A10311" i="59"/>
  <c r="BL4" i="40"/>
  <c r="BK4" i="40"/>
  <c r="BJ4" i="40"/>
  <c r="BI4" i="40"/>
  <c r="BH4" i="40"/>
  <c r="BE4" i="40"/>
  <c r="BD4" i="40"/>
  <c r="BC4" i="40"/>
  <c r="BB4" i="40"/>
  <c r="BA4" i="40"/>
  <c r="AU4" i="40"/>
  <c r="AW4" i="40" s="1"/>
  <c r="AT4" i="40"/>
  <c r="AS4" i="40"/>
  <c r="AR4" i="40"/>
  <c r="AQ4" i="40"/>
  <c r="AP4" i="40"/>
  <c r="AN4" i="40"/>
  <c r="AM4" i="40"/>
  <c r="AL4" i="40"/>
  <c r="AK4" i="40"/>
  <c r="AJ4" i="40"/>
  <c r="AI4" i="40"/>
  <c r="AG4" i="40"/>
  <c r="AF4" i="40"/>
  <c r="AE4" i="40"/>
  <c r="AD4" i="40"/>
  <c r="AC4" i="40"/>
  <c r="AB4" i="40"/>
  <c r="Z4" i="40"/>
  <c r="Y4" i="40"/>
  <c r="X4" i="40"/>
  <c r="W4" i="40"/>
  <c r="V4" i="40"/>
  <c r="U4" i="40"/>
  <c r="T4" i="40"/>
  <c r="S4" i="40"/>
  <c r="R4" i="40"/>
  <c r="Q4" i="40"/>
  <c r="O4" i="40"/>
  <c r="N4" i="40"/>
  <c r="K4" i="40"/>
  <c r="L4" i="40"/>
  <c r="H4" i="40"/>
  <c r="I4" i="40"/>
  <c r="J4" i="40"/>
  <c r="G4" i="40"/>
  <c r="A1" i="59"/>
  <c r="CA3" i="40"/>
  <c r="CA4" i="40"/>
  <c r="A8455" i="59"/>
  <c r="A8454" i="59"/>
  <c r="A8453" i="59"/>
  <c r="A8452" i="59"/>
  <c r="A8451" i="59"/>
  <c r="A8450" i="59"/>
  <c r="A8449" i="59"/>
  <c r="A8448" i="59"/>
  <c r="A8447" i="59"/>
  <c r="A8446" i="59"/>
  <c r="A8445" i="59"/>
  <c r="A8444" i="59"/>
  <c r="A8443" i="59"/>
  <c r="A8442" i="59"/>
  <c r="A8441" i="59"/>
  <c r="A8440" i="59"/>
  <c r="A8439" i="59"/>
  <c r="A8438" i="59"/>
  <c r="A8437" i="59"/>
  <c r="A8436" i="59"/>
  <c r="A8435" i="59"/>
  <c r="A8434" i="59"/>
  <c r="A8433" i="59"/>
  <c r="A8432" i="59"/>
  <c r="A8431" i="59"/>
  <c r="A8430" i="59"/>
  <c r="A8429" i="59"/>
  <c r="A8428" i="59"/>
  <c r="A8427" i="59"/>
  <c r="A8426" i="59"/>
  <c r="A8425" i="59"/>
  <c r="A8424" i="59"/>
  <c r="A8423" i="59"/>
  <c r="A8422" i="59"/>
  <c r="A8421" i="59"/>
  <c r="A8420" i="59"/>
  <c r="A8419" i="59"/>
  <c r="A8418" i="59"/>
  <c r="A8417" i="59"/>
  <c r="A8416" i="59"/>
  <c r="A8415" i="59"/>
  <c r="A8414" i="59"/>
  <c r="A8413" i="59"/>
  <c r="A8412" i="59"/>
  <c r="A8411" i="59"/>
  <c r="A8410" i="59"/>
  <c r="A8409" i="59"/>
  <c r="A8408" i="59"/>
  <c r="A8407" i="59"/>
  <c r="A8406" i="59"/>
  <c r="A8405" i="59"/>
  <c r="A8404" i="59"/>
  <c r="A8403" i="59"/>
  <c r="A8402" i="59"/>
  <c r="A8401" i="59"/>
  <c r="A8400" i="59"/>
  <c r="A8399" i="59"/>
  <c r="A8398" i="59"/>
  <c r="A8397" i="59"/>
  <c r="A8396" i="59"/>
  <c r="A8395" i="59"/>
  <c r="A8394" i="59"/>
  <c r="A8393" i="59"/>
  <c r="A8392" i="59"/>
  <c r="A8391" i="59"/>
  <c r="A8390" i="59"/>
  <c r="A8389" i="59"/>
  <c r="A8388" i="59"/>
  <c r="A8387" i="59"/>
  <c r="A8386" i="59"/>
  <c r="A8385" i="59"/>
  <c r="A8384" i="59"/>
  <c r="A8383" i="59"/>
  <c r="A8382" i="59"/>
  <c r="A8381" i="59"/>
  <c r="A8380" i="59"/>
  <c r="A8379" i="59"/>
  <c r="A8378" i="59"/>
  <c r="A8377" i="59"/>
  <c r="A8376" i="59"/>
  <c r="A8375" i="59"/>
  <c r="A8374" i="59"/>
  <c r="A8373" i="59"/>
  <c r="A8372" i="59"/>
  <c r="A8371" i="59"/>
  <c r="A8370" i="59"/>
  <c r="A8369" i="59"/>
  <c r="A8368" i="59"/>
  <c r="A8367" i="59"/>
  <c r="A8366" i="59"/>
  <c r="A8365" i="59"/>
  <c r="A8364" i="59"/>
  <c r="A8363" i="59"/>
  <c r="A8362" i="59"/>
  <c r="A8361" i="59"/>
  <c r="A8360" i="59"/>
  <c r="A8359" i="59"/>
  <c r="A8358" i="59"/>
  <c r="A8357" i="59"/>
  <c r="A8356" i="59"/>
  <c r="A8355" i="59"/>
  <c r="A8354" i="59"/>
  <c r="A8353" i="59"/>
  <c r="A8352" i="59"/>
  <c r="A8351" i="59"/>
  <c r="A8350" i="59"/>
  <c r="A8349" i="59"/>
  <c r="A8348" i="59"/>
  <c r="A8347" i="59"/>
  <c r="A8346" i="59"/>
  <c r="A8345" i="59"/>
  <c r="A8344" i="59"/>
  <c r="A8343" i="59"/>
  <c r="A8342" i="59"/>
  <c r="A8341" i="59"/>
  <c r="A8340" i="59"/>
  <c r="A8339" i="59"/>
  <c r="A8338" i="59"/>
  <c r="A8337" i="59"/>
  <c r="A8336" i="59"/>
  <c r="A8335" i="59"/>
  <c r="A8334" i="59"/>
  <c r="A8333" i="59"/>
  <c r="A8332" i="59"/>
  <c r="A8331" i="59"/>
  <c r="A8330" i="59"/>
  <c r="A8329" i="59"/>
  <c r="A8328" i="59"/>
  <c r="A8327" i="59"/>
  <c r="A8326" i="59"/>
  <c r="A8325" i="59"/>
  <c r="A8324" i="59"/>
  <c r="A8323" i="59"/>
  <c r="A8322" i="59"/>
  <c r="A8321" i="59"/>
  <c r="A8320" i="59"/>
  <c r="A8319" i="59"/>
  <c r="A8318" i="59"/>
  <c r="A8317" i="59"/>
  <c r="A8316" i="59"/>
  <c r="A8315" i="59"/>
  <c r="A8314" i="59"/>
  <c r="A8313" i="59"/>
  <c r="A8312" i="59"/>
  <c r="A8311" i="59"/>
  <c r="A8310" i="59"/>
  <c r="A8309" i="59"/>
  <c r="A8308" i="59"/>
  <c r="A8307" i="59"/>
  <c r="A8306" i="59"/>
  <c r="A8305" i="59"/>
  <c r="A8304" i="59"/>
  <c r="A8303" i="59"/>
  <c r="A8302" i="59"/>
  <c r="A8301" i="59"/>
  <c r="A8300" i="59"/>
  <c r="A8299" i="59"/>
  <c r="A8298" i="59"/>
  <c r="A8297" i="59"/>
  <c r="A8296" i="59"/>
  <c r="A8295" i="59"/>
  <c r="A8294" i="59"/>
  <c r="A8293" i="59"/>
  <c r="A8292" i="59"/>
  <c r="A8291" i="59"/>
  <c r="A8290" i="59"/>
  <c r="A8289" i="59"/>
  <c r="A8288" i="59"/>
  <c r="A8287" i="59"/>
  <c r="A8286" i="59"/>
  <c r="A8285" i="59"/>
  <c r="A8284" i="59"/>
  <c r="A8283" i="59"/>
  <c r="A8282" i="59"/>
  <c r="A8281" i="59"/>
  <c r="A8280" i="59"/>
  <c r="A8279" i="59"/>
  <c r="A8278" i="59"/>
  <c r="A8277" i="59"/>
  <c r="A8276" i="59"/>
  <c r="A8275" i="59"/>
  <c r="A8274" i="59"/>
  <c r="A8273" i="59"/>
  <c r="A8272" i="59"/>
  <c r="A8271" i="59"/>
  <c r="A8270" i="59"/>
  <c r="A8269" i="59"/>
  <c r="A8268" i="59"/>
  <c r="A8267" i="59"/>
  <c r="A8266" i="59"/>
  <c r="A8265" i="59"/>
  <c r="A8264" i="59"/>
  <c r="A8263" i="59"/>
  <c r="A8262" i="59"/>
  <c r="A8261" i="59"/>
  <c r="A8260" i="59"/>
  <c r="A8259" i="59"/>
  <c r="A8258" i="59"/>
  <c r="A8257" i="59"/>
  <c r="A8256" i="59"/>
  <c r="A8255" i="59"/>
  <c r="A8254" i="59"/>
  <c r="A8253" i="59"/>
  <c r="A8252" i="59"/>
  <c r="A8251" i="59"/>
  <c r="A8250" i="59"/>
  <c r="A8249" i="59"/>
  <c r="A8248" i="59"/>
  <c r="A8247" i="59"/>
  <c r="A8246" i="59"/>
  <c r="A8245" i="59"/>
  <c r="A8244" i="59"/>
  <c r="A8243" i="59"/>
  <c r="A8242" i="59"/>
  <c r="A8241" i="59"/>
  <c r="A8240" i="59"/>
  <c r="A8239" i="59"/>
  <c r="A8238" i="59"/>
  <c r="A8237" i="59"/>
  <c r="A8236" i="59"/>
  <c r="A8235" i="59"/>
  <c r="A8234" i="59"/>
  <c r="A8233" i="59"/>
  <c r="A8232" i="59"/>
  <c r="A8231" i="59"/>
  <c r="A8230" i="59"/>
  <c r="A8229" i="59"/>
  <c r="A8228" i="59"/>
  <c r="A8227" i="59"/>
  <c r="A8226" i="59"/>
  <c r="A8225" i="59"/>
  <c r="A8224" i="59"/>
  <c r="A8223" i="59"/>
  <c r="A8222" i="59"/>
  <c r="A8221" i="59"/>
  <c r="A8220" i="59"/>
  <c r="A8219" i="59"/>
  <c r="A8218" i="59"/>
  <c r="A8217" i="59"/>
  <c r="A8216" i="59"/>
  <c r="A8215" i="59"/>
  <c r="A8214" i="59"/>
  <c r="A8213" i="59"/>
  <c r="A8212" i="59"/>
  <c r="A8211" i="59"/>
  <c r="A8210" i="59"/>
  <c r="A8209" i="59"/>
  <c r="A8208" i="59"/>
  <c r="A8207" i="59"/>
  <c r="A8206" i="59"/>
  <c r="A8205" i="59"/>
  <c r="A8204" i="59"/>
  <c r="A8203" i="59"/>
  <c r="A8202" i="59"/>
  <c r="A8201" i="59"/>
  <c r="A8200" i="59"/>
  <c r="A8199" i="59"/>
  <c r="A8198" i="59"/>
  <c r="A8197" i="59"/>
  <c r="A8196" i="59"/>
  <c r="A8195" i="59"/>
  <c r="A8194" i="59"/>
  <c r="A8193" i="59"/>
  <c r="A8192" i="59"/>
  <c r="A8191" i="59"/>
  <c r="A8190" i="59"/>
  <c r="A8189" i="59"/>
  <c r="A8188" i="59"/>
  <c r="A8187" i="59"/>
  <c r="A8186" i="59"/>
  <c r="A8185" i="59"/>
  <c r="A8184" i="59"/>
  <c r="A8183" i="59"/>
  <c r="A8182" i="59"/>
  <c r="A8181" i="59"/>
  <c r="A8180" i="59"/>
  <c r="A8179" i="59"/>
  <c r="A8178" i="59"/>
  <c r="A8177" i="59"/>
  <c r="A8176" i="59"/>
  <c r="A8175" i="59"/>
  <c r="A8174" i="59"/>
  <c r="A8173" i="59"/>
  <c r="A8172" i="59"/>
  <c r="A8171" i="59"/>
  <c r="A8170" i="59"/>
  <c r="A8169" i="59"/>
  <c r="A8168" i="59"/>
  <c r="A8167" i="59"/>
  <c r="A8166" i="59"/>
  <c r="A8165" i="59"/>
  <c r="A8164" i="59"/>
  <c r="A8163" i="59"/>
  <c r="A8162" i="59"/>
  <c r="A8161" i="59"/>
  <c r="A8160" i="59"/>
  <c r="A8159" i="59"/>
  <c r="A8158" i="59"/>
  <c r="A8157" i="59"/>
  <c r="A8156" i="59"/>
  <c r="A8155" i="59"/>
  <c r="A8154" i="59"/>
  <c r="A8153" i="59"/>
  <c r="A8152" i="59"/>
  <c r="A8151" i="59"/>
  <c r="A8150" i="59"/>
  <c r="A8149" i="59"/>
  <c r="A8148" i="59"/>
  <c r="A8147" i="59"/>
  <c r="A8146" i="59"/>
  <c r="A8145" i="59"/>
  <c r="A8144" i="59"/>
  <c r="A8143" i="59"/>
  <c r="A8142" i="59"/>
  <c r="A8141" i="59"/>
  <c r="A8140" i="59"/>
  <c r="A8139" i="59"/>
  <c r="A8138" i="59"/>
  <c r="A8137" i="59"/>
  <c r="A8136" i="59"/>
  <c r="A8135" i="59"/>
  <c r="A8134" i="59"/>
  <c r="A8133" i="59"/>
  <c r="A8132" i="59"/>
  <c r="A8131" i="59"/>
  <c r="A8130" i="59"/>
  <c r="A8129" i="59"/>
  <c r="A8128" i="59"/>
  <c r="A8127" i="59"/>
  <c r="A8126" i="59"/>
  <c r="A8125" i="59"/>
  <c r="A8124" i="59"/>
  <c r="A8123" i="59"/>
  <c r="A8122" i="59"/>
  <c r="A8121" i="59"/>
  <c r="A8120" i="59"/>
  <c r="A8119" i="59"/>
  <c r="A8118" i="59"/>
  <c r="A8117" i="59"/>
  <c r="A8116" i="59"/>
  <c r="A8115" i="59"/>
  <c r="A8114" i="59"/>
  <c r="A8113" i="59"/>
  <c r="A8112" i="59"/>
  <c r="A8111" i="59"/>
  <c r="A8110" i="59"/>
  <c r="A8109" i="59"/>
  <c r="A8108" i="59"/>
  <c r="A8107" i="59"/>
  <c r="A8106" i="59"/>
  <c r="A8105" i="59"/>
  <c r="A8104" i="59"/>
  <c r="A8103" i="59"/>
  <c r="A8102" i="59"/>
  <c r="A8101" i="59"/>
  <c r="A8100" i="59"/>
  <c r="A8099" i="59"/>
  <c r="A8098" i="59"/>
  <c r="A8097" i="59"/>
  <c r="A8096" i="59"/>
  <c r="A8095" i="59"/>
  <c r="A8094" i="59"/>
  <c r="A8093" i="59"/>
  <c r="A8092" i="59"/>
  <c r="A8091" i="59"/>
  <c r="A8090" i="59"/>
  <c r="A8089" i="59"/>
  <c r="A8088" i="59"/>
  <c r="A8087" i="59"/>
  <c r="A8086" i="59"/>
  <c r="A8085" i="59"/>
  <c r="A8084" i="59"/>
  <c r="A8083" i="59"/>
  <c r="A8082" i="59"/>
  <c r="A8081" i="59"/>
  <c r="A8080" i="59"/>
  <c r="A8079" i="59"/>
  <c r="A8078" i="59"/>
  <c r="A8077" i="59"/>
  <c r="A8076" i="59"/>
  <c r="A8075" i="59"/>
  <c r="A8074" i="59"/>
  <c r="A8073" i="59"/>
  <c r="A8072" i="59"/>
  <c r="A8071" i="59"/>
  <c r="A8070" i="59"/>
  <c r="A8069" i="59"/>
  <c r="A8068" i="59"/>
  <c r="A8067" i="59"/>
  <c r="A8066" i="59"/>
  <c r="A8065" i="59"/>
  <c r="A8064" i="59"/>
  <c r="A8063" i="59"/>
  <c r="A8062" i="59"/>
  <c r="A8061" i="59"/>
  <c r="A8060" i="59"/>
  <c r="A8059" i="59"/>
  <c r="A8058" i="59"/>
  <c r="A8057" i="59"/>
  <c r="A8056" i="59"/>
  <c r="A8055" i="59"/>
  <c r="A8054" i="59"/>
  <c r="A8053" i="59"/>
  <c r="A8052" i="59"/>
  <c r="A8051" i="59"/>
  <c r="A8050" i="59"/>
  <c r="A8049" i="59"/>
  <c r="A8048" i="59"/>
  <c r="A8047" i="59"/>
  <c r="A8046" i="59"/>
  <c r="A8045" i="59"/>
  <c r="A8044" i="59"/>
  <c r="A8043" i="59"/>
  <c r="A8042" i="59"/>
  <c r="A8041" i="59"/>
  <c r="A8040" i="59"/>
  <c r="A8039" i="59"/>
  <c r="A8038" i="59"/>
  <c r="A8037" i="59"/>
  <c r="A8036" i="59"/>
  <c r="A8035" i="59"/>
  <c r="A8034" i="59"/>
  <c r="A8033" i="59"/>
  <c r="A8032" i="59"/>
  <c r="A8031" i="59"/>
  <c r="A8030" i="59"/>
  <c r="A8029" i="59"/>
  <c r="A8028" i="59"/>
  <c r="A8027" i="59"/>
  <c r="A8026" i="59"/>
  <c r="A8025" i="59"/>
  <c r="A8024" i="59"/>
  <c r="A8023" i="59"/>
  <c r="A8022" i="59"/>
  <c r="A8021" i="59"/>
  <c r="A8020" i="59"/>
  <c r="A8019" i="59"/>
  <c r="A8018" i="59"/>
  <c r="A8017" i="59"/>
  <c r="A8016" i="59"/>
  <c r="A8015" i="59"/>
  <c r="A8014" i="59"/>
  <c r="A8013" i="59"/>
  <c r="A8012" i="59"/>
  <c r="A8011" i="59"/>
  <c r="A8010" i="59"/>
  <c r="A8009" i="59"/>
  <c r="A8008" i="59"/>
  <c r="A8007" i="59"/>
  <c r="A8006" i="59"/>
  <c r="A8005" i="59"/>
  <c r="A8004" i="59"/>
  <c r="A8003" i="59"/>
  <c r="A8002" i="59"/>
  <c r="A8001" i="59"/>
  <c r="A8000" i="59"/>
  <c r="A7999" i="59"/>
  <c r="A7998" i="59"/>
  <c r="A7997" i="59"/>
  <c r="A7996" i="59"/>
  <c r="A7995" i="59"/>
  <c r="A7994" i="59"/>
  <c r="A7993" i="59"/>
  <c r="A7992" i="59"/>
  <c r="A7991" i="59"/>
  <c r="A7990" i="59"/>
  <c r="A7989" i="59"/>
  <c r="A7988" i="59"/>
  <c r="A7987" i="59"/>
  <c r="A7986" i="59"/>
  <c r="A7985" i="59"/>
  <c r="A7984" i="59"/>
  <c r="A7983" i="59"/>
  <c r="A7982" i="59"/>
  <c r="A7981" i="59"/>
  <c r="A7980" i="59"/>
  <c r="A7979" i="59"/>
  <c r="A7978" i="59"/>
  <c r="A7977" i="59"/>
  <c r="A7976" i="59"/>
  <c r="A7975" i="59"/>
  <c r="A7974" i="59"/>
  <c r="A7973" i="59"/>
  <c r="A7972" i="59"/>
  <c r="A7971" i="59"/>
  <c r="A7970" i="59"/>
  <c r="A7969" i="59"/>
  <c r="A7968" i="59"/>
  <c r="A7967" i="59"/>
  <c r="A7966" i="59"/>
  <c r="A7965" i="59"/>
  <c r="A7964" i="59"/>
  <c r="A7963" i="59"/>
  <c r="A7962" i="59"/>
  <c r="A7961" i="59"/>
  <c r="A7960" i="59"/>
  <c r="A7959" i="59"/>
  <c r="A7958" i="59"/>
  <c r="A7957" i="59"/>
  <c r="A7956" i="59"/>
  <c r="A7955" i="59"/>
  <c r="A7954" i="59"/>
  <c r="A7953" i="59"/>
  <c r="A7952" i="59"/>
  <c r="A7951" i="59"/>
  <c r="A7950" i="59"/>
  <c r="A7949" i="59"/>
  <c r="A7948" i="59"/>
  <c r="A7947" i="59"/>
  <c r="A7946" i="59"/>
  <c r="A7945" i="59"/>
  <c r="A7944" i="59"/>
  <c r="A7943" i="59"/>
  <c r="A7942" i="59"/>
  <c r="A7941" i="59"/>
  <c r="A7940" i="59"/>
  <c r="A7939" i="59"/>
  <c r="A7938" i="59"/>
  <c r="A7937" i="59"/>
  <c r="A7936" i="59"/>
  <c r="A7935" i="59"/>
  <c r="A7934" i="59"/>
  <c r="A7933" i="59"/>
  <c r="A7932" i="59"/>
  <c r="A7931" i="59"/>
  <c r="A7930" i="59"/>
  <c r="A7929" i="59"/>
  <c r="A7928" i="59"/>
  <c r="A7927" i="59"/>
  <c r="A7926" i="59"/>
  <c r="A7925" i="59"/>
  <c r="A7924" i="59"/>
  <c r="A7923" i="59"/>
  <c r="A7922" i="59"/>
  <c r="A7921" i="59"/>
  <c r="A7920" i="59"/>
  <c r="A7919" i="59"/>
  <c r="A7918" i="59"/>
  <c r="A7917" i="59"/>
  <c r="A7916" i="59"/>
  <c r="A7915" i="59"/>
  <c r="A7914" i="59"/>
  <c r="A7913" i="59"/>
  <c r="A7912" i="59"/>
  <c r="A7911" i="59"/>
  <c r="A7910" i="59"/>
  <c r="A7909" i="59"/>
  <c r="A7908" i="59"/>
  <c r="A7907" i="59"/>
  <c r="A7906" i="59"/>
  <c r="A7905" i="59"/>
  <c r="A7904" i="59"/>
  <c r="A7903" i="59"/>
  <c r="A7902" i="59"/>
  <c r="A7901" i="59"/>
  <c r="A7900" i="59"/>
  <c r="A7899" i="59"/>
  <c r="A7898" i="59"/>
  <c r="A7897" i="59"/>
  <c r="A7896" i="59"/>
  <c r="A7895" i="59"/>
  <c r="A7894" i="59"/>
  <c r="A7893" i="59"/>
  <c r="A7892" i="59"/>
  <c r="A7891" i="59"/>
  <c r="A7890" i="59"/>
  <c r="A7889" i="59"/>
  <c r="A7888" i="59"/>
  <c r="A7887" i="59"/>
  <c r="A7886" i="59"/>
  <c r="A7885" i="59"/>
  <c r="A7884" i="59"/>
  <c r="A7883" i="59"/>
  <c r="A7882" i="59"/>
  <c r="A7881" i="59"/>
  <c r="A7880" i="59"/>
  <c r="A7879" i="59"/>
  <c r="A7878" i="59"/>
  <c r="A7877" i="59"/>
  <c r="A7876" i="59"/>
  <c r="A7875" i="59"/>
  <c r="A7874" i="59"/>
  <c r="A7873" i="59"/>
  <c r="A7872" i="59"/>
  <c r="A7871" i="59"/>
  <c r="A7870" i="59"/>
  <c r="A7869" i="59"/>
  <c r="A7868" i="59"/>
  <c r="A7867" i="59"/>
  <c r="A7866" i="59"/>
  <c r="A7865" i="59"/>
  <c r="A7864" i="59"/>
  <c r="A7863" i="59"/>
  <c r="A7862" i="59"/>
  <c r="A7861" i="59"/>
  <c r="A7860" i="59"/>
  <c r="A7859" i="59"/>
  <c r="A7858" i="59"/>
  <c r="A7857" i="59"/>
  <c r="A7856" i="59"/>
  <c r="A7855" i="59"/>
  <c r="A7854" i="59"/>
  <c r="A7853" i="59"/>
  <c r="A7852" i="59"/>
  <c r="A7851" i="59"/>
  <c r="A7850" i="59"/>
  <c r="A7849" i="59"/>
  <c r="A7848" i="59"/>
  <c r="A7847" i="59"/>
  <c r="A7846" i="59"/>
  <c r="A7845" i="59"/>
  <c r="A7844" i="59"/>
  <c r="A7843" i="59"/>
  <c r="A7842" i="59"/>
  <c r="A7841" i="59"/>
  <c r="A7840" i="59"/>
  <c r="A7839" i="59"/>
  <c r="A7838" i="59"/>
  <c r="A7837" i="59"/>
  <c r="A7836" i="59"/>
  <c r="A7835" i="59"/>
  <c r="A7834" i="59"/>
  <c r="A7833" i="59"/>
  <c r="A7832" i="59"/>
  <c r="A7831" i="59"/>
  <c r="A7830" i="59"/>
  <c r="A7829" i="59"/>
  <c r="A7828" i="59"/>
  <c r="A7827" i="59"/>
  <c r="A7826" i="59"/>
  <c r="A7825" i="59"/>
  <c r="A7824" i="59"/>
  <c r="A7823" i="59"/>
  <c r="A7822" i="59"/>
  <c r="A7821" i="59"/>
  <c r="A7820" i="59"/>
  <c r="A7819" i="59"/>
  <c r="A7818" i="59"/>
  <c r="A7817" i="59"/>
  <c r="A7816" i="59"/>
  <c r="A7815" i="59"/>
  <c r="A7814" i="59"/>
  <c r="A7813" i="59"/>
  <c r="A7812" i="59"/>
  <c r="A7811" i="59"/>
  <c r="A7810" i="59"/>
  <c r="A7809" i="59"/>
  <c r="A7808" i="59"/>
  <c r="A7807" i="59"/>
  <c r="A7806" i="59"/>
  <c r="A7805" i="59"/>
  <c r="A7804" i="59"/>
  <c r="A7803" i="59"/>
  <c r="A7802" i="59"/>
  <c r="A7801" i="59"/>
  <c r="A7800" i="59"/>
  <c r="A7799" i="59"/>
  <c r="A7798" i="59"/>
  <c r="A7797" i="59"/>
  <c r="A7796" i="59"/>
  <c r="A7795" i="59"/>
  <c r="A7794" i="59"/>
  <c r="A7793" i="59"/>
  <c r="A7792" i="59"/>
  <c r="A7791" i="59"/>
  <c r="A7790" i="59"/>
  <c r="A7789" i="59"/>
  <c r="A7788" i="59"/>
  <c r="A7787" i="59"/>
  <c r="A7786" i="59"/>
  <c r="A7785" i="59"/>
  <c r="A7784" i="59"/>
  <c r="A7783" i="59"/>
  <c r="A7782" i="59"/>
  <c r="A7781" i="59"/>
  <c r="A7780" i="59"/>
  <c r="A7779" i="59"/>
  <c r="A7778" i="59"/>
  <c r="A7777" i="59"/>
  <c r="A7776" i="59"/>
  <c r="A7775" i="59"/>
  <c r="A7774" i="59"/>
  <c r="A7773" i="59"/>
  <c r="A7772" i="59"/>
  <c r="A7771" i="59"/>
  <c r="A7770" i="59"/>
  <c r="A7769" i="59"/>
  <c r="A7768" i="59"/>
  <c r="A7767" i="59"/>
  <c r="A7766" i="59"/>
  <c r="A7765" i="59"/>
  <c r="A7764" i="59"/>
  <c r="A7763" i="59"/>
  <c r="A7762" i="59"/>
  <c r="A7761" i="59"/>
  <c r="A7760" i="59"/>
  <c r="A7759" i="59"/>
  <c r="A7758" i="59"/>
  <c r="A7757" i="59"/>
  <c r="A7756" i="59"/>
  <c r="A7755" i="59"/>
  <c r="A7754" i="59"/>
  <c r="A7753" i="59"/>
  <c r="A7752" i="59"/>
  <c r="A7751" i="59"/>
  <c r="A7750" i="59"/>
  <c r="A7749" i="59"/>
  <c r="A7748" i="59"/>
  <c r="A7747" i="59"/>
  <c r="A7746" i="59"/>
  <c r="A7745" i="59"/>
  <c r="A7744" i="59"/>
  <c r="A7743" i="59"/>
  <c r="A7742" i="59"/>
  <c r="A7741" i="59"/>
  <c r="A7740" i="59"/>
  <c r="A7739" i="59"/>
  <c r="A7738" i="59"/>
  <c r="A7737" i="59"/>
  <c r="A7736" i="59"/>
  <c r="A7735" i="59"/>
  <c r="A7734" i="59"/>
  <c r="A7733" i="59"/>
  <c r="A7732" i="59"/>
  <c r="A7731" i="59"/>
  <c r="A7730" i="59"/>
  <c r="A7729" i="59"/>
  <c r="A7728" i="59"/>
  <c r="A7727" i="59"/>
  <c r="A7726" i="59"/>
  <c r="A7725" i="59"/>
  <c r="A7724" i="59"/>
  <c r="A7723" i="59"/>
  <c r="A7722" i="59"/>
  <c r="A7721" i="59"/>
  <c r="A7720" i="59"/>
  <c r="A7719" i="59"/>
  <c r="A7718" i="59"/>
  <c r="A7717" i="59"/>
  <c r="A7716" i="59"/>
  <c r="A7715" i="59"/>
  <c r="A7714" i="59"/>
  <c r="A7713" i="59"/>
  <c r="A7712" i="59"/>
  <c r="A7711" i="59"/>
  <c r="A7710" i="59"/>
  <c r="A7709" i="59"/>
  <c r="A7708" i="59"/>
  <c r="A7707" i="59"/>
  <c r="A7706" i="59"/>
  <c r="A7705" i="59"/>
  <c r="A7704" i="59"/>
  <c r="A7703" i="59"/>
  <c r="A7702" i="59"/>
  <c r="A7701" i="59"/>
  <c r="A7700" i="59"/>
  <c r="A7699" i="59"/>
  <c r="A7698" i="59"/>
  <c r="A7697" i="59"/>
  <c r="A7696" i="59"/>
  <c r="A7695" i="59"/>
  <c r="A7694" i="59"/>
  <c r="A7693" i="59"/>
  <c r="A7692" i="59"/>
  <c r="A7691" i="59"/>
  <c r="A7690" i="59"/>
  <c r="A7689" i="59"/>
  <c r="A7688" i="59"/>
  <c r="A7687" i="59"/>
  <c r="A7686" i="59"/>
  <c r="A7685" i="59"/>
  <c r="A7684" i="59"/>
  <c r="A7683" i="59"/>
  <c r="A7682" i="59"/>
  <c r="A7681" i="59"/>
  <c r="A7680" i="59"/>
  <c r="A7679" i="59"/>
  <c r="A7678" i="59"/>
  <c r="A7677" i="59"/>
  <c r="A7676" i="59"/>
  <c r="A7675" i="59"/>
  <c r="A7674" i="59"/>
  <c r="A7673" i="59"/>
  <c r="A7672" i="59"/>
  <c r="A7671" i="59"/>
  <c r="A7670" i="59"/>
  <c r="A7669" i="59"/>
  <c r="A7668" i="59"/>
  <c r="A7667" i="59"/>
  <c r="A7666" i="59"/>
  <c r="A7665" i="59"/>
  <c r="A7664" i="59"/>
  <c r="A7663" i="59"/>
  <c r="A7662" i="59"/>
  <c r="A7661" i="59"/>
  <c r="A7660" i="59"/>
  <c r="A7659" i="59"/>
  <c r="A7658" i="59"/>
  <c r="A7657" i="59"/>
  <c r="A7656" i="59"/>
  <c r="A7655" i="59"/>
  <c r="A7654" i="59"/>
  <c r="A7653" i="59"/>
  <c r="A7652" i="59"/>
  <c r="A7651" i="59"/>
  <c r="A7650" i="59"/>
  <c r="A7649" i="59"/>
  <c r="A7648" i="59"/>
  <c r="A7647" i="59"/>
  <c r="A7646" i="59"/>
  <c r="A7645" i="59"/>
  <c r="A7644" i="59"/>
  <c r="A7643" i="59"/>
  <c r="A7642" i="59"/>
  <c r="A7641" i="59"/>
  <c r="A7640" i="59"/>
  <c r="A7639" i="59"/>
  <c r="A7638" i="59"/>
  <c r="A7637" i="59"/>
  <c r="A7636" i="59"/>
  <c r="A7635" i="59"/>
  <c r="A7634" i="59"/>
  <c r="A7633" i="59"/>
  <c r="A7632" i="59"/>
  <c r="A7631" i="59"/>
  <c r="A7630" i="59"/>
  <c r="A7629" i="59"/>
  <c r="A7628" i="59"/>
  <c r="A7627" i="59"/>
  <c r="A7626" i="59"/>
  <c r="A7625" i="59"/>
  <c r="A7624" i="59"/>
  <c r="A7623" i="59"/>
  <c r="A7622" i="59"/>
  <c r="A7621" i="59"/>
  <c r="A7620" i="59"/>
  <c r="A7619" i="59"/>
  <c r="A7618" i="59"/>
  <c r="A7617" i="59"/>
  <c r="A7616" i="59"/>
  <c r="A7615" i="59"/>
  <c r="A7614" i="59"/>
  <c r="A7613" i="59"/>
  <c r="A7612" i="59"/>
  <c r="A7611" i="59"/>
  <c r="A7610" i="59"/>
  <c r="A7609" i="59"/>
  <c r="A7608" i="59"/>
  <c r="A7607" i="59"/>
  <c r="A7606" i="59"/>
  <c r="A7605" i="59"/>
  <c r="A7604" i="59"/>
  <c r="A7603" i="59"/>
  <c r="A7602" i="59"/>
  <c r="A7601" i="59"/>
  <c r="A7600" i="59"/>
  <c r="A7599" i="59"/>
  <c r="A7598" i="59"/>
  <c r="A7597" i="59"/>
  <c r="A7596" i="59"/>
  <c r="A7595" i="59"/>
  <c r="A7594" i="59"/>
  <c r="A7593" i="59"/>
  <c r="A7592" i="59"/>
  <c r="A7591" i="59"/>
  <c r="A7590" i="59"/>
  <c r="A7589" i="59"/>
  <c r="A7588" i="59"/>
  <c r="A7587" i="59"/>
  <c r="A7586" i="59"/>
  <c r="A7585" i="59"/>
  <c r="A7584" i="59"/>
  <c r="A7583" i="59"/>
  <c r="A7582" i="59"/>
  <c r="A7581" i="59"/>
  <c r="A7580" i="59"/>
  <c r="A7579" i="59"/>
  <c r="A7578" i="59"/>
  <c r="A7577" i="59"/>
  <c r="A7576" i="59"/>
  <c r="A7575" i="59"/>
  <c r="A7574" i="59"/>
  <c r="A7573" i="59"/>
  <c r="A7572" i="59"/>
  <c r="A7571" i="59"/>
  <c r="A7570" i="59"/>
  <c r="A7569" i="59"/>
  <c r="A7568" i="59"/>
  <c r="A7567" i="59"/>
  <c r="A7566" i="59"/>
  <c r="A7565" i="59"/>
  <c r="A7564" i="59"/>
  <c r="A7563" i="59"/>
  <c r="A7562" i="59"/>
  <c r="A7561" i="59"/>
  <c r="A7560" i="59"/>
  <c r="A7559" i="59"/>
  <c r="A7558" i="59"/>
  <c r="A7557" i="59"/>
  <c r="A7556" i="59"/>
  <c r="A7555" i="59"/>
  <c r="A7554" i="59"/>
  <c r="A7553" i="59"/>
  <c r="A7552" i="59"/>
  <c r="A7551" i="59"/>
  <c r="A7550" i="59"/>
  <c r="A7549" i="59"/>
  <c r="A7548" i="59"/>
  <c r="A7547" i="59"/>
  <c r="A7546" i="59"/>
  <c r="A7545" i="59"/>
  <c r="A7544" i="59"/>
  <c r="A7543" i="59"/>
  <c r="A7542" i="59"/>
  <c r="A7541" i="59"/>
  <c r="A7540" i="59"/>
  <c r="A7539" i="59"/>
  <c r="A7538" i="59"/>
  <c r="A7537" i="59"/>
  <c r="A7536" i="59"/>
  <c r="A7535" i="59"/>
  <c r="A7534" i="59"/>
  <c r="A7533" i="59"/>
  <c r="A7532" i="59"/>
  <c r="A7531" i="59"/>
  <c r="A7530" i="59"/>
  <c r="A7529" i="59"/>
  <c r="A7528" i="59"/>
  <c r="A7527" i="59"/>
  <c r="A7526" i="59"/>
  <c r="A7525" i="59"/>
  <c r="A7524" i="59"/>
  <c r="A7523" i="59"/>
  <c r="A7522" i="59"/>
  <c r="A7521" i="59"/>
  <c r="A7520" i="59"/>
  <c r="A7519" i="59"/>
  <c r="A7518" i="59"/>
  <c r="A7517" i="59"/>
  <c r="A7516" i="59"/>
  <c r="A7515" i="59"/>
  <c r="A7514" i="59"/>
  <c r="A7513" i="59"/>
  <c r="A7512" i="59"/>
  <c r="A7511" i="59"/>
  <c r="A7510" i="59"/>
  <c r="A7509" i="59"/>
  <c r="A7508" i="59"/>
  <c r="A7507" i="59"/>
  <c r="A7506" i="59"/>
  <c r="A7505" i="59"/>
  <c r="A7504" i="59"/>
  <c r="A7503" i="59"/>
  <c r="A7502" i="59"/>
  <c r="A7501" i="59"/>
  <c r="A7500" i="59"/>
  <c r="A7499" i="59"/>
  <c r="A7498" i="59"/>
  <c r="A7497" i="59"/>
  <c r="A7496" i="59"/>
  <c r="A7495" i="59"/>
  <c r="A7494" i="59"/>
  <c r="A7493" i="59"/>
  <c r="A7492" i="59"/>
  <c r="A7491" i="59"/>
  <c r="A7490" i="59"/>
  <c r="A7489" i="59"/>
  <c r="A7488" i="59"/>
  <c r="A7487" i="59"/>
  <c r="A7486" i="59"/>
  <c r="A7485" i="59"/>
  <c r="A7484" i="59"/>
  <c r="A7483" i="59"/>
  <c r="A7482" i="59"/>
  <c r="A7481" i="59"/>
  <c r="A7480" i="59"/>
  <c r="A7479" i="59"/>
  <c r="A7478" i="59"/>
  <c r="A7477" i="59"/>
  <c r="A7476" i="59"/>
  <c r="A7475" i="59"/>
  <c r="A7474" i="59"/>
  <c r="A7473" i="59"/>
  <c r="A7472" i="59"/>
  <c r="A7471" i="59"/>
  <c r="A7470" i="59"/>
  <c r="A7469" i="59"/>
  <c r="A7468" i="59"/>
  <c r="A7467" i="59"/>
  <c r="A7466" i="59"/>
  <c r="A7465" i="59"/>
  <c r="A7464" i="59"/>
  <c r="A7463" i="59"/>
  <c r="A7462" i="59"/>
  <c r="A7461" i="59"/>
  <c r="A7460" i="59"/>
  <c r="A7459" i="59"/>
  <c r="A7458" i="59"/>
  <c r="A7457" i="59"/>
  <c r="A7456" i="59"/>
  <c r="A7455" i="59"/>
  <c r="A7454" i="59"/>
  <c r="A7453" i="59"/>
  <c r="A7452" i="59"/>
  <c r="A7451" i="59"/>
  <c r="A7450" i="59"/>
  <c r="A7449" i="59"/>
  <c r="A7448" i="59"/>
  <c r="A7447" i="59"/>
  <c r="A7446" i="59"/>
  <c r="A7445" i="59"/>
  <c r="A7444" i="59"/>
  <c r="A7443" i="59"/>
  <c r="A7442" i="59"/>
  <c r="A7441" i="59"/>
  <c r="A7440" i="59"/>
  <c r="A7439" i="59"/>
  <c r="A7438" i="59"/>
  <c r="A7437" i="59"/>
  <c r="A7436" i="59"/>
  <c r="A7435" i="59"/>
  <c r="A7434" i="59"/>
  <c r="A7433" i="59"/>
  <c r="A7432" i="59"/>
  <c r="A7431" i="59"/>
  <c r="A7430" i="59"/>
  <c r="A7429" i="59"/>
  <c r="A7428" i="59"/>
  <c r="A7427" i="59"/>
  <c r="A7426" i="59"/>
  <c r="A7425" i="59"/>
  <c r="A7424" i="59"/>
  <c r="A7423" i="59"/>
  <c r="A7422" i="59"/>
  <c r="A7421" i="59"/>
  <c r="A7420" i="59"/>
  <c r="A7419" i="59"/>
  <c r="A7418" i="59"/>
  <c r="A7417" i="59"/>
  <c r="A7416" i="59"/>
  <c r="A7415" i="59"/>
  <c r="A7414" i="59"/>
  <c r="A7413" i="59"/>
  <c r="A7412" i="59"/>
  <c r="A7411" i="59"/>
  <c r="A7410" i="59"/>
  <c r="A7409" i="59"/>
  <c r="A7408" i="59"/>
  <c r="A7407" i="59"/>
  <c r="A7406" i="59"/>
  <c r="A7405" i="59"/>
  <c r="A7404" i="59"/>
  <c r="A7403" i="59"/>
  <c r="A7402" i="59"/>
  <c r="A7401" i="59"/>
  <c r="A7400" i="59"/>
  <c r="A7399" i="59"/>
  <c r="A7398" i="59"/>
  <c r="A7397" i="59"/>
  <c r="A7396" i="59"/>
  <c r="A7395" i="59"/>
  <c r="A7394" i="59"/>
  <c r="A7393" i="59"/>
  <c r="A7392" i="59"/>
  <c r="A7391" i="59"/>
  <c r="A7390" i="59"/>
  <c r="A7389" i="59"/>
  <c r="A7388" i="59"/>
  <c r="A7387" i="59"/>
  <c r="A7386" i="59"/>
  <c r="A7385" i="59"/>
  <c r="A7384" i="59"/>
  <c r="A7383" i="59"/>
  <c r="A7382" i="59"/>
  <c r="A7381" i="59"/>
  <c r="A7380" i="59"/>
  <c r="A7379" i="59"/>
  <c r="A7378" i="59"/>
  <c r="A7377" i="59"/>
  <c r="A7376" i="59"/>
  <c r="A7375" i="59"/>
  <c r="A7374" i="59"/>
  <c r="A7373" i="59"/>
  <c r="A7372" i="59"/>
  <c r="A7371" i="59"/>
  <c r="A7370" i="59"/>
  <c r="A7369" i="59"/>
  <c r="A7368" i="59"/>
  <c r="A7367" i="59"/>
  <c r="A7366" i="59"/>
  <c r="A7365" i="59"/>
  <c r="A7364" i="59"/>
  <c r="A7363" i="59"/>
  <c r="A7362" i="59"/>
  <c r="A7361" i="59"/>
  <c r="A7360" i="59"/>
  <c r="A7359" i="59"/>
  <c r="A7358" i="59"/>
  <c r="A7357" i="59"/>
  <c r="A7356" i="59"/>
  <c r="A7355" i="59"/>
  <c r="A7354" i="59"/>
  <c r="A7353" i="59"/>
  <c r="A7352" i="59"/>
  <c r="A7351" i="59"/>
  <c r="A7350" i="59"/>
  <c r="A7349" i="59"/>
  <c r="A7348" i="59"/>
  <c r="A7347" i="59"/>
  <c r="A7346" i="59"/>
  <c r="A7345" i="59"/>
  <c r="A7344" i="59"/>
  <c r="A7343" i="59"/>
  <c r="A7342" i="59"/>
  <c r="A7341" i="59"/>
  <c r="A7340" i="59"/>
  <c r="A7339" i="59"/>
  <c r="A7338" i="59"/>
  <c r="A7337" i="59"/>
  <c r="A7336" i="59"/>
  <c r="A7335" i="59"/>
  <c r="A7334" i="59"/>
  <c r="A7333" i="59"/>
  <c r="A7332" i="59"/>
  <c r="A7331" i="59"/>
  <c r="A7330" i="59"/>
  <c r="A7329" i="59"/>
  <c r="A7328" i="59"/>
  <c r="A7327" i="59"/>
  <c r="A7326" i="59"/>
  <c r="A7325" i="59"/>
  <c r="A7324" i="59"/>
  <c r="A7323" i="59"/>
  <c r="A7322" i="59"/>
  <c r="A7321" i="59"/>
  <c r="A7320" i="59"/>
  <c r="A7319" i="59"/>
  <c r="A7318" i="59"/>
  <c r="A7317" i="59"/>
  <c r="A7316" i="59"/>
  <c r="A7315" i="59"/>
  <c r="A7314" i="59"/>
  <c r="A7313" i="59"/>
  <c r="A7312" i="59"/>
  <c r="A7311" i="59"/>
  <c r="A7310" i="59"/>
  <c r="A7309" i="59"/>
  <c r="A7308" i="59"/>
  <c r="A7307" i="59"/>
  <c r="A7306" i="59"/>
  <c r="A7305" i="59"/>
  <c r="A7304" i="59"/>
  <c r="A7303" i="59"/>
  <c r="A7302" i="59"/>
  <c r="A7301" i="59"/>
  <c r="A7300" i="59"/>
  <c r="A7299" i="59"/>
  <c r="A7298" i="59"/>
  <c r="A7297" i="59"/>
  <c r="A7296" i="59"/>
  <c r="A7295" i="59"/>
  <c r="A7294" i="59"/>
  <c r="A7293" i="59"/>
  <c r="A7292" i="59"/>
  <c r="A7291" i="59"/>
  <c r="A7290" i="59"/>
  <c r="A7289" i="59"/>
  <c r="A7288" i="59"/>
  <c r="A7287" i="59"/>
  <c r="A7286" i="59"/>
  <c r="A7285" i="59"/>
  <c r="A7284" i="59"/>
  <c r="A7283" i="59"/>
  <c r="A7282" i="59"/>
  <c r="A7281" i="59"/>
  <c r="A7280" i="59"/>
  <c r="A7279" i="59"/>
  <c r="A7278" i="59"/>
  <c r="A7277" i="59"/>
  <c r="A7276" i="59"/>
  <c r="A7275" i="59"/>
  <c r="A7274" i="59"/>
  <c r="A7273" i="59"/>
  <c r="A7272" i="59"/>
  <c r="A7271" i="59"/>
  <c r="A7270" i="59"/>
  <c r="A7269" i="59"/>
  <c r="A7268" i="59"/>
  <c r="A7267" i="59"/>
  <c r="A7266" i="59"/>
  <c r="A7265" i="59"/>
  <c r="A7264" i="59"/>
  <c r="A7263" i="59"/>
  <c r="A7262" i="59"/>
  <c r="A7261" i="59"/>
  <c r="A7260" i="59"/>
  <c r="A7259" i="59"/>
  <c r="A7258" i="59"/>
  <c r="A7257" i="59"/>
  <c r="A7256" i="59"/>
  <c r="A7255" i="59"/>
  <c r="A7254" i="59"/>
  <c r="A7253" i="59"/>
  <c r="A7252" i="59"/>
  <c r="A7251" i="59"/>
  <c r="A7250" i="59"/>
  <c r="A7249" i="59"/>
  <c r="A7248" i="59"/>
  <c r="A7247" i="59"/>
  <c r="A7246" i="59"/>
  <c r="A7245" i="59"/>
  <c r="A7244" i="59"/>
  <c r="A7243" i="59"/>
  <c r="A7242" i="59"/>
  <c r="A7241" i="59"/>
  <c r="A7240" i="59"/>
  <c r="A7239" i="59"/>
  <c r="A7238" i="59"/>
  <c r="A7237" i="59"/>
  <c r="A7236" i="59"/>
  <c r="A7235" i="59"/>
  <c r="A7234" i="59"/>
  <c r="A7233" i="59"/>
  <c r="A7232" i="59"/>
  <c r="A7231" i="59"/>
  <c r="A7230" i="59"/>
  <c r="A7229" i="59"/>
  <c r="A7228" i="59"/>
  <c r="A7227" i="59"/>
  <c r="A7226" i="59"/>
  <c r="A7225" i="59"/>
  <c r="A7224" i="59"/>
  <c r="A7223" i="59"/>
  <c r="A7222" i="59"/>
  <c r="A7221" i="59"/>
  <c r="A7220" i="59"/>
  <c r="A7219" i="59"/>
  <c r="A7218" i="59"/>
  <c r="A7217" i="59"/>
  <c r="A7216" i="59"/>
  <c r="A7215" i="59"/>
  <c r="A7214" i="59"/>
  <c r="A7213" i="59"/>
  <c r="A7212" i="59"/>
  <c r="A7211" i="59"/>
  <c r="A7210" i="59"/>
  <c r="A7209" i="59"/>
  <c r="A7208" i="59"/>
  <c r="A7207" i="59"/>
  <c r="A7206" i="59"/>
  <c r="A7205" i="59"/>
  <c r="A7204" i="59"/>
  <c r="A7203" i="59"/>
  <c r="A7202" i="59"/>
  <c r="A7201" i="59"/>
  <c r="A7200" i="59"/>
  <c r="A7199" i="59"/>
  <c r="A7198" i="59"/>
  <c r="A7197" i="59"/>
  <c r="A7196" i="59"/>
  <c r="A7195" i="59"/>
  <c r="A7194" i="59"/>
  <c r="A7193" i="59"/>
  <c r="A7192" i="59"/>
  <c r="A7191" i="59"/>
  <c r="A7190" i="59"/>
  <c r="A7189" i="59"/>
  <c r="A7188" i="59"/>
  <c r="A7187" i="59"/>
  <c r="A7186" i="59"/>
  <c r="A7185" i="59"/>
  <c r="A7184" i="59"/>
  <c r="A7183" i="59"/>
  <c r="A7182" i="59"/>
  <c r="A7181" i="59"/>
  <c r="A7180" i="59"/>
  <c r="A7179" i="59"/>
  <c r="A7178" i="59"/>
  <c r="A7177" i="59"/>
  <c r="A7176" i="59"/>
  <c r="A7175" i="59"/>
  <c r="A7174" i="59"/>
  <c r="A7173" i="59"/>
  <c r="A7172" i="59"/>
  <c r="A7171" i="59"/>
  <c r="A7170" i="59"/>
  <c r="A7169" i="59"/>
  <c r="A7168" i="59"/>
  <c r="A7167" i="59"/>
  <c r="A7166" i="59"/>
  <c r="A7165" i="59"/>
  <c r="A7164" i="59"/>
  <c r="A7163" i="59"/>
  <c r="A7162" i="59"/>
  <c r="A7161" i="59"/>
  <c r="A7160" i="59"/>
  <c r="A7159" i="59"/>
  <c r="A7158" i="59"/>
  <c r="A7157" i="59"/>
  <c r="A7156" i="59"/>
  <c r="A7155" i="59"/>
  <c r="A7154" i="59"/>
  <c r="A7153" i="59"/>
  <c r="A7152" i="59"/>
  <c r="A7151" i="59"/>
  <c r="A7150" i="59"/>
  <c r="A7149" i="59"/>
  <c r="A7148" i="59"/>
  <c r="A7147" i="59"/>
  <c r="A7146" i="59"/>
  <c r="A7145" i="59"/>
  <c r="A7144" i="59"/>
  <c r="A7143" i="59"/>
  <c r="A7142" i="59"/>
  <c r="A7141" i="59"/>
  <c r="A7140" i="59"/>
  <c r="A7139" i="59"/>
  <c r="A7138" i="59"/>
  <c r="A7137" i="59"/>
  <c r="A7136" i="59"/>
  <c r="A7135" i="59"/>
  <c r="A7134" i="59"/>
  <c r="A7133" i="59"/>
  <c r="A7132" i="59"/>
  <c r="A7131" i="59"/>
  <c r="A7130" i="59"/>
  <c r="A7129" i="59"/>
  <c r="A7128" i="59"/>
  <c r="A7127" i="59"/>
  <c r="A7126" i="59"/>
  <c r="A7125" i="59"/>
  <c r="A7124" i="59"/>
  <c r="A7123" i="59"/>
  <c r="A7122" i="59"/>
  <c r="A7121" i="59"/>
  <c r="A7120" i="59"/>
  <c r="A7119" i="59"/>
  <c r="A7118" i="59"/>
  <c r="A7117" i="59"/>
  <c r="A7116" i="59"/>
  <c r="A7115" i="59"/>
  <c r="A7114" i="59"/>
  <c r="A7113" i="59"/>
  <c r="A7112" i="59"/>
  <c r="A7111" i="59"/>
  <c r="A7110" i="59"/>
  <c r="A7109" i="59"/>
  <c r="A7108" i="59"/>
  <c r="A7107" i="59"/>
  <c r="A7106" i="59"/>
  <c r="A7105" i="59"/>
  <c r="A7104" i="59"/>
  <c r="A7103" i="59"/>
  <c r="A7102" i="59"/>
  <c r="A7101" i="59"/>
  <c r="A7100" i="59"/>
  <c r="A7099" i="59"/>
  <c r="A7098" i="59"/>
  <c r="A7097" i="59"/>
  <c r="A7096" i="59"/>
  <c r="A7095" i="59"/>
  <c r="A7094" i="59"/>
  <c r="A7093" i="59"/>
  <c r="A7092" i="59"/>
  <c r="A7091" i="59"/>
  <c r="A7090" i="59"/>
  <c r="A7089" i="59"/>
  <c r="A7088" i="59"/>
  <c r="A7087" i="59"/>
  <c r="A7086" i="59"/>
  <c r="A7085" i="59"/>
  <c r="A7084" i="59"/>
  <c r="A7083" i="59"/>
  <c r="A7082" i="59"/>
  <c r="A7081" i="59"/>
  <c r="A7080" i="59"/>
  <c r="A7079" i="59"/>
  <c r="A7078" i="59"/>
  <c r="A7077" i="59"/>
  <c r="A7076" i="59"/>
  <c r="A7075" i="59"/>
  <c r="A7074" i="59"/>
  <c r="A7073" i="59"/>
  <c r="A7072" i="59"/>
  <c r="A7071" i="59"/>
  <c r="A7070" i="59"/>
  <c r="A7069" i="59"/>
  <c r="A7068" i="59"/>
  <c r="A7067" i="59"/>
  <c r="A7066" i="59"/>
  <c r="A7065" i="59"/>
  <c r="A7064" i="59"/>
  <c r="A7063" i="59"/>
  <c r="A7062" i="59"/>
  <c r="A7061" i="59"/>
  <c r="A7060" i="59"/>
  <c r="A7059" i="59"/>
  <c r="A7058" i="59"/>
  <c r="A7057" i="59"/>
  <c r="A7056" i="59"/>
  <c r="A7055" i="59"/>
  <c r="A7054" i="59"/>
  <c r="A7053" i="59"/>
  <c r="A7052" i="59"/>
  <c r="A7051" i="59"/>
  <c r="A7050" i="59"/>
  <c r="A7049" i="59"/>
  <c r="A7048" i="59"/>
  <c r="A7047" i="59"/>
  <c r="A7046" i="59"/>
  <c r="A7045" i="59"/>
  <c r="A7044" i="59"/>
  <c r="A7043" i="59"/>
  <c r="A7042" i="59"/>
  <c r="A7041" i="59"/>
  <c r="A7040" i="59"/>
  <c r="A7039" i="59"/>
  <c r="A7038" i="59"/>
  <c r="A7037" i="59"/>
  <c r="A7036" i="59"/>
  <c r="A7035" i="59"/>
  <c r="A7034" i="59"/>
  <c r="A7033" i="59"/>
  <c r="A7032" i="59"/>
  <c r="A7031" i="59"/>
  <c r="A7030" i="59"/>
  <c r="A7029" i="59"/>
  <c r="A7028" i="59"/>
  <c r="A7027" i="59"/>
  <c r="A7026" i="59"/>
  <c r="A7025" i="59"/>
  <c r="A7024" i="59"/>
  <c r="A7023" i="59"/>
  <c r="A7022" i="59"/>
  <c r="A7021" i="59"/>
  <c r="A7020" i="59"/>
  <c r="A7019" i="59"/>
  <c r="A7018" i="59"/>
  <c r="A7017" i="59"/>
  <c r="A7016" i="59"/>
  <c r="A7015" i="59"/>
  <c r="A7014" i="59"/>
  <c r="A7013" i="59"/>
  <c r="A7012" i="59"/>
  <c r="A7011" i="59"/>
  <c r="A7010" i="59"/>
  <c r="A7009" i="59"/>
  <c r="A7008" i="59"/>
  <c r="A7007" i="59"/>
  <c r="A7006" i="59"/>
  <c r="A7005" i="59"/>
  <c r="A7004" i="59"/>
  <c r="A7003" i="59"/>
  <c r="A7002" i="59"/>
  <c r="A7001" i="59"/>
  <c r="A7000" i="59"/>
  <c r="A6999" i="59"/>
  <c r="A6998" i="59"/>
  <c r="A6997" i="59"/>
  <c r="A6996" i="59"/>
  <c r="A6995" i="59"/>
  <c r="A6994" i="59"/>
  <c r="A6993" i="59"/>
  <c r="A6992" i="59"/>
  <c r="A6991" i="59"/>
  <c r="A6990" i="59"/>
  <c r="A6989" i="59"/>
  <c r="A6988" i="59"/>
  <c r="A6987" i="59"/>
  <c r="A6986" i="59"/>
  <c r="A6985" i="59"/>
  <c r="A6984" i="59"/>
  <c r="A6983" i="59"/>
  <c r="A6982" i="59"/>
  <c r="A6981" i="59"/>
  <c r="A6980" i="59"/>
  <c r="A6979" i="59"/>
  <c r="A6978" i="59"/>
  <c r="A6977" i="59"/>
  <c r="A6976" i="59"/>
  <c r="A6975" i="59"/>
  <c r="A6974" i="59"/>
  <c r="A6973" i="59"/>
  <c r="A6972" i="59"/>
  <c r="A6971" i="59"/>
  <c r="A6970" i="59"/>
  <c r="A6969" i="59"/>
  <c r="A6968" i="59"/>
  <c r="A6967" i="59"/>
  <c r="A6966" i="59"/>
  <c r="A6965" i="59"/>
  <c r="A6964" i="59"/>
  <c r="A6963" i="59"/>
  <c r="A6962" i="59"/>
  <c r="A6961" i="59"/>
  <c r="A6960" i="59"/>
  <c r="A6959" i="59"/>
  <c r="A6958" i="59"/>
  <c r="A6957" i="59"/>
  <c r="A6956" i="59"/>
  <c r="A6955" i="59"/>
  <c r="A6954" i="59"/>
  <c r="A6953" i="59"/>
  <c r="A6952" i="59"/>
  <c r="A6951" i="59"/>
  <c r="A6950" i="59"/>
  <c r="A6949" i="59"/>
  <c r="A6948" i="59"/>
  <c r="A6947" i="59"/>
  <c r="A6946" i="59"/>
  <c r="A6945" i="59"/>
  <c r="A6944" i="59"/>
  <c r="A6943" i="59"/>
  <c r="A6942" i="59"/>
  <c r="A6941" i="59"/>
  <c r="A6940" i="59"/>
  <c r="A6939" i="59"/>
  <c r="A6938" i="59"/>
  <c r="A6937" i="59"/>
  <c r="A6936" i="59"/>
  <c r="A6935" i="59"/>
  <c r="A6934" i="59"/>
  <c r="A6933" i="59"/>
  <c r="A6932" i="59"/>
  <c r="A6931" i="59"/>
  <c r="A6930" i="59"/>
  <c r="A6929" i="59"/>
  <c r="A6928" i="59"/>
  <c r="A6927" i="59"/>
  <c r="A6926" i="59"/>
  <c r="A6925" i="59"/>
  <c r="A6924" i="59"/>
  <c r="A6923" i="59"/>
  <c r="A6922" i="59"/>
  <c r="A6921" i="59"/>
  <c r="A6920" i="59"/>
  <c r="A6919" i="59"/>
  <c r="A6918" i="59"/>
  <c r="A6917" i="59"/>
  <c r="A6916" i="59"/>
  <c r="A6915" i="59"/>
  <c r="A6914" i="59"/>
  <c r="A6913" i="59"/>
  <c r="A6912" i="59"/>
  <c r="A6911" i="59"/>
  <c r="A6910" i="59"/>
  <c r="A6909" i="59"/>
  <c r="A6908" i="59"/>
  <c r="A6907" i="59"/>
  <c r="A6906" i="59"/>
  <c r="A6905" i="59"/>
  <c r="A6904" i="59"/>
  <c r="A6903" i="59"/>
  <c r="A6902" i="59"/>
  <c r="A6901" i="59"/>
  <c r="A6900" i="59"/>
  <c r="A6899" i="59"/>
  <c r="A6898" i="59"/>
  <c r="A6897" i="59"/>
  <c r="A6896" i="59"/>
  <c r="A6895" i="59"/>
  <c r="A6894" i="59"/>
  <c r="A6893" i="59"/>
  <c r="A6892" i="59"/>
  <c r="A6891" i="59"/>
  <c r="A6890" i="59"/>
  <c r="A6889" i="59"/>
  <c r="A6888" i="59"/>
  <c r="A6887" i="59"/>
  <c r="A6886" i="59"/>
  <c r="A6885" i="59"/>
  <c r="A6884" i="59"/>
  <c r="A6883" i="59"/>
  <c r="A6882" i="59"/>
  <c r="A6881" i="59"/>
  <c r="A6880" i="59"/>
  <c r="A6879" i="59"/>
  <c r="A6878" i="59"/>
  <c r="A6877" i="59"/>
  <c r="A6876" i="59"/>
  <c r="A6875" i="59"/>
  <c r="A6874" i="59"/>
  <c r="A6873" i="59"/>
  <c r="A6872" i="59"/>
  <c r="A6871" i="59"/>
  <c r="A6870" i="59"/>
  <c r="A6869" i="59"/>
  <c r="A6868" i="59"/>
  <c r="A6867" i="59"/>
  <c r="A6866" i="59"/>
  <c r="A6865" i="59"/>
  <c r="A6864" i="59"/>
  <c r="A6863" i="59"/>
  <c r="A6862" i="59"/>
  <c r="A6861" i="59"/>
  <c r="A6860" i="59"/>
  <c r="A6859" i="59"/>
  <c r="A6858" i="59"/>
  <c r="A6857" i="59"/>
  <c r="A6856" i="59"/>
  <c r="A6855" i="59"/>
  <c r="A6854" i="59"/>
  <c r="A6853" i="59"/>
  <c r="A6852" i="59"/>
  <c r="A6851" i="59"/>
  <c r="A6850" i="59"/>
  <c r="A6849" i="59"/>
  <c r="A6848" i="59"/>
  <c r="A6847" i="59"/>
  <c r="A6846" i="59"/>
  <c r="A6845" i="59"/>
  <c r="A6844" i="59"/>
  <c r="A6843" i="59"/>
  <c r="A6842" i="59"/>
  <c r="A6841" i="59"/>
  <c r="A6840" i="59"/>
  <c r="A6839" i="59"/>
  <c r="A6838" i="59"/>
  <c r="A6837" i="59"/>
  <c r="A6836" i="59"/>
  <c r="A6835" i="59"/>
  <c r="A6834" i="59"/>
  <c r="A6833" i="59"/>
  <c r="A6832" i="59"/>
  <c r="A6831" i="59"/>
  <c r="A6830" i="59"/>
  <c r="A6829" i="59"/>
  <c r="A6828" i="59"/>
  <c r="A6827" i="59"/>
  <c r="A6826" i="59"/>
  <c r="A6825" i="59"/>
  <c r="A6824" i="59"/>
  <c r="A6823" i="59"/>
  <c r="A6822" i="59"/>
  <c r="A6821" i="59"/>
  <c r="A6820" i="59"/>
  <c r="A6819" i="59"/>
  <c r="A6818" i="59"/>
  <c r="A6817" i="59"/>
  <c r="A6816" i="59"/>
  <c r="A6815" i="59"/>
  <c r="A6814" i="59"/>
  <c r="A6813" i="59"/>
  <c r="A6812" i="59"/>
  <c r="A6811" i="59"/>
  <c r="A6810" i="59"/>
  <c r="A6809" i="59"/>
  <c r="A6808" i="59"/>
  <c r="A6807" i="59"/>
  <c r="A6806" i="59"/>
  <c r="A6805" i="59"/>
  <c r="A6804" i="59"/>
  <c r="A6803" i="59"/>
  <c r="A6802" i="59"/>
  <c r="A6801" i="59"/>
  <c r="A6800" i="59"/>
  <c r="A6799" i="59"/>
  <c r="A6798" i="59"/>
  <c r="A6797" i="59"/>
  <c r="A6796" i="59"/>
  <c r="A6795" i="59"/>
  <c r="A6794" i="59"/>
  <c r="A6793" i="59"/>
  <c r="A6792" i="59"/>
  <c r="A6791" i="59"/>
  <c r="A6790" i="59"/>
  <c r="A6789" i="59"/>
  <c r="A6788" i="59"/>
  <c r="A6787" i="59"/>
  <c r="A6786" i="59"/>
  <c r="A6785" i="59"/>
  <c r="A6784" i="59"/>
  <c r="A6783" i="59"/>
  <c r="A6782" i="59"/>
  <c r="A6781" i="59"/>
  <c r="A6780" i="59"/>
  <c r="A6779" i="59"/>
  <c r="A6778" i="59"/>
  <c r="A6777" i="59"/>
  <c r="A6776" i="59"/>
  <c r="A6775" i="59"/>
  <c r="A6774" i="59"/>
  <c r="A6773" i="59"/>
  <c r="A6772" i="59"/>
  <c r="A6771" i="59"/>
  <c r="A6770" i="59"/>
  <c r="A6769" i="59"/>
  <c r="A6768" i="59"/>
  <c r="A6767" i="59"/>
  <c r="A6766" i="59"/>
  <c r="A6765" i="59"/>
  <c r="A6764" i="59"/>
  <c r="A6763" i="59"/>
  <c r="A6762" i="59"/>
  <c r="A6761" i="59"/>
  <c r="A6760" i="59"/>
  <c r="A6759" i="59"/>
  <c r="A6758" i="59"/>
  <c r="A6757" i="59"/>
  <c r="A6756" i="59"/>
  <c r="A6755" i="59"/>
  <c r="A6754" i="59"/>
  <c r="A6753" i="59"/>
  <c r="A6752" i="59"/>
  <c r="A6751" i="59"/>
  <c r="A6750" i="59"/>
  <c r="A6749" i="59"/>
  <c r="A6748" i="59"/>
  <c r="A6747" i="59"/>
  <c r="A6746" i="59"/>
  <c r="A6745" i="59"/>
  <c r="A6744" i="59"/>
  <c r="A6743" i="59"/>
  <c r="A6742" i="59"/>
  <c r="A6741" i="59"/>
  <c r="A6740" i="59"/>
  <c r="A6739" i="59"/>
  <c r="A6738" i="59"/>
  <c r="A6737" i="59"/>
  <c r="A6736" i="59"/>
  <c r="A6735" i="59"/>
  <c r="A6734" i="59"/>
  <c r="A6733" i="59"/>
  <c r="A6732" i="59"/>
  <c r="A6731" i="59"/>
  <c r="A6730" i="59"/>
  <c r="A6729" i="59"/>
  <c r="A6728" i="59"/>
  <c r="A6727" i="59"/>
  <c r="A6726" i="59"/>
  <c r="A6725" i="59"/>
  <c r="A6724" i="59"/>
  <c r="A6723" i="59"/>
  <c r="A6722" i="59"/>
  <c r="A6721" i="59"/>
  <c r="A6720" i="59"/>
  <c r="A6719" i="59"/>
  <c r="A6718" i="59"/>
  <c r="A6717" i="59"/>
  <c r="A6716" i="59"/>
  <c r="A6715" i="59"/>
  <c r="A6714" i="59"/>
  <c r="A6713" i="59"/>
  <c r="A6712" i="59"/>
  <c r="A6711" i="59"/>
  <c r="A6710" i="59"/>
  <c r="A6709" i="59"/>
  <c r="A6708" i="59"/>
  <c r="A6707" i="59"/>
  <c r="A6706" i="59"/>
  <c r="A6705" i="59"/>
  <c r="A6704" i="59"/>
  <c r="A6703" i="59"/>
  <c r="A6702" i="59"/>
  <c r="A6701" i="59"/>
  <c r="A6700" i="59"/>
  <c r="A6699" i="59"/>
  <c r="A6698" i="59"/>
  <c r="A6697" i="59"/>
  <c r="A6696" i="59"/>
  <c r="A6695" i="59"/>
  <c r="A6694" i="59"/>
  <c r="A6693" i="59"/>
  <c r="A6692" i="59"/>
  <c r="A6691" i="59"/>
  <c r="A6690" i="59"/>
  <c r="A6689" i="59"/>
  <c r="A6688" i="59"/>
  <c r="A6687" i="59"/>
  <c r="A6686" i="59"/>
  <c r="A6685" i="59"/>
  <c r="A6684" i="59"/>
  <c r="A6683" i="59"/>
  <c r="A6682" i="59"/>
  <c r="A6681" i="59"/>
  <c r="A6680" i="59"/>
  <c r="A6679" i="59"/>
  <c r="A6678" i="59"/>
  <c r="A6677" i="59"/>
  <c r="A6676" i="59"/>
  <c r="A6675" i="59"/>
  <c r="A6674" i="59"/>
  <c r="A6673" i="59"/>
  <c r="A6672" i="59"/>
  <c r="A6671" i="59"/>
  <c r="A6670" i="59"/>
  <c r="A6669" i="59"/>
  <c r="A6668" i="59"/>
  <c r="A6667" i="59"/>
  <c r="A6666" i="59"/>
  <c r="A6665" i="59"/>
  <c r="A6664" i="59"/>
  <c r="A6663" i="59"/>
  <c r="A6662" i="59"/>
  <c r="A6661" i="59"/>
  <c r="A6660" i="59"/>
  <c r="A6659" i="59"/>
  <c r="A6658" i="59"/>
  <c r="A6657" i="59"/>
  <c r="A6656" i="59"/>
  <c r="A6655" i="59"/>
  <c r="A6654" i="59"/>
  <c r="A6653" i="59"/>
  <c r="A6652" i="59"/>
  <c r="A6651" i="59"/>
  <c r="A6650" i="59"/>
  <c r="A6649" i="59"/>
  <c r="A6648" i="59"/>
  <c r="A6647" i="59"/>
  <c r="A6646" i="59"/>
  <c r="A6645" i="59"/>
  <c r="A6644" i="59"/>
  <c r="A6643" i="59"/>
  <c r="A6642" i="59"/>
  <c r="A6641" i="59"/>
  <c r="A6640" i="59"/>
  <c r="A6639" i="59"/>
  <c r="A6638" i="59"/>
  <c r="A6637" i="59"/>
  <c r="A6636" i="59"/>
  <c r="A6635" i="59"/>
  <c r="A6634" i="59"/>
  <c r="A6633" i="59"/>
  <c r="A6632" i="59"/>
  <c r="A6631" i="59"/>
  <c r="A6630" i="59"/>
  <c r="A6629" i="59"/>
  <c r="A6628" i="59"/>
  <c r="A6627" i="59"/>
  <c r="A6626" i="59"/>
  <c r="A6625" i="59"/>
  <c r="A6624" i="59"/>
  <c r="A6623" i="59"/>
  <c r="A6622" i="59"/>
  <c r="A6621" i="59"/>
  <c r="A6620" i="59"/>
  <c r="A6619" i="59"/>
  <c r="A6618" i="59"/>
  <c r="A6617" i="59"/>
  <c r="A6616" i="59"/>
  <c r="A6615" i="59"/>
  <c r="A6614" i="59"/>
  <c r="A6613" i="59"/>
  <c r="A6612" i="59"/>
  <c r="A6611" i="59"/>
  <c r="A6610" i="59"/>
  <c r="A6609" i="59"/>
  <c r="A6608" i="59"/>
  <c r="A6607" i="59"/>
  <c r="A6606" i="59"/>
  <c r="A6605" i="59"/>
  <c r="A6604" i="59"/>
  <c r="A6603" i="59"/>
  <c r="A6602" i="59"/>
  <c r="A6601" i="59"/>
  <c r="A6600" i="59"/>
  <c r="A6599" i="59"/>
  <c r="A6598" i="59"/>
  <c r="A6597" i="59"/>
  <c r="A6596" i="59"/>
  <c r="A6595" i="59"/>
  <c r="A6594" i="59"/>
  <c r="A6593" i="59"/>
  <c r="A6592" i="59"/>
  <c r="A6591" i="59"/>
  <c r="A6590" i="59"/>
  <c r="A6589" i="59"/>
  <c r="A6588" i="59"/>
  <c r="A6587" i="59"/>
  <c r="A6586" i="59"/>
  <c r="A6585" i="59"/>
  <c r="A6584" i="59"/>
  <c r="A6583" i="59"/>
  <c r="A6582" i="59"/>
  <c r="A6581" i="59"/>
  <c r="A6580" i="59"/>
  <c r="A6579" i="59"/>
  <c r="A6578" i="59"/>
  <c r="A6577" i="59"/>
  <c r="A6576" i="59"/>
  <c r="A6575" i="59"/>
  <c r="A6574" i="59"/>
  <c r="A6573" i="59"/>
  <c r="A6572" i="59"/>
  <c r="A6571" i="59"/>
  <c r="A6570" i="59"/>
  <c r="A6569" i="59"/>
  <c r="A6568" i="59"/>
  <c r="A6567" i="59"/>
  <c r="A6566" i="59"/>
  <c r="A6565" i="59"/>
  <c r="A6564" i="59"/>
  <c r="A6563" i="59"/>
  <c r="A6562" i="59"/>
  <c r="A6561" i="59"/>
  <c r="A6560" i="59"/>
  <c r="A6559" i="59"/>
  <c r="A6558" i="59"/>
  <c r="A6557" i="59"/>
  <c r="A6556" i="59"/>
  <c r="A6555" i="59"/>
  <c r="A6554" i="59"/>
  <c r="A6553" i="59"/>
  <c r="A6552" i="59"/>
  <c r="A6551" i="59"/>
  <c r="A6550" i="59"/>
  <c r="A6549" i="59"/>
  <c r="A6548" i="59"/>
  <c r="A6547" i="59"/>
  <c r="A6546" i="59"/>
  <c r="A6545" i="59"/>
  <c r="A6544" i="59"/>
  <c r="A6543" i="59"/>
  <c r="A6542" i="59"/>
  <c r="A6541" i="59"/>
  <c r="A6540" i="59"/>
  <c r="A6539" i="59"/>
  <c r="A6538" i="59"/>
  <c r="A6537" i="59"/>
  <c r="A6536" i="59"/>
  <c r="A6535" i="59"/>
  <c r="A6534" i="59"/>
  <c r="A6533" i="59"/>
  <c r="A6532" i="59"/>
  <c r="A6531" i="59"/>
  <c r="A6530" i="59"/>
  <c r="A6529" i="59"/>
  <c r="A6528" i="59"/>
  <c r="A6527" i="59"/>
  <c r="A6526" i="59"/>
  <c r="A6525" i="59"/>
  <c r="A6524" i="59"/>
  <c r="A6523" i="59"/>
  <c r="A6522" i="59"/>
  <c r="A6521" i="59"/>
  <c r="A6520" i="59"/>
  <c r="A6519" i="59"/>
  <c r="A6518" i="59"/>
  <c r="A6517" i="59"/>
  <c r="A6516" i="59"/>
  <c r="A6515" i="59"/>
  <c r="A6514" i="59"/>
  <c r="A6513" i="59"/>
  <c r="A6512" i="59"/>
  <c r="A6511" i="59"/>
  <c r="A6510" i="59"/>
  <c r="A6509" i="59"/>
  <c r="A6508" i="59"/>
  <c r="A6507" i="59"/>
  <c r="A6506" i="59"/>
  <c r="A6505" i="59"/>
  <c r="A6504" i="59"/>
  <c r="A6503" i="59"/>
  <c r="A6502" i="59"/>
  <c r="A6501" i="59"/>
  <c r="A6500" i="59"/>
  <c r="A6499" i="59"/>
  <c r="A6498" i="59"/>
  <c r="A6497" i="59"/>
  <c r="A6496" i="59"/>
  <c r="A6495" i="59"/>
  <c r="A6494" i="59"/>
  <c r="A6493" i="59"/>
  <c r="A6492" i="59"/>
  <c r="A6491" i="59"/>
  <c r="A6490" i="59"/>
  <c r="A6489" i="59"/>
  <c r="A6488" i="59"/>
  <c r="A6487" i="59"/>
  <c r="A6486" i="59"/>
  <c r="A6485" i="59"/>
  <c r="A6484" i="59"/>
  <c r="A6483" i="59"/>
  <c r="A6482" i="59"/>
  <c r="A6481" i="59"/>
  <c r="A6480" i="59"/>
  <c r="A6479" i="59"/>
  <c r="A6478" i="59"/>
  <c r="A6477" i="59"/>
  <c r="A6476" i="59"/>
  <c r="A6475" i="59"/>
  <c r="A6474" i="59"/>
  <c r="A6473" i="59"/>
  <c r="A6472" i="59"/>
  <c r="A6471" i="59"/>
  <c r="A6470" i="59"/>
  <c r="A6469" i="59"/>
  <c r="A6468" i="59"/>
  <c r="A6467" i="59"/>
  <c r="A6466" i="59"/>
  <c r="A6465" i="59"/>
  <c r="A6464" i="59"/>
  <c r="A6463" i="59"/>
  <c r="A6462" i="59"/>
  <c r="A6461" i="59"/>
  <c r="A6460" i="59"/>
  <c r="A6459" i="59"/>
  <c r="A6458" i="59"/>
  <c r="A6457" i="59"/>
  <c r="A6456" i="59"/>
  <c r="A6455" i="59"/>
  <c r="A6454" i="59"/>
  <c r="A6453" i="59"/>
  <c r="A6452" i="59"/>
  <c r="A6451" i="59"/>
  <c r="A6450" i="59"/>
  <c r="A6449" i="59"/>
  <c r="A6448" i="59"/>
  <c r="A6447" i="59"/>
  <c r="A6446" i="59"/>
  <c r="A6445" i="59"/>
  <c r="A6444" i="59"/>
  <c r="A6443" i="59"/>
  <c r="A6442" i="59"/>
  <c r="A6441" i="59"/>
  <c r="A6440" i="59"/>
  <c r="A6439" i="59"/>
  <c r="A6438" i="59"/>
  <c r="A6437" i="59"/>
  <c r="A6436" i="59"/>
  <c r="A6435" i="59"/>
  <c r="A6434" i="59"/>
  <c r="A6433" i="59"/>
  <c r="A6432" i="59"/>
  <c r="A6431" i="59"/>
  <c r="A6430" i="59"/>
  <c r="A6429" i="59"/>
  <c r="A6428" i="59"/>
  <c r="A6427" i="59"/>
  <c r="A6426" i="59"/>
  <c r="A6425" i="59"/>
  <c r="A6424" i="59"/>
  <c r="A6423" i="59"/>
  <c r="A6422" i="59"/>
  <c r="A6421" i="59"/>
  <c r="A6420" i="59"/>
  <c r="A6419" i="59"/>
  <c r="A6418" i="59"/>
  <c r="A6417" i="59"/>
  <c r="A6416" i="59"/>
  <c r="A6415" i="59"/>
  <c r="A6414" i="59"/>
  <c r="A6413" i="59"/>
  <c r="A6412" i="59"/>
  <c r="A6411" i="59"/>
  <c r="A6410" i="59"/>
  <c r="A6409" i="59"/>
  <c r="A6408" i="59"/>
  <c r="A6407" i="59"/>
  <c r="A6406" i="59"/>
  <c r="A6405" i="59"/>
  <c r="A6404" i="59"/>
  <c r="A6403" i="59"/>
  <c r="A6402" i="59"/>
  <c r="A6401" i="59"/>
  <c r="A6400" i="59"/>
  <c r="A6399" i="59"/>
  <c r="A6398" i="59"/>
  <c r="A6397" i="59"/>
  <c r="A6396" i="59"/>
  <c r="A6395" i="59"/>
  <c r="A6394" i="59"/>
  <c r="A6393" i="59"/>
  <c r="A6392" i="59"/>
  <c r="A6391" i="59"/>
  <c r="A6390" i="59"/>
  <c r="A6389" i="59"/>
  <c r="A6388" i="59"/>
  <c r="A6387" i="59"/>
  <c r="A6386" i="59"/>
  <c r="A6385" i="59"/>
  <c r="A6384" i="59"/>
  <c r="A6383" i="59"/>
  <c r="A6382" i="59"/>
  <c r="A6381" i="59"/>
  <c r="A6380" i="59"/>
  <c r="A6379" i="59"/>
  <c r="A6378" i="59"/>
  <c r="A6377" i="59"/>
  <c r="A6376" i="59"/>
  <c r="A6375" i="59"/>
  <c r="A6374" i="59"/>
  <c r="A6373" i="59"/>
  <c r="A6372" i="59"/>
  <c r="A6371" i="59"/>
  <c r="A6370" i="59"/>
  <c r="A6369" i="59"/>
  <c r="A6368" i="59"/>
  <c r="A6367" i="59"/>
  <c r="A6366" i="59"/>
  <c r="A6365" i="59"/>
  <c r="A6364" i="59"/>
  <c r="A6363" i="59"/>
  <c r="A6362" i="59"/>
  <c r="A6361" i="59"/>
  <c r="A6360" i="59"/>
  <c r="A6359" i="59"/>
  <c r="A6358" i="59"/>
  <c r="A6357" i="59"/>
  <c r="A6356" i="59"/>
  <c r="A6355" i="59"/>
  <c r="A6354" i="59"/>
  <c r="A6353" i="59"/>
  <c r="A6352" i="59"/>
  <c r="A6351" i="59"/>
  <c r="A6350" i="59"/>
  <c r="A6349" i="59"/>
  <c r="A6348" i="59"/>
  <c r="A6347" i="59"/>
  <c r="A6346" i="59"/>
  <c r="A6345" i="59"/>
  <c r="A6344" i="59"/>
  <c r="A6343" i="59"/>
  <c r="A6342" i="59"/>
  <c r="A6341" i="59"/>
  <c r="A6340" i="59"/>
  <c r="A6339" i="59"/>
  <c r="A6338" i="59"/>
  <c r="A6337" i="59"/>
  <c r="A6336" i="59"/>
  <c r="A6335" i="59"/>
  <c r="A6334" i="59"/>
  <c r="A6333" i="59"/>
  <c r="A6332" i="59"/>
  <c r="A6331" i="59"/>
  <c r="A6330" i="59"/>
  <c r="A6329" i="59"/>
  <c r="A6328" i="59"/>
  <c r="A6327" i="59"/>
  <c r="A6326" i="59"/>
  <c r="A6325" i="59"/>
  <c r="A6324" i="59"/>
  <c r="A6323" i="59"/>
  <c r="A6322" i="59"/>
  <c r="A6321" i="59"/>
  <c r="A6320" i="59"/>
  <c r="A6319" i="59"/>
  <c r="A6318" i="59"/>
  <c r="A6317" i="59"/>
  <c r="A6316" i="59"/>
  <c r="A6315" i="59"/>
  <c r="A6314" i="59"/>
  <c r="A6313" i="59"/>
  <c r="A6312" i="59"/>
  <c r="A6311" i="59"/>
  <c r="A6310" i="59"/>
  <c r="A6309" i="59"/>
  <c r="A6308" i="59"/>
  <c r="A6307" i="59"/>
  <c r="A6306" i="59"/>
  <c r="A6305" i="59"/>
  <c r="A6304" i="59"/>
  <c r="A6303" i="59"/>
  <c r="A6302" i="59"/>
  <c r="A6301" i="59"/>
  <c r="A6300" i="59"/>
  <c r="A6299" i="59"/>
  <c r="A6298" i="59"/>
  <c r="A6297" i="59"/>
  <c r="A6296" i="59"/>
  <c r="A6295" i="59"/>
  <c r="A6294" i="59"/>
  <c r="A6293" i="59"/>
  <c r="A6292" i="59"/>
  <c r="A6291" i="59"/>
  <c r="A6290" i="59"/>
  <c r="A6289" i="59"/>
  <c r="A6288" i="59"/>
  <c r="A6287" i="59"/>
  <c r="A6286" i="59"/>
  <c r="A6285" i="59"/>
  <c r="A6284" i="59"/>
  <c r="A6283" i="59"/>
  <c r="A6282" i="59"/>
  <c r="A6281" i="59"/>
  <c r="A6280" i="59"/>
  <c r="A6279" i="59"/>
  <c r="A6278" i="59"/>
  <c r="A6277" i="59"/>
  <c r="A6276" i="59"/>
  <c r="A6275" i="59"/>
  <c r="A6274" i="59"/>
  <c r="A6273" i="59"/>
  <c r="A6272" i="59"/>
  <c r="A6271" i="59"/>
  <c r="A6270" i="59"/>
  <c r="A6269" i="59"/>
  <c r="A6268" i="59"/>
  <c r="A6267" i="59"/>
  <c r="A6266" i="59"/>
  <c r="A6265" i="59"/>
  <c r="A6264" i="59"/>
  <c r="A6263" i="59"/>
  <c r="A6262" i="59"/>
  <c r="A6261" i="59"/>
  <c r="A6260" i="59"/>
  <c r="A6259" i="59"/>
  <c r="A6258" i="59"/>
  <c r="A6257" i="59"/>
  <c r="A6256" i="59"/>
  <c r="A6255" i="59"/>
  <c r="A6254" i="59"/>
  <c r="A6253" i="59"/>
  <c r="A6252" i="59"/>
  <c r="A6251" i="59"/>
  <c r="A6250" i="59"/>
  <c r="A6249" i="59"/>
  <c r="A6248" i="59"/>
  <c r="A6247" i="59"/>
  <c r="A6246" i="59"/>
  <c r="A6245" i="59"/>
  <c r="A6244" i="59"/>
  <c r="A6243" i="59"/>
  <c r="A6242" i="59"/>
  <c r="A6241" i="59"/>
  <c r="A6240" i="59"/>
  <c r="A6239" i="59"/>
  <c r="A6238" i="59"/>
  <c r="A6237" i="59"/>
  <c r="A6236" i="59"/>
  <c r="A6235" i="59"/>
  <c r="A6234" i="59"/>
  <c r="A6233" i="59"/>
  <c r="A6232" i="59"/>
  <c r="A6231" i="59"/>
  <c r="A6230" i="59"/>
  <c r="A6229" i="59"/>
  <c r="A6228" i="59"/>
  <c r="A6227" i="59"/>
  <c r="A6226" i="59"/>
  <c r="A6225" i="59"/>
  <c r="A6224" i="59"/>
  <c r="A6223" i="59"/>
  <c r="A6222" i="59"/>
  <c r="A6221" i="59"/>
  <c r="A6220" i="59"/>
  <c r="A6219" i="59"/>
  <c r="A6218" i="59"/>
  <c r="A6217" i="59"/>
  <c r="A6216" i="59"/>
  <c r="A6215" i="59"/>
  <c r="A6214" i="59"/>
  <c r="A6213" i="59"/>
  <c r="A6212" i="59"/>
  <c r="A6211" i="59"/>
  <c r="A6210" i="59"/>
  <c r="A6209" i="59"/>
  <c r="A6208" i="59"/>
  <c r="A6207" i="59"/>
  <c r="A6206" i="59"/>
  <c r="A6205" i="59"/>
  <c r="A6204" i="59"/>
  <c r="A6203" i="59"/>
  <c r="A6202" i="59"/>
  <c r="A6201" i="59"/>
  <c r="A6200" i="59"/>
  <c r="A6199" i="59"/>
  <c r="A6198" i="59"/>
  <c r="A6197" i="59"/>
  <c r="A6196" i="59"/>
  <c r="A6195" i="59"/>
  <c r="A6194" i="59"/>
  <c r="A6193" i="59"/>
  <c r="A6192" i="59"/>
  <c r="A6191" i="59"/>
  <c r="A6190" i="59"/>
  <c r="A6189" i="59"/>
  <c r="A6188" i="59"/>
  <c r="A6187" i="59"/>
  <c r="A6186" i="59"/>
  <c r="A6185" i="59"/>
  <c r="A6184" i="59"/>
  <c r="A6183" i="59"/>
  <c r="A6182" i="59"/>
  <c r="A6181" i="59"/>
  <c r="A6180" i="59"/>
  <c r="A6179" i="59"/>
  <c r="A6178" i="59"/>
  <c r="A6177" i="59"/>
  <c r="A6176" i="59"/>
  <c r="A6175" i="59"/>
  <c r="A6174" i="59"/>
  <c r="A6173" i="59"/>
  <c r="A6172" i="59"/>
  <c r="A6171" i="59"/>
  <c r="A6170" i="59"/>
  <c r="A6169" i="59"/>
  <c r="A6168" i="59"/>
  <c r="A6167" i="59"/>
  <c r="A6166" i="59"/>
  <c r="A6165" i="59"/>
  <c r="A6164" i="59"/>
  <c r="A6163" i="59"/>
  <c r="A6162" i="59"/>
  <c r="A6161" i="59"/>
  <c r="A6160" i="59"/>
  <c r="A6159" i="59"/>
  <c r="A6158" i="59"/>
  <c r="A6157" i="59"/>
  <c r="A6156" i="59"/>
  <c r="A6155" i="59"/>
  <c r="A6154" i="59"/>
  <c r="A6153" i="59"/>
  <c r="A6152" i="59"/>
  <c r="A6151" i="59"/>
  <c r="A6150" i="59"/>
  <c r="A6149" i="59"/>
  <c r="A6148" i="59"/>
  <c r="A6147" i="59"/>
  <c r="A6146" i="59"/>
  <c r="A6145" i="59"/>
  <c r="A6144" i="59"/>
  <c r="A6143" i="59"/>
  <c r="A6142" i="59"/>
  <c r="A6141" i="59"/>
  <c r="A6140" i="59"/>
  <c r="A6139" i="59"/>
  <c r="A6138" i="59"/>
  <c r="A6137" i="59"/>
  <c r="A6136" i="59"/>
  <c r="A6135" i="59"/>
  <c r="A6134" i="59"/>
  <c r="A6133" i="59"/>
  <c r="A6132" i="59"/>
  <c r="A6131" i="59"/>
  <c r="A6130" i="59"/>
  <c r="A6129" i="59"/>
  <c r="A6128" i="59"/>
  <c r="A6127" i="59"/>
  <c r="A6126" i="59"/>
  <c r="A6125" i="59"/>
  <c r="A6124" i="59"/>
  <c r="A6123" i="59"/>
  <c r="A6122" i="59"/>
  <c r="A6121" i="59"/>
  <c r="A6120" i="59"/>
  <c r="A6119" i="59"/>
  <c r="A6118" i="59"/>
  <c r="A6117" i="59"/>
  <c r="A6116" i="59"/>
  <c r="A6115" i="59"/>
  <c r="A6114" i="59"/>
  <c r="A6113" i="59"/>
  <c r="A6112" i="59"/>
  <c r="A6111" i="59"/>
  <c r="A6110" i="59"/>
  <c r="A6109" i="59"/>
  <c r="A6108" i="59"/>
  <c r="A6107" i="59"/>
  <c r="A6106" i="59"/>
  <c r="A6105" i="59"/>
  <c r="A6104" i="59"/>
  <c r="A6103" i="59"/>
  <c r="A6102" i="59"/>
  <c r="A6101" i="59"/>
  <c r="A6100" i="59"/>
  <c r="A6099" i="59"/>
  <c r="A6098" i="59"/>
  <c r="A6097" i="59"/>
  <c r="A6096" i="59"/>
  <c r="A6095" i="59"/>
  <c r="A6094" i="59"/>
  <c r="A6093" i="59"/>
  <c r="A6092" i="59"/>
  <c r="A6091" i="59"/>
  <c r="A6090" i="59"/>
  <c r="A6089" i="59"/>
  <c r="A6088" i="59"/>
  <c r="A6087" i="59"/>
  <c r="A6086" i="59"/>
  <c r="A6085" i="59"/>
  <c r="A6084" i="59"/>
  <c r="A6083" i="59"/>
  <c r="A6082" i="59"/>
  <c r="A6081" i="59"/>
  <c r="A6080" i="59"/>
  <c r="A6079" i="59"/>
  <c r="A6078" i="59"/>
  <c r="A6077" i="59"/>
  <c r="A6076" i="59"/>
  <c r="A6075" i="59"/>
  <c r="A6074" i="59"/>
  <c r="A6073" i="59"/>
  <c r="A6072" i="59"/>
  <c r="A6071" i="59"/>
  <c r="A6070" i="59"/>
  <c r="A6069" i="59"/>
  <c r="A6068" i="59"/>
  <c r="A6067" i="59"/>
  <c r="A6066" i="59"/>
  <c r="A6065" i="59"/>
  <c r="A6064" i="59"/>
  <c r="A6063" i="59"/>
  <c r="A6062" i="59"/>
  <c r="A6061" i="59"/>
  <c r="A6060" i="59"/>
  <c r="A6059" i="59"/>
  <c r="A6058" i="59"/>
  <c r="A6057" i="59"/>
  <c r="A6056" i="59"/>
  <c r="A6055" i="59"/>
  <c r="A6054" i="59"/>
  <c r="A6053" i="59"/>
  <c r="A6052" i="59"/>
  <c r="A6051" i="59"/>
  <c r="A6050" i="59"/>
  <c r="A6049" i="59"/>
  <c r="A6048" i="59"/>
  <c r="A6047" i="59"/>
  <c r="A6046" i="59"/>
  <c r="A6045" i="59"/>
  <c r="A6044" i="59"/>
  <c r="A6043" i="59"/>
  <c r="A6042" i="59"/>
  <c r="A6041" i="59"/>
  <c r="A6040" i="59"/>
  <c r="A6039" i="59"/>
  <c r="A6038" i="59"/>
  <c r="A6037" i="59"/>
  <c r="A6036" i="59"/>
  <c r="A6035" i="59"/>
  <c r="A6034" i="59"/>
  <c r="A6033" i="59"/>
  <c r="A6032" i="59"/>
  <c r="A6031" i="59"/>
  <c r="A6030" i="59"/>
  <c r="A6029" i="59"/>
  <c r="A6028" i="59"/>
  <c r="A6027" i="59"/>
  <c r="A6026" i="59"/>
  <c r="A6025" i="59"/>
  <c r="A6024" i="59"/>
  <c r="A6023" i="59"/>
  <c r="A6022" i="59"/>
  <c r="A6021" i="59"/>
  <c r="A6020" i="59"/>
  <c r="A6019" i="59"/>
  <c r="A6018" i="59"/>
  <c r="A6017" i="59"/>
  <c r="A6016" i="59"/>
  <c r="A6015" i="59"/>
  <c r="A6014" i="59"/>
  <c r="A6013" i="59"/>
  <c r="A6012" i="59"/>
  <c r="A6011" i="59"/>
  <c r="A6010" i="59"/>
  <c r="A6009" i="59"/>
  <c r="A6008" i="59"/>
  <c r="A6007" i="59"/>
  <c r="A6006" i="59"/>
  <c r="A6005" i="59"/>
  <c r="A6004" i="59"/>
  <c r="A6003" i="59"/>
  <c r="A6002" i="59"/>
  <c r="A6001" i="59"/>
  <c r="A6000" i="59"/>
  <c r="A5999" i="59"/>
  <c r="A5998" i="59"/>
  <c r="A5997" i="59"/>
  <c r="A5996" i="59"/>
  <c r="A5995" i="59"/>
  <c r="A5994" i="59"/>
  <c r="A5993" i="59"/>
  <c r="A5992" i="59"/>
  <c r="A5991" i="59"/>
  <c r="A5990" i="59"/>
  <c r="A5989" i="59"/>
  <c r="A5988" i="59"/>
  <c r="A5987" i="59"/>
  <c r="A5986" i="59"/>
  <c r="A5985" i="59"/>
  <c r="A5984" i="59"/>
  <c r="A5983" i="59"/>
  <c r="A5982" i="59"/>
  <c r="A5981" i="59"/>
  <c r="A5980" i="59"/>
  <c r="A5979" i="59"/>
  <c r="A5978" i="59"/>
  <c r="A5977" i="59"/>
  <c r="A5976" i="59"/>
  <c r="A5975" i="59"/>
  <c r="A5974" i="59"/>
  <c r="A5973" i="59"/>
  <c r="A5972" i="59"/>
  <c r="A5971" i="59"/>
  <c r="A5970" i="59"/>
  <c r="A5969" i="59"/>
  <c r="A5968" i="59"/>
  <c r="A5967" i="59"/>
  <c r="A5966" i="59"/>
  <c r="A5965" i="59"/>
  <c r="A5964" i="59"/>
  <c r="A5963" i="59"/>
  <c r="A5962" i="59"/>
  <c r="A5961" i="59"/>
  <c r="A5960" i="59"/>
  <c r="A5959" i="59"/>
  <c r="A5958" i="59"/>
  <c r="A5957" i="59"/>
  <c r="A5956" i="59"/>
  <c r="A5955" i="59"/>
  <c r="A5954" i="59"/>
  <c r="A5953" i="59"/>
  <c r="A5952" i="59"/>
  <c r="A5951" i="59"/>
  <c r="A5950" i="59"/>
  <c r="A5949" i="59"/>
  <c r="A5948" i="59"/>
  <c r="A5947" i="59"/>
  <c r="A5946" i="59"/>
  <c r="A5945" i="59"/>
  <c r="A5944" i="59"/>
  <c r="A5943" i="59"/>
  <c r="A5942" i="59"/>
  <c r="A5941" i="59"/>
  <c r="A5940" i="59"/>
  <c r="A5939" i="59"/>
  <c r="A5938" i="59"/>
  <c r="A5937" i="59"/>
  <c r="A5936" i="59"/>
  <c r="A5935" i="59"/>
  <c r="A5934" i="59"/>
  <c r="A5933" i="59"/>
  <c r="A5932" i="59"/>
  <c r="A5931" i="59"/>
  <c r="A5930" i="59"/>
  <c r="A5929" i="59"/>
  <c r="A5928" i="59"/>
  <c r="A5927" i="59"/>
  <c r="A5926" i="59"/>
  <c r="A5925" i="59"/>
  <c r="A5924" i="59"/>
  <c r="A5923" i="59"/>
  <c r="A5922" i="59"/>
  <c r="A5921" i="59"/>
  <c r="A5920" i="59"/>
  <c r="A5919" i="59"/>
  <c r="A5918" i="59"/>
  <c r="A5917" i="59"/>
  <c r="A5916" i="59"/>
  <c r="A5915" i="59"/>
  <c r="A5914" i="59"/>
  <c r="A5913" i="59"/>
  <c r="A5912" i="59"/>
  <c r="A5911" i="59"/>
  <c r="A5910" i="59"/>
  <c r="A5909" i="59"/>
  <c r="A5908" i="59"/>
  <c r="A5907" i="59"/>
  <c r="A5906" i="59"/>
  <c r="A5905" i="59"/>
  <c r="A5904" i="59"/>
  <c r="A5903" i="59"/>
  <c r="A5902" i="59"/>
  <c r="A5901" i="59"/>
  <c r="A5900" i="59"/>
  <c r="A5899" i="59"/>
  <c r="A5898" i="59"/>
  <c r="A5897" i="59"/>
  <c r="A5896" i="59"/>
  <c r="A5895" i="59"/>
  <c r="A5894" i="59"/>
  <c r="A5893" i="59"/>
  <c r="A5892" i="59"/>
  <c r="A5891" i="59"/>
  <c r="A5890" i="59"/>
  <c r="A5889" i="59"/>
  <c r="A5888" i="59"/>
  <c r="A5887" i="59"/>
  <c r="A5886" i="59"/>
  <c r="A5885" i="59"/>
  <c r="A5884" i="59"/>
  <c r="A5883" i="59"/>
  <c r="A5882" i="59"/>
  <c r="A5881" i="59"/>
  <c r="A5880" i="59"/>
  <c r="A5879" i="59"/>
  <c r="A5878" i="59"/>
  <c r="A5877" i="59"/>
  <c r="A5876" i="59"/>
  <c r="A5875" i="59"/>
  <c r="A5874" i="59"/>
  <c r="A5873" i="59"/>
  <c r="A5872" i="59"/>
  <c r="A5871" i="59"/>
  <c r="A5870" i="59"/>
  <c r="A5869" i="59"/>
  <c r="A5868" i="59"/>
  <c r="A5867" i="59"/>
  <c r="A5866" i="59"/>
  <c r="A5865" i="59"/>
  <c r="A5864" i="59"/>
  <c r="A5863" i="59"/>
  <c r="A5862" i="59"/>
  <c r="A5861" i="59"/>
  <c r="A5860" i="59"/>
  <c r="A5859" i="59"/>
  <c r="A5858" i="59"/>
  <c r="A5857" i="59"/>
  <c r="A5856" i="59"/>
  <c r="A5855" i="59"/>
  <c r="A5854" i="59"/>
  <c r="A5853" i="59"/>
  <c r="A5852" i="59"/>
  <c r="A5851" i="59"/>
  <c r="A5850" i="59"/>
  <c r="A5849" i="59"/>
  <c r="A5848" i="59"/>
  <c r="A5847" i="59"/>
  <c r="A5846" i="59"/>
  <c r="A5845" i="59"/>
  <c r="A5844" i="59"/>
  <c r="A5843" i="59"/>
  <c r="A5842" i="59"/>
  <c r="A5841" i="59"/>
  <c r="A5840" i="59"/>
  <c r="A5839" i="59"/>
  <c r="A5838" i="59"/>
  <c r="A5837" i="59"/>
  <c r="A5836" i="59"/>
  <c r="A5835" i="59"/>
  <c r="A5834" i="59"/>
  <c r="A5833" i="59"/>
  <c r="A5832" i="59"/>
  <c r="A5831" i="59"/>
  <c r="A5830" i="59"/>
  <c r="A5829" i="59"/>
  <c r="A5828" i="59"/>
  <c r="A5827" i="59"/>
  <c r="A5826" i="59"/>
  <c r="A5825" i="59"/>
  <c r="A5824" i="59"/>
  <c r="A5823" i="59"/>
  <c r="A5822" i="59"/>
  <c r="A5821" i="59"/>
  <c r="A5820" i="59"/>
  <c r="A5819" i="59"/>
  <c r="A5818" i="59"/>
  <c r="A5817" i="59"/>
  <c r="A5816" i="59"/>
  <c r="A5815" i="59"/>
  <c r="A5814" i="59"/>
  <c r="A5813" i="59"/>
  <c r="A5812" i="59"/>
  <c r="A5811" i="59"/>
  <c r="A5810" i="59"/>
  <c r="A5809" i="59"/>
  <c r="A5808" i="59"/>
  <c r="A5807" i="59"/>
  <c r="A5806" i="59"/>
  <c r="A5805" i="59"/>
  <c r="A5804" i="59"/>
  <c r="A5803" i="59"/>
  <c r="A5802" i="59"/>
  <c r="A5801" i="59"/>
  <c r="A5800" i="59"/>
  <c r="A5799" i="59"/>
  <c r="A5798" i="59"/>
  <c r="A5797" i="59"/>
  <c r="A5796" i="59"/>
  <c r="A5795" i="59"/>
  <c r="A5794" i="59"/>
  <c r="A5793" i="59"/>
  <c r="A5792" i="59"/>
  <c r="A5791" i="59"/>
  <c r="A5790" i="59"/>
  <c r="A5789" i="59"/>
  <c r="A5788" i="59"/>
  <c r="A5787" i="59"/>
  <c r="A5786" i="59"/>
  <c r="A5785" i="59"/>
  <c r="A5784" i="59"/>
  <c r="A5783" i="59"/>
  <c r="A5782" i="59"/>
  <c r="A5781" i="59"/>
  <c r="A5780" i="59"/>
  <c r="A5779" i="59"/>
  <c r="A5778" i="59"/>
  <c r="A5777" i="59"/>
  <c r="A5776" i="59"/>
  <c r="A5775" i="59"/>
  <c r="A5774" i="59"/>
  <c r="A5773" i="59"/>
  <c r="A5772" i="59"/>
  <c r="A5771" i="59"/>
  <c r="A5770" i="59"/>
  <c r="A5769" i="59"/>
  <c r="A5768" i="59"/>
  <c r="A5767" i="59"/>
  <c r="A5766" i="59"/>
  <c r="A5765" i="59"/>
  <c r="A5764" i="59"/>
  <c r="A5763" i="59"/>
  <c r="A5762" i="59"/>
  <c r="A5761" i="59"/>
  <c r="A5760" i="59"/>
  <c r="A5759" i="59"/>
  <c r="A5758" i="59"/>
  <c r="A5757" i="59"/>
  <c r="A5756" i="59"/>
  <c r="A5755" i="59"/>
  <c r="A5754" i="59"/>
  <c r="A5753" i="59"/>
  <c r="A5752" i="59"/>
  <c r="A5751" i="59"/>
  <c r="A5750" i="59"/>
  <c r="A5749" i="59"/>
  <c r="A5748" i="59"/>
  <c r="A5747" i="59"/>
  <c r="A5746" i="59"/>
  <c r="A5745" i="59"/>
  <c r="A5744" i="59"/>
  <c r="A5743" i="59"/>
  <c r="A5742" i="59"/>
  <c r="A5741" i="59"/>
  <c r="A5740" i="59"/>
  <c r="A5739" i="59"/>
  <c r="A5738" i="59"/>
  <c r="A5737" i="59"/>
  <c r="A5736" i="59"/>
  <c r="A5735" i="59"/>
  <c r="A5734" i="59"/>
  <c r="A5733" i="59"/>
  <c r="A5732" i="59"/>
  <c r="A5731" i="59"/>
  <c r="A5730" i="59"/>
  <c r="A5729" i="59"/>
  <c r="A5728" i="59"/>
  <c r="A5727" i="59"/>
  <c r="A5726" i="59"/>
  <c r="A5725" i="59"/>
  <c r="A5724" i="59"/>
  <c r="A5723" i="59"/>
  <c r="A5722" i="59"/>
  <c r="A5721" i="59"/>
  <c r="A5720" i="59"/>
  <c r="A5719" i="59"/>
  <c r="A5718" i="59"/>
  <c r="A5717" i="59"/>
  <c r="A5716" i="59"/>
  <c r="A5715" i="59"/>
  <c r="A5714" i="59"/>
  <c r="A5713" i="59"/>
  <c r="A5712" i="59"/>
  <c r="A5711" i="59"/>
  <c r="A5710" i="59"/>
  <c r="A5709" i="59"/>
  <c r="A5708" i="59"/>
  <c r="A5707" i="59"/>
  <c r="A5706" i="59"/>
  <c r="A5705" i="59"/>
  <c r="A5704" i="59"/>
  <c r="A5703" i="59"/>
  <c r="A5702" i="59"/>
  <c r="A5701" i="59"/>
  <c r="A5700" i="59"/>
  <c r="A5699" i="59"/>
  <c r="A5698" i="59"/>
  <c r="A5697" i="59"/>
  <c r="A5696" i="59"/>
  <c r="A5695" i="59"/>
  <c r="A5694" i="59"/>
  <c r="A5693" i="59"/>
  <c r="A5692" i="59"/>
  <c r="A5691" i="59"/>
  <c r="A5690" i="59"/>
  <c r="A5689" i="59"/>
  <c r="A5688" i="59"/>
  <c r="A5687" i="59"/>
  <c r="A5686" i="59"/>
  <c r="A5685" i="59"/>
  <c r="A5684" i="59"/>
  <c r="A5683" i="59"/>
  <c r="A5682" i="59"/>
  <c r="A5681" i="59"/>
  <c r="A5680" i="59"/>
  <c r="A5679" i="59"/>
  <c r="A5678" i="59"/>
  <c r="A5677" i="59"/>
  <c r="A5676" i="59"/>
  <c r="A5675" i="59"/>
  <c r="A5674" i="59"/>
  <c r="A5673" i="59"/>
  <c r="A5672" i="59"/>
  <c r="A5671" i="59"/>
  <c r="A5670" i="59"/>
  <c r="A5669" i="59"/>
  <c r="A5668" i="59"/>
  <c r="A5667" i="59"/>
  <c r="A5666" i="59"/>
  <c r="A5665" i="59"/>
  <c r="A5664" i="59"/>
  <c r="A5663" i="59"/>
  <c r="A5662" i="59"/>
  <c r="A5661" i="59"/>
  <c r="A5660" i="59"/>
  <c r="A5659" i="59"/>
  <c r="A5658" i="59"/>
  <c r="A5657" i="59"/>
  <c r="A5656" i="59"/>
  <c r="A5655" i="59"/>
  <c r="A5654" i="59"/>
  <c r="A5653" i="59"/>
  <c r="A5652" i="59"/>
  <c r="A5651" i="59"/>
  <c r="A5650" i="59"/>
  <c r="A5649" i="59"/>
  <c r="A5648" i="59"/>
  <c r="A5647" i="59"/>
  <c r="A5646" i="59"/>
  <c r="A5645" i="59"/>
  <c r="A5644" i="59"/>
  <c r="A5643" i="59"/>
  <c r="A5642" i="59"/>
  <c r="A5641" i="59"/>
  <c r="A5640" i="59"/>
  <c r="A5639" i="59"/>
  <c r="A5638" i="59"/>
  <c r="A5637" i="59"/>
  <c r="A5636" i="59"/>
  <c r="A5635" i="59"/>
  <c r="A5634" i="59"/>
  <c r="A5633" i="59"/>
  <c r="A5632" i="59"/>
  <c r="A5631" i="59"/>
  <c r="A5630" i="59"/>
  <c r="A5629" i="59"/>
  <c r="A5628" i="59"/>
  <c r="A5627" i="59"/>
  <c r="A5626" i="59"/>
  <c r="A5625" i="59"/>
  <c r="A5624" i="59"/>
  <c r="A5623" i="59"/>
  <c r="A5622" i="59"/>
  <c r="A5621" i="59"/>
  <c r="A5620" i="59"/>
  <c r="A5619" i="59"/>
  <c r="A5618" i="59"/>
  <c r="A5617" i="59"/>
  <c r="A5616" i="59"/>
  <c r="A5615" i="59"/>
  <c r="A5614" i="59"/>
  <c r="A5613" i="59"/>
  <c r="A5612" i="59"/>
  <c r="A5611" i="59"/>
  <c r="A5610" i="59"/>
  <c r="A5609" i="59"/>
  <c r="A5608" i="59"/>
  <c r="A5607" i="59"/>
  <c r="A5606" i="59"/>
  <c r="A5605" i="59"/>
  <c r="A5604" i="59"/>
  <c r="A5603" i="59"/>
  <c r="A5602" i="59"/>
  <c r="A5601" i="59"/>
  <c r="A5600" i="59"/>
  <c r="A5599" i="59"/>
  <c r="A5598" i="59"/>
  <c r="A5597" i="59"/>
  <c r="A5596" i="59"/>
  <c r="A5595" i="59"/>
  <c r="A5594" i="59"/>
  <c r="A5593" i="59"/>
  <c r="A5592" i="59"/>
  <c r="A5591" i="59"/>
  <c r="A5590" i="59"/>
  <c r="A5589" i="59"/>
  <c r="A5588" i="59"/>
  <c r="A5587" i="59"/>
  <c r="A5586" i="59"/>
  <c r="A5585" i="59"/>
  <c r="A5584" i="59"/>
  <c r="A5583" i="59"/>
  <c r="A5582" i="59"/>
  <c r="A5581" i="59"/>
  <c r="A5580" i="59"/>
  <c r="A5579" i="59"/>
  <c r="A5578" i="59"/>
  <c r="A5577" i="59"/>
  <c r="A5576" i="59"/>
  <c r="A5575" i="59"/>
  <c r="A5574" i="59"/>
  <c r="A5573" i="59"/>
  <c r="A5572" i="59"/>
  <c r="A5571" i="59"/>
  <c r="A5570" i="59"/>
  <c r="A5569" i="59"/>
  <c r="A5568" i="59"/>
  <c r="A5567" i="59"/>
  <c r="A5566" i="59"/>
  <c r="A5565" i="59"/>
  <c r="A5564" i="59"/>
  <c r="A5563" i="59"/>
  <c r="A5562" i="59"/>
  <c r="A5561" i="59"/>
  <c r="A5560" i="59"/>
  <c r="A5559" i="59"/>
  <c r="A5558" i="59"/>
  <c r="A5557" i="59"/>
  <c r="A5556" i="59"/>
  <c r="A5555" i="59"/>
  <c r="A5554" i="59"/>
  <c r="A5553" i="59"/>
  <c r="A5552" i="59"/>
  <c r="A5551" i="59"/>
  <c r="A5550" i="59"/>
  <c r="A5549" i="59"/>
  <c r="A5548" i="59"/>
  <c r="A5547" i="59"/>
  <c r="A5546" i="59"/>
  <c r="A5545" i="59"/>
  <c r="A5544" i="59"/>
  <c r="A5543" i="59"/>
  <c r="A5542" i="59"/>
  <c r="A5541" i="59"/>
  <c r="A5540" i="59"/>
  <c r="A5539" i="59"/>
  <c r="A5538" i="59"/>
  <c r="A5537" i="59"/>
  <c r="A5536" i="59"/>
  <c r="A5535" i="59"/>
  <c r="A5534" i="59"/>
  <c r="A5533" i="59"/>
  <c r="A5532" i="59"/>
  <c r="A5531" i="59"/>
  <c r="A5530" i="59"/>
  <c r="A5529" i="59"/>
  <c r="A5528" i="59"/>
  <c r="A5527" i="59"/>
  <c r="A5526" i="59"/>
  <c r="A5525" i="59"/>
  <c r="A5524" i="59"/>
  <c r="A5523" i="59"/>
  <c r="A5522" i="59"/>
  <c r="A5521" i="59"/>
  <c r="A5520" i="59"/>
  <c r="A5519" i="59"/>
  <c r="A5518" i="59"/>
  <c r="A5517" i="59"/>
  <c r="A5516" i="59"/>
  <c r="A5515" i="59"/>
  <c r="A5514" i="59"/>
  <c r="A5513" i="59"/>
  <c r="A5512" i="59"/>
  <c r="A5511" i="59"/>
  <c r="A5510" i="59"/>
  <c r="A5509" i="59"/>
  <c r="A5508" i="59"/>
  <c r="A5507" i="59"/>
  <c r="A5506" i="59"/>
  <c r="A5505" i="59"/>
  <c r="A5504" i="59"/>
  <c r="A5503" i="59"/>
  <c r="A5502" i="59"/>
  <c r="A5501" i="59"/>
  <c r="A5500" i="59"/>
  <c r="A5499" i="59"/>
  <c r="A5498" i="59"/>
  <c r="A5497" i="59"/>
  <c r="A5496" i="59"/>
  <c r="A5495" i="59"/>
  <c r="A5494" i="59"/>
  <c r="A5493" i="59"/>
  <c r="A5492" i="59"/>
  <c r="A5491" i="59"/>
  <c r="A5490" i="59"/>
  <c r="A5489" i="59"/>
  <c r="A5488" i="59"/>
  <c r="A5487" i="59"/>
  <c r="A5486" i="59"/>
  <c r="A5485" i="59"/>
  <c r="A5484" i="59"/>
  <c r="A5483" i="59"/>
  <c r="A5482" i="59"/>
  <c r="A5481" i="59"/>
  <c r="A5480" i="59"/>
  <c r="A5479" i="59"/>
  <c r="A5478" i="59"/>
  <c r="A5477" i="59"/>
  <c r="A5476" i="59"/>
  <c r="A5475" i="59"/>
  <c r="A5474" i="59"/>
  <c r="A5473" i="59"/>
  <c r="A5472" i="59"/>
  <c r="A5471" i="59"/>
  <c r="A5470" i="59"/>
  <c r="A5469" i="59"/>
  <c r="A5468" i="59"/>
  <c r="A5467" i="59"/>
  <c r="A5466" i="59"/>
  <c r="A5465" i="59"/>
  <c r="A5464" i="59"/>
  <c r="A5463" i="59"/>
  <c r="A5462" i="59"/>
  <c r="A5461" i="59"/>
  <c r="A5460" i="59"/>
  <c r="A5459" i="59"/>
  <c r="A5458" i="59"/>
  <c r="A5457" i="59"/>
  <c r="A5456" i="59"/>
  <c r="A5455" i="59"/>
  <c r="A5454" i="59"/>
  <c r="A5453" i="59"/>
  <c r="A5452" i="59"/>
  <c r="A5451" i="59"/>
  <c r="A5450" i="59"/>
  <c r="A5449" i="59"/>
  <c r="A5448" i="59"/>
  <c r="A5447" i="59"/>
  <c r="A5446" i="59"/>
  <c r="A5445" i="59"/>
  <c r="A5444" i="59"/>
  <c r="A5443" i="59"/>
  <c r="A5442" i="59"/>
  <c r="A5441" i="59"/>
  <c r="A5440" i="59"/>
  <c r="A5439" i="59"/>
  <c r="A5438" i="59"/>
  <c r="A5437" i="59"/>
  <c r="A5436" i="59"/>
  <c r="A5435" i="59"/>
  <c r="A5434" i="59"/>
  <c r="A5433" i="59"/>
  <c r="A5432" i="59"/>
  <c r="A5431" i="59"/>
  <c r="A5430" i="59"/>
  <c r="A5429" i="59"/>
  <c r="A5428" i="59"/>
  <c r="A5427" i="59"/>
  <c r="A5426" i="59"/>
  <c r="A5425" i="59"/>
  <c r="A5424" i="59"/>
  <c r="A5423" i="59"/>
  <c r="A5422" i="59"/>
  <c r="A5421" i="59"/>
  <c r="A5420" i="59"/>
  <c r="A5419" i="59"/>
  <c r="A5418" i="59"/>
  <c r="A5417" i="59"/>
  <c r="A5416" i="59"/>
  <c r="A5415" i="59"/>
  <c r="A5414" i="59"/>
  <c r="A5413" i="59"/>
  <c r="A5412" i="59"/>
  <c r="A5411" i="59"/>
  <c r="A5410" i="59"/>
  <c r="A5409" i="59"/>
  <c r="A5408" i="59"/>
  <c r="A5407" i="59"/>
  <c r="A5406" i="59"/>
  <c r="A5405" i="59"/>
  <c r="A5404" i="59"/>
  <c r="A5403" i="59"/>
  <c r="A5402" i="59"/>
  <c r="A5401" i="59"/>
  <c r="A5400" i="59"/>
  <c r="A5399" i="59"/>
  <c r="A5398" i="59"/>
  <c r="A5397" i="59"/>
  <c r="A5396" i="59"/>
  <c r="A5395" i="59"/>
  <c r="A5394" i="59"/>
  <c r="A5393" i="59"/>
  <c r="A5392" i="59"/>
  <c r="A5391" i="59"/>
  <c r="A5390" i="59"/>
  <c r="A5389" i="59"/>
  <c r="A5388" i="59"/>
  <c r="A5387" i="59"/>
  <c r="A5386" i="59"/>
  <c r="A5385" i="59"/>
  <c r="A5384" i="59"/>
  <c r="A5383" i="59"/>
  <c r="A5382" i="59"/>
  <c r="A5381" i="59"/>
  <c r="A5380" i="59"/>
  <c r="A5379" i="59"/>
  <c r="A5378" i="59"/>
  <c r="A5377" i="59"/>
  <c r="A5376" i="59"/>
  <c r="A5375" i="59"/>
  <c r="A5374" i="59"/>
  <c r="A5373" i="59"/>
  <c r="A5372" i="59"/>
  <c r="A5371" i="59"/>
  <c r="A5370" i="59"/>
  <c r="A5369" i="59"/>
  <c r="A5368" i="59"/>
  <c r="A5367" i="59"/>
  <c r="A5366" i="59"/>
  <c r="A5365" i="59"/>
  <c r="A5364" i="59"/>
  <c r="A5363" i="59"/>
  <c r="A5362" i="59"/>
  <c r="A5361" i="59"/>
  <c r="A5360" i="59"/>
  <c r="A5359" i="59"/>
  <c r="A5358" i="59"/>
  <c r="A5357" i="59"/>
  <c r="A5356" i="59"/>
  <c r="A5355" i="59"/>
  <c r="A5354" i="59"/>
  <c r="A5353" i="59"/>
  <c r="A5352" i="59"/>
  <c r="A5351" i="59"/>
  <c r="A5350" i="59"/>
  <c r="A5349" i="59"/>
  <c r="A5348" i="59"/>
  <c r="A5347" i="59"/>
  <c r="A5346" i="59"/>
  <c r="A5345" i="59"/>
  <c r="A5344" i="59"/>
  <c r="A5343" i="59"/>
  <c r="A5342" i="59"/>
  <c r="A5341" i="59"/>
  <c r="A5340" i="59"/>
  <c r="A5339" i="59"/>
  <c r="A5338" i="59"/>
  <c r="A5337" i="59"/>
  <c r="A5336" i="59"/>
  <c r="A5335" i="59"/>
  <c r="A5334" i="59"/>
  <c r="A5333" i="59"/>
  <c r="A5332" i="59"/>
  <c r="A5331" i="59"/>
  <c r="A5330" i="59"/>
  <c r="A5329" i="59"/>
  <c r="A5328" i="59"/>
  <c r="A5327" i="59"/>
  <c r="A5326" i="59"/>
  <c r="A5325" i="59"/>
  <c r="A5324" i="59"/>
  <c r="A5323" i="59"/>
  <c r="A5322" i="59"/>
  <c r="A5321" i="59"/>
  <c r="A5320" i="59"/>
  <c r="A5319" i="59"/>
  <c r="A5318" i="59"/>
  <c r="A5317" i="59"/>
  <c r="A5316" i="59"/>
  <c r="A5315" i="59"/>
  <c r="A5314" i="59"/>
  <c r="A5313" i="59"/>
  <c r="A5312" i="59"/>
  <c r="A5311" i="59"/>
  <c r="A5310" i="59"/>
  <c r="A5309" i="59"/>
  <c r="A5308" i="59"/>
  <c r="A5307" i="59"/>
  <c r="A5306" i="59"/>
  <c r="A5305" i="59"/>
  <c r="A5304" i="59"/>
  <c r="A5303" i="59"/>
  <c r="A5302" i="59"/>
  <c r="A5301" i="59"/>
  <c r="A5300" i="59"/>
  <c r="A5299" i="59"/>
  <c r="A5298" i="59"/>
  <c r="A5297" i="59"/>
  <c r="A5296" i="59"/>
  <c r="A5295" i="59"/>
  <c r="A5294" i="59"/>
  <c r="A5293" i="59"/>
  <c r="A5292" i="59"/>
  <c r="A5291" i="59"/>
  <c r="A5290" i="59"/>
  <c r="A5289" i="59"/>
  <c r="A5288" i="59"/>
  <c r="A5287" i="59"/>
  <c r="A5286" i="59"/>
  <c r="A5285" i="59"/>
  <c r="A5284" i="59"/>
  <c r="A5283" i="59"/>
  <c r="A5282" i="59"/>
  <c r="A5281" i="59"/>
  <c r="A5280" i="59"/>
  <c r="A5279" i="59"/>
  <c r="A5278" i="59"/>
  <c r="A5277" i="59"/>
  <c r="A5276" i="59"/>
  <c r="A5275" i="59"/>
  <c r="A5274" i="59"/>
  <c r="A5273" i="59"/>
  <c r="A5272" i="59"/>
  <c r="A5271" i="59"/>
  <c r="A5270" i="59"/>
  <c r="A5269" i="59"/>
  <c r="A5268" i="59"/>
  <c r="A5267" i="59"/>
  <c r="A5266" i="59"/>
  <c r="A5265" i="59"/>
  <c r="A5264" i="59"/>
  <c r="A5263" i="59"/>
  <c r="A5262" i="59"/>
  <c r="A5261" i="59"/>
  <c r="A5260" i="59"/>
  <c r="A5259" i="59"/>
  <c r="A5258" i="59"/>
  <c r="A5257" i="59"/>
  <c r="A5256" i="59"/>
  <c r="A5255" i="59"/>
  <c r="A5254" i="59"/>
  <c r="A5253" i="59"/>
  <c r="A5252" i="59"/>
  <c r="A5251" i="59"/>
  <c r="A5250" i="59"/>
  <c r="A5249" i="59"/>
  <c r="A5248" i="59"/>
  <c r="A5247" i="59"/>
  <c r="A5246" i="59"/>
  <c r="A5245" i="59"/>
  <c r="A5244" i="59"/>
  <c r="A5243" i="59"/>
  <c r="A5242" i="59"/>
  <c r="A5241" i="59"/>
  <c r="A5240" i="59"/>
  <c r="A5239" i="59"/>
  <c r="A5238" i="59"/>
  <c r="A5237" i="59"/>
  <c r="A5236" i="59"/>
  <c r="A5235" i="59"/>
  <c r="A5234" i="59"/>
  <c r="A5233" i="59"/>
  <c r="A5232" i="59"/>
  <c r="A5231" i="59"/>
  <c r="A5230" i="59"/>
  <c r="A5229" i="59"/>
  <c r="A5228" i="59"/>
  <c r="A5227" i="59"/>
  <c r="A5226" i="59"/>
  <c r="A5225" i="59"/>
  <c r="A5224" i="59"/>
  <c r="A5223" i="59"/>
  <c r="A5222" i="59"/>
  <c r="A5221" i="59"/>
  <c r="A5220" i="59"/>
  <c r="A5219" i="59"/>
  <c r="A5218" i="59"/>
  <c r="A5217" i="59"/>
  <c r="A5216" i="59"/>
  <c r="A5215" i="59"/>
  <c r="A5214" i="59"/>
  <c r="A5213" i="59"/>
  <c r="A5212" i="59"/>
  <c r="A5211" i="59"/>
  <c r="A5210" i="59"/>
  <c r="A5209" i="59"/>
  <c r="A5208" i="59"/>
  <c r="A5207" i="59"/>
  <c r="A5206" i="59"/>
  <c r="A5205" i="59"/>
  <c r="A5204" i="59"/>
  <c r="A5203" i="59"/>
  <c r="A5202" i="59"/>
  <c r="A5201" i="59"/>
  <c r="A5200" i="59"/>
  <c r="A5199" i="59"/>
  <c r="A5198" i="59"/>
  <c r="A5197" i="59"/>
  <c r="A5196" i="59"/>
  <c r="A5195" i="59"/>
  <c r="A5194" i="59"/>
  <c r="A5193" i="59"/>
  <c r="A5192" i="59"/>
  <c r="A5191" i="59"/>
  <c r="A5190" i="59"/>
  <c r="A5189" i="59"/>
  <c r="A5188" i="59"/>
  <c r="A5187" i="59"/>
  <c r="A5186" i="59"/>
  <c r="A5185" i="59"/>
  <c r="A5184" i="59"/>
  <c r="A5183" i="59"/>
  <c r="A5182" i="59"/>
  <c r="A5181" i="59"/>
  <c r="A5180" i="59"/>
  <c r="A5179" i="59"/>
  <c r="A5178" i="59"/>
  <c r="A5177" i="59"/>
  <c r="A5176" i="59"/>
  <c r="A5175" i="59"/>
  <c r="A5174" i="59"/>
  <c r="A5173" i="59"/>
  <c r="A5172" i="59"/>
  <c r="A5171" i="59"/>
  <c r="A5170" i="59"/>
  <c r="A5169" i="59"/>
  <c r="A5168" i="59"/>
  <c r="A5167" i="59"/>
  <c r="A5166" i="59"/>
  <c r="A5165" i="59"/>
  <c r="A5164" i="59"/>
  <c r="A5163" i="59"/>
  <c r="A5162" i="59"/>
  <c r="A5161" i="59"/>
  <c r="A5160" i="59"/>
  <c r="A5159" i="59"/>
  <c r="A5158" i="59"/>
  <c r="A5157" i="59"/>
  <c r="A5156" i="59"/>
  <c r="A5155" i="59"/>
  <c r="A5154" i="59"/>
  <c r="A5153" i="59"/>
  <c r="A5152" i="59"/>
  <c r="A5151" i="59"/>
  <c r="A5150" i="59"/>
  <c r="A5149" i="59"/>
  <c r="A5148" i="59"/>
  <c r="A5147" i="59"/>
  <c r="A5146" i="59"/>
  <c r="A5145" i="59"/>
  <c r="A5144" i="59"/>
  <c r="A5143" i="59"/>
  <c r="A5142" i="59"/>
  <c r="A5141" i="59"/>
  <c r="A5140" i="59"/>
  <c r="A5139" i="59"/>
  <c r="A5138" i="59"/>
  <c r="A5137" i="59"/>
  <c r="A5136" i="59"/>
  <c r="A5135" i="59"/>
  <c r="A5134" i="59"/>
  <c r="A5133" i="59"/>
  <c r="A5132" i="59"/>
  <c r="A5131" i="59"/>
  <c r="A5130" i="59"/>
  <c r="A5129" i="59"/>
  <c r="A5128" i="59"/>
  <c r="A5127" i="59"/>
  <c r="A5126" i="59"/>
  <c r="A5125" i="59"/>
  <c r="A5124" i="59"/>
  <c r="A5123" i="59"/>
  <c r="A5122" i="59"/>
  <c r="A5121" i="59"/>
  <c r="A5120" i="59"/>
  <c r="A5119" i="59"/>
  <c r="A5118" i="59"/>
  <c r="A5117" i="59"/>
  <c r="A5116" i="59"/>
  <c r="A5115" i="59"/>
  <c r="A5114" i="59"/>
  <c r="A5113" i="59"/>
  <c r="A5112" i="59"/>
  <c r="A5111" i="59"/>
  <c r="A5110" i="59"/>
  <c r="A5109" i="59"/>
  <c r="A5108" i="59"/>
  <c r="A5107" i="59"/>
  <c r="A5106" i="59"/>
  <c r="A5105" i="59"/>
  <c r="A5104" i="59"/>
  <c r="A5103" i="59"/>
  <c r="A5102" i="59"/>
  <c r="A5101" i="59"/>
  <c r="A5100" i="59"/>
  <c r="A5099" i="59"/>
  <c r="A5098" i="59"/>
  <c r="A5097" i="59"/>
  <c r="A5096" i="59"/>
  <c r="A5095" i="59"/>
  <c r="A5094" i="59"/>
  <c r="A5093" i="59"/>
  <c r="A5092" i="59"/>
  <c r="A5091" i="59"/>
  <c r="A5090" i="59"/>
  <c r="A5089" i="59"/>
  <c r="A5088" i="59"/>
  <c r="A5087" i="59"/>
  <c r="A5086" i="59"/>
  <c r="A5085" i="59"/>
  <c r="A5084" i="59"/>
  <c r="A5083" i="59"/>
  <c r="A5082" i="59"/>
  <c r="A5081" i="59"/>
  <c r="A5080" i="59"/>
  <c r="A5079" i="59"/>
  <c r="A5078" i="59"/>
  <c r="A5077" i="59"/>
  <c r="A5076" i="59"/>
  <c r="A5075" i="59"/>
  <c r="A5074" i="59"/>
  <c r="A5073" i="59"/>
  <c r="A5072" i="59"/>
  <c r="A5071" i="59"/>
  <c r="A5070" i="59"/>
  <c r="A5069" i="59"/>
  <c r="A5068" i="59"/>
  <c r="A5067" i="59"/>
  <c r="A5066" i="59"/>
  <c r="A5065" i="59"/>
  <c r="A5064" i="59"/>
  <c r="A5063" i="59"/>
  <c r="A5062" i="59"/>
  <c r="A5061" i="59"/>
  <c r="A5060" i="59"/>
  <c r="A5059" i="59"/>
  <c r="A5058" i="59"/>
  <c r="A5057" i="59"/>
  <c r="A5056" i="59"/>
  <c r="A5055" i="59"/>
  <c r="A5054" i="59"/>
  <c r="A5053" i="59"/>
  <c r="A5052" i="59"/>
  <c r="A5051" i="59"/>
  <c r="A5050" i="59"/>
  <c r="A5049" i="59"/>
  <c r="A5048" i="59"/>
  <c r="A5047" i="59"/>
  <c r="A5046" i="59"/>
  <c r="A5045" i="59"/>
  <c r="A5044" i="59"/>
  <c r="A5043" i="59"/>
  <c r="A5042" i="59"/>
  <c r="A5041" i="59"/>
  <c r="A5040" i="59"/>
  <c r="A5039" i="59"/>
  <c r="A5038" i="59"/>
  <c r="A5037" i="59"/>
  <c r="A5036" i="59"/>
  <c r="A5035" i="59"/>
  <c r="A5034" i="59"/>
  <c r="A5033" i="59"/>
  <c r="A5032" i="59"/>
  <c r="A5031" i="59"/>
  <c r="A5030" i="59"/>
  <c r="A5029" i="59"/>
  <c r="A5028" i="59"/>
  <c r="A5027" i="59"/>
  <c r="A5026" i="59"/>
  <c r="A5025" i="59"/>
  <c r="A5024" i="59"/>
  <c r="A5023" i="59"/>
  <c r="A5022" i="59"/>
  <c r="A5021" i="59"/>
  <c r="A5020" i="59"/>
  <c r="A5019" i="59"/>
  <c r="A5018" i="59"/>
  <c r="A5017" i="59"/>
  <c r="A5016" i="59"/>
  <c r="A5015" i="59"/>
  <c r="A5014" i="59"/>
  <c r="A5013" i="59"/>
  <c r="A5012" i="59"/>
  <c r="A5011" i="59"/>
  <c r="A5010" i="59"/>
  <c r="A5009" i="59"/>
  <c r="A5008" i="59"/>
  <c r="A5007" i="59"/>
  <c r="A5006" i="59"/>
  <c r="A5005" i="59"/>
  <c r="A5004" i="59"/>
  <c r="A5003" i="59"/>
  <c r="A5002" i="59"/>
  <c r="A5001" i="59"/>
  <c r="A5000" i="59"/>
  <c r="A4999" i="59"/>
  <c r="A4998" i="59"/>
  <c r="A4997" i="59"/>
  <c r="A4996" i="59"/>
  <c r="A4995" i="59"/>
  <c r="A4994" i="59"/>
  <c r="A4993" i="59"/>
  <c r="A4992" i="59"/>
  <c r="A4991" i="59"/>
  <c r="A4990" i="59"/>
  <c r="A4989" i="59"/>
  <c r="A4988" i="59"/>
  <c r="A4987" i="59"/>
  <c r="A4986" i="59"/>
  <c r="A4985" i="59"/>
  <c r="A4984" i="59"/>
  <c r="A4983" i="59"/>
  <c r="A4982" i="59"/>
  <c r="A4981" i="59"/>
  <c r="A4980" i="59"/>
  <c r="A4979" i="59"/>
  <c r="A4978" i="59"/>
  <c r="A4977" i="59"/>
  <c r="A4976" i="59"/>
  <c r="A4975" i="59"/>
  <c r="A4974" i="59"/>
  <c r="A4973" i="59"/>
  <c r="A4972" i="59"/>
  <c r="A4971" i="59"/>
  <c r="A4970" i="59"/>
  <c r="A4969" i="59"/>
  <c r="A4968" i="59"/>
  <c r="A4967" i="59"/>
  <c r="A4966" i="59"/>
  <c r="A4965" i="59"/>
  <c r="A4964" i="59"/>
  <c r="A4963" i="59"/>
  <c r="A4962" i="59"/>
  <c r="A4961" i="59"/>
  <c r="A4960" i="59"/>
  <c r="A4959" i="59"/>
  <c r="A4958" i="59"/>
  <c r="A4957" i="59"/>
  <c r="A4956" i="59"/>
  <c r="A4955" i="59"/>
  <c r="A4954" i="59"/>
  <c r="A4953" i="59"/>
  <c r="A4952" i="59"/>
  <c r="A4951" i="59"/>
  <c r="A4950" i="59"/>
  <c r="A4949" i="59"/>
  <c r="A4948" i="59"/>
  <c r="A4947" i="59"/>
  <c r="A4946" i="59"/>
  <c r="A4945" i="59"/>
  <c r="A4944" i="59"/>
  <c r="A4943" i="59"/>
  <c r="A4942" i="59"/>
  <c r="A4941" i="59"/>
  <c r="A4940" i="59"/>
  <c r="A4939" i="59"/>
  <c r="A4938" i="59"/>
  <c r="A4937" i="59"/>
  <c r="A4936" i="59"/>
  <c r="A4935" i="59"/>
  <c r="A4934" i="59"/>
  <c r="A4933" i="59"/>
  <c r="A4932" i="59"/>
  <c r="A4931" i="59"/>
  <c r="A4930" i="59"/>
  <c r="A4929" i="59"/>
  <c r="A4928" i="59"/>
  <c r="A4927" i="59"/>
  <c r="A4926" i="59"/>
  <c r="A4925" i="59"/>
  <c r="A4924" i="59"/>
  <c r="A4923" i="59"/>
  <c r="A4922" i="59"/>
  <c r="A4921" i="59"/>
  <c r="A4920" i="59"/>
  <c r="A4919" i="59"/>
  <c r="A4918" i="59"/>
  <c r="A4917" i="59"/>
  <c r="A4916" i="59"/>
  <c r="A4915" i="59"/>
  <c r="A4914" i="59"/>
  <c r="A4913" i="59"/>
  <c r="A4912" i="59"/>
  <c r="A4911" i="59"/>
  <c r="A4910" i="59"/>
  <c r="A4909" i="59"/>
  <c r="A4908" i="59"/>
  <c r="A4907" i="59"/>
  <c r="A4906" i="59"/>
  <c r="A4905" i="59"/>
  <c r="A4904" i="59"/>
  <c r="A4903" i="59"/>
  <c r="A4902" i="59"/>
  <c r="A4901" i="59"/>
  <c r="A4900" i="59"/>
  <c r="A4899" i="59"/>
  <c r="A4898" i="59"/>
  <c r="A4897" i="59"/>
  <c r="A4896" i="59"/>
  <c r="A4895" i="59"/>
  <c r="A4894" i="59"/>
  <c r="A4893" i="59"/>
  <c r="A4892" i="59"/>
  <c r="A4891" i="59"/>
  <c r="A4890" i="59"/>
  <c r="A4889" i="59"/>
  <c r="A4888" i="59"/>
  <c r="A4887" i="59"/>
  <c r="A4886" i="59"/>
  <c r="A4885" i="59"/>
  <c r="A4884" i="59"/>
  <c r="A4883" i="59"/>
  <c r="A4882" i="59"/>
  <c r="A4881" i="59"/>
  <c r="A4880" i="59"/>
  <c r="A4879" i="59"/>
  <c r="A4878" i="59"/>
  <c r="A4877" i="59"/>
  <c r="A4876" i="59"/>
  <c r="A4875" i="59"/>
  <c r="A4874" i="59"/>
  <c r="A4873" i="59"/>
  <c r="A4872" i="59"/>
  <c r="A4871" i="59"/>
  <c r="A4870" i="59"/>
  <c r="A4869" i="59"/>
  <c r="A4868" i="59"/>
  <c r="A4867" i="59"/>
  <c r="A4866" i="59"/>
  <c r="A4865" i="59"/>
  <c r="A4864" i="59"/>
  <c r="A4863" i="59"/>
  <c r="A4862" i="59"/>
  <c r="A4861" i="59"/>
  <c r="A4860" i="59"/>
  <c r="A4859" i="59"/>
  <c r="A4858" i="59"/>
  <c r="A4857" i="59"/>
  <c r="A4856" i="59"/>
  <c r="A4855" i="59"/>
  <c r="A4854" i="59"/>
  <c r="A4853" i="59"/>
  <c r="A4852" i="59"/>
  <c r="A4851" i="59"/>
  <c r="A4850" i="59"/>
  <c r="A4849" i="59"/>
  <c r="A4848" i="59"/>
  <c r="A4847" i="59"/>
  <c r="A4846" i="59"/>
  <c r="A4845" i="59"/>
  <c r="A4844" i="59"/>
  <c r="A4843" i="59"/>
  <c r="A4842" i="59"/>
  <c r="A4841" i="59"/>
  <c r="A4840" i="59"/>
  <c r="A4839" i="59"/>
  <c r="A4838" i="59"/>
  <c r="A4837" i="59"/>
  <c r="A4836" i="59"/>
  <c r="A4835" i="59"/>
  <c r="A4834" i="59"/>
  <c r="A4833" i="59"/>
  <c r="A4832" i="59"/>
  <c r="A4831" i="59"/>
  <c r="A4830" i="59"/>
  <c r="A4829" i="59"/>
  <c r="A4828" i="59"/>
  <c r="A4827" i="59"/>
  <c r="A4826" i="59"/>
  <c r="A4825" i="59"/>
  <c r="A4824" i="59"/>
  <c r="A4823" i="59"/>
  <c r="A4822" i="59"/>
  <c r="A4821" i="59"/>
  <c r="A4820" i="59"/>
  <c r="A4819" i="59"/>
  <c r="A4818" i="59"/>
  <c r="A4817" i="59"/>
  <c r="A4816" i="59"/>
  <c r="A4815" i="59"/>
  <c r="A4814" i="59"/>
  <c r="A4813" i="59"/>
  <c r="A4812" i="59"/>
  <c r="A4811" i="59"/>
  <c r="A4810" i="59"/>
  <c r="A4809" i="59"/>
  <c r="A4808" i="59"/>
  <c r="A4807" i="59"/>
  <c r="A4806" i="59"/>
  <c r="A4805" i="59"/>
  <c r="A4804" i="59"/>
  <c r="A4803" i="59"/>
  <c r="A4802" i="59"/>
  <c r="A4801" i="59"/>
  <c r="A4800" i="59"/>
  <c r="A4799" i="59"/>
  <c r="A4798" i="59"/>
  <c r="A4797" i="59"/>
  <c r="A4796" i="59"/>
  <c r="A4795" i="59"/>
  <c r="A4794" i="59"/>
  <c r="A4793" i="59"/>
  <c r="A4792" i="59"/>
  <c r="A4791" i="59"/>
  <c r="A4790" i="59"/>
  <c r="A4789" i="59"/>
  <c r="A4788" i="59"/>
  <c r="A4787" i="59"/>
  <c r="A4786" i="59"/>
  <c r="A4785" i="59"/>
  <c r="A4784" i="59"/>
  <c r="A4783" i="59"/>
  <c r="A4782" i="59"/>
  <c r="A4781" i="59"/>
  <c r="A4780" i="59"/>
  <c r="A4779" i="59"/>
  <c r="A4778" i="59"/>
  <c r="A4777" i="59"/>
  <c r="A4776" i="59"/>
  <c r="A4775" i="59"/>
  <c r="A4774" i="59"/>
  <c r="A4773" i="59"/>
  <c r="A4772" i="59"/>
  <c r="A4771" i="59"/>
  <c r="A4770" i="59"/>
  <c r="A4769" i="59"/>
  <c r="A4768" i="59"/>
  <c r="A4767" i="59"/>
  <c r="A4766" i="59"/>
  <c r="A4765" i="59"/>
  <c r="A4764" i="59"/>
  <c r="A4763" i="59"/>
  <c r="A4762" i="59"/>
  <c r="A4761" i="59"/>
  <c r="A4760" i="59"/>
  <c r="A4759" i="59"/>
  <c r="A4758" i="59"/>
  <c r="A4757" i="59"/>
  <c r="A4756" i="59"/>
  <c r="A4755" i="59"/>
  <c r="A4754" i="59"/>
  <c r="A4753" i="59"/>
  <c r="A4752" i="59"/>
  <c r="A4751" i="59"/>
  <c r="A4750" i="59"/>
  <c r="A4749" i="59"/>
  <c r="A4748" i="59"/>
  <c r="A4747" i="59"/>
  <c r="A4746" i="59"/>
  <c r="A4745" i="59"/>
  <c r="A4744" i="59"/>
  <c r="A4743" i="59"/>
  <c r="A4742" i="59"/>
  <c r="A4741" i="59"/>
  <c r="A4740" i="59"/>
  <c r="A4739" i="59"/>
  <c r="A4738" i="59"/>
  <c r="A4737" i="59"/>
  <c r="A4736" i="59"/>
  <c r="A4735" i="59"/>
  <c r="A4734" i="59"/>
  <c r="A4733" i="59"/>
  <c r="A4732" i="59"/>
  <c r="A4731" i="59"/>
  <c r="A4730" i="59"/>
  <c r="A4729" i="59"/>
  <c r="A4728" i="59"/>
  <c r="A4727" i="59"/>
  <c r="A4726" i="59"/>
  <c r="A4725" i="59"/>
  <c r="A4724" i="59"/>
  <c r="A4723" i="59"/>
  <c r="A4722" i="59"/>
  <c r="A4721" i="59"/>
  <c r="A4720" i="59"/>
  <c r="A4719" i="59"/>
  <c r="A4718" i="59"/>
  <c r="A4717" i="59"/>
  <c r="A4716" i="59"/>
  <c r="A4715" i="59"/>
  <c r="A4714" i="59"/>
  <c r="A4713" i="59"/>
  <c r="A4712" i="59"/>
  <c r="A4711" i="59"/>
  <c r="A4710" i="59"/>
  <c r="A4709" i="59"/>
  <c r="A4708" i="59"/>
  <c r="A4707" i="59"/>
  <c r="A4706" i="59"/>
  <c r="A4705" i="59"/>
  <c r="A4704" i="59"/>
  <c r="A4703" i="59"/>
  <c r="A4702" i="59"/>
  <c r="A4701" i="59"/>
  <c r="A4700" i="59"/>
  <c r="A4699" i="59"/>
  <c r="A4698" i="59"/>
  <c r="A4697" i="59"/>
  <c r="A4696" i="59"/>
  <c r="A4695" i="59"/>
  <c r="A4694" i="59"/>
  <c r="A4693" i="59"/>
  <c r="A4692" i="59"/>
  <c r="A4691" i="59"/>
  <c r="A4690" i="59"/>
  <c r="A4689" i="59"/>
  <c r="A4688" i="59"/>
  <c r="A4687" i="59"/>
  <c r="A4686" i="59"/>
  <c r="A4685" i="59"/>
  <c r="A4684" i="59"/>
  <c r="A4683" i="59"/>
  <c r="A4682" i="59"/>
  <c r="A4681" i="59"/>
  <c r="A4680" i="59"/>
  <c r="A4679" i="59"/>
  <c r="A4678" i="59"/>
  <c r="A4677" i="59"/>
  <c r="A4676" i="59"/>
  <c r="A4675" i="59"/>
  <c r="A4674" i="59"/>
  <c r="A4673" i="59"/>
  <c r="A4672" i="59"/>
  <c r="A4671" i="59"/>
  <c r="A4670" i="59"/>
  <c r="A4669" i="59"/>
  <c r="A4668" i="59"/>
  <c r="A4667" i="59"/>
  <c r="A4666" i="59"/>
  <c r="A4665" i="59"/>
  <c r="A4664" i="59"/>
  <c r="A4663" i="59"/>
  <c r="A4662" i="59"/>
  <c r="A4661" i="59"/>
  <c r="A4660" i="59"/>
  <c r="A4659" i="59"/>
  <c r="A4658" i="59"/>
  <c r="A4657" i="59"/>
  <c r="A4656" i="59"/>
  <c r="A4655" i="59"/>
  <c r="A4654" i="59"/>
  <c r="A4653" i="59"/>
  <c r="A4652" i="59"/>
  <c r="A4651" i="59"/>
  <c r="A4650" i="59"/>
  <c r="A4649" i="59"/>
  <c r="A4648" i="59"/>
  <c r="A4647" i="59"/>
  <c r="A4646" i="59"/>
  <c r="A4645" i="59"/>
  <c r="A4644" i="59"/>
  <c r="A4643" i="59"/>
  <c r="A4642" i="59"/>
  <c r="A4641" i="59"/>
  <c r="A4640" i="59"/>
  <c r="A4639" i="59"/>
  <c r="A4638" i="59"/>
  <c r="A4637" i="59"/>
  <c r="A4636" i="59"/>
  <c r="A4635" i="59"/>
  <c r="A4634" i="59"/>
  <c r="A4633" i="59"/>
  <c r="A4632" i="59"/>
  <c r="A4631" i="59"/>
  <c r="A4630" i="59"/>
  <c r="A4629" i="59"/>
  <c r="A4628" i="59"/>
  <c r="A4627" i="59"/>
  <c r="A4626" i="59"/>
  <c r="A4625" i="59"/>
  <c r="A4624" i="59"/>
  <c r="A4623" i="59"/>
  <c r="A4622" i="59"/>
  <c r="A4621" i="59"/>
  <c r="A4620" i="59"/>
  <c r="A4619" i="59"/>
  <c r="A4618" i="59"/>
  <c r="A4617" i="59"/>
  <c r="A4616" i="59"/>
  <c r="A4615" i="59"/>
  <c r="A4614" i="59"/>
  <c r="A4613" i="59"/>
  <c r="A4612" i="59"/>
  <c r="A4611" i="59"/>
  <c r="A4610" i="59"/>
  <c r="A4609" i="59"/>
  <c r="A4608" i="59"/>
  <c r="A4607" i="59"/>
  <c r="A4606" i="59"/>
  <c r="A4605" i="59"/>
  <c r="A4604" i="59"/>
  <c r="A4603" i="59"/>
  <c r="A4602" i="59"/>
  <c r="A4601" i="59"/>
  <c r="A4600" i="59"/>
  <c r="A4599" i="59"/>
  <c r="A4598" i="59"/>
  <c r="A4597" i="59"/>
  <c r="A4596" i="59"/>
  <c r="A4595" i="59"/>
  <c r="A4594" i="59"/>
  <c r="A4593" i="59"/>
  <c r="A4592" i="59"/>
  <c r="A4591" i="59"/>
  <c r="A4590" i="59"/>
  <c r="A4589" i="59"/>
  <c r="A4588" i="59"/>
  <c r="A4587" i="59"/>
  <c r="A4586" i="59"/>
  <c r="A4585" i="59"/>
  <c r="A4584" i="59"/>
  <c r="A4583" i="59"/>
  <c r="A4582" i="59"/>
  <c r="A4581" i="59"/>
  <c r="A4580" i="59"/>
  <c r="A4579" i="59"/>
  <c r="A4578" i="59"/>
  <c r="A4577" i="59"/>
  <c r="A4576" i="59"/>
  <c r="A4575" i="59"/>
  <c r="A4574" i="59"/>
  <c r="A4573" i="59"/>
  <c r="A4572" i="59"/>
  <c r="A4571" i="59"/>
  <c r="A4570" i="59"/>
  <c r="A4569" i="59"/>
  <c r="A4568" i="59"/>
  <c r="A4567" i="59"/>
  <c r="A4566" i="59"/>
  <c r="A4565" i="59"/>
  <c r="A4564" i="59"/>
  <c r="A4563" i="59"/>
  <c r="A4562" i="59"/>
  <c r="A4561" i="59"/>
  <c r="A4560" i="59"/>
  <c r="A4559" i="59"/>
  <c r="A4558" i="59"/>
  <c r="A4557" i="59"/>
  <c r="A4556" i="59"/>
  <c r="A4555" i="59"/>
  <c r="A4554" i="59"/>
  <c r="A4553" i="59"/>
  <c r="A4552" i="59"/>
  <c r="A4551" i="59"/>
  <c r="A4550" i="59"/>
  <c r="A4549" i="59"/>
  <c r="A4548" i="59"/>
  <c r="A4547" i="59"/>
  <c r="A4546" i="59"/>
  <c r="A4545" i="59"/>
  <c r="A4544" i="59"/>
  <c r="A4543" i="59"/>
  <c r="A4542" i="59"/>
  <c r="A4541" i="59"/>
  <c r="A4540" i="59"/>
  <c r="A4539" i="59"/>
  <c r="A4538" i="59"/>
  <c r="A4537" i="59"/>
  <c r="A4536" i="59"/>
  <c r="A4535" i="59"/>
  <c r="A4534" i="59"/>
  <c r="A4533" i="59"/>
  <c r="A4532" i="59"/>
  <c r="A4531" i="59"/>
  <c r="A4530" i="59"/>
  <c r="A4529" i="59"/>
  <c r="A4528" i="59"/>
  <c r="A4527" i="59"/>
  <c r="A4526" i="59"/>
  <c r="A4525" i="59"/>
  <c r="A4524" i="59"/>
  <c r="A4523" i="59"/>
  <c r="A4522" i="59"/>
  <c r="A4521" i="59"/>
  <c r="A4520" i="59"/>
  <c r="A4519" i="59"/>
  <c r="A4518" i="59"/>
  <c r="A4517" i="59"/>
  <c r="A4516" i="59"/>
  <c r="A4515" i="59"/>
  <c r="A4514" i="59"/>
  <c r="A4513" i="59"/>
  <c r="A4512" i="59"/>
  <c r="A4511" i="59"/>
  <c r="A4510" i="59"/>
  <c r="A4509" i="59"/>
  <c r="A4508" i="59"/>
  <c r="A4507" i="59"/>
  <c r="A4506" i="59"/>
  <c r="A4505" i="59"/>
  <c r="A4504" i="59"/>
  <c r="A4503" i="59"/>
  <c r="A4502" i="59"/>
  <c r="A4501" i="59"/>
  <c r="A4500" i="59"/>
  <c r="A4499" i="59"/>
  <c r="A4498" i="59"/>
  <c r="A4497" i="59"/>
  <c r="A4496" i="59"/>
  <c r="A4495" i="59"/>
  <c r="A4494" i="59"/>
  <c r="A4493" i="59"/>
  <c r="A4492" i="59"/>
  <c r="A4491" i="59"/>
  <c r="A4490" i="59"/>
  <c r="A4489" i="59"/>
  <c r="A4488" i="59"/>
  <c r="A4487" i="59"/>
  <c r="A4486" i="59"/>
  <c r="A4485" i="59"/>
  <c r="A4484" i="59"/>
  <c r="A4483" i="59"/>
  <c r="A4482" i="59"/>
  <c r="A4481" i="59"/>
  <c r="A4480" i="59"/>
  <c r="A4479" i="59"/>
  <c r="A4478" i="59"/>
  <c r="A4477" i="59"/>
  <c r="A4476" i="59"/>
  <c r="A4475" i="59"/>
  <c r="A4474" i="59"/>
  <c r="A4473" i="59"/>
  <c r="A4472" i="59"/>
  <c r="A4471" i="59"/>
  <c r="A4470" i="59"/>
  <c r="A4469" i="59"/>
  <c r="A4468" i="59"/>
  <c r="A4467" i="59"/>
  <c r="A4466" i="59"/>
  <c r="A4465" i="59"/>
  <c r="A4464" i="59"/>
  <c r="A4463" i="59"/>
  <c r="A4462" i="59"/>
  <c r="A4461" i="59"/>
  <c r="A4460" i="59"/>
  <c r="A4459" i="59"/>
  <c r="A4458" i="59"/>
  <c r="A4457" i="59"/>
  <c r="A4456" i="59"/>
  <c r="A4455" i="59"/>
  <c r="A4454" i="59"/>
  <c r="A4453" i="59"/>
  <c r="A4452" i="59"/>
  <c r="A4451" i="59"/>
  <c r="A4450" i="59"/>
  <c r="A4449" i="59"/>
  <c r="A4448" i="59"/>
  <c r="A4447" i="59"/>
  <c r="A4446" i="59"/>
  <c r="A4445" i="59"/>
  <c r="A4444" i="59"/>
  <c r="A4443" i="59"/>
  <c r="A4442" i="59"/>
  <c r="A4441" i="59"/>
  <c r="A4440" i="59"/>
  <c r="A4439" i="59"/>
  <c r="A4438" i="59"/>
  <c r="A4437" i="59"/>
  <c r="A4436" i="59"/>
  <c r="A4435" i="59"/>
  <c r="A4434" i="59"/>
  <c r="A4433" i="59"/>
  <c r="A4432" i="59"/>
  <c r="A4431" i="59"/>
  <c r="A4430" i="59"/>
  <c r="A4429" i="59"/>
  <c r="A4428" i="59"/>
  <c r="A4427" i="59"/>
  <c r="A4426" i="59"/>
  <c r="A4425" i="59"/>
  <c r="A4424" i="59"/>
  <c r="A4423" i="59"/>
  <c r="A4422" i="59"/>
  <c r="A4421" i="59"/>
  <c r="A4420" i="59"/>
  <c r="A4419" i="59"/>
  <c r="A4418" i="59"/>
  <c r="A4417" i="59"/>
  <c r="A4416" i="59"/>
  <c r="A4415" i="59"/>
  <c r="A4414" i="59"/>
  <c r="A4413" i="59"/>
  <c r="A4412" i="59"/>
  <c r="A4411" i="59"/>
  <c r="A4410" i="59"/>
  <c r="A4409" i="59"/>
  <c r="A4408" i="59"/>
  <c r="A4407" i="59"/>
  <c r="A4406" i="59"/>
  <c r="A4405" i="59"/>
  <c r="A4404" i="59"/>
  <c r="A4403" i="59"/>
  <c r="A4402" i="59"/>
  <c r="A4401" i="59"/>
  <c r="A4400" i="59"/>
  <c r="A4399" i="59"/>
  <c r="A4398" i="59"/>
  <c r="A4397" i="59"/>
  <c r="A4396" i="59"/>
  <c r="A4395" i="59"/>
  <c r="A4394" i="59"/>
  <c r="A4393" i="59"/>
  <c r="A4392" i="59"/>
  <c r="A4391" i="59"/>
  <c r="A4390" i="59"/>
  <c r="A4389" i="59"/>
  <c r="A4388" i="59"/>
  <c r="A4387" i="59"/>
  <c r="A4386" i="59"/>
  <c r="A4385" i="59"/>
  <c r="A4384" i="59"/>
  <c r="A4383" i="59"/>
  <c r="A4382" i="59"/>
  <c r="A4381" i="59"/>
  <c r="A4380" i="59"/>
  <c r="A4379" i="59"/>
  <c r="A4378" i="59"/>
  <c r="A4377" i="59"/>
  <c r="A4376" i="59"/>
  <c r="A4375" i="59"/>
  <c r="A4374" i="59"/>
  <c r="A4373" i="59"/>
  <c r="A4372" i="59"/>
  <c r="A4371" i="59"/>
  <c r="A4370" i="59"/>
  <c r="A4369" i="59"/>
  <c r="A4368" i="59"/>
  <c r="A4367" i="59"/>
  <c r="A4366" i="59"/>
  <c r="A4365" i="59"/>
  <c r="A4364" i="59"/>
  <c r="A4363" i="59"/>
  <c r="A4362" i="59"/>
  <c r="A4361" i="59"/>
  <c r="A4360" i="59"/>
  <c r="A4359" i="59"/>
  <c r="A4358" i="59"/>
  <c r="A4357" i="59"/>
  <c r="A4356" i="59"/>
  <c r="A4355" i="59"/>
  <c r="A4354" i="59"/>
  <c r="A4353" i="59"/>
  <c r="A4352" i="59"/>
  <c r="A4351" i="59"/>
  <c r="A4350" i="59"/>
  <c r="A4349" i="59"/>
  <c r="A4348" i="59"/>
  <c r="A4347" i="59"/>
  <c r="A4346" i="59"/>
  <c r="A4345" i="59"/>
  <c r="A4344" i="59"/>
  <c r="A4343" i="59"/>
  <c r="A4342" i="59"/>
  <c r="A4341" i="59"/>
  <c r="A4340" i="59"/>
  <c r="A4339" i="59"/>
  <c r="A4338" i="59"/>
  <c r="A4337" i="59"/>
  <c r="A4336" i="59"/>
  <c r="A4335" i="59"/>
  <c r="A4334" i="59"/>
  <c r="A4333" i="59"/>
  <c r="A4332" i="59"/>
  <c r="A4331" i="59"/>
  <c r="A4330" i="59"/>
  <c r="A4329" i="59"/>
  <c r="A4328" i="59"/>
  <c r="A4327" i="59"/>
  <c r="A4326" i="59"/>
  <c r="A4325" i="59"/>
  <c r="A4324" i="59"/>
  <c r="A4323" i="59"/>
  <c r="A4322" i="59"/>
  <c r="A4321" i="59"/>
  <c r="A4320" i="59"/>
  <c r="A4319" i="59"/>
  <c r="A4318" i="59"/>
  <c r="A4317" i="59"/>
  <c r="A4316" i="59"/>
  <c r="A4315" i="59"/>
  <c r="A4314" i="59"/>
  <c r="A4313" i="59"/>
  <c r="A4312" i="59"/>
  <c r="A4311" i="59"/>
  <c r="A4310" i="59"/>
  <c r="A4309" i="59"/>
  <c r="A4308" i="59"/>
  <c r="A4307" i="59"/>
  <c r="A4306" i="59"/>
  <c r="A4305" i="59"/>
  <c r="A4304" i="59"/>
  <c r="A4303" i="59"/>
  <c r="A4302" i="59"/>
  <c r="A4301" i="59"/>
  <c r="A4300" i="59"/>
  <c r="A4299" i="59"/>
  <c r="A4298" i="59"/>
  <c r="A4297" i="59"/>
  <c r="A4296" i="59"/>
  <c r="A4295" i="59"/>
  <c r="A4294" i="59"/>
  <c r="A4293" i="59"/>
  <c r="A4292" i="59"/>
  <c r="A4291" i="59"/>
  <c r="A4290" i="59"/>
  <c r="A4289" i="59"/>
  <c r="A4288" i="59"/>
  <c r="A4287" i="59"/>
  <c r="A4286" i="59"/>
  <c r="A4285" i="59"/>
  <c r="A4284" i="59"/>
  <c r="A4283" i="59"/>
  <c r="A4282" i="59"/>
  <c r="A4281" i="59"/>
  <c r="A4280" i="59"/>
  <c r="A4279" i="59"/>
  <c r="A4278" i="59"/>
  <c r="A4277" i="59"/>
  <c r="A4276" i="59"/>
  <c r="A4275" i="59"/>
  <c r="A4274" i="59"/>
  <c r="A4273" i="59"/>
  <c r="A4272" i="59"/>
  <c r="A4271" i="59"/>
  <c r="A4270" i="59"/>
  <c r="A4269" i="59"/>
  <c r="A4268" i="59"/>
  <c r="A4267" i="59"/>
  <c r="A4266" i="59"/>
  <c r="A4265" i="59"/>
  <c r="A4264" i="59"/>
  <c r="A4263" i="59"/>
  <c r="A4262" i="59"/>
  <c r="A4261" i="59"/>
  <c r="A4260" i="59"/>
  <c r="A4259" i="59"/>
  <c r="A4258" i="59"/>
  <c r="A4257" i="59"/>
  <c r="A4256" i="59"/>
  <c r="A4255" i="59"/>
  <c r="A4254" i="59"/>
  <c r="A4253" i="59"/>
  <c r="A4252" i="59"/>
  <c r="A4251" i="59"/>
  <c r="A4250" i="59"/>
  <c r="A4249" i="59"/>
  <c r="A4248" i="59"/>
  <c r="A4247" i="59"/>
  <c r="A4246" i="59"/>
  <c r="A4245" i="59"/>
  <c r="A4244" i="59"/>
  <c r="A4243" i="59"/>
  <c r="A4242" i="59"/>
  <c r="A4241" i="59"/>
  <c r="A4240" i="59"/>
  <c r="A4239" i="59"/>
  <c r="A4238" i="59"/>
  <c r="A4237" i="59"/>
  <c r="A4236" i="59"/>
  <c r="A4235" i="59"/>
  <c r="A4234" i="59"/>
  <c r="A4233" i="59"/>
  <c r="A4232" i="59"/>
  <c r="A4231" i="59"/>
  <c r="A4230" i="59"/>
  <c r="A4229" i="59"/>
  <c r="A4228" i="59"/>
  <c r="A4227" i="59"/>
  <c r="A4226" i="59"/>
  <c r="A4225" i="59"/>
  <c r="A4224" i="59"/>
  <c r="A4223" i="59"/>
  <c r="A4222" i="59"/>
  <c r="A4221" i="59"/>
  <c r="A4220" i="59"/>
  <c r="A4219" i="59"/>
  <c r="A4218" i="59"/>
  <c r="A4217" i="59"/>
  <c r="A4216" i="59"/>
  <c r="A4215" i="59"/>
  <c r="A4214" i="59"/>
  <c r="A4213" i="59"/>
  <c r="A4212" i="59"/>
  <c r="A4211" i="59"/>
  <c r="A4210" i="59"/>
  <c r="A4209" i="59"/>
  <c r="A4208" i="59"/>
  <c r="A4207" i="59"/>
  <c r="A4206" i="59"/>
  <c r="A4205" i="59"/>
  <c r="A4204" i="59"/>
  <c r="A4203" i="59"/>
  <c r="A4202" i="59"/>
  <c r="A4201" i="59"/>
  <c r="A4200" i="59"/>
  <c r="A4199" i="59"/>
  <c r="A4198" i="59"/>
  <c r="A4197" i="59"/>
  <c r="A4196" i="59"/>
  <c r="A4195" i="59"/>
  <c r="A4194" i="59"/>
  <c r="A4193" i="59"/>
  <c r="A4192" i="59"/>
  <c r="A4191" i="59"/>
  <c r="A4190" i="59"/>
  <c r="A4189" i="59"/>
  <c r="A4188" i="59"/>
  <c r="A4187" i="59"/>
  <c r="A4186" i="59"/>
  <c r="A4185" i="59"/>
  <c r="A4184" i="59"/>
  <c r="A4183" i="59"/>
  <c r="A4182" i="59"/>
  <c r="A4181" i="59"/>
  <c r="A4180" i="59"/>
  <c r="A4179" i="59"/>
  <c r="A4178" i="59"/>
  <c r="A4177" i="59"/>
  <c r="A4176" i="59"/>
  <c r="A4175" i="59"/>
  <c r="A4174" i="59"/>
  <c r="A4173" i="59"/>
  <c r="A4172" i="59"/>
  <c r="A4171" i="59"/>
  <c r="A4170" i="59"/>
  <c r="A4169" i="59"/>
  <c r="A4168" i="59"/>
  <c r="A4167" i="59"/>
  <c r="A4166" i="59"/>
  <c r="A4165" i="59"/>
  <c r="A4164" i="59"/>
  <c r="A4163" i="59"/>
  <c r="A4162" i="59"/>
  <c r="A4161" i="59"/>
  <c r="A4160" i="59"/>
  <c r="A4159" i="59"/>
  <c r="A4158" i="59"/>
  <c r="A4157" i="59"/>
  <c r="A4156" i="59"/>
  <c r="A4155" i="59"/>
  <c r="A4154" i="59"/>
  <c r="A4153" i="59"/>
  <c r="A4152" i="59"/>
  <c r="A4151" i="59"/>
  <c r="A4150" i="59"/>
  <c r="A4149" i="59"/>
  <c r="A4148" i="59"/>
  <c r="A4147" i="59"/>
  <c r="A4146" i="59"/>
  <c r="A4145" i="59"/>
  <c r="A4144" i="59"/>
  <c r="A4143" i="59"/>
  <c r="A4142" i="59"/>
  <c r="A4141" i="59"/>
  <c r="A4140" i="59"/>
  <c r="A4139" i="59"/>
  <c r="A4138" i="59"/>
  <c r="A4137" i="59"/>
  <c r="A4136" i="59"/>
  <c r="A4135" i="59"/>
  <c r="A4134" i="59"/>
  <c r="A4133" i="59"/>
  <c r="A4132" i="59"/>
  <c r="A4131" i="59"/>
  <c r="A4130" i="59"/>
  <c r="A4129" i="59"/>
  <c r="A4128" i="59"/>
  <c r="A4127" i="59"/>
  <c r="A4126" i="59"/>
  <c r="A4125" i="59"/>
  <c r="A4124" i="59"/>
  <c r="A4123" i="59"/>
  <c r="A4122" i="59"/>
  <c r="A4121" i="59"/>
  <c r="A4120" i="59"/>
  <c r="A4119" i="59"/>
  <c r="A4118" i="59"/>
  <c r="A4117" i="59"/>
  <c r="A4116" i="59"/>
  <c r="A4115" i="59"/>
  <c r="A4114" i="59"/>
  <c r="A4113" i="59"/>
  <c r="A4112" i="59"/>
  <c r="A4111" i="59"/>
  <c r="A4110" i="59"/>
  <c r="A4109" i="59"/>
  <c r="A4108" i="59"/>
  <c r="A4107" i="59"/>
  <c r="A4106" i="59"/>
  <c r="A4105" i="59"/>
  <c r="A4104" i="59"/>
  <c r="A4103" i="59"/>
  <c r="A4102" i="59"/>
  <c r="A4101" i="59"/>
  <c r="A4100" i="59"/>
  <c r="A4099" i="59"/>
  <c r="A4098" i="59"/>
  <c r="A4097" i="59"/>
  <c r="A4096" i="59"/>
  <c r="A4095" i="59"/>
  <c r="A4094" i="59"/>
  <c r="A4093" i="59"/>
  <c r="A4092" i="59"/>
  <c r="A4091" i="59"/>
  <c r="A4090" i="59"/>
  <c r="A4089" i="59"/>
  <c r="A4088" i="59"/>
  <c r="A4087" i="59"/>
  <c r="A4086" i="59"/>
  <c r="A4085" i="59"/>
  <c r="A4084" i="59"/>
  <c r="A4083" i="59"/>
  <c r="A4082" i="59"/>
  <c r="A4081" i="59"/>
  <c r="A4080" i="59"/>
  <c r="A4079" i="59"/>
  <c r="A4078" i="59"/>
  <c r="A4077" i="59"/>
  <c r="A4076" i="59"/>
  <c r="A4075" i="59"/>
  <c r="A4074" i="59"/>
  <c r="A4073" i="59"/>
  <c r="A4072" i="59"/>
  <c r="A4071" i="59"/>
  <c r="A4070" i="59"/>
  <c r="A4069" i="59"/>
  <c r="A4068" i="59"/>
  <c r="A4067" i="59"/>
  <c r="A4066" i="59"/>
  <c r="A4065" i="59"/>
  <c r="A4064" i="59"/>
  <c r="A4063" i="59"/>
  <c r="A4062" i="59"/>
  <c r="A4061" i="59"/>
  <c r="A4060" i="59"/>
  <c r="A4059" i="59"/>
  <c r="A4058" i="59"/>
  <c r="A4057" i="59"/>
  <c r="A4056" i="59"/>
  <c r="A4055" i="59"/>
  <c r="A4054" i="59"/>
  <c r="A4053" i="59"/>
  <c r="A4052" i="59"/>
  <c r="A4051" i="59"/>
  <c r="A4050" i="59"/>
  <c r="A4049" i="59"/>
  <c r="A4048" i="59"/>
  <c r="A4047" i="59"/>
  <c r="A4046" i="59"/>
  <c r="A4045" i="59"/>
  <c r="A4044" i="59"/>
  <c r="A4043" i="59"/>
  <c r="A4042" i="59"/>
  <c r="A4041" i="59"/>
  <c r="A4040" i="59"/>
  <c r="A4039" i="59"/>
  <c r="A4038" i="59"/>
  <c r="A4037" i="59"/>
  <c r="A4036" i="59"/>
  <c r="A4035" i="59"/>
  <c r="A4034" i="59"/>
  <c r="A4033" i="59"/>
  <c r="A4032" i="59"/>
  <c r="A4031" i="59"/>
  <c r="A4030" i="59"/>
  <c r="A4029" i="59"/>
  <c r="A4028" i="59"/>
  <c r="A4027" i="59"/>
  <c r="A4026" i="59"/>
  <c r="A4025" i="59"/>
  <c r="A4024" i="59"/>
  <c r="A4023" i="59"/>
  <c r="A4022" i="59"/>
  <c r="A4021" i="59"/>
  <c r="A4020" i="59"/>
  <c r="A4019" i="59"/>
  <c r="A4018" i="59"/>
  <c r="A4017" i="59"/>
  <c r="A4016" i="59"/>
  <c r="A4015" i="59"/>
  <c r="A4014" i="59"/>
  <c r="A4013" i="59"/>
  <c r="A4012" i="59"/>
  <c r="A4011" i="59"/>
  <c r="A4010" i="59"/>
  <c r="A4009" i="59"/>
  <c r="A4008" i="59"/>
  <c r="A4007" i="59"/>
  <c r="A4006" i="59"/>
  <c r="A4005" i="59"/>
  <c r="A4004" i="59"/>
  <c r="A4003" i="59"/>
  <c r="A4002" i="59"/>
  <c r="A4001" i="59"/>
  <c r="A4000" i="59"/>
  <c r="A3999" i="59"/>
  <c r="A3998" i="59"/>
  <c r="A3997" i="59"/>
  <c r="A3996" i="59"/>
  <c r="A3995" i="59"/>
  <c r="A3994" i="59"/>
  <c r="A3993" i="59"/>
  <c r="A3992" i="59"/>
  <c r="A3991" i="59"/>
  <c r="A3990" i="59"/>
  <c r="A3989" i="59"/>
  <c r="A3988" i="59"/>
  <c r="A3987" i="59"/>
  <c r="A3986" i="59"/>
  <c r="A3985" i="59"/>
  <c r="A3984" i="59"/>
  <c r="A3983" i="59"/>
  <c r="A3982" i="59"/>
  <c r="A3981" i="59"/>
  <c r="A3980" i="59"/>
  <c r="A3979" i="59"/>
  <c r="A3978" i="59"/>
  <c r="A3977" i="59"/>
  <c r="A3976" i="59"/>
  <c r="A3975" i="59"/>
  <c r="A3974" i="59"/>
  <c r="A3973" i="59"/>
  <c r="A3972" i="59"/>
  <c r="A3971" i="59"/>
  <c r="A3970" i="59"/>
  <c r="A3969" i="59"/>
  <c r="A3968" i="59"/>
  <c r="A3967" i="59"/>
  <c r="A3966" i="59"/>
  <c r="A3965" i="59"/>
  <c r="A3964" i="59"/>
  <c r="A3963" i="59"/>
  <c r="A3962" i="59"/>
  <c r="A3961" i="59"/>
  <c r="A3960" i="59"/>
  <c r="A3959" i="59"/>
  <c r="A3958" i="59"/>
  <c r="A3957" i="59"/>
  <c r="A3956" i="59"/>
  <c r="A3955" i="59"/>
  <c r="A3954" i="59"/>
  <c r="A3953" i="59"/>
  <c r="A3952" i="59"/>
  <c r="A3951" i="59"/>
  <c r="A3950" i="59"/>
  <c r="A3949" i="59"/>
  <c r="A3948" i="59"/>
  <c r="A3947" i="59"/>
  <c r="A3946" i="59"/>
  <c r="A3945" i="59"/>
  <c r="A3944" i="59"/>
  <c r="A3943" i="59"/>
  <c r="A3942" i="59"/>
  <c r="A3941" i="59"/>
  <c r="A3940" i="59"/>
  <c r="A3939" i="59"/>
  <c r="A3938" i="59"/>
  <c r="A3937" i="59"/>
  <c r="A3936" i="59"/>
  <c r="A3935" i="59"/>
  <c r="A3934" i="59"/>
  <c r="A3933" i="59"/>
  <c r="A3932" i="59"/>
  <c r="A3931" i="59"/>
  <c r="A3930" i="59"/>
  <c r="A3929" i="59"/>
  <c r="A3928" i="59"/>
  <c r="A3927" i="59"/>
  <c r="A3926" i="59"/>
  <c r="A3925" i="59"/>
  <c r="A3924" i="59"/>
  <c r="A3923" i="59"/>
  <c r="A3922" i="59"/>
  <c r="A3921" i="59"/>
  <c r="A3920" i="59"/>
  <c r="A3919" i="59"/>
  <c r="A3918" i="59"/>
  <c r="A3917" i="59"/>
  <c r="A3916" i="59"/>
  <c r="A3915" i="59"/>
  <c r="A3914" i="59"/>
  <c r="A3913" i="59"/>
  <c r="A3912" i="59"/>
  <c r="A3911" i="59"/>
  <c r="A3910" i="59"/>
  <c r="A3909" i="59"/>
  <c r="A3908" i="59"/>
  <c r="A3907" i="59"/>
  <c r="A3906" i="59"/>
  <c r="A3905" i="59"/>
  <c r="A3904" i="59"/>
  <c r="A3903" i="59"/>
  <c r="A3902" i="59"/>
  <c r="A3901" i="59"/>
  <c r="A3900" i="59"/>
  <c r="A3899" i="59"/>
  <c r="A3898" i="59"/>
  <c r="A3897" i="59"/>
  <c r="A3896" i="59"/>
  <c r="A3895" i="59"/>
  <c r="A3894" i="59"/>
  <c r="A3893" i="59"/>
  <c r="A3892" i="59"/>
  <c r="A3891" i="59"/>
  <c r="A3890" i="59"/>
  <c r="A3889" i="59"/>
  <c r="A3888" i="59"/>
  <c r="A3887" i="59"/>
  <c r="A3886" i="59"/>
  <c r="A3885" i="59"/>
  <c r="A3884" i="59"/>
  <c r="A3883" i="59"/>
  <c r="A3882" i="59"/>
  <c r="A3881" i="59"/>
  <c r="A3880" i="59"/>
  <c r="A3879" i="59"/>
  <c r="A3878" i="59"/>
  <c r="A3877" i="59"/>
  <c r="A3876" i="59"/>
  <c r="A3875" i="59"/>
  <c r="A3874" i="59"/>
  <c r="A3873" i="59"/>
  <c r="A3872" i="59"/>
  <c r="A3871" i="59"/>
  <c r="A3870" i="59"/>
  <c r="A3869" i="59"/>
  <c r="A3868" i="59"/>
  <c r="A3867" i="59"/>
  <c r="A3866" i="59"/>
  <c r="A3865" i="59"/>
  <c r="A3864" i="59"/>
  <c r="A3863" i="59"/>
  <c r="A3862" i="59"/>
  <c r="A3861" i="59"/>
  <c r="A3860" i="59"/>
  <c r="A3859" i="59"/>
  <c r="A3858" i="59"/>
  <c r="A3857" i="59"/>
  <c r="A3856" i="59"/>
  <c r="A3855" i="59"/>
  <c r="A3854" i="59"/>
  <c r="A3853" i="59"/>
  <c r="A3852" i="59"/>
  <c r="A3851" i="59"/>
  <c r="A3850" i="59"/>
  <c r="A3849" i="59"/>
  <c r="A3848" i="59"/>
  <c r="A3847" i="59"/>
  <c r="A3846" i="59"/>
  <c r="A3845" i="59"/>
  <c r="A3844" i="59"/>
  <c r="A3843" i="59"/>
  <c r="A3842" i="59"/>
  <c r="A3841" i="59"/>
  <c r="A3840" i="59"/>
  <c r="A3839" i="59"/>
  <c r="A3838" i="59"/>
  <c r="A3837" i="59"/>
  <c r="A3836" i="59"/>
  <c r="A3835" i="59"/>
  <c r="A3834" i="59"/>
  <c r="A3833" i="59"/>
  <c r="A3832" i="59"/>
  <c r="A3831" i="59"/>
  <c r="A3830" i="59"/>
  <c r="A3829" i="59"/>
  <c r="A3828" i="59"/>
  <c r="A3827" i="59"/>
  <c r="A3826" i="59"/>
  <c r="A3825" i="59"/>
  <c r="A3824" i="59"/>
  <c r="A3823" i="59"/>
  <c r="A3822" i="59"/>
  <c r="A3821" i="59"/>
  <c r="A3820" i="59"/>
  <c r="A3819" i="59"/>
  <c r="A3818" i="59"/>
  <c r="A3817" i="59"/>
  <c r="A3816" i="59"/>
  <c r="A3815" i="59"/>
  <c r="A3814" i="59"/>
  <c r="A3813" i="59"/>
  <c r="A3812" i="59"/>
  <c r="A3811" i="59"/>
  <c r="A3810" i="59"/>
  <c r="A3809" i="59"/>
  <c r="A3808" i="59"/>
  <c r="A3807" i="59"/>
  <c r="A3806" i="59"/>
  <c r="A3805" i="59"/>
  <c r="A3804" i="59"/>
  <c r="A3803" i="59"/>
  <c r="A3802" i="59"/>
  <c r="A3801" i="59"/>
  <c r="A3800" i="59"/>
  <c r="A3799" i="59"/>
  <c r="A3798" i="59"/>
  <c r="A3797" i="59"/>
  <c r="A3796" i="59"/>
  <c r="A3795" i="59"/>
  <c r="A3794" i="59"/>
  <c r="A3793" i="59"/>
  <c r="A3792" i="59"/>
  <c r="A3791" i="59"/>
  <c r="A3790" i="59"/>
  <c r="A3789" i="59"/>
  <c r="A3788" i="59"/>
  <c r="A3787" i="59"/>
  <c r="A3786" i="59"/>
  <c r="A3785" i="59"/>
  <c r="A3784" i="59"/>
  <c r="A3783" i="59"/>
  <c r="A3782" i="59"/>
  <c r="A3781" i="59"/>
  <c r="A3780" i="59"/>
  <c r="A3779" i="59"/>
  <c r="A3778" i="59"/>
  <c r="A3777" i="59"/>
  <c r="A3776" i="59"/>
  <c r="A3775" i="59"/>
  <c r="A3774" i="59"/>
  <c r="A3773" i="59"/>
  <c r="A3772" i="59"/>
  <c r="A3771" i="59"/>
  <c r="A3770" i="59"/>
  <c r="A3769" i="59"/>
  <c r="A3768" i="59"/>
  <c r="A3767" i="59"/>
  <c r="A3766" i="59"/>
  <c r="A3765" i="59"/>
  <c r="A3764" i="59"/>
  <c r="A3763" i="59"/>
  <c r="A3762" i="59"/>
  <c r="A3761" i="59"/>
  <c r="A3760" i="59"/>
  <c r="A3759" i="59"/>
  <c r="A3758" i="59"/>
  <c r="A3757" i="59"/>
  <c r="A3756" i="59"/>
  <c r="A3755" i="59"/>
  <c r="A3754" i="59"/>
  <c r="A3753" i="59"/>
  <c r="A3752" i="59"/>
  <c r="A3751" i="59"/>
  <c r="A3750" i="59"/>
  <c r="A3749" i="59"/>
  <c r="A3748" i="59"/>
  <c r="A3747" i="59"/>
  <c r="A3746" i="59"/>
  <c r="A3745" i="59"/>
  <c r="A3744" i="59"/>
  <c r="A3743" i="59"/>
  <c r="A3742" i="59"/>
  <c r="A3741" i="59"/>
  <c r="A3740" i="59"/>
  <c r="A3739" i="59"/>
  <c r="A3738" i="59"/>
  <c r="A3737" i="59"/>
  <c r="A3736" i="59"/>
  <c r="A3735" i="59"/>
  <c r="A3734" i="59"/>
  <c r="A3733" i="59"/>
  <c r="A3732" i="59"/>
  <c r="A3731" i="59"/>
  <c r="A3730" i="59"/>
  <c r="A3729" i="59"/>
  <c r="A3728" i="59"/>
  <c r="A3727" i="59"/>
  <c r="A3726" i="59"/>
  <c r="A3725" i="59"/>
  <c r="A3724" i="59"/>
  <c r="A3723" i="59"/>
  <c r="A3722" i="59"/>
  <c r="A3721" i="59"/>
  <c r="A3720" i="59"/>
  <c r="A3719" i="59"/>
  <c r="A3718" i="59"/>
  <c r="A3717" i="59"/>
  <c r="A3716" i="59"/>
  <c r="A3715" i="59"/>
  <c r="A3714" i="59"/>
  <c r="A3713" i="59"/>
  <c r="A3712" i="59"/>
  <c r="A3711" i="59"/>
  <c r="A3710" i="59"/>
  <c r="A3709" i="59"/>
  <c r="A3708" i="59"/>
  <c r="A3707" i="59"/>
  <c r="A3706" i="59"/>
  <c r="A3705" i="59"/>
  <c r="A3704" i="59"/>
  <c r="A3703" i="59"/>
  <c r="A3702" i="59"/>
  <c r="A3701" i="59"/>
  <c r="A3700" i="59"/>
  <c r="A3699" i="59"/>
  <c r="A3698" i="59"/>
  <c r="A3697" i="59"/>
  <c r="A3696" i="59"/>
  <c r="A3695" i="59"/>
  <c r="A3694" i="59"/>
  <c r="A3693" i="59"/>
  <c r="A3692" i="59"/>
  <c r="A3691" i="59"/>
  <c r="A3690" i="59"/>
  <c r="A3689" i="59"/>
  <c r="A3688" i="59"/>
  <c r="A3687" i="59"/>
  <c r="A3686" i="59"/>
  <c r="A3685" i="59"/>
  <c r="A3684" i="59"/>
  <c r="A3683" i="59"/>
  <c r="A3682" i="59"/>
  <c r="A3681" i="59"/>
  <c r="A3680" i="59"/>
  <c r="A3679" i="59"/>
  <c r="A3678" i="59"/>
  <c r="A3677" i="59"/>
  <c r="A3676" i="59"/>
  <c r="A3675" i="59"/>
  <c r="A3674" i="59"/>
  <c r="A3673" i="59"/>
  <c r="A3672" i="59"/>
  <c r="A3671" i="59"/>
  <c r="A3670" i="59"/>
  <c r="A3669" i="59"/>
  <c r="A3668" i="59"/>
  <c r="A3667" i="59"/>
  <c r="A3666" i="59"/>
  <c r="A3665" i="59"/>
  <c r="A3664" i="59"/>
  <c r="A3663" i="59"/>
  <c r="A3662" i="59"/>
  <c r="A3661" i="59"/>
  <c r="A3660" i="59"/>
  <c r="A3659" i="59"/>
  <c r="A3658" i="59"/>
  <c r="A3657" i="59"/>
  <c r="A3656" i="59"/>
  <c r="A3655" i="59"/>
  <c r="A3654" i="59"/>
  <c r="A3653" i="59"/>
  <c r="A3652" i="59"/>
  <c r="A3651" i="59"/>
  <c r="A3650" i="59"/>
  <c r="A3649" i="59"/>
  <c r="A3648" i="59"/>
  <c r="A3647" i="59"/>
  <c r="A3646" i="59"/>
  <c r="A3645" i="59"/>
  <c r="A3644" i="59"/>
  <c r="A3643" i="59"/>
  <c r="A3642" i="59"/>
  <c r="A3641" i="59"/>
  <c r="A3640" i="59"/>
  <c r="A3639" i="59"/>
  <c r="A3638" i="59"/>
  <c r="A3637" i="59"/>
  <c r="A3636" i="59"/>
  <c r="A3635" i="59"/>
  <c r="A3634" i="59"/>
  <c r="A3633" i="59"/>
  <c r="A3632" i="59"/>
  <c r="A3631" i="59"/>
  <c r="A3630" i="59"/>
  <c r="A3629" i="59"/>
  <c r="A3628" i="59"/>
  <c r="A3627" i="59"/>
  <c r="A3626" i="59"/>
  <c r="A3625" i="59"/>
  <c r="A3624" i="59"/>
  <c r="A3623" i="59"/>
  <c r="A3622" i="59"/>
  <c r="A3621" i="59"/>
  <c r="A3620" i="59"/>
  <c r="A3619" i="59"/>
  <c r="A3618" i="59"/>
  <c r="A3617" i="59"/>
  <c r="A3616" i="59"/>
  <c r="A3615" i="59"/>
  <c r="A3614" i="59"/>
  <c r="A3613" i="59"/>
  <c r="A3612" i="59"/>
  <c r="A3611" i="59"/>
  <c r="A3610" i="59"/>
  <c r="A3609" i="59"/>
  <c r="A3608" i="59"/>
  <c r="A3607" i="59"/>
  <c r="A3606" i="59"/>
  <c r="A3605" i="59"/>
  <c r="A3604" i="59"/>
  <c r="A3603" i="59"/>
  <c r="A3602" i="59"/>
  <c r="A3601" i="59"/>
  <c r="A3600" i="59"/>
  <c r="A3599" i="59"/>
  <c r="A3598" i="59"/>
  <c r="A3597" i="59"/>
  <c r="A3596" i="59"/>
  <c r="A3595" i="59"/>
  <c r="A3594" i="59"/>
  <c r="A3593" i="59"/>
  <c r="A3592" i="59"/>
  <c r="A3591" i="59"/>
  <c r="A3590" i="59"/>
  <c r="A3589" i="59"/>
  <c r="A3588" i="59"/>
  <c r="A3587" i="59"/>
  <c r="A3586" i="59"/>
  <c r="A3585" i="59"/>
  <c r="A3584" i="59"/>
  <c r="A3583" i="59"/>
  <c r="A3582" i="59"/>
  <c r="A3581" i="59"/>
  <c r="A3580" i="59"/>
  <c r="A3579" i="59"/>
  <c r="A3578" i="59"/>
  <c r="A3577" i="59"/>
  <c r="A3576" i="59"/>
  <c r="A3575" i="59"/>
  <c r="A3574" i="59"/>
  <c r="A3573" i="59"/>
  <c r="A3572" i="59"/>
  <c r="A3571" i="59"/>
  <c r="A3570" i="59"/>
  <c r="A3569" i="59"/>
  <c r="A3568" i="59"/>
  <c r="A3567" i="59"/>
  <c r="A3566" i="59"/>
  <c r="A3565" i="59"/>
  <c r="A3564" i="59"/>
  <c r="A3563" i="59"/>
  <c r="A3562" i="59"/>
  <c r="A3561" i="59"/>
  <c r="A3560" i="59"/>
  <c r="A3559" i="59"/>
  <c r="A3558" i="59"/>
  <c r="A3557" i="59"/>
  <c r="A3556" i="59"/>
  <c r="A3555" i="59"/>
  <c r="A3554" i="59"/>
  <c r="A3553" i="59"/>
  <c r="A3552" i="59"/>
  <c r="A3551" i="59"/>
  <c r="A3550" i="59"/>
  <c r="A3549" i="59"/>
  <c r="A3548" i="59"/>
  <c r="A3547" i="59"/>
  <c r="A3546" i="59"/>
  <c r="A3545" i="59"/>
  <c r="A3544" i="59"/>
  <c r="A3543" i="59"/>
  <c r="A3542" i="59"/>
  <c r="A3541" i="59"/>
  <c r="A3540" i="59"/>
  <c r="A3539" i="59"/>
  <c r="A3538" i="59"/>
  <c r="A3537" i="59"/>
  <c r="A3536" i="59"/>
  <c r="A3535" i="59"/>
  <c r="A3534" i="59"/>
  <c r="A3533" i="59"/>
  <c r="A3532" i="59"/>
  <c r="A3531" i="59"/>
  <c r="A3530" i="59"/>
  <c r="A3529" i="59"/>
  <c r="A3528" i="59"/>
  <c r="A3527" i="59"/>
  <c r="A3526" i="59"/>
  <c r="A3525" i="59"/>
  <c r="A3524" i="59"/>
  <c r="A3523" i="59"/>
  <c r="A3522" i="59"/>
  <c r="A3521" i="59"/>
  <c r="A3520" i="59"/>
  <c r="A3519" i="59"/>
  <c r="A3518" i="59"/>
  <c r="A3517" i="59"/>
  <c r="A3516" i="59"/>
  <c r="A3515" i="59"/>
  <c r="A3514" i="59"/>
  <c r="A3513" i="59"/>
  <c r="A3512" i="59"/>
  <c r="A3511" i="59"/>
  <c r="A3510" i="59"/>
  <c r="A3509" i="59"/>
  <c r="A3508" i="59"/>
  <c r="A3507" i="59"/>
  <c r="A3506" i="59"/>
  <c r="A3505" i="59"/>
  <c r="A3504" i="59"/>
  <c r="A3503" i="59"/>
  <c r="A3502" i="59"/>
  <c r="A3501" i="59"/>
  <c r="A3500" i="59"/>
  <c r="A3499" i="59"/>
  <c r="A3498" i="59"/>
  <c r="A3497" i="59"/>
  <c r="A3496" i="59"/>
  <c r="A3495" i="59"/>
  <c r="A3494" i="59"/>
  <c r="A3493" i="59"/>
  <c r="A3492" i="59"/>
  <c r="A3491" i="59"/>
  <c r="A3490" i="59"/>
  <c r="A3489" i="59"/>
  <c r="A3488" i="59"/>
  <c r="A3487" i="59"/>
  <c r="A3486" i="59"/>
  <c r="A3485" i="59"/>
  <c r="A3484" i="59"/>
  <c r="A3483" i="59"/>
  <c r="A3482" i="59"/>
  <c r="A3481" i="59"/>
  <c r="A3480" i="59"/>
  <c r="A3479" i="59"/>
  <c r="A3478" i="59"/>
  <c r="A3477" i="59"/>
  <c r="A3476" i="59"/>
  <c r="A3475" i="59"/>
  <c r="A3474" i="59"/>
  <c r="A3473" i="59"/>
  <c r="A3472" i="59"/>
  <c r="A3471" i="59"/>
  <c r="A3470" i="59"/>
  <c r="A3469" i="59"/>
  <c r="A3468" i="59"/>
  <c r="A3467" i="59"/>
  <c r="A3466" i="59"/>
  <c r="A3465" i="59"/>
  <c r="A3464" i="59"/>
  <c r="A3463" i="59"/>
  <c r="A3462" i="59"/>
  <c r="A3461" i="59"/>
  <c r="A3460" i="59"/>
  <c r="A3459" i="59"/>
  <c r="A3458" i="59"/>
  <c r="A3457" i="59"/>
  <c r="A3456" i="59"/>
  <c r="A3455" i="59"/>
  <c r="A3454" i="59"/>
  <c r="A3453" i="59"/>
  <c r="A3452" i="59"/>
  <c r="A3451" i="59"/>
  <c r="A3450" i="59"/>
  <c r="A3449" i="59"/>
  <c r="A3448" i="59"/>
  <c r="A3447" i="59"/>
  <c r="A3446" i="59"/>
  <c r="A3445" i="59"/>
  <c r="A3444" i="59"/>
  <c r="A3443" i="59"/>
  <c r="A3442" i="59"/>
  <c r="A3441" i="59"/>
  <c r="A3440" i="59"/>
  <c r="A3439" i="59"/>
  <c r="A3438" i="59"/>
  <c r="A3437" i="59"/>
  <c r="A3436" i="59"/>
  <c r="A3435" i="59"/>
  <c r="A3434" i="59"/>
  <c r="A3433" i="59"/>
  <c r="A3432" i="59"/>
  <c r="A3431" i="59"/>
  <c r="A3430" i="59"/>
  <c r="A3429" i="59"/>
  <c r="A3428" i="59"/>
  <c r="A3427" i="59"/>
  <c r="A3426" i="59"/>
  <c r="A3425" i="59"/>
  <c r="A3424" i="59"/>
  <c r="A3423" i="59"/>
  <c r="A3422" i="59"/>
  <c r="A3421" i="59"/>
  <c r="A3420" i="59"/>
  <c r="A3419" i="59"/>
  <c r="A3418" i="59"/>
  <c r="A3417" i="59"/>
  <c r="A3416" i="59"/>
  <c r="A3415" i="59"/>
  <c r="A3414" i="59"/>
  <c r="A3413" i="59"/>
  <c r="A3412" i="59"/>
  <c r="A3411" i="59"/>
  <c r="A3410" i="59"/>
  <c r="A3409" i="59"/>
  <c r="A3408" i="59"/>
  <c r="A3407" i="59"/>
  <c r="A3406" i="59"/>
  <c r="A3405" i="59"/>
  <c r="A3404" i="59"/>
  <c r="A3403" i="59"/>
  <c r="A3402" i="59"/>
  <c r="A3401" i="59"/>
  <c r="A3400" i="59"/>
  <c r="A3399" i="59"/>
  <c r="A3398" i="59"/>
  <c r="A3397" i="59"/>
  <c r="A3396" i="59"/>
  <c r="A3395" i="59"/>
  <c r="A3394" i="59"/>
  <c r="A3393" i="59"/>
  <c r="A3392" i="59"/>
  <c r="A3391" i="59"/>
  <c r="A3390" i="59"/>
  <c r="A3389" i="59"/>
  <c r="A3388" i="59"/>
  <c r="A3387" i="59"/>
  <c r="A3386" i="59"/>
  <c r="A3385" i="59"/>
  <c r="A3384" i="59"/>
  <c r="A3383" i="59"/>
  <c r="A3382" i="59"/>
  <c r="A3381" i="59"/>
  <c r="A3380" i="59"/>
  <c r="A3379" i="59"/>
  <c r="A3378" i="59"/>
  <c r="A3377" i="59"/>
  <c r="A3376" i="59"/>
  <c r="A3375" i="59"/>
  <c r="A3374" i="59"/>
  <c r="A3373" i="59"/>
  <c r="A3372" i="59"/>
  <c r="A3371" i="59"/>
  <c r="A3370" i="59"/>
  <c r="A3369" i="59"/>
  <c r="A3368" i="59"/>
  <c r="A3367" i="59"/>
  <c r="A3366" i="59"/>
  <c r="A3365" i="59"/>
  <c r="A3364" i="59"/>
  <c r="A3363" i="59"/>
  <c r="A3362" i="59"/>
  <c r="A3361" i="59"/>
  <c r="A3360" i="59"/>
  <c r="A3359" i="59"/>
  <c r="A3358" i="59"/>
  <c r="A3357" i="59"/>
  <c r="A3356" i="59"/>
  <c r="A3355" i="59"/>
  <c r="A3354" i="59"/>
  <c r="A3353" i="59"/>
  <c r="A3352" i="59"/>
  <c r="A3351" i="59"/>
  <c r="A3350" i="59"/>
  <c r="A3349" i="59"/>
  <c r="A3348" i="59"/>
  <c r="A3347" i="59"/>
  <c r="A3346" i="59"/>
  <c r="A3345" i="59"/>
  <c r="A3344" i="59"/>
  <c r="A3343" i="59"/>
  <c r="A3342" i="59"/>
  <c r="A3341" i="59"/>
  <c r="A3340" i="59"/>
  <c r="A3339" i="59"/>
  <c r="A3338" i="59"/>
  <c r="A3337" i="59"/>
  <c r="A3336" i="59"/>
  <c r="A3335" i="59"/>
  <c r="A3334" i="59"/>
  <c r="A3333" i="59"/>
  <c r="A3332" i="59"/>
  <c r="A3331" i="59"/>
  <c r="A3330" i="59"/>
  <c r="A3329" i="59"/>
  <c r="A3328" i="59"/>
  <c r="A3327" i="59"/>
  <c r="A3326" i="59"/>
  <c r="A3325" i="59"/>
  <c r="A3324" i="59"/>
  <c r="A3323" i="59"/>
  <c r="A3322" i="59"/>
  <c r="A3321" i="59"/>
  <c r="A3320" i="59"/>
  <c r="A3319" i="59"/>
  <c r="A3318" i="59"/>
  <c r="A3317" i="59"/>
  <c r="A3316" i="59"/>
  <c r="A3315" i="59"/>
  <c r="A3314" i="59"/>
  <c r="A3313" i="59"/>
  <c r="A3312" i="59"/>
  <c r="A3311" i="59"/>
  <c r="A3310" i="59"/>
  <c r="A3309" i="59"/>
  <c r="A3308" i="59"/>
  <c r="A3307" i="59"/>
  <c r="A3306" i="59"/>
  <c r="A3305" i="59"/>
  <c r="A3304" i="59"/>
  <c r="A3303" i="59"/>
  <c r="A3302" i="59"/>
  <c r="A3301" i="59"/>
  <c r="A3300" i="59"/>
  <c r="A3299" i="59"/>
  <c r="A3298" i="59"/>
  <c r="A3297" i="59"/>
  <c r="A3296" i="59"/>
  <c r="A3295" i="59"/>
  <c r="A3294" i="59"/>
  <c r="A3293" i="59"/>
  <c r="A3292" i="59"/>
  <c r="A3291" i="59"/>
  <c r="A3290" i="59"/>
  <c r="A3289" i="59"/>
  <c r="A3288" i="59"/>
  <c r="A3287" i="59"/>
  <c r="A3286" i="59"/>
  <c r="A3285" i="59"/>
  <c r="A3284" i="59"/>
  <c r="A3283" i="59"/>
  <c r="A3282" i="59"/>
  <c r="A3281" i="59"/>
  <c r="A3280" i="59"/>
  <c r="A3279" i="59"/>
  <c r="A3278" i="59"/>
  <c r="A3277" i="59"/>
  <c r="A3276" i="59"/>
  <c r="A3275" i="59"/>
  <c r="A3274" i="59"/>
  <c r="A3273" i="59"/>
  <c r="A3272" i="59"/>
  <c r="A3271" i="59"/>
  <c r="A3270" i="59"/>
  <c r="A3269" i="59"/>
  <c r="A3268" i="59"/>
  <c r="A3267" i="59"/>
  <c r="A3266" i="59"/>
  <c r="A3265" i="59"/>
  <c r="A3264" i="59"/>
  <c r="A3263" i="59"/>
  <c r="A3262" i="59"/>
  <c r="A3261" i="59"/>
  <c r="A3260" i="59"/>
  <c r="A3259" i="59"/>
  <c r="A3258" i="59"/>
  <c r="A3257" i="59"/>
  <c r="A3256" i="59"/>
  <c r="A3255" i="59"/>
  <c r="A3254" i="59"/>
  <c r="A3253" i="59"/>
  <c r="A3252" i="59"/>
  <c r="A3251" i="59"/>
  <c r="A3250" i="59"/>
  <c r="A3249" i="59"/>
  <c r="A3248" i="59"/>
  <c r="A3247" i="59"/>
  <c r="A3246" i="59"/>
  <c r="A3245" i="59"/>
  <c r="A3244" i="59"/>
  <c r="A3243" i="59"/>
  <c r="A3242" i="59"/>
  <c r="A3241" i="59"/>
  <c r="A3240" i="59"/>
  <c r="A3239" i="59"/>
  <c r="A3238" i="59"/>
  <c r="A3237" i="59"/>
  <c r="A3236" i="59"/>
  <c r="A3235" i="59"/>
  <c r="A3234" i="59"/>
  <c r="A3233" i="59"/>
  <c r="A3232" i="59"/>
  <c r="A3231" i="59"/>
  <c r="A3230" i="59"/>
  <c r="A3229" i="59"/>
  <c r="A3228" i="59"/>
  <c r="A3227" i="59"/>
  <c r="A3226" i="59"/>
  <c r="A3225" i="59"/>
  <c r="A3224" i="59"/>
  <c r="A3223" i="59"/>
  <c r="A3222" i="59"/>
  <c r="A3221" i="59"/>
  <c r="A3220" i="59"/>
  <c r="A3219" i="59"/>
  <c r="A3218" i="59"/>
  <c r="A3217" i="59"/>
  <c r="A3216" i="59"/>
  <c r="A3215" i="59"/>
  <c r="A3214" i="59"/>
  <c r="A3213" i="59"/>
  <c r="A3212" i="59"/>
  <c r="A3211" i="59"/>
  <c r="A3210" i="59"/>
  <c r="A3209" i="59"/>
  <c r="A3208" i="59"/>
  <c r="A3207" i="59"/>
  <c r="A3206" i="59"/>
  <c r="A3205" i="59"/>
  <c r="A3204" i="59"/>
  <c r="A3203" i="59"/>
  <c r="A3202" i="59"/>
  <c r="A3201" i="59"/>
  <c r="A3200" i="59"/>
  <c r="A3199" i="59"/>
  <c r="A3198" i="59"/>
  <c r="A3197" i="59"/>
  <c r="A3196" i="59"/>
  <c r="A3195" i="59"/>
  <c r="A3194" i="59"/>
  <c r="A3193" i="59"/>
  <c r="A3192" i="59"/>
  <c r="A3191" i="59"/>
  <c r="A3190" i="59"/>
  <c r="A3189" i="59"/>
  <c r="A3188" i="59"/>
  <c r="A3187" i="59"/>
  <c r="A3186" i="59"/>
  <c r="A3185" i="59"/>
  <c r="A3184" i="59"/>
  <c r="A3183" i="59"/>
  <c r="A3182" i="59"/>
  <c r="A3181" i="59"/>
  <c r="A3180" i="59"/>
  <c r="A3179" i="59"/>
  <c r="A3178" i="59"/>
  <c r="A3177" i="59"/>
  <c r="A3176" i="59"/>
  <c r="A3175" i="59"/>
  <c r="A3174" i="59"/>
  <c r="A3173" i="59"/>
  <c r="A3172" i="59"/>
  <c r="A3171" i="59"/>
  <c r="A3170" i="59"/>
  <c r="A3169" i="59"/>
  <c r="A3168" i="59"/>
  <c r="A3167" i="59"/>
  <c r="A3166" i="59"/>
  <c r="A3165" i="59"/>
  <c r="A3164" i="59"/>
  <c r="A3163" i="59"/>
  <c r="A3162" i="59"/>
  <c r="A3161" i="59"/>
  <c r="A3160" i="59"/>
  <c r="A3159" i="59"/>
  <c r="A3158" i="59"/>
  <c r="A3157" i="59"/>
  <c r="A3156" i="59"/>
  <c r="A3155" i="59"/>
  <c r="A3154" i="59"/>
  <c r="A3153" i="59"/>
  <c r="A3152" i="59"/>
  <c r="A3151" i="59"/>
  <c r="A3150" i="59"/>
  <c r="A3149" i="59"/>
  <c r="A3148" i="59"/>
  <c r="A3147" i="59"/>
  <c r="A3146" i="59"/>
  <c r="A3145" i="59"/>
  <c r="A3144" i="59"/>
  <c r="A3143" i="59"/>
  <c r="A3142" i="59"/>
  <c r="A3141" i="59"/>
  <c r="A3140" i="59"/>
  <c r="A3139" i="59"/>
  <c r="A3138" i="59"/>
  <c r="A3137" i="59"/>
  <c r="A3136" i="59"/>
  <c r="A3135" i="59"/>
  <c r="A3134" i="59"/>
  <c r="A3133" i="59"/>
  <c r="A3132" i="59"/>
  <c r="A3131" i="59"/>
  <c r="A3130" i="59"/>
  <c r="A3129" i="59"/>
  <c r="A3128" i="59"/>
  <c r="A3127" i="59"/>
  <c r="A3126" i="59"/>
  <c r="A3125" i="59"/>
  <c r="A3124" i="59"/>
  <c r="A3123" i="59"/>
  <c r="A3122" i="59"/>
  <c r="A3121" i="59"/>
  <c r="A3120" i="59"/>
  <c r="A3119" i="59"/>
  <c r="A3118" i="59"/>
  <c r="A3117" i="59"/>
  <c r="A3116" i="59"/>
  <c r="A3115" i="59"/>
  <c r="A3114" i="59"/>
  <c r="A3113" i="59"/>
  <c r="A3112" i="59"/>
  <c r="A3111" i="59"/>
  <c r="A3110" i="59"/>
  <c r="A3109" i="59"/>
  <c r="A3108" i="59"/>
  <c r="A3107" i="59"/>
  <c r="A3106" i="59"/>
  <c r="A3105" i="59"/>
  <c r="A3104" i="59"/>
  <c r="A3103" i="59"/>
  <c r="A3102" i="59"/>
  <c r="A3101" i="59"/>
  <c r="A3100" i="59"/>
  <c r="A3099" i="59"/>
  <c r="A3098" i="59"/>
  <c r="A3097" i="59"/>
  <c r="A3096" i="59"/>
  <c r="A3095" i="59"/>
  <c r="A3094" i="59"/>
  <c r="A3093" i="59"/>
  <c r="A3092" i="59"/>
  <c r="A3091" i="59"/>
  <c r="A3090" i="59"/>
  <c r="A3089" i="59"/>
  <c r="A3088" i="59"/>
  <c r="A3087" i="59"/>
  <c r="A3086" i="59"/>
  <c r="A3085" i="59"/>
  <c r="A3084" i="59"/>
  <c r="A3083" i="59"/>
  <c r="A3082" i="59"/>
  <c r="A3081" i="59"/>
  <c r="A3080" i="59"/>
  <c r="A3079" i="59"/>
  <c r="A3078" i="59"/>
  <c r="A3077" i="59"/>
  <c r="A3076" i="59"/>
  <c r="A3075" i="59"/>
  <c r="A3074" i="59"/>
  <c r="A3073" i="59"/>
  <c r="A3072" i="59"/>
  <c r="A3071" i="59"/>
  <c r="A3070" i="59"/>
  <c r="A3069" i="59"/>
  <c r="A3068" i="59"/>
  <c r="A3067" i="59"/>
  <c r="A3066" i="59"/>
  <c r="A3065" i="59"/>
  <c r="A3064" i="59"/>
  <c r="A3063" i="59"/>
  <c r="A3062" i="59"/>
  <c r="A3061" i="59"/>
  <c r="A3060" i="59"/>
  <c r="A3059" i="59"/>
  <c r="A3058" i="59"/>
  <c r="A3057" i="59"/>
  <c r="A3056" i="59"/>
  <c r="A3055" i="59"/>
  <c r="A3054" i="59"/>
  <c r="A3053" i="59"/>
  <c r="A3052" i="59"/>
  <c r="A3051" i="59"/>
  <c r="A3050" i="59"/>
  <c r="A3049" i="59"/>
  <c r="A3048" i="59"/>
  <c r="A3047" i="59"/>
  <c r="A3046" i="59"/>
  <c r="A3045" i="59"/>
  <c r="A3044" i="59"/>
  <c r="A3043" i="59"/>
  <c r="A3042" i="59"/>
  <c r="A3041" i="59"/>
  <c r="A3040" i="59"/>
  <c r="A3039" i="59"/>
  <c r="A3038" i="59"/>
  <c r="A3037" i="59"/>
  <c r="A3036" i="59"/>
  <c r="A3035" i="59"/>
  <c r="A3034" i="59"/>
  <c r="A3033" i="59"/>
  <c r="A3032" i="59"/>
  <c r="A3031" i="59"/>
  <c r="A3030" i="59"/>
  <c r="A3029" i="59"/>
  <c r="A3028" i="59"/>
  <c r="A3027" i="59"/>
  <c r="A3026" i="59"/>
  <c r="A3025" i="59"/>
  <c r="A3024" i="59"/>
  <c r="A3023" i="59"/>
  <c r="A3022" i="59"/>
  <c r="A3021" i="59"/>
  <c r="A3020" i="59"/>
  <c r="A3019" i="59"/>
  <c r="A3018" i="59"/>
  <c r="A3017" i="59"/>
  <c r="A3016" i="59"/>
  <c r="A3015" i="59"/>
  <c r="A3014" i="59"/>
  <c r="A3013" i="59"/>
  <c r="A3012" i="59"/>
  <c r="A3011" i="59"/>
  <c r="A3010" i="59"/>
  <c r="A3009" i="59"/>
  <c r="A3008" i="59"/>
  <c r="A3007" i="59"/>
  <c r="A3006" i="59"/>
  <c r="A3005" i="59"/>
  <c r="A3004" i="59"/>
  <c r="A3003" i="59"/>
  <c r="A3002" i="59"/>
  <c r="A3001" i="59"/>
  <c r="A3000" i="59"/>
  <c r="A2999" i="59"/>
  <c r="A2998" i="59"/>
  <c r="A2997" i="59"/>
  <c r="A2996" i="59"/>
  <c r="A2995" i="59"/>
  <c r="A2994" i="59"/>
  <c r="A2993" i="59"/>
  <c r="A2992" i="59"/>
  <c r="A2991" i="59"/>
  <c r="A2990" i="59"/>
  <c r="A2989" i="59"/>
  <c r="A2988" i="59"/>
  <c r="A2987" i="59"/>
  <c r="A2986" i="59"/>
  <c r="A2985" i="59"/>
  <c r="A2984" i="59"/>
  <c r="A2983" i="59"/>
  <c r="A2982" i="59"/>
  <c r="A2981" i="59"/>
  <c r="A2980" i="59"/>
  <c r="A2979" i="59"/>
  <c r="A2978" i="59"/>
  <c r="A2977" i="59"/>
  <c r="A2976" i="59"/>
  <c r="A2975" i="59"/>
  <c r="A2974" i="59"/>
  <c r="A2973" i="59"/>
  <c r="A2972" i="59"/>
  <c r="A2971" i="59"/>
  <c r="A2970" i="59"/>
  <c r="A2969" i="59"/>
  <c r="A2968" i="59"/>
  <c r="A2967" i="59"/>
  <c r="A2966" i="59"/>
  <c r="A2965" i="59"/>
  <c r="A2964" i="59"/>
  <c r="A2963" i="59"/>
  <c r="A2962" i="59"/>
  <c r="A2961" i="59"/>
  <c r="A2960" i="59"/>
  <c r="A2959" i="59"/>
  <c r="A2958" i="59"/>
  <c r="A2957" i="59"/>
  <c r="A2956" i="59"/>
  <c r="A2955" i="59"/>
  <c r="A2954" i="59"/>
  <c r="A2953" i="59"/>
  <c r="A2952" i="59"/>
  <c r="A2951" i="59"/>
  <c r="A2950" i="59"/>
  <c r="A2949" i="59"/>
  <c r="A2948" i="59"/>
  <c r="A2947" i="59"/>
  <c r="A2946" i="59"/>
  <c r="A2945" i="59"/>
  <c r="A2944" i="59"/>
  <c r="A2943" i="59"/>
  <c r="A2942" i="59"/>
  <c r="A2941" i="59"/>
  <c r="A2940" i="59"/>
  <c r="A2939" i="59"/>
  <c r="A2938" i="59"/>
  <c r="A2937" i="59"/>
  <c r="A2936" i="59"/>
  <c r="A2935" i="59"/>
  <c r="A2934" i="59"/>
  <c r="A2933" i="59"/>
  <c r="A2932" i="59"/>
  <c r="A2931" i="59"/>
  <c r="A2930" i="59"/>
  <c r="A2929" i="59"/>
  <c r="A2928" i="59"/>
  <c r="A2927" i="59"/>
  <c r="A2926" i="59"/>
  <c r="A2925" i="59"/>
  <c r="A2924" i="59"/>
  <c r="A2923" i="59"/>
  <c r="A2922" i="59"/>
  <c r="A2921" i="59"/>
  <c r="A2920" i="59"/>
  <c r="A2919" i="59"/>
  <c r="A2918" i="59"/>
  <c r="A2917" i="59"/>
  <c r="A2916" i="59"/>
  <c r="A2915" i="59"/>
  <c r="A2914" i="59"/>
  <c r="A2913" i="59"/>
  <c r="A2912" i="59"/>
  <c r="A2911" i="59"/>
  <c r="A2910" i="59"/>
  <c r="A2909" i="59"/>
  <c r="A2908" i="59"/>
  <c r="A2907" i="59"/>
  <c r="A2906" i="59"/>
  <c r="A2905" i="59"/>
  <c r="A2904" i="59"/>
  <c r="A2903" i="59"/>
  <c r="A2902" i="59"/>
  <c r="A2901" i="59"/>
  <c r="A2900" i="59"/>
  <c r="A2899" i="59"/>
  <c r="A2898" i="59"/>
  <c r="A2897" i="59"/>
  <c r="A2896" i="59"/>
  <c r="A2895" i="59"/>
  <c r="A2894" i="59"/>
  <c r="A2893" i="59"/>
  <c r="A2892" i="59"/>
  <c r="A2891" i="59"/>
  <c r="A2890" i="59"/>
  <c r="A2889" i="59"/>
  <c r="A2888" i="59"/>
  <c r="A2887" i="59"/>
  <c r="A2886" i="59"/>
  <c r="A2885" i="59"/>
  <c r="A2884" i="59"/>
  <c r="A2883" i="59"/>
  <c r="A2882" i="59"/>
  <c r="A2881" i="59"/>
  <c r="A2880" i="59"/>
  <c r="A2879" i="59"/>
  <c r="A2878" i="59"/>
  <c r="A2877" i="59"/>
  <c r="A2876" i="59"/>
  <c r="A2875" i="59"/>
  <c r="A2874" i="59"/>
  <c r="A2873" i="59"/>
  <c r="A2872" i="59"/>
  <c r="A2871" i="59"/>
  <c r="A2870" i="59"/>
  <c r="A2869" i="59"/>
  <c r="A2868" i="59"/>
  <c r="A2867" i="59"/>
  <c r="A2866" i="59"/>
  <c r="A2865" i="59"/>
  <c r="A2864" i="59"/>
  <c r="A2863" i="59"/>
  <c r="A2862" i="59"/>
  <c r="A2861" i="59"/>
  <c r="A2860" i="59"/>
  <c r="A2859" i="59"/>
  <c r="A2858" i="59"/>
  <c r="A2857" i="59"/>
  <c r="A2856" i="59"/>
  <c r="A2855" i="59"/>
  <c r="A2854" i="59"/>
  <c r="A2853" i="59"/>
  <c r="A2852" i="59"/>
  <c r="A2851" i="59"/>
  <c r="A2850" i="59"/>
  <c r="A2849" i="59"/>
  <c r="A2848" i="59"/>
  <c r="A2847" i="59"/>
  <c r="A2846" i="59"/>
  <c r="A2845" i="59"/>
  <c r="A2844" i="59"/>
  <c r="A2843" i="59"/>
  <c r="A2842" i="59"/>
  <c r="A2841" i="59"/>
  <c r="A2840" i="59"/>
  <c r="A2839" i="59"/>
  <c r="A2838" i="59"/>
  <c r="A2837" i="59"/>
  <c r="A2836" i="59"/>
  <c r="A2835" i="59"/>
  <c r="A2834" i="59"/>
  <c r="A2833" i="59"/>
  <c r="A2832" i="59"/>
  <c r="A2831" i="59"/>
  <c r="A2830" i="59"/>
  <c r="A2829" i="59"/>
  <c r="A2828" i="59"/>
  <c r="A2827" i="59"/>
  <c r="A2826" i="59"/>
  <c r="A2825" i="59"/>
  <c r="A2824" i="59"/>
  <c r="A2823" i="59"/>
  <c r="A2822" i="59"/>
  <c r="A2821" i="59"/>
  <c r="A2820" i="59"/>
  <c r="A2819" i="59"/>
  <c r="A2818" i="59"/>
  <c r="A2817" i="59"/>
  <c r="A2816" i="59"/>
  <c r="A2815" i="59"/>
  <c r="A2814" i="59"/>
  <c r="A2813" i="59"/>
  <c r="A2812" i="59"/>
  <c r="A2811" i="59"/>
  <c r="A2810" i="59"/>
  <c r="A2809" i="59"/>
  <c r="A2808" i="59"/>
  <c r="A2807" i="59"/>
  <c r="A2806" i="59"/>
  <c r="A2805" i="59"/>
  <c r="A2804" i="59"/>
  <c r="A2803" i="59"/>
  <c r="A2802" i="59"/>
  <c r="A2801" i="59"/>
  <c r="A2800" i="59"/>
  <c r="A2799" i="59"/>
  <c r="A2798" i="59"/>
  <c r="A2797" i="59"/>
  <c r="A2796" i="59"/>
  <c r="A2795" i="59"/>
  <c r="A2794" i="59"/>
  <c r="A2793" i="59"/>
  <c r="A2792" i="59"/>
  <c r="A2791" i="59"/>
  <c r="A2790" i="59"/>
  <c r="A2789" i="59"/>
  <c r="A2788" i="59"/>
  <c r="A2787" i="59"/>
  <c r="A2786" i="59"/>
  <c r="A2785" i="59"/>
  <c r="A2784" i="59"/>
  <c r="A2783" i="59"/>
  <c r="A2782" i="59"/>
  <c r="A2781" i="59"/>
  <c r="A2780" i="59"/>
  <c r="A2779" i="59"/>
  <c r="A2778" i="59"/>
  <c r="A2777" i="59"/>
  <c r="A2776" i="59"/>
  <c r="A2775" i="59"/>
  <c r="A2774" i="59"/>
  <c r="A2773" i="59"/>
  <c r="A2772" i="59"/>
  <c r="A2771" i="59"/>
  <c r="A2770" i="59"/>
  <c r="A2769" i="59"/>
  <c r="A2768" i="59"/>
  <c r="A2767" i="59"/>
  <c r="A2766" i="59"/>
  <c r="A2765" i="59"/>
  <c r="A2764" i="59"/>
  <c r="A2763" i="59"/>
  <c r="A2762" i="59"/>
  <c r="A2761" i="59"/>
  <c r="A2760" i="59"/>
  <c r="A2759" i="59"/>
  <c r="A2758" i="59"/>
  <c r="A2757" i="59"/>
  <c r="A2756" i="59"/>
  <c r="A2755" i="59"/>
  <c r="A2754" i="59"/>
  <c r="A2753" i="59"/>
  <c r="A2752" i="59"/>
  <c r="A2751" i="59"/>
  <c r="A2750" i="59"/>
  <c r="A2749" i="59"/>
  <c r="A2748" i="59"/>
  <c r="A2747" i="59"/>
  <c r="A2746" i="59"/>
  <c r="A2745" i="59"/>
  <c r="A2744" i="59"/>
  <c r="A2743" i="59"/>
  <c r="A2742" i="59"/>
  <c r="A2741" i="59"/>
  <c r="A2740" i="59"/>
  <c r="A2739" i="59"/>
  <c r="A2738" i="59"/>
  <c r="A2737" i="59"/>
  <c r="A2736" i="59"/>
  <c r="A2735" i="59"/>
  <c r="A2734" i="59"/>
  <c r="A2733" i="59"/>
  <c r="A2732" i="59"/>
  <c r="A2731" i="59"/>
  <c r="A2730" i="59"/>
  <c r="A2729" i="59"/>
  <c r="A2728" i="59"/>
  <c r="A2727" i="59"/>
  <c r="A2726" i="59"/>
  <c r="A2725" i="59"/>
  <c r="A2724" i="59"/>
  <c r="A2723" i="59"/>
  <c r="A2722" i="59"/>
  <c r="A2721" i="59"/>
  <c r="A2720" i="59"/>
  <c r="A2719" i="59"/>
  <c r="A2718" i="59"/>
  <c r="A2717" i="59"/>
  <c r="A2716" i="59"/>
  <c r="A2715" i="59"/>
  <c r="A2714" i="59"/>
  <c r="A2713" i="59"/>
  <c r="A2712" i="59"/>
  <c r="A2711" i="59"/>
  <c r="A2710" i="59"/>
  <c r="A2709" i="59"/>
  <c r="A2708" i="59"/>
  <c r="A2707" i="59"/>
  <c r="A2706" i="59"/>
  <c r="A2705" i="59"/>
  <c r="A2704" i="59"/>
  <c r="A2703" i="59"/>
  <c r="A2702" i="59"/>
  <c r="A2701" i="59"/>
  <c r="A2700" i="59"/>
  <c r="A2699" i="59"/>
  <c r="A2698" i="59"/>
  <c r="A2697" i="59"/>
  <c r="A2696" i="59"/>
  <c r="A2695" i="59"/>
  <c r="A2694" i="59"/>
  <c r="A2693" i="59"/>
  <c r="A2692" i="59"/>
  <c r="A2691" i="59"/>
  <c r="A2690" i="59"/>
  <c r="A2689" i="59"/>
  <c r="A2688" i="59"/>
  <c r="A2687" i="59"/>
  <c r="A2686" i="59"/>
  <c r="A2685" i="59"/>
  <c r="A2684" i="59"/>
  <c r="A2683" i="59"/>
  <c r="A2682" i="59"/>
  <c r="A2681" i="59"/>
  <c r="A2680" i="59"/>
  <c r="A2679" i="59"/>
  <c r="A2678" i="59"/>
  <c r="A2677" i="59"/>
  <c r="A2676" i="59"/>
  <c r="A2675" i="59"/>
  <c r="A2674" i="59"/>
  <c r="A2673" i="59"/>
  <c r="A2672" i="59"/>
  <c r="A2671" i="59"/>
  <c r="A2670" i="59"/>
  <c r="A2669" i="59"/>
  <c r="A2668" i="59"/>
  <c r="A2667" i="59"/>
  <c r="A2666" i="59"/>
  <c r="A2665" i="59"/>
  <c r="A2664" i="59"/>
  <c r="A2663" i="59"/>
  <c r="A2662" i="59"/>
  <c r="A2661" i="59"/>
  <c r="A2660" i="59"/>
  <c r="A2659" i="59"/>
  <c r="A2658" i="59"/>
  <c r="A2657" i="59"/>
  <c r="A2656" i="59"/>
  <c r="A2655" i="59"/>
  <c r="A2654" i="59"/>
  <c r="A2653" i="59"/>
  <c r="A2652" i="59"/>
  <c r="A2651" i="59"/>
  <c r="A2650" i="59"/>
  <c r="A2649" i="59"/>
  <c r="A2648" i="59"/>
  <c r="A2647" i="59"/>
  <c r="A2646" i="59"/>
  <c r="A2645" i="59"/>
  <c r="A2644" i="59"/>
  <c r="A2643" i="59"/>
  <c r="A2642" i="59"/>
  <c r="A2641" i="59"/>
  <c r="A2640" i="59"/>
  <c r="A2639" i="59"/>
  <c r="A2638" i="59"/>
  <c r="A2637" i="59"/>
  <c r="A2636" i="59"/>
  <c r="A2635" i="59"/>
  <c r="A2634" i="59"/>
  <c r="A2633" i="59"/>
  <c r="A2632" i="59"/>
  <c r="A2631" i="59"/>
  <c r="A2630" i="59"/>
  <c r="A2629" i="59"/>
  <c r="A2628" i="59"/>
  <c r="A2627" i="59"/>
  <c r="A2626" i="59"/>
  <c r="A2625" i="59"/>
  <c r="A2624" i="59"/>
  <c r="A2623" i="59"/>
  <c r="A2622" i="59"/>
  <c r="A2621" i="59"/>
  <c r="A2620" i="59"/>
  <c r="A2619" i="59"/>
  <c r="A2618" i="59"/>
  <c r="A2617" i="59"/>
  <c r="A2616" i="59"/>
  <c r="A2615" i="59"/>
  <c r="A2614" i="59"/>
  <c r="A2613" i="59"/>
  <c r="A2612" i="59"/>
  <c r="A2611" i="59"/>
  <c r="A2610" i="59"/>
  <c r="A2609" i="59"/>
  <c r="A2608" i="59"/>
  <c r="A2607" i="59"/>
  <c r="A2606" i="59"/>
  <c r="A2605" i="59"/>
  <c r="A2604" i="59"/>
  <c r="A2603" i="59"/>
  <c r="A2602" i="59"/>
  <c r="A2601" i="59"/>
  <c r="A2600" i="59"/>
  <c r="A2599" i="59"/>
  <c r="A2598" i="59"/>
  <c r="A2597" i="59"/>
  <c r="A2596" i="59"/>
  <c r="A2595" i="59"/>
  <c r="A2594" i="59"/>
  <c r="A2593" i="59"/>
  <c r="A2592" i="59"/>
  <c r="A2591" i="59"/>
  <c r="A2590" i="59"/>
  <c r="A2589" i="59"/>
  <c r="A2588" i="59"/>
  <c r="A2587" i="59"/>
  <c r="A2586" i="59"/>
  <c r="A2585" i="59"/>
  <c r="A2584" i="59"/>
  <c r="A2583" i="59"/>
  <c r="A2582" i="59"/>
  <c r="A2581" i="59"/>
  <c r="A2580" i="59"/>
  <c r="A2579" i="59"/>
  <c r="A2578" i="59"/>
  <c r="A2577" i="59"/>
  <c r="A2576" i="59"/>
  <c r="A2575" i="59"/>
  <c r="A2574" i="59"/>
  <c r="A2573" i="59"/>
  <c r="A2572" i="59"/>
  <c r="A2571" i="59"/>
  <c r="A2570" i="59"/>
  <c r="A2569" i="59"/>
  <c r="A2568" i="59"/>
  <c r="A2567" i="59"/>
  <c r="A2566" i="59"/>
  <c r="A2565" i="59"/>
  <c r="A2564" i="59"/>
  <c r="A2563" i="59"/>
  <c r="A2562" i="59"/>
  <c r="A2561" i="59"/>
  <c r="A2560" i="59"/>
  <c r="A2559" i="59"/>
  <c r="A2558" i="59"/>
  <c r="A2557" i="59"/>
  <c r="A2556" i="59"/>
  <c r="A2555" i="59"/>
  <c r="A2554" i="59"/>
  <c r="A2553" i="59"/>
  <c r="A2552" i="59"/>
  <c r="A2551" i="59"/>
  <c r="A2550" i="59"/>
  <c r="A2549" i="59"/>
  <c r="A2548" i="59"/>
  <c r="A2547" i="59"/>
  <c r="A2546" i="59"/>
  <c r="A2545" i="59"/>
  <c r="A2544" i="59"/>
  <c r="A2543" i="59"/>
  <c r="A2542" i="59"/>
  <c r="A2541" i="59"/>
  <c r="A2540" i="59"/>
  <c r="A2539" i="59"/>
  <c r="A2538" i="59"/>
  <c r="A2537" i="59"/>
  <c r="A2536" i="59"/>
  <c r="A2535" i="59"/>
  <c r="A2534" i="59"/>
  <c r="A2533" i="59"/>
  <c r="A2532" i="59"/>
  <c r="A2531" i="59"/>
  <c r="A2530" i="59"/>
  <c r="A2529" i="59"/>
  <c r="A2528" i="59"/>
  <c r="A2527" i="59"/>
  <c r="A2526" i="59"/>
  <c r="A2525" i="59"/>
  <c r="A2524" i="59"/>
  <c r="A2523" i="59"/>
  <c r="A2522" i="59"/>
  <c r="A2521" i="59"/>
  <c r="A2520" i="59"/>
  <c r="A2519" i="59"/>
  <c r="A2518" i="59"/>
  <c r="A2517" i="59"/>
  <c r="A2516" i="59"/>
  <c r="A2515" i="59"/>
  <c r="A2514" i="59"/>
  <c r="A2513" i="59"/>
  <c r="A2512" i="59"/>
  <c r="A2511" i="59"/>
  <c r="A2510" i="59"/>
  <c r="A2509" i="59"/>
  <c r="A2508" i="59"/>
  <c r="A2507" i="59"/>
  <c r="A2506" i="59"/>
  <c r="A2505" i="59"/>
  <c r="A2504" i="59"/>
  <c r="A2503" i="59"/>
  <c r="A2502" i="59"/>
  <c r="A2501" i="59"/>
  <c r="A2500" i="59"/>
  <c r="A2499" i="59"/>
  <c r="A2498" i="59"/>
  <c r="A2497" i="59"/>
  <c r="A2496" i="59"/>
  <c r="A2495" i="59"/>
  <c r="A2494" i="59"/>
  <c r="A2493" i="59"/>
  <c r="A2492" i="59"/>
  <c r="A2491" i="59"/>
  <c r="A2490" i="59"/>
  <c r="A2489" i="59"/>
  <c r="A2488" i="59"/>
  <c r="A2487" i="59"/>
  <c r="A2486" i="59"/>
  <c r="A2485" i="59"/>
  <c r="A2484" i="59"/>
  <c r="A2483" i="59"/>
  <c r="A2482" i="59"/>
  <c r="A2481" i="59"/>
  <c r="A2480" i="59"/>
  <c r="A2479" i="59"/>
  <c r="A2478" i="59"/>
  <c r="A2477" i="59"/>
  <c r="A2476" i="59"/>
  <c r="A2475" i="59"/>
  <c r="A2474" i="59"/>
  <c r="A2473" i="59"/>
  <c r="A2472" i="59"/>
  <c r="A2471" i="59"/>
  <c r="A2470" i="59"/>
  <c r="A2469" i="59"/>
  <c r="A2468" i="59"/>
  <c r="A2467" i="59"/>
  <c r="A2466" i="59"/>
  <c r="A2465" i="59"/>
  <c r="A2464" i="59"/>
  <c r="A2463" i="59"/>
  <c r="A2462" i="59"/>
  <c r="A2461" i="59"/>
  <c r="A2460" i="59"/>
  <c r="A2459" i="59"/>
  <c r="A2458" i="59"/>
  <c r="A2457" i="59"/>
  <c r="A2456" i="59"/>
  <c r="A2455" i="59"/>
  <c r="A2454" i="59"/>
  <c r="A2453" i="59"/>
  <c r="A2452" i="59"/>
  <c r="A2451" i="59"/>
  <c r="A2450" i="59"/>
  <c r="A2449" i="59"/>
  <c r="A2448" i="59"/>
  <c r="A2447" i="59"/>
  <c r="A2446" i="59"/>
  <c r="A2445" i="59"/>
  <c r="A2444" i="59"/>
  <c r="A2443" i="59"/>
  <c r="A2442" i="59"/>
  <c r="A2441" i="59"/>
  <c r="A2440" i="59"/>
  <c r="A2439" i="59"/>
  <c r="A2438" i="59"/>
  <c r="A2437" i="59"/>
  <c r="A2436" i="59"/>
  <c r="A2435" i="59"/>
  <c r="A2434" i="59"/>
  <c r="A2433" i="59"/>
  <c r="A2432" i="59"/>
  <c r="A2431" i="59"/>
  <c r="A2430" i="59"/>
  <c r="A2429" i="59"/>
  <c r="A2428" i="59"/>
  <c r="A2427" i="59"/>
  <c r="A2426" i="59"/>
  <c r="A2425" i="59"/>
  <c r="A2424" i="59"/>
  <c r="A2423" i="59"/>
  <c r="A2422" i="59"/>
  <c r="A2421" i="59"/>
  <c r="A2420" i="59"/>
  <c r="A2419" i="59"/>
  <c r="A2418" i="59"/>
  <c r="A2417" i="59"/>
  <c r="A2416" i="59"/>
  <c r="A2415" i="59"/>
  <c r="A2414" i="59"/>
  <c r="A2413" i="59"/>
  <c r="A2412" i="59"/>
  <c r="A2411" i="59"/>
  <c r="A2410" i="59"/>
  <c r="A2409" i="59"/>
  <c r="A2408" i="59"/>
  <c r="A2407" i="59"/>
  <c r="A2406" i="59"/>
  <c r="A2405" i="59"/>
  <c r="A2404" i="59"/>
  <c r="A2403" i="59"/>
  <c r="A2402" i="59"/>
  <c r="A2401" i="59"/>
  <c r="A2400" i="59"/>
  <c r="A2399" i="59"/>
  <c r="A2398" i="59"/>
  <c r="A2397" i="59"/>
  <c r="A2396" i="59"/>
  <c r="A2395" i="59"/>
  <c r="A2394" i="59"/>
  <c r="A2393" i="59"/>
  <c r="A2392" i="59"/>
  <c r="A2391" i="59"/>
  <c r="A2390" i="59"/>
  <c r="A2389" i="59"/>
  <c r="A2388" i="59"/>
  <c r="A2387" i="59"/>
  <c r="A2386" i="59"/>
  <c r="A2385" i="59"/>
  <c r="A2384" i="59"/>
  <c r="A2383" i="59"/>
  <c r="A2382" i="59"/>
  <c r="A2381" i="59"/>
  <c r="A2380" i="59"/>
  <c r="A2379" i="59"/>
  <c r="A2378" i="59"/>
  <c r="A2377" i="59"/>
  <c r="A2376" i="59"/>
  <c r="A2375" i="59"/>
  <c r="A2374" i="59"/>
  <c r="A2373" i="59"/>
  <c r="A2372" i="59"/>
  <c r="A2371" i="59"/>
  <c r="A2370" i="59"/>
  <c r="A2369" i="59"/>
  <c r="A2368" i="59"/>
  <c r="A2367" i="59"/>
  <c r="A2366" i="59"/>
  <c r="A2365" i="59"/>
  <c r="A2364" i="59"/>
  <c r="A2363" i="59"/>
  <c r="A2362" i="59"/>
  <c r="A2361" i="59"/>
  <c r="A2360" i="59"/>
  <c r="A2359" i="59"/>
  <c r="A2358" i="59"/>
  <c r="A2357" i="59"/>
  <c r="A2356" i="59"/>
  <c r="A2355" i="59"/>
  <c r="A2354" i="59"/>
  <c r="A2353" i="59"/>
  <c r="A2352" i="59"/>
  <c r="A2351" i="59"/>
  <c r="A2350" i="59"/>
  <c r="A2349" i="59"/>
  <c r="A2348" i="59"/>
  <c r="A2347" i="59"/>
  <c r="A2346" i="59"/>
  <c r="A2345" i="59"/>
  <c r="A2344" i="59"/>
  <c r="A2343" i="59"/>
  <c r="A2342" i="59"/>
  <c r="A2341" i="59"/>
  <c r="A2340" i="59"/>
  <c r="A2339" i="59"/>
  <c r="A2338" i="59"/>
  <c r="A2337" i="59"/>
  <c r="A2336" i="59"/>
  <c r="A2335" i="59"/>
  <c r="A2334" i="59"/>
  <c r="A2333" i="59"/>
  <c r="A2332" i="59"/>
  <c r="A2331" i="59"/>
  <c r="A2330" i="59"/>
  <c r="A2329" i="59"/>
  <c r="A2328" i="59"/>
  <c r="A2327" i="59"/>
  <c r="A2326" i="59"/>
  <c r="A2325" i="59"/>
  <c r="A2324" i="59"/>
  <c r="A2323" i="59"/>
  <c r="A2322" i="59"/>
  <c r="A2321" i="59"/>
  <c r="A2320" i="59"/>
  <c r="A2319" i="59"/>
  <c r="A2318" i="59"/>
  <c r="A2317" i="59"/>
  <c r="A2316" i="59"/>
  <c r="A2315" i="59"/>
  <c r="A2314" i="59"/>
  <c r="A2313" i="59"/>
  <c r="A2312" i="59"/>
  <c r="A2311" i="59"/>
  <c r="A2310" i="59"/>
  <c r="A2309" i="59"/>
  <c r="A2308" i="59"/>
  <c r="A2307" i="59"/>
  <c r="A2306" i="59"/>
  <c r="A2305" i="59"/>
  <c r="A2304" i="59"/>
  <c r="A2303" i="59"/>
  <c r="A2302" i="59"/>
  <c r="A2301" i="59"/>
  <c r="A2300" i="59"/>
  <c r="A2299" i="59"/>
  <c r="A2298" i="59"/>
  <c r="A2297" i="59"/>
  <c r="A2296" i="59"/>
  <c r="A2295" i="59"/>
  <c r="A2294" i="59"/>
  <c r="A2293" i="59"/>
  <c r="A2292" i="59"/>
  <c r="A2291" i="59"/>
  <c r="A2290" i="59"/>
  <c r="A2289" i="59"/>
  <c r="A2288" i="59"/>
  <c r="A2287" i="59"/>
  <c r="A2286" i="59"/>
  <c r="A2285" i="59"/>
  <c r="A2284" i="59"/>
  <c r="A2283" i="59"/>
  <c r="A2282" i="59"/>
  <c r="A2281" i="59"/>
  <c r="A2280" i="59"/>
  <c r="A2279" i="59"/>
  <c r="A2278" i="59"/>
  <c r="A2277" i="59"/>
  <c r="A2276" i="59"/>
  <c r="A2275" i="59"/>
  <c r="A2274" i="59"/>
  <c r="A2273" i="59"/>
  <c r="A2272" i="59"/>
  <c r="A2271" i="59"/>
  <c r="A2270" i="59"/>
  <c r="A2269" i="59"/>
  <c r="A2268" i="59"/>
  <c r="A2267" i="59"/>
  <c r="A2266" i="59"/>
  <c r="A2265" i="59"/>
  <c r="A2264" i="59"/>
  <c r="A2263" i="59"/>
  <c r="A2262" i="59"/>
  <c r="A2261" i="59"/>
  <c r="A2260" i="59"/>
  <c r="A2259" i="59"/>
  <c r="A2258" i="59"/>
  <c r="A2257" i="59"/>
  <c r="A2256" i="59"/>
  <c r="A2255" i="59"/>
  <c r="A2254" i="59"/>
  <c r="A2253" i="59"/>
  <c r="A2252" i="59"/>
  <c r="A2251" i="59"/>
  <c r="A2250" i="59"/>
  <c r="A2249" i="59"/>
  <c r="A2248" i="59"/>
  <c r="A2247" i="59"/>
  <c r="A2246" i="59"/>
  <c r="A2245" i="59"/>
  <c r="A2244" i="59"/>
  <c r="A2243" i="59"/>
  <c r="A2242" i="59"/>
  <c r="A2241" i="59"/>
  <c r="A2240" i="59"/>
  <c r="A2239" i="59"/>
  <c r="A2238" i="59"/>
  <c r="A2237" i="59"/>
  <c r="A2236" i="59"/>
  <c r="A2235" i="59"/>
  <c r="A2234" i="59"/>
  <c r="A2233" i="59"/>
  <c r="A2232" i="59"/>
  <c r="A2231" i="59"/>
  <c r="A2230" i="59"/>
  <c r="A2229" i="59"/>
  <c r="A2228" i="59"/>
  <c r="A2227" i="59"/>
  <c r="A2226" i="59"/>
  <c r="A2225" i="59"/>
  <c r="A2224" i="59"/>
  <c r="A2223" i="59"/>
  <c r="A2222" i="59"/>
  <c r="A2221" i="59"/>
  <c r="A2220" i="59"/>
  <c r="A2219" i="59"/>
  <c r="A2218" i="59"/>
  <c r="A2217" i="59"/>
  <c r="A2216" i="59"/>
  <c r="A2215" i="59"/>
  <c r="A2214" i="59"/>
  <c r="A2213" i="59"/>
  <c r="A2212" i="59"/>
  <c r="A2211" i="59"/>
  <c r="A2210" i="59"/>
  <c r="A2209" i="59"/>
  <c r="A2208" i="59"/>
  <c r="A2207" i="59"/>
  <c r="A2206" i="59"/>
  <c r="A2205" i="59"/>
  <c r="A2204" i="59"/>
  <c r="A2203" i="59"/>
  <c r="A2202" i="59"/>
  <c r="A2201" i="59"/>
  <c r="A2200" i="59"/>
  <c r="A2199" i="59"/>
  <c r="A2198" i="59"/>
  <c r="A2197" i="59"/>
  <c r="A2196" i="59"/>
  <c r="A2195" i="59"/>
  <c r="A2194" i="59"/>
  <c r="A2193" i="59"/>
  <c r="A2192" i="59"/>
  <c r="A2191" i="59"/>
  <c r="A2190" i="59"/>
  <c r="A2189" i="59"/>
  <c r="A2188" i="59"/>
  <c r="A2187" i="59"/>
  <c r="A2186" i="59"/>
  <c r="A2185" i="59"/>
  <c r="A2184" i="59"/>
  <c r="A2183" i="59"/>
  <c r="A2182" i="59"/>
  <c r="A2181" i="59"/>
  <c r="A2180" i="59"/>
  <c r="A2179" i="59"/>
  <c r="A2178" i="59"/>
  <c r="A2177" i="59"/>
  <c r="A2176" i="59"/>
  <c r="A2175" i="59"/>
  <c r="A2174" i="59"/>
  <c r="A2173" i="59"/>
  <c r="A2172" i="59"/>
  <c r="A2171" i="59"/>
  <c r="A2170" i="59"/>
  <c r="A2169" i="59"/>
  <c r="A2168" i="59"/>
  <c r="A2167" i="59"/>
  <c r="A2166" i="59"/>
  <c r="A2165" i="59"/>
  <c r="A2164" i="59"/>
  <c r="A2163" i="59"/>
  <c r="A2162" i="59"/>
  <c r="A2161" i="59"/>
  <c r="A2160" i="59"/>
  <c r="A2159" i="59"/>
  <c r="A2158" i="59"/>
  <c r="A2157" i="59"/>
  <c r="A2156" i="59"/>
  <c r="A2155" i="59"/>
  <c r="A2154" i="59"/>
  <c r="A2153" i="59"/>
  <c r="A2152" i="59"/>
  <c r="A2151" i="59"/>
  <c r="A2150" i="59"/>
  <c r="A2149" i="59"/>
  <c r="A2148" i="59"/>
  <c r="A2147" i="59"/>
  <c r="A2146" i="59"/>
  <c r="A2145" i="59"/>
  <c r="A2144" i="59"/>
  <c r="A2143" i="59"/>
  <c r="A2142" i="59"/>
  <c r="A2141" i="59"/>
  <c r="A2140" i="59"/>
  <c r="A2139" i="59"/>
  <c r="A2138" i="59"/>
  <c r="A2137" i="59"/>
  <c r="A2136" i="59"/>
  <c r="A2135" i="59"/>
  <c r="A2134" i="59"/>
  <c r="A2133" i="59"/>
  <c r="A2132" i="59"/>
  <c r="A2131" i="59"/>
  <c r="A2130" i="59"/>
  <c r="A2129" i="59"/>
  <c r="A2128" i="59"/>
  <c r="A2127" i="59"/>
  <c r="A2126" i="59"/>
  <c r="A2125" i="59"/>
  <c r="A2124" i="59"/>
  <c r="A2123" i="59"/>
  <c r="A2122" i="59"/>
  <c r="A2121" i="59"/>
  <c r="A2120" i="59"/>
  <c r="A2119" i="59"/>
  <c r="A2118" i="59"/>
  <c r="A2117" i="59"/>
  <c r="A2116" i="59"/>
  <c r="A2115" i="59"/>
  <c r="A2114" i="59"/>
  <c r="A2113" i="59"/>
  <c r="A2112" i="59"/>
  <c r="A2111" i="59"/>
  <c r="A2110" i="59"/>
  <c r="A2109" i="59"/>
  <c r="A2108" i="59"/>
  <c r="A2107" i="59"/>
  <c r="A2106" i="59"/>
  <c r="A2105" i="59"/>
  <c r="A2104" i="59"/>
  <c r="A2103" i="59"/>
  <c r="A2102" i="59"/>
  <c r="A2101" i="59"/>
  <c r="A2100" i="59"/>
  <c r="A2099" i="59"/>
  <c r="A2098" i="59"/>
  <c r="A2097" i="59"/>
  <c r="A2096" i="59"/>
  <c r="A2095" i="59"/>
  <c r="A2094" i="59"/>
  <c r="A2093" i="59"/>
  <c r="A2092" i="59"/>
  <c r="A2091" i="59"/>
  <c r="A2090" i="59"/>
  <c r="A2089" i="59"/>
  <c r="A2088" i="59"/>
  <c r="A2087" i="59"/>
  <c r="A2086" i="59"/>
  <c r="A2085" i="59"/>
  <c r="A2084" i="59"/>
  <c r="A2083" i="59"/>
  <c r="A2082" i="59"/>
  <c r="A2081" i="59"/>
  <c r="A2080" i="59"/>
  <c r="A2079" i="59"/>
  <c r="A2078" i="59"/>
  <c r="A2077" i="59"/>
  <c r="A2076" i="59"/>
  <c r="A2075" i="59"/>
  <c r="A2074" i="59"/>
  <c r="A2073" i="59"/>
  <c r="A2072" i="59"/>
  <c r="A2071" i="59"/>
  <c r="A2070" i="59"/>
  <c r="A2069" i="59"/>
  <c r="A2068" i="59"/>
  <c r="A2067" i="59"/>
  <c r="A2066" i="59"/>
  <c r="A2065" i="59"/>
  <c r="A2064" i="59"/>
  <c r="A2063" i="59"/>
  <c r="A2062" i="59"/>
  <c r="A2061" i="59"/>
  <c r="A2060" i="59"/>
  <c r="A2059" i="59"/>
  <c r="A2058" i="59"/>
  <c r="A2057" i="59"/>
  <c r="A2056" i="59"/>
  <c r="A2055" i="59"/>
  <c r="A2054" i="59"/>
  <c r="A2053" i="59"/>
  <c r="A2052" i="59"/>
  <c r="A2051" i="59"/>
  <c r="A2050" i="59"/>
  <c r="A2049" i="59"/>
  <c r="A2048" i="59"/>
  <c r="A2047" i="59"/>
  <c r="A2046" i="59"/>
  <c r="A2045" i="59"/>
  <c r="A2044" i="59"/>
  <c r="A2043" i="59"/>
  <c r="A2042" i="59"/>
  <c r="A2041" i="59"/>
  <c r="A2040" i="59"/>
  <c r="A2039" i="59"/>
  <c r="A2038" i="59"/>
  <c r="A2037" i="59"/>
  <c r="A2036" i="59"/>
  <c r="A2035" i="59"/>
  <c r="A2034" i="59"/>
  <c r="A2033" i="59"/>
  <c r="A2032" i="59"/>
  <c r="A2031" i="59"/>
  <c r="A2030" i="59"/>
  <c r="A2029" i="59"/>
  <c r="A2028" i="59"/>
  <c r="A2027" i="59"/>
  <c r="A2026" i="59"/>
  <c r="A2025" i="59"/>
  <c r="A2024" i="59"/>
  <c r="A2023" i="59"/>
  <c r="A2022" i="59"/>
  <c r="A2021" i="59"/>
  <c r="A2020" i="59"/>
  <c r="A2019" i="59"/>
  <c r="A2018" i="59"/>
  <c r="A2017" i="59"/>
  <c r="A2016" i="59"/>
  <c r="A2015" i="59"/>
  <c r="A2014" i="59"/>
  <c r="A2013" i="59"/>
  <c r="A2012" i="59"/>
  <c r="A2011" i="59"/>
  <c r="A2010" i="59"/>
  <c r="A2009" i="59"/>
  <c r="A2008" i="59"/>
  <c r="A2007" i="59"/>
  <c r="A2006" i="59"/>
  <c r="A2005" i="59"/>
  <c r="A2004" i="59"/>
  <c r="A2003" i="59"/>
  <c r="A2002" i="59"/>
  <c r="A2001" i="59"/>
  <c r="A2000" i="59"/>
  <c r="A1999" i="59"/>
  <c r="A1998" i="59"/>
  <c r="A1997" i="59"/>
  <c r="A1996" i="59"/>
  <c r="A1995" i="59"/>
  <c r="A1994" i="59"/>
  <c r="A1993" i="59"/>
  <c r="A1992" i="59"/>
  <c r="A1991" i="59"/>
  <c r="A1990" i="59"/>
  <c r="A1989" i="59"/>
  <c r="A1988" i="59"/>
  <c r="A1987" i="59"/>
  <c r="A1986" i="59"/>
  <c r="A1985" i="59"/>
  <c r="A1984" i="59"/>
  <c r="A1983" i="59"/>
  <c r="A1982" i="59"/>
  <c r="A1981" i="59"/>
  <c r="A1980" i="59"/>
  <c r="A1979" i="59"/>
  <c r="A1978" i="59"/>
  <c r="A1977" i="59"/>
  <c r="A1976" i="59"/>
  <c r="A1975" i="59"/>
  <c r="A1974" i="59"/>
  <c r="A1973" i="59"/>
  <c r="A1972" i="59"/>
  <c r="A1971" i="59"/>
  <c r="A1970" i="59"/>
  <c r="A1969" i="59"/>
  <c r="A1968" i="59"/>
  <c r="A1967" i="59"/>
  <c r="A1966" i="59"/>
  <c r="A1965" i="59"/>
  <c r="A1964" i="59"/>
  <c r="A1963" i="59"/>
  <c r="A1962" i="59"/>
  <c r="A1961" i="59"/>
  <c r="A1960" i="59"/>
  <c r="A1959" i="59"/>
  <c r="A1958" i="59"/>
  <c r="A1957" i="59"/>
  <c r="A1956" i="59"/>
  <c r="A1955" i="59"/>
  <c r="A1954" i="59"/>
  <c r="A1953" i="59"/>
  <c r="A1952" i="59"/>
  <c r="A1951" i="59"/>
  <c r="A1950" i="59"/>
  <c r="A1949" i="59"/>
  <c r="A1948" i="59"/>
  <c r="A1947" i="59"/>
  <c r="A1946" i="59"/>
  <c r="A1945" i="59"/>
  <c r="A1944" i="59"/>
  <c r="A1943" i="59"/>
  <c r="A1942" i="59"/>
  <c r="A1941" i="59"/>
  <c r="A1940" i="59"/>
  <c r="A1939" i="59"/>
  <c r="A1938" i="59"/>
  <c r="A1937" i="59"/>
  <c r="A1936" i="59"/>
  <c r="A1935" i="59"/>
  <c r="A1934" i="59"/>
  <c r="A1933" i="59"/>
  <c r="A1932" i="59"/>
  <c r="A1931" i="59"/>
  <c r="A1930" i="59"/>
  <c r="A1929" i="59"/>
  <c r="A1928" i="59"/>
  <c r="A1927" i="59"/>
  <c r="A1926" i="59"/>
  <c r="A1925" i="59"/>
  <c r="A1924" i="59"/>
  <c r="A1923" i="59"/>
  <c r="A1922" i="59"/>
  <c r="A1921" i="59"/>
  <c r="A1920" i="59"/>
  <c r="A1919" i="59"/>
  <c r="A1918" i="59"/>
  <c r="A1917" i="59"/>
  <c r="A1916" i="59"/>
  <c r="A1915" i="59"/>
  <c r="A1914" i="59"/>
  <c r="A1913" i="59"/>
  <c r="A1912" i="59"/>
  <c r="A1911" i="59"/>
  <c r="A1910" i="59"/>
  <c r="A1909" i="59"/>
  <c r="A1908" i="59"/>
  <c r="A1907" i="59"/>
  <c r="A1906" i="59"/>
  <c r="A1905" i="59"/>
  <c r="A1904" i="59"/>
  <c r="A1903" i="59"/>
  <c r="A1902" i="59"/>
  <c r="A1901" i="59"/>
  <c r="A1900" i="59"/>
  <c r="A1899" i="59"/>
  <c r="A1898" i="59"/>
  <c r="A1897" i="59"/>
  <c r="A1896" i="59"/>
  <c r="A1895" i="59"/>
  <c r="A1894" i="59"/>
  <c r="A1893" i="59"/>
  <c r="A1892" i="59"/>
  <c r="A1891" i="59"/>
  <c r="A1890" i="59"/>
  <c r="A1889" i="59"/>
  <c r="A1888" i="59"/>
  <c r="A1887" i="59"/>
  <c r="A1886" i="59"/>
  <c r="A1885" i="59"/>
  <c r="A1884" i="59"/>
  <c r="A1883" i="59"/>
  <c r="A1882" i="59"/>
  <c r="A1881" i="59"/>
  <c r="A1880" i="59"/>
  <c r="A1879" i="59"/>
  <c r="A1878" i="59"/>
  <c r="A1877" i="59"/>
  <c r="A1876" i="59"/>
  <c r="A1875" i="59"/>
  <c r="A1874" i="59"/>
  <c r="A1873" i="59"/>
  <c r="A1872" i="59"/>
  <c r="A1871" i="59"/>
  <c r="A1870" i="59"/>
  <c r="A1869" i="59"/>
  <c r="A1868" i="59"/>
  <c r="A1867" i="59"/>
  <c r="A1866" i="59"/>
  <c r="A1865" i="59"/>
  <c r="A1864" i="59"/>
  <c r="A1863" i="59"/>
  <c r="A1862" i="59"/>
  <c r="A1861" i="59"/>
  <c r="A1860" i="59"/>
  <c r="A1859" i="59"/>
  <c r="A1858" i="59"/>
  <c r="A1857" i="59"/>
  <c r="A1856" i="59"/>
  <c r="A1855" i="59"/>
  <c r="A1854" i="59"/>
  <c r="A1853" i="59"/>
  <c r="A1852" i="59"/>
  <c r="A1851" i="59"/>
  <c r="A1850" i="59"/>
  <c r="A1849" i="59"/>
  <c r="A1848" i="59"/>
  <c r="A1847" i="59"/>
  <c r="A1846" i="59"/>
  <c r="A1845" i="59"/>
  <c r="A1844" i="59"/>
  <c r="A1843" i="59"/>
  <c r="A1842" i="59"/>
  <c r="A1841" i="59"/>
  <c r="A1840" i="59"/>
  <c r="A1839" i="59"/>
  <c r="A1838" i="59"/>
  <c r="A1837" i="59"/>
  <c r="A1836" i="59"/>
  <c r="A1835" i="59"/>
  <c r="A1834" i="59"/>
  <c r="A1833" i="59"/>
  <c r="A1832" i="59"/>
  <c r="A1831" i="59"/>
  <c r="A1830" i="59"/>
  <c r="A1829" i="59"/>
  <c r="A1828" i="59"/>
  <c r="A1827" i="59"/>
  <c r="A1826" i="59"/>
  <c r="A1825" i="59"/>
  <c r="A1824" i="59"/>
  <c r="A1823" i="59"/>
  <c r="A1822" i="59"/>
  <c r="A1821" i="59"/>
  <c r="A1820" i="59"/>
  <c r="A1819" i="59"/>
  <c r="A1818" i="59"/>
  <c r="A1817" i="59"/>
  <c r="A1816" i="59"/>
  <c r="A1815" i="59"/>
  <c r="A1814" i="59"/>
  <c r="A1813" i="59"/>
  <c r="A1812" i="59"/>
  <c r="A1811" i="59"/>
  <c r="A1810" i="59"/>
  <c r="A1809" i="59"/>
  <c r="A1808" i="59"/>
  <c r="A1807" i="59"/>
  <c r="A1806" i="59"/>
  <c r="A1805" i="59"/>
  <c r="A1804" i="59"/>
  <c r="A1803" i="59"/>
  <c r="A1802" i="59"/>
  <c r="A1801" i="59"/>
  <c r="A1800" i="59"/>
  <c r="A1799" i="59"/>
  <c r="A1798" i="59"/>
  <c r="A1797" i="59"/>
  <c r="A1796" i="59"/>
  <c r="A1795" i="59"/>
  <c r="A1794" i="59"/>
  <c r="A1793" i="59"/>
  <c r="A1792" i="59"/>
  <c r="A1791" i="59"/>
  <c r="A1790" i="59"/>
  <c r="A1789" i="59"/>
  <c r="A1788" i="59"/>
  <c r="A1787" i="59"/>
  <c r="A1786" i="59"/>
  <c r="A1785" i="59"/>
  <c r="A1784" i="59"/>
  <c r="A1783" i="59"/>
  <c r="A1782" i="59"/>
  <c r="A1781" i="59"/>
  <c r="A1780" i="59"/>
  <c r="A1779" i="59"/>
  <c r="A1778" i="59"/>
  <c r="A1777" i="59"/>
  <c r="A1776" i="59"/>
  <c r="A1775" i="59"/>
  <c r="A1774" i="59"/>
  <c r="A1773" i="59"/>
  <c r="A1772" i="59"/>
  <c r="A1771" i="59"/>
  <c r="A1770" i="59"/>
  <c r="A1769" i="59"/>
  <c r="A1768" i="59"/>
  <c r="A1767" i="59"/>
  <c r="A1766" i="59"/>
  <c r="A1765" i="59"/>
  <c r="A1764" i="59"/>
  <c r="A1763" i="59"/>
  <c r="A1762" i="59"/>
  <c r="A1761" i="59"/>
  <c r="A1760" i="59"/>
  <c r="A1759" i="59"/>
  <c r="A1758" i="59"/>
  <c r="A1757" i="59"/>
  <c r="A1756" i="59"/>
  <c r="A1755" i="59"/>
  <c r="A1754" i="59"/>
  <c r="A1753" i="59"/>
  <c r="A1752" i="59"/>
  <c r="A1751" i="59"/>
  <c r="A1750" i="59"/>
  <c r="A1749" i="59"/>
  <c r="A1748" i="59"/>
  <c r="A1747" i="59"/>
  <c r="A1746" i="59"/>
  <c r="A1745" i="59"/>
  <c r="A1744" i="59"/>
  <c r="A1743" i="59"/>
  <c r="A1742" i="59"/>
  <c r="A1741" i="59"/>
  <c r="A1740" i="59"/>
  <c r="A1739" i="59"/>
  <c r="A1738" i="59"/>
  <c r="A1737" i="59"/>
  <c r="A1736" i="59"/>
  <c r="A1735" i="59"/>
  <c r="A1734" i="59"/>
  <c r="A1733" i="59"/>
  <c r="A1732" i="59"/>
  <c r="A1731" i="59"/>
  <c r="A1730" i="59"/>
  <c r="A1729" i="59"/>
  <c r="A1728" i="59"/>
  <c r="A1727" i="59"/>
  <c r="A1726" i="59"/>
  <c r="A1725" i="59"/>
  <c r="A1724" i="59"/>
  <c r="A1723" i="59"/>
  <c r="A1722" i="59"/>
  <c r="A1721" i="59"/>
  <c r="A1720" i="59"/>
  <c r="A1719" i="59"/>
  <c r="A1718" i="59"/>
  <c r="A1717" i="59"/>
  <c r="A1716" i="59"/>
  <c r="A1715" i="59"/>
  <c r="A1714" i="59"/>
  <c r="A1713" i="59"/>
  <c r="A1712" i="59"/>
  <c r="A1711" i="59"/>
  <c r="A1710" i="59"/>
  <c r="A1709" i="59"/>
  <c r="A1708" i="59"/>
  <c r="A1707" i="59"/>
  <c r="A1706" i="59"/>
  <c r="A1705" i="59"/>
  <c r="A1704" i="59"/>
  <c r="A1703" i="59"/>
  <c r="A1702" i="59"/>
  <c r="A1701" i="59"/>
  <c r="A1700" i="59"/>
  <c r="A1699" i="59"/>
  <c r="A1698" i="59"/>
  <c r="A1697" i="59"/>
  <c r="A1696" i="59"/>
  <c r="A1695" i="59"/>
  <c r="A1694" i="59"/>
  <c r="A1693" i="59"/>
  <c r="A1692" i="59"/>
  <c r="A1691" i="59"/>
  <c r="A1690" i="59"/>
  <c r="A1689" i="59"/>
  <c r="A1688" i="59"/>
  <c r="A1687" i="59"/>
  <c r="A1686" i="59"/>
  <c r="A1685" i="59"/>
  <c r="A1684" i="59"/>
  <c r="A1683" i="59"/>
  <c r="A1682" i="59"/>
  <c r="A1681" i="59"/>
  <c r="A1680" i="59"/>
  <c r="A1679" i="59"/>
  <c r="A1678" i="59"/>
  <c r="A1677" i="59"/>
  <c r="A1676" i="59"/>
  <c r="A1675" i="59"/>
  <c r="A1674" i="59"/>
  <c r="A1673" i="59"/>
  <c r="A1672" i="59"/>
  <c r="A1671" i="59"/>
  <c r="A1670" i="59"/>
  <c r="A1669" i="59"/>
  <c r="A1668" i="59"/>
  <c r="A1667" i="59"/>
  <c r="A1666" i="59"/>
  <c r="A1665" i="59"/>
  <c r="A1664" i="59"/>
  <c r="A1663" i="59"/>
  <c r="A1662" i="59"/>
  <c r="A1661" i="59"/>
  <c r="A1660" i="59"/>
  <c r="A1659" i="59"/>
  <c r="A1658" i="59"/>
  <c r="A1657" i="59"/>
  <c r="A1656" i="59"/>
  <c r="A1655" i="59"/>
  <c r="A1654" i="59"/>
  <c r="A1653" i="59"/>
  <c r="A1652" i="59"/>
  <c r="A1651" i="59"/>
  <c r="A1650" i="59"/>
  <c r="A1649" i="59"/>
  <c r="A1648" i="59"/>
  <c r="A1647" i="59"/>
  <c r="A1646" i="59"/>
  <c r="A1645" i="59"/>
  <c r="A1644" i="59"/>
  <c r="A1643" i="59"/>
  <c r="A1642" i="59"/>
  <c r="A1641" i="59"/>
  <c r="A1640" i="59"/>
  <c r="A1639" i="59"/>
  <c r="A1638" i="59"/>
  <c r="A1637" i="59"/>
  <c r="A1636" i="59"/>
  <c r="A1635" i="59"/>
  <c r="A1634" i="59"/>
  <c r="A1633" i="59"/>
  <c r="A1632" i="59"/>
  <c r="A1631" i="59"/>
  <c r="A1630" i="59"/>
  <c r="A1629" i="59"/>
  <c r="A1628" i="59"/>
  <c r="A1627" i="59"/>
  <c r="A1626" i="59"/>
  <c r="A1625" i="59"/>
  <c r="A1624" i="59"/>
  <c r="A1623" i="59"/>
  <c r="A1622" i="59"/>
  <c r="A1621" i="59"/>
  <c r="A1620" i="59"/>
  <c r="A1619" i="59"/>
  <c r="A1618" i="59"/>
  <c r="A1617" i="59"/>
  <c r="A1616" i="59"/>
  <c r="A1615" i="59"/>
  <c r="A1614" i="59"/>
  <c r="A1613" i="59"/>
  <c r="A1612" i="59"/>
  <c r="A1611" i="59"/>
  <c r="A1610" i="59"/>
  <c r="A1609" i="59"/>
  <c r="A1608" i="59"/>
  <c r="A1607" i="59"/>
  <c r="A1606" i="59"/>
  <c r="A1605" i="59"/>
  <c r="A1604" i="59"/>
  <c r="A1603" i="59"/>
  <c r="A1602" i="59"/>
  <c r="A1601" i="59"/>
  <c r="A1600" i="59"/>
  <c r="A1599" i="59"/>
  <c r="A1598" i="59"/>
  <c r="A1597" i="59"/>
  <c r="A1596" i="59"/>
  <c r="A1595" i="59"/>
  <c r="A1594" i="59"/>
  <c r="A1593" i="59"/>
  <c r="A1592" i="59"/>
  <c r="A1591" i="59"/>
  <c r="A1590" i="59"/>
  <c r="A1589" i="59"/>
  <c r="A1588" i="59"/>
  <c r="A1587" i="59"/>
  <c r="A1586" i="59"/>
  <c r="A1585" i="59"/>
  <c r="A1584" i="59"/>
  <c r="A1583" i="59"/>
  <c r="A1582" i="59"/>
  <c r="A1581" i="59"/>
  <c r="A1580" i="59"/>
  <c r="A1579" i="59"/>
  <c r="A1578" i="59"/>
  <c r="A1577" i="59"/>
  <c r="A1576" i="59"/>
  <c r="A1575" i="59"/>
  <c r="A1574" i="59"/>
  <c r="A1573" i="59"/>
  <c r="A1572" i="59"/>
  <c r="A1571" i="59"/>
  <c r="A1570" i="59"/>
  <c r="A1569" i="59"/>
  <c r="A1568" i="59"/>
  <c r="A1567" i="59"/>
  <c r="A1566" i="59"/>
  <c r="A1565" i="59"/>
  <c r="A1564" i="59"/>
  <c r="A1563" i="59"/>
  <c r="A1562" i="59"/>
  <c r="A1561" i="59"/>
  <c r="A1560" i="59"/>
  <c r="A1559" i="59"/>
  <c r="A1558" i="59"/>
  <c r="A1557" i="59"/>
  <c r="A1556" i="59"/>
  <c r="A1555" i="59"/>
  <c r="A1554" i="59"/>
  <c r="A1553" i="59"/>
  <c r="A1552" i="59"/>
  <c r="A1551" i="59"/>
  <c r="A1550" i="59"/>
  <c r="A1549" i="59"/>
  <c r="A1548" i="59"/>
  <c r="A1547" i="59"/>
  <c r="A1546" i="59"/>
  <c r="A1545" i="59"/>
  <c r="A1544" i="59"/>
  <c r="A1543" i="59"/>
  <c r="A1542" i="59"/>
  <c r="A1541" i="59"/>
  <c r="A1540" i="59"/>
  <c r="A1539" i="59"/>
  <c r="A1538" i="59"/>
  <c r="A1537" i="59"/>
  <c r="A1536" i="59"/>
  <c r="A1535" i="59"/>
  <c r="A1534" i="59"/>
  <c r="A1533" i="59"/>
  <c r="A1532" i="59"/>
  <c r="A1531" i="59"/>
  <c r="A1530" i="59"/>
  <c r="A1529" i="59"/>
  <c r="A1528" i="59"/>
  <c r="A1527" i="59"/>
  <c r="A1526" i="59"/>
  <c r="A1525" i="59"/>
  <c r="A1524" i="59"/>
  <c r="A1523" i="59"/>
  <c r="A1522" i="59"/>
  <c r="A1521" i="59"/>
  <c r="A1520" i="59"/>
  <c r="A1519" i="59"/>
  <c r="A1518" i="59"/>
  <c r="A1517" i="59"/>
  <c r="A1516" i="59"/>
  <c r="A1515" i="59"/>
  <c r="A1514" i="59"/>
  <c r="A1513" i="59"/>
  <c r="A1512" i="59"/>
  <c r="A1511" i="59"/>
  <c r="A1510" i="59"/>
  <c r="A1509" i="59"/>
  <c r="A1508" i="59"/>
  <c r="A1507" i="59"/>
  <c r="A1506" i="59"/>
  <c r="A1505" i="59"/>
  <c r="A1504" i="59"/>
  <c r="A1503" i="59"/>
  <c r="A1502" i="59"/>
  <c r="A1501" i="59"/>
  <c r="A1500" i="59"/>
  <c r="A1499" i="59"/>
  <c r="A1498" i="59"/>
  <c r="A1497" i="59"/>
  <c r="A1496" i="59"/>
  <c r="A1495" i="59"/>
  <c r="A1494" i="59"/>
  <c r="A1493" i="59"/>
  <c r="A1492" i="59"/>
  <c r="A1491" i="59"/>
  <c r="A1490" i="59"/>
  <c r="A1489" i="59"/>
  <c r="A1488" i="59"/>
  <c r="A1487" i="59"/>
  <c r="A1486" i="59"/>
  <c r="A1485" i="59"/>
  <c r="A1484" i="59"/>
  <c r="A1483" i="59"/>
  <c r="A1482" i="59"/>
  <c r="A1481" i="59"/>
  <c r="A1480" i="59"/>
  <c r="A1479" i="59"/>
  <c r="A1478" i="59"/>
  <c r="A1477" i="59"/>
  <c r="A1476" i="59"/>
  <c r="A1475" i="59"/>
  <c r="A1474" i="59"/>
  <c r="A1473" i="59"/>
  <c r="A1472" i="59"/>
  <c r="A1471" i="59"/>
  <c r="A1470" i="59"/>
  <c r="A1469" i="59"/>
  <c r="A1468" i="59"/>
  <c r="A1467" i="59"/>
  <c r="A1466" i="59"/>
  <c r="A1465" i="59"/>
  <c r="A1464" i="59"/>
  <c r="A1463" i="59"/>
  <c r="A1462" i="59"/>
  <c r="A1461" i="59"/>
  <c r="A1460" i="59"/>
  <c r="A1459" i="59"/>
  <c r="A1458" i="59"/>
  <c r="A1457" i="59"/>
  <c r="A1456" i="59"/>
  <c r="A1455" i="59"/>
  <c r="A1454" i="59"/>
  <c r="A1453" i="59"/>
  <c r="A1452" i="59"/>
  <c r="A1451" i="59"/>
  <c r="A1450" i="59"/>
  <c r="A1449" i="59"/>
  <c r="A1448" i="59"/>
  <c r="A1447" i="59"/>
  <c r="A1446" i="59"/>
  <c r="A1445" i="59"/>
  <c r="A1444" i="59"/>
  <c r="A1443" i="59"/>
  <c r="A1442" i="59"/>
  <c r="A1441" i="59"/>
  <c r="A1440" i="59"/>
  <c r="A1439" i="59"/>
  <c r="A1438" i="59"/>
  <c r="A1437" i="59"/>
  <c r="A1436" i="59"/>
  <c r="A1435" i="59"/>
  <c r="A1434" i="59"/>
  <c r="A1433" i="59"/>
  <c r="A1432" i="59"/>
  <c r="A1431" i="59"/>
  <c r="A1430" i="59"/>
  <c r="A1429" i="59"/>
  <c r="A1428" i="59"/>
  <c r="A1427" i="59"/>
  <c r="A1426" i="59"/>
  <c r="A1425" i="59"/>
  <c r="A1424" i="59"/>
  <c r="A1423" i="59"/>
  <c r="A1422" i="59"/>
  <c r="A1421" i="59"/>
  <c r="A1420" i="59"/>
  <c r="A1419" i="59"/>
  <c r="A1418" i="59"/>
  <c r="A1417" i="59"/>
  <c r="A1416" i="59"/>
  <c r="A1415" i="59"/>
  <c r="A1414" i="59"/>
  <c r="A1413" i="59"/>
  <c r="A1412" i="59"/>
  <c r="A1411" i="59"/>
  <c r="A1410" i="59"/>
  <c r="A1409" i="59"/>
  <c r="A1408" i="59"/>
  <c r="A1407" i="59"/>
  <c r="A1406" i="59"/>
  <c r="A1405" i="59"/>
  <c r="A1404" i="59"/>
  <c r="A1403" i="59"/>
  <c r="A1402" i="59"/>
  <c r="A1401" i="59"/>
  <c r="A1400" i="59"/>
  <c r="A1399" i="59"/>
  <c r="A1398" i="59"/>
  <c r="A1397" i="59"/>
  <c r="A1396" i="59"/>
  <c r="A1395" i="59"/>
  <c r="A1394" i="59"/>
  <c r="A1393" i="59"/>
  <c r="A1392" i="59"/>
  <c r="A1391" i="59"/>
  <c r="A1390" i="59"/>
  <c r="A1389" i="59"/>
  <c r="A1388" i="59"/>
  <c r="A1387" i="59"/>
  <c r="A1386" i="59"/>
  <c r="A1385" i="59"/>
  <c r="A1384" i="59"/>
  <c r="A1383" i="59"/>
  <c r="A1382" i="59"/>
  <c r="A1381" i="59"/>
  <c r="A1380" i="59"/>
  <c r="A1379" i="59"/>
  <c r="A1378" i="59"/>
  <c r="A1377" i="59"/>
  <c r="A1376" i="59"/>
  <c r="A1375" i="59"/>
  <c r="A1374" i="59"/>
  <c r="A1373" i="59"/>
  <c r="A1372" i="59"/>
  <c r="A1371" i="59"/>
  <c r="A1370" i="59"/>
  <c r="A1369" i="59"/>
  <c r="A1368" i="59"/>
  <c r="A1367" i="59"/>
  <c r="A1366" i="59"/>
  <c r="A1365" i="59"/>
  <c r="A1364" i="59"/>
  <c r="A1363" i="59"/>
  <c r="A1362" i="59"/>
  <c r="A1361" i="59"/>
  <c r="A1360" i="59"/>
  <c r="A1359" i="59"/>
  <c r="A1358" i="59"/>
  <c r="A1357" i="59"/>
  <c r="A1356" i="59"/>
  <c r="A1355" i="59"/>
  <c r="A1354" i="59"/>
  <c r="A1353" i="59"/>
  <c r="A1352" i="59"/>
  <c r="A1351" i="59"/>
  <c r="A1350" i="59"/>
  <c r="A1349" i="59"/>
  <c r="A1348" i="59"/>
  <c r="A1347" i="59"/>
  <c r="A1346" i="59"/>
  <c r="A1345" i="59"/>
  <c r="A1344" i="59"/>
  <c r="A1343" i="59"/>
  <c r="A1342" i="59"/>
  <c r="A1341" i="59"/>
  <c r="A1340" i="59"/>
  <c r="A1339" i="59"/>
  <c r="A1338" i="59"/>
  <c r="A1337" i="59"/>
  <c r="A1336" i="59"/>
  <c r="A1335" i="59"/>
  <c r="A1334" i="59"/>
  <c r="A1333" i="59"/>
  <c r="A1332" i="59"/>
  <c r="A1331" i="59"/>
  <c r="A1330" i="59"/>
  <c r="A1329" i="59"/>
  <c r="A1328" i="59"/>
  <c r="A1327" i="59"/>
  <c r="A1326" i="59"/>
  <c r="A1325" i="59"/>
  <c r="A1324" i="59"/>
  <c r="A1323" i="59"/>
  <c r="A1322" i="59"/>
  <c r="A1321" i="59"/>
  <c r="A1320" i="59"/>
  <c r="A1319" i="59"/>
  <c r="A1318" i="59"/>
  <c r="A1317" i="59"/>
  <c r="A1316" i="59"/>
  <c r="A1315" i="59"/>
  <c r="A1314" i="59"/>
  <c r="A1313" i="59"/>
  <c r="A1312" i="59"/>
  <c r="A1311" i="59"/>
  <c r="A1310" i="59"/>
  <c r="A1309" i="59"/>
  <c r="A1308" i="59"/>
  <c r="A1307" i="59"/>
  <c r="A1306" i="59"/>
  <c r="A1305" i="59"/>
  <c r="A1304" i="59"/>
  <c r="A1303" i="59"/>
  <c r="A1302" i="59"/>
  <c r="A1301" i="59"/>
  <c r="A1300" i="59"/>
  <c r="A1299" i="59"/>
  <c r="A1298" i="59"/>
  <c r="A1297" i="59"/>
  <c r="A1296" i="59"/>
  <c r="A1295" i="59"/>
  <c r="A1294" i="59"/>
  <c r="A1293" i="59"/>
  <c r="A1292" i="59"/>
  <c r="A1291" i="59"/>
  <c r="A1290" i="59"/>
  <c r="A1289" i="59"/>
  <c r="A1288" i="59"/>
  <c r="A1287" i="59"/>
  <c r="A1286" i="59"/>
  <c r="A1285" i="59"/>
  <c r="A1284" i="59"/>
  <c r="A1283" i="59"/>
  <c r="A1282" i="59"/>
  <c r="A1281" i="59"/>
  <c r="A1280" i="59"/>
  <c r="A1279" i="59"/>
  <c r="A1278" i="59"/>
  <c r="A1277" i="59"/>
  <c r="A1276" i="59"/>
  <c r="A1275" i="59"/>
  <c r="A1274" i="59"/>
  <c r="A1273" i="59"/>
  <c r="A1272" i="59"/>
  <c r="A1271" i="59"/>
  <c r="A1270" i="59"/>
  <c r="A1269" i="59"/>
  <c r="A1268" i="59"/>
  <c r="A1267" i="59"/>
  <c r="A1266" i="59"/>
  <c r="A1265" i="59"/>
  <c r="A1264" i="59"/>
  <c r="A1263" i="59"/>
  <c r="A1262" i="59"/>
  <c r="A1261" i="59"/>
  <c r="A1260" i="59"/>
  <c r="A1259" i="59"/>
  <c r="A1258" i="59"/>
  <c r="A1257" i="59"/>
  <c r="A1256" i="59"/>
  <c r="A1255" i="59"/>
  <c r="A1254" i="59"/>
  <c r="A1253" i="59"/>
  <c r="A1252" i="59"/>
  <c r="A1251" i="59"/>
  <c r="A1250" i="59"/>
  <c r="A1249" i="59"/>
  <c r="A1248" i="59"/>
  <c r="A1247" i="59"/>
  <c r="A1246" i="59"/>
  <c r="A1245" i="59"/>
  <c r="A1244" i="59"/>
  <c r="A1243" i="59"/>
  <c r="A1242" i="59"/>
  <c r="A1241" i="59"/>
  <c r="A1240" i="59"/>
  <c r="A1239" i="59"/>
  <c r="A1238" i="59"/>
  <c r="A1237" i="59"/>
  <c r="A1236" i="59"/>
  <c r="A1235" i="59"/>
  <c r="A1234" i="59"/>
  <c r="A1233" i="59"/>
  <c r="A1232" i="59"/>
  <c r="A1231" i="59"/>
  <c r="A1230" i="59"/>
  <c r="A1229" i="59"/>
  <c r="A1228" i="59"/>
  <c r="A1227" i="59"/>
  <c r="A1226" i="59"/>
  <c r="A1225" i="59"/>
  <c r="A1224" i="59"/>
  <c r="A1223" i="59"/>
  <c r="A1222" i="59"/>
  <c r="A1221" i="59"/>
  <c r="A1220" i="59"/>
  <c r="A1219" i="59"/>
  <c r="A1218" i="59"/>
  <c r="A1217" i="59"/>
  <c r="A1216" i="59"/>
  <c r="A1215" i="59"/>
  <c r="A1214" i="59"/>
  <c r="A1213" i="59"/>
  <c r="A1212" i="59"/>
  <c r="A1211" i="59"/>
  <c r="A1210" i="59"/>
  <c r="A1209" i="59"/>
  <c r="A1208" i="59"/>
  <c r="A1207" i="59"/>
  <c r="A1206" i="59"/>
  <c r="A1205" i="59"/>
  <c r="A1204" i="59"/>
  <c r="A1203" i="59"/>
  <c r="A1202" i="59"/>
  <c r="A1201" i="59"/>
  <c r="A1200" i="59"/>
  <c r="A1199" i="59"/>
  <c r="A1198" i="59"/>
  <c r="A1197" i="59"/>
  <c r="A1196" i="59"/>
  <c r="A1195" i="59"/>
  <c r="A1194" i="59"/>
  <c r="A1193" i="59"/>
  <c r="A1192" i="59"/>
  <c r="A1191" i="59"/>
  <c r="A1190" i="59"/>
  <c r="A1189" i="59"/>
  <c r="A1188" i="59"/>
  <c r="A1187" i="59"/>
  <c r="A1186" i="59"/>
  <c r="A1185" i="59"/>
  <c r="A1184" i="59"/>
  <c r="A1183" i="59"/>
  <c r="A1182" i="59"/>
  <c r="A1181" i="59"/>
  <c r="A1180" i="59"/>
  <c r="A1179" i="59"/>
  <c r="A1178" i="59"/>
  <c r="A1177" i="59"/>
  <c r="A1176" i="59"/>
  <c r="A1175" i="59"/>
  <c r="A1174" i="59"/>
  <c r="A1173" i="59"/>
  <c r="A1172" i="59"/>
  <c r="A1171" i="59"/>
  <c r="A1170" i="59"/>
  <c r="A1169" i="59"/>
  <c r="A1168" i="59"/>
  <c r="A1167" i="59"/>
  <c r="A1166" i="59"/>
  <c r="A1165" i="59"/>
  <c r="A1164" i="59"/>
  <c r="A1163" i="59"/>
  <c r="A1162" i="59"/>
  <c r="A1161" i="59"/>
  <c r="A1160" i="59"/>
  <c r="A1159" i="59"/>
  <c r="A1158" i="59"/>
  <c r="A1157" i="59"/>
  <c r="A1156" i="59"/>
  <c r="A1155" i="59"/>
  <c r="A1154" i="59"/>
  <c r="A1153" i="59"/>
  <c r="A1152" i="59"/>
  <c r="A1151" i="59"/>
  <c r="A1150" i="59"/>
  <c r="A1149" i="59"/>
  <c r="A1148" i="59"/>
  <c r="A1147" i="59"/>
  <c r="A1146" i="59"/>
  <c r="A1145" i="59"/>
  <c r="A1144" i="59"/>
  <c r="A1143" i="59"/>
  <c r="A1142" i="59"/>
  <c r="A1141" i="59"/>
  <c r="A1140" i="59"/>
  <c r="A1139" i="59"/>
  <c r="A1138" i="59"/>
  <c r="A1137" i="59"/>
  <c r="A1136" i="59"/>
  <c r="A1135" i="59"/>
  <c r="A1134" i="59"/>
  <c r="A1133" i="59"/>
  <c r="A1132" i="59"/>
  <c r="A1131" i="59"/>
  <c r="A1130" i="59"/>
  <c r="A1129" i="59"/>
  <c r="A1128" i="59"/>
  <c r="A1127" i="59"/>
  <c r="A1126" i="59"/>
  <c r="A1125" i="59"/>
  <c r="A1124" i="59"/>
  <c r="A1123" i="59"/>
  <c r="A1122" i="59"/>
  <c r="A1121" i="59"/>
  <c r="A1120" i="59"/>
  <c r="A1119" i="59"/>
  <c r="A1118" i="59"/>
  <c r="A1117" i="59"/>
  <c r="A1116" i="59"/>
  <c r="A1115" i="59"/>
  <c r="A1114" i="59"/>
  <c r="A1113" i="59"/>
  <c r="A1112" i="59"/>
  <c r="A1111" i="59"/>
  <c r="A1110" i="59"/>
  <c r="A1109" i="59"/>
  <c r="A1108" i="59"/>
  <c r="A1107" i="59"/>
  <c r="A1106" i="59"/>
  <c r="A1105" i="59"/>
  <c r="A1104" i="59"/>
  <c r="A1103" i="59"/>
  <c r="A1102" i="59"/>
  <c r="A1101" i="59"/>
  <c r="A1100" i="59"/>
  <c r="A1099" i="59"/>
  <c r="A1098" i="59"/>
  <c r="A1097" i="59"/>
  <c r="A1096" i="59"/>
  <c r="A1095" i="59"/>
  <c r="A1094" i="59"/>
  <c r="A1093" i="59"/>
  <c r="A1092" i="59"/>
  <c r="A1091" i="59"/>
  <c r="A1090" i="59"/>
  <c r="A1089" i="59"/>
  <c r="A1088" i="59"/>
  <c r="A1087" i="59"/>
  <c r="A1086" i="59"/>
  <c r="A1085" i="59"/>
  <c r="A1084" i="59"/>
  <c r="A1083" i="59"/>
  <c r="A1082" i="59"/>
  <c r="A1081" i="59"/>
  <c r="A1080" i="59"/>
  <c r="A1079" i="59"/>
  <c r="A1078" i="59"/>
  <c r="A1077" i="59"/>
  <c r="A1076" i="59"/>
  <c r="A1075" i="59"/>
  <c r="A1074" i="59"/>
  <c r="A1073" i="59"/>
  <c r="A1072" i="59"/>
  <c r="A1071" i="59"/>
  <c r="A1070" i="59"/>
  <c r="A1069" i="59"/>
  <c r="A1068" i="59"/>
  <c r="A1067" i="59"/>
  <c r="A1066" i="59"/>
  <c r="A1065" i="59"/>
  <c r="A1064" i="59"/>
  <c r="A1063" i="59"/>
  <c r="A1062" i="59"/>
  <c r="A1061" i="59"/>
  <c r="A1060" i="59"/>
  <c r="A1059" i="59"/>
  <c r="A1058" i="59"/>
  <c r="A1057" i="59"/>
  <c r="A1056" i="59"/>
  <c r="A1055" i="59"/>
  <c r="A1054" i="59"/>
  <c r="A1053" i="59"/>
  <c r="A1052" i="59"/>
  <c r="A1051" i="59"/>
  <c r="A1050" i="59"/>
  <c r="A1049" i="59"/>
  <c r="A1048" i="59"/>
  <c r="A1047" i="59"/>
  <c r="A1046" i="59"/>
  <c r="A1045" i="59"/>
  <c r="A1044" i="59"/>
  <c r="A1043" i="59"/>
  <c r="A1042" i="59"/>
  <c r="A1041" i="59"/>
  <c r="A1040" i="59"/>
  <c r="A1039" i="59"/>
  <c r="A1038" i="59"/>
  <c r="A1037" i="59"/>
  <c r="A1036" i="59"/>
  <c r="A1035" i="59"/>
  <c r="A1034" i="59"/>
  <c r="A1033" i="59"/>
  <c r="A1032" i="59"/>
  <c r="A1031" i="59"/>
  <c r="A1030" i="59"/>
  <c r="A1029" i="59"/>
  <c r="A1028" i="59"/>
  <c r="A1027" i="59"/>
  <c r="A1026" i="59"/>
  <c r="A1025" i="59"/>
  <c r="A1024" i="59"/>
  <c r="A1023" i="59"/>
  <c r="A1022" i="59"/>
  <c r="A1021" i="59"/>
  <c r="A1020" i="59"/>
  <c r="A1019" i="59"/>
  <c r="A1018" i="59"/>
  <c r="A1017" i="59"/>
  <c r="A1016" i="59"/>
  <c r="A1015" i="59"/>
  <c r="A1014" i="59"/>
  <c r="A1013" i="59"/>
  <c r="A1012" i="59"/>
  <c r="A1011" i="59"/>
  <c r="A1010" i="59"/>
  <c r="A1009" i="59"/>
  <c r="A1008" i="59"/>
  <c r="A1007" i="59"/>
  <c r="A1006" i="59"/>
  <c r="A1005" i="59"/>
  <c r="A1004" i="59"/>
  <c r="A1003" i="59"/>
  <c r="A1002" i="59"/>
  <c r="A1001" i="59"/>
  <c r="A1000" i="59"/>
  <c r="A999" i="59"/>
  <c r="A998" i="59"/>
  <c r="A997" i="59"/>
  <c r="A996" i="59"/>
  <c r="A995" i="59"/>
  <c r="A994" i="59"/>
  <c r="A993" i="59"/>
  <c r="A992" i="59"/>
  <c r="A991" i="59"/>
  <c r="A990" i="59"/>
  <c r="A989" i="59"/>
  <c r="A988" i="59"/>
  <c r="A987" i="59"/>
  <c r="A986" i="59"/>
  <c r="A985" i="59"/>
  <c r="A984" i="59"/>
  <c r="A983" i="59"/>
  <c r="A982" i="59"/>
  <c r="A981" i="59"/>
  <c r="A980" i="59"/>
  <c r="A979" i="59"/>
  <c r="A978" i="59"/>
  <c r="A977" i="59"/>
  <c r="A976" i="59"/>
  <c r="A975" i="59"/>
  <c r="A974" i="59"/>
  <c r="A973" i="59"/>
  <c r="A972" i="59"/>
  <c r="A971" i="59"/>
  <c r="A970" i="59"/>
  <c r="A969" i="59"/>
  <c r="A968" i="59"/>
  <c r="A967" i="59"/>
  <c r="A966" i="59"/>
  <c r="A965" i="59"/>
  <c r="A964" i="59"/>
  <c r="A963" i="59"/>
  <c r="A962" i="59"/>
  <c r="A961" i="59"/>
  <c r="A960" i="59"/>
  <c r="A959" i="59"/>
  <c r="A958" i="59"/>
  <c r="A957" i="59"/>
  <c r="A956" i="59"/>
  <c r="A955" i="59"/>
  <c r="A954" i="59"/>
  <c r="A953" i="59"/>
  <c r="A952" i="59"/>
  <c r="A951" i="59"/>
  <c r="A950" i="59"/>
  <c r="A949" i="59"/>
  <c r="A948" i="59"/>
  <c r="A947" i="59"/>
  <c r="A946" i="59"/>
  <c r="A945" i="59"/>
  <c r="A944" i="59"/>
  <c r="A943" i="59"/>
  <c r="A942" i="59"/>
  <c r="A941" i="59"/>
  <c r="A940" i="59"/>
  <c r="A939" i="59"/>
  <c r="A938" i="59"/>
  <c r="A937" i="59"/>
  <c r="A936" i="59"/>
  <c r="A935" i="59"/>
  <c r="A934" i="59"/>
  <c r="A933" i="59"/>
  <c r="A932" i="59"/>
  <c r="A931" i="59"/>
  <c r="A930" i="59"/>
  <c r="A929" i="59"/>
  <c r="A928" i="59"/>
  <c r="A927" i="59"/>
  <c r="A926" i="59"/>
  <c r="A925" i="59"/>
  <c r="A924" i="59"/>
  <c r="A923" i="59"/>
  <c r="A922" i="59"/>
  <c r="A921" i="59"/>
  <c r="A920" i="59"/>
  <c r="A919" i="59"/>
  <c r="A918" i="59"/>
  <c r="A917" i="59"/>
  <c r="A916" i="59"/>
  <c r="A915" i="59"/>
  <c r="A914" i="59"/>
  <c r="A913" i="59"/>
  <c r="A912" i="59"/>
  <c r="A911" i="59"/>
  <c r="A910" i="59"/>
  <c r="A909" i="59"/>
  <c r="A908" i="59"/>
  <c r="A907" i="59"/>
  <c r="A906" i="59"/>
  <c r="A905" i="59"/>
  <c r="A904" i="59"/>
  <c r="A903" i="59"/>
  <c r="A902" i="59"/>
  <c r="A901" i="59"/>
  <c r="A900" i="59"/>
  <c r="A899" i="59"/>
  <c r="A898" i="59"/>
  <c r="A897" i="59"/>
  <c r="A896" i="59"/>
  <c r="A895" i="59"/>
  <c r="A894" i="59"/>
  <c r="A893" i="59"/>
  <c r="A892" i="59"/>
  <c r="A891" i="59"/>
  <c r="A890" i="59"/>
  <c r="A889" i="59"/>
  <c r="A888" i="59"/>
  <c r="A887" i="59"/>
  <c r="A886" i="59"/>
  <c r="A885" i="59"/>
  <c r="A884" i="59"/>
  <c r="A883" i="59"/>
  <c r="A882" i="59"/>
  <c r="A881" i="59"/>
  <c r="A880" i="59"/>
  <c r="A879" i="59"/>
  <c r="A878" i="59"/>
  <c r="A877" i="59"/>
  <c r="A876" i="59"/>
  <c r="A875" i="59"/>
  <c r="A874" i="59"/>
  <c r="A873" i="59"/>
  <c r="A872" i="59"/>
  <c r="A871" i="59"/>
  <c r="A870" i="59"/>
  <c r="A869" i="59"/>
  <c r="A868" i="59"/>
  <c r="A867" i="59"/>
  <c r="A866" i="59"/>
  <c r="A865" i="59"/>
  <c r="A864" i="59"/>
  <c r="A863" i="59"/>
  <c r="A862" i="59"/>
  <c r="A861" i="59"/>
  <c r="A860" i="59"/>
  <c r="A859" i="59"/>
  <c r="A858" i="59"/>
  <c r="A857" i="59"/>
  <c r="A856" i="59"/>
  <c r="A855" i="59"/>
  <c r="A854" i="59"/>
  <c r="A853" i="59"/>
  <c r="A852" i="59"/>
  <c r="A851" i="59"/>
  <c r="A850" i="59"/>
  <c r="A849" i="59"/>
  <c r="A848" i="59"/>
  <c r="A847" i="59"/>
  <c r="A846" i="59"/>
  <c r="A845" i="59"/>
  <c r="A844" i="59"/>
  <c r="A843" i="59"/>
  <c r="A842" i="59"/>
  <c r="A841" i="59"/>
  <c r="A840" i="59"/>
  <c r="A839" i="59"/>
  <c r="A838" i="59"/>
  <c r="A837" i="59"/>
  <c r="A836" i="59"/>
  <c r="A835" i="59"/>
  <c r="A834" i="59"/>
  <c r="A833" i="59"/>
  <c r="A832" i="59"/>
  <c r="A831" i="59"/>
  <c r="A830" i="59"/>
  <c r="A829" i="59"/>
  <c r="A828" i="59"/>
  <c r="A827" i="59"/>
  <c r="A826" i="59"/>
  <c r="A825" i="59"/>
  <c r="A824" i="59"/>
  <c r="A823" i="59"/>
  <c r="A822" i="59"/>
  <c r="A821" i="59"/>
  <c r="A820" i="59"/>
  <c r="A819" i="59"/>
  <c r="A818" i="59"/>
  <c r="A817" i="59"/>
  <c r="A816" i="59"/>
  <c r="A815" i="59"/>
  <c r="A814" i="59"/>
  <c r="A813" i="59"/>
  <c r="A812" i="59"/>
  <c r="A811" i="59"/>
  <c r="A810" i="59"/>
  <c r="A809" i="59"/>
  <c r="A808" i="59"/>
  <c r="A807" i="59"/>
  <c r="A806" i="59"/>
  <c r="A805" i="59"/>
  <c r="A804" i="59"/>
  <c r="A803" i="59"/>
  <c r="A802" i="59"/>
  <c r="A801" i="59"/>
  <c r="A800" i="59"/>
  <c r="A799" i="59"/>
  <c r="A798" i="59"/>
  <c r="A797" i="59"/>
  <c r="A796" i="59"/>
  <c r="A795" i="59"/>
  <c r="A794" i="59"/>
  <c r="A793" i="59"/>
  <c r="A792" i="59"/>
  <c r="A791" i="59"/>
  <c r="A790" i="59"/>
  <c r="A789" i="59"/>
  <c r="A788" i="59"/>
  <c r="A787" i="59"/>
  <c r="A786" i="59"/>
  <c r="A785" i="59"/>
  <c r="A784" i="59"/>
  <c r="A783" i="59"/>
  <c r="A782" i="59"/>
  <c r="A781" i="59"/>
  <c r="A780" i="59"/>
  <c r="A779" i="59"/>
  <c r="A778" i="59"/>
  <c r="A777" i="59"/>
  <c r="A776" i="59"/>
  <c r="A775" i="59"/>
  <c r="A774" i="59"/>
  <c r="A773" i="59"/>
  <c r="A772" i="59"/>
  <c r="A771" i="59"/>
  <c r="A770" i="59"/>
  <c r="A769" i="59"/>
  <c r="A768" i="59"/>
  <c r="A767" i="59"/>
  <c r="A766" i="59"/>
  <c r="A765" i="59"/>
  <c r="A764" i="59"/>
  <c r="A763" i="59"/>
  <c r="A762" i="59"/>
  <c r="A761" i="59"/>
  <c r="A760" i="59"/>
  <c r="A759" i="59"/>
  <c r="A758" i="59"/>
  <c r="A757" i="59"/>
  <c r="A756" i="59"/>
  <c r="A755" i="59"/>
  <c r="A754" i="59"/>
  <c r="A753" i="59"/>
  <c r="A752" i="59"/>
  <c r="A751" i="59"/>
  <c r="A750" i="59"/>
  <c r="A749" i="59"/>
  <c r="A748" i="59"/>
  <c r="A747" i="59"/>
  <c r="A746" i="59"/>
  <c r="A745" i="59"/>
  <c r="A744" i="59"/>
  <c r="A743" i="59"/>
  <c r="A742" i="59"/>
  <c r="A741" i="59"/>
  <c r="A740" i="59"/>
  <c r="A739" i="59"/>
  <c r="A738" i="59"/>
  <c r="A737" i="59"/>
  <c r="A736" i="59"/>
  <c r="A735" i="59"/>
  <c r="A734" i="59"/>
  <c r="A733" i="59"/>
  <c r="A732" i="59"/>
  <c r="A731" i="59"/>
  <c r="A730" i="59"/>
  <c r="A729" i="59"/>
  <c r="A728" i="59"/>
  <c r="A727" i="59"/>
  <c r="A726" i="59"/>
  <c r="A725" i="59"/>
  <c r="A724" i="59"/>
  <c r="A723" i="59"/>
  <c r="A722" i="59"/>
  <c r="A721" i="59"/>
  <c r="A720" i="59"/>
  <c r="A719" i="59"/>
  <c r="A718" i="59"/>
  <c r="A717" i="59"/>
  <c r="A716" i="59"/>
  <c r="A715" i="59"/>
  <c r="A714" i="59"/>
  <c r="A713" i="59"/>
  <c r="A712" i="59"/>
  <c r="A711" i="59"/>
  <c r="A710" i="59"/>
  <c r="A709" i="59"/>
  <c r="A708" i="59"/>
  <c r="A707" i="59"/>
  <c r="A706" i="59"/>
  <c r="A705" i="59"/>
  <c r="A704" i="59"/>
  <c r="A703" i="59"/>
  <c r="A702" i="59"/>
  <c r="A701" i="59"/>
  <c r="A700" i="59"/>
  <c r="A699" i="59"/>
  <c r="A698" i="59"/>
  <c r="A697" i="59"/>
  <c r="A696" i="59"/>
  <c r="A695" i="59"/>
  <c r="A694" i="59"/>
  <c r="A693" i="59"/>
  <c r="A692" i="59"/>
  <c r="A691" i="59"/>
  <c r="A690" i="59"/>
  <c r="A689" i="59"/>
  <c r="A688" i="59"/>
  <c r="A687" i="59"/>
  <c r="A686" i="59"/>
  <c r="A685" i="59"/>
  <c r="A684" i="59"/>
  <c r="A683" i="59"/>
  <c r="A682" i="59"/>
  <c r="A681" i="59"/>
  <c r="A680" i="59"/>
  <c r="A679" i="59"/>
  <c r="A678" i="59"/>
  <c r="A677" i="59"/>
  <c r="A676" i="59"/>
  <c r="A675" i="59"/>
  <c r="A674" i="59"/>
  <c r="A673" i="59"/>
  <c r="A672" i="59"/>
  <c r="A671" i="59"/>
  <c r="A670" i="59"/>
  <c r="A669" i="59"/>
  <c r="A668" i="59"/>
  <c r="A667" i="59"/>
  <c r="A666" i="59"/>
  <c r="A665" i="59"/>
  <c r="A664" i="59"/>
  <c r="A663" i="59"/>
  <c r="A662" i="59"/>
  <c r="A661" i="59"/>
  <c r="A660" i="59"/>
  <c r="A659" i="59"/>
  <c r="A658" i="59"/>
  <c r="A657" i="59"/>
  <c r="A656" i="59"/>
  <c r="A655" i="59"/>
  <c r="A654" i="59"/>
  <c r="A653" i="59"/>
  <c r="A652" i="59"/>
  <c r="A651" i="59"/>
  <c r="A650" i="59"/>
  <c r="A649" i="59"/>
  <c r="A648" i="59"/>
  <c r="A647" i="59"/>
  <c r="A646" i="59"/>
  <c r="A645" i="59"/>
  <c r="A644" i="59"/>
  <c r="A643" i="59"/>
  <c r="A642" i="59"/>
  <c r="A641" i="59"/>
  <c r="A640" i="59"/>
  <c r="A639" i="59"/>
  <c r="A638" i="59"/>
  <c r="A637" i="59"/>
  <c r="A636" i="59"/>
  <c r="A635" i="59"/>
  <c r="A634" i="59"/>
  <c r="A633" i="59"/>
  <c r="A632" i="59"/>
  <c r="A631" i="59"/>
  <c r="A630" i="59"/>
  <c r="A629" i="59"/>
  <c r="A628" i="59"/>
  <c r="A627" i="59"/>
  <c r="A626" i="59"/>
  <c r="A625" i="59"/>
  <c r="A624" i="59"/>
  <c r="A623" i="59"/>
  <c r="A622" i="59"/>
  <c r="A621" i="59"/>
  <c r="A620" i="59"/>
  <c r="A619" i="59"/>
  <c r="A618" i="59"/>
  <c r="A617" i="59"/>
  <c r="A616" i="59"/>
  <c r="A615" i="59"/>
  <c r="A614" i="59"/>
  <c r="A613" i="59"/>
  <c r="A612" i="59"/>
  <c r="A611" i="59"/>
  <c r="A610" i="59"/>
  <c r="A609" i="59"/>
  <c r="A608" i="59"/>
  <c r="A607" i="59"/>
  <c r="A606" i="59"/>
  <c r="A605" i="59"/>
  <c r="A604" i="59"/>
  <c r="A603" i="59"/>
  <c r="A602" i="59"/>
  <c r="A601" i="59"/>
  <c r="A600" i="59"/>
  <c r="A599" i="59"/>
  <c r="A598" i="59"/>
  <c r="A597" i="59"/>
  <c r="A596" i="59"/>
  <c r="A595" i="59"/>
  <c r="A594" i="59"/>
  <c r="A593" i="59"/>
  <c r="A592" i="59"/>
  <c r="A591" i="59"/>
  <c r="A590" i="59"/>
  <c r="A589" i="59"/>
  <c r="A588" i="59"/>
  <c r="A587" i="59"/>
  <c r="A586" i="59"/>
  <c r="A585" i="59"/>
  <c r="A584" i="59"/>
  <c r="A583" i="59"/>
  <c r="A582" i="59"/>
  <c r="A581" i="59"/>
  <c r="A580" i="59"/>
  <c r="A579" i="59"/>
  <c r="A578" i="59"/>
  <c r="A577" i="59"/>
  <c r="A576" i="59"/>
  <c r="A575" i="59"/>
  <c r="A574" i="59"/>
  <c r="A573" i="59"/>
  <c r="A572" i="59"/>
  <c r="A571" i="59"/>
  <c r="A570" i="59"/>
  <c r="A569" i="59"/>
  <c r="A568" i="59"/>
  <c r="A567" i="59"/>
  <c r="A566" i="59"/>
  <c r="A565" i="59"/>
  <c r="A564" i="59"/>
  <c r="A563" i="59"/>
  <c r="A562" i="59"/>
  <c r="A561" i="59"/>
  <c r="A560" i="59"/>
  <c r="A559" i="59"/>
  <c r="A558" i="59"/>
  <c r="A557" i="59"/>
  <c r="A556" i="59"/>
  <c r="A555" i="59"/>
  <c r="A554" i="59"/>
  <c r="A553" i="59"/>
  <c r="A552" i="59"/>
  <c r="A551" i="59"/>
  <c r="A550" i="59"/>
  <c r="A549" i="59"/>
  <c r="A548" i="59"/>
  <c r="A547" i="59"/>
  <c r="A546" i="59"/>
  <c r="A545" i="59"/>
  <c r="A544" i="59"/>
  <c r="A543" i="59"/>
  <c r="A542" i="59"/>
  <c r="A541" i="59"/>
  <c r="A540" i="59"/>
  <c r="A539" i="59"/>
  <c r="A538" i="59"/>
  <c r="A537" i="59"/>
  <c r="A536" i="59"/>
  <c r="A535" i="59"/>
  <c r="A534" i="59"/>
  <c r="A533" i="59"/>
  <c r="A532" i="59"/>
  <c r="A531" i="59"/>
  <c r="A530" i="59"/>
  <c r="A529" i="59"/>
  <c r="A528" i="59"/>
  <c r="A527" i="59"/>
  <c r="A526" i="59"/>
  <c r="A525" i="59"/>
  <c r="A524" i="59"/>
  <c r="A523" i="59"/>
  <c r="A522" i="59"/>
  <c r="A521" i="59"/>
  <c r="A520" i="59"/>
  <c r="A519" i="59"/>
  <c r="A518" i="59"/>
  <c r="A517" i="59"/>
  <c r="A516" i="59"/>
  <c r="A515" i="59"/>
  <c r="A514" i="59"/>
  <c r="A513" i="59"/>
  <c r="A512" i="59"/>
  <c r="A511" i="59"/>
  <c r="A510" i="59"/>
  <c r="A509" i="59"/>
  <c r="A508" i="59"/>
  <c r="A507" i="59"/>
  <c r="A506" i="59"/>
  <c r="A505" i="59"/>
  <c r="A504" i="59"/>
  <c r="A503" i="59"/>
  <c r="A502" i="59"/>
  <c r="A501" i="59"/>
  <c r="A500" i="59"/>
  <c r="A499" i="59"/>
  <c r="A498" i="59"/>
  <c r="A497" i="59"/>
  <c r="A496" i="59"/>
  <c r="A495" i="59"/>
  <c r="A494" i="59"/>
  <c r="A493" i="59"/>
  <c r="A492" i="59"/>
  <c r="A491" i="59"/>
  <c r="A490" i="59"/>
  <c r="A489" i="59"/>
  <c r="A488" i="59"/>
  <c r="A487" i="59"/>
  <c r="A486" i="59"/>
  <c r="A485" i="59"/>
  <c r="A484" i="59"/>
  <c r="A483" i="59"/>
  <c r="A482" i="59"/>
  <c r="A481" i="59"/>
  <c r="A480" i="59"/>
  <c r="A479" i="59"/>
  <c r="A478" i="59"/>
  <c r="A477" i="59"/>
  <c r="A476" i="59"/>
  <c r="A475" i="59"/>
  <c r="A474" i="59"/>
  <c r="A473" i="59"/>
  <c r="A472" i="59"/>
  <c r="A471" i="59"/>
  <c r="A470" i="59"/>
  <c r="A469" i="59"/>
  <c r="A468" i="59"/>
  <c r="A467" i="59"/>
  <c r="A466" i="59"/>
  <c r="A465" i="59"/>
  <c r="A464" i="59"/>
  <c r="A463" i="59"/>
  <c r="A462" i="59"/>
  <c r="A461" i="59"/>
  <c r="A460" i="59"/>
  <c r="A459" i="59"/>
  <c r="A458" i="59"/>
  <c r="A457" i="59"/>
  <c r="A456" i="59"/>
  <c r="A455" i="59"/>
  <c r="A454" i="59"/>
  <c r="A453" i="59"/>
  <c r="A452" i="59"/>
  <c r="A451" i="59"/>
  <c r="A450" i="59"/>
  <c r="A449" i="59"/>
  <c r="A448" i="59"/>
  <c r="A447" i="59"/>
  <c r="A446" i="59"/>
  <c r="A445" i="59"/>
  <c r="A444" i="59"/>
  <c r="A443" i="59"/>
  <c r="A442" i="59"/>
  <c r="A441" i="59"/>
  <c r="A440" i="59"/>
  <c r="A439" i="59"/>
  <c r="A438" i="59"/>
  <c r="A437" i="59"/>
  <c r="A436" i="59"/>
  <c r="A435" i="59"/>
  <c r="A434" i="59"/>
  <c r="A433" i="59"/>
  <c r="A432" i="59"/>
  <c r="A431" i="59"/>
  <c r="A430" i="59"/>
  <c r="A429" i="59"/>
  <c r="A428" i="59"/>
  <c r="A427" i="59"/>
  <c r="A426" i="59"/>
  <c r="A425" i="59"/>
  <c r="A424" i="59"/>
  <c r="A423" i="59"/>
  <c r="A422" i="59"/>
  <c r="A421" i="59"/>
  <c r="A420" i="59"/>
  <c r="A419" i="59"/>
  <c r="A418" i="59"/>
  <c r="A417" i="59"/>
  <c r="A416" i="59"/>
  <c r="A415" i="59"/>
  <c r="A414" i="59"/>
  <c r="A413" i="59"/>
  <c r="A412" i="59"/>
  <c r="A411" i="59"/>
  <c r="A410" i="59"/>
  <c r="A409" i="59"/>
  <c r="A408" i="59"/>
  <c r="A407" i="59"/>
  <c r="A406" i="59"/>
  <c r="A405" i="59"/>
  <c r="A404" i="59"/>
  <c r="A403" i="59"/>
  <c r="A402" i="59"/>
  <c r="A401" i="59"/>
  <c r="A400" i="59"/>
  <c r="A399" i="59"/>
  <c r="A398" i="59"/>
  <c r="A397" i="59"/>
  <c r="A396" i="59"/>
  <c r="A395" i="59"/>
  <c r="A394" i="59"/>
  <c r="A393" i="59"/>
  <c r="A392" i="59"/>
  <c r="A391" i="59"/>
  <c r="A390" i="59"/>
  <c r="A389" i="59"/>
  <c r="A388" i="59"/>
  <c r="A387" i="59"/>
  <c r="A386" i="59"/>
  <c r="A385" i="59"/>
  <c r="A384" i="59"/>
  <c r="A383" i="59"/>
  <c r="A382" i="59"/>
  <c r="A381" i="59"/>
  <c r="A380" i="59"/>
  <c r="A379" i="59"/>
  <c r="A378" i="59"/>
  <c r="A377" i="59"/>
  <c r="A376" i="59"/>
  <c r="A375" i="59"/>
  <c r="A374" i="59"/>
  <c r="A373" i="59"/>
  <c r="A372" i="59"/>
  <c r="A371" i="59"/>
  <c r="A370" i="59"/>
  <c r="A369" i="59"/>
  <c r="A368" i="59"/>
  <c r="A367" i="59"/>
  <c r="A366" i="59"/>
  <c r="A365" i="59"/>
  <c r="A364" i="59"/>
  <c r="A363" i="59"/>
  <c r="A362" i="59"/>
  <c r="A361" i="59"/>
  <c r="A360" i="59"/>
  <c r="A359" i="59"/>
  <c r="A358" i="59"/>
  <c r="A357" i="59"/>
  <c r="A356" i="59"/>
  <c r="A355" i="59"/>
  <c r="A354" i="59"/>
  <c r="A353" i="59"/>
  <c r="A352" i="59"/>
  <c r="A351" i="59"/>
  <c r="A350" i="59"/>
  <c r="A349" i="59"/>
  <c r="A348" i="59"/>
  <c r="A347" i="59"/>
  <c r="A346" i="59"/>
  <c r="A345" i="59"/>
  <c r="A344" i="59"/>
  <c r="A343" i="59"/>
  <c r="A342" i="59"/>
  <c r="A341" i="59"/>
  <c r="A340" i="59"/>
  <c r="A339" i="59"/>
  <c r="A338" i="59"/>
  <c r="A337" i="59"/>
  <c r="A336" i="59"/>
  <c r="A335" i="59"/>
  <c r="A334" i="59"/>
  <c r="A333" i="59"/>
  <c r="A332" i="59"/>
  <c r="A331" i="59"/>
  <c r="A330" i="59"/>
  <c r="A329" i="59"/>
  <c r="A328" i="59"/>
  <c r="A327" i="59"/>
  <c r="A326" i="59"/>
  <c r="A325" i="59"/>
  <c r="A324" i="59"/>
  <c r="A323" i="59"/>
  <c r="A322" i="59"/>
  <c r="A321" i="59"/>
  <c r="A320" i="59"/>
  <c r="A319" i="59"/>
  <c r="A318" i="59"/>
  <c r="A317" i="59"/>
  <c r="A316" i="59"/>
  <c r="A315" i="59"/>
  <c r="A314" i="59"/>
  <c r="A313" i="59"/>
  <c r="A312" i="59"/>
  <c r="A311" i="59"/>
  <c r="A310" i="59"/>
  <c r="A309" i="59"/>
  <c r="A308" i="59"/>
  <c r="A307" i="59"/>
  <c r="A306" i="59"/>
  <c r="A305" i="59"/>
  <c r="A304" i="59"/>
  <c r="A303" i="59"/>
  <c r="A302" i="59"/>
  <c r="A301" i="59"/>
  <c r="A300" i="59"/>
  <c r="A299" i="59"/>
  <c r="A298" i="59"/>
  <c r="A297" i="59"/>
  <c r="A296" i="59"/>
  <c r="A295" i="59"/>
  <c r="A294" i="59"/>
  <c r="A293" i="59"/>
  <c r="A292" i="59"/>
  <c r="A291" i="59"/>
  <c r="A290" i="59"/>
  <c r="A289" i="59"/>
  <c r="A288" i="59"/>
  <c r="A287" i="59"/>
  <c r="A286" i="59"/>
  <c r="A285" i="59"/>
  <c r="A284" i="59"/>
  <c r="A283" i="59"/>
  <c r="A282" i="59"/>
  <c r="A281" i="59"/>
  <c r="A280" i="59"/>
  <c r="A279" i="59"/>
  <c r="A278" i="59"/>
  <c r="A277" i="59"/>
  <c r="A276" i="59"/>
  <c r="A275" i="59"/>
  <c r="A274" i="59"/>
  <c r="A273" i="59"/>
  <c r="A272" i="59"/>
  <c r="A271" i="59"/>
  <c r="A270" i="59"/>
  <c r="A269" i="59"/>
  <c r="A268" i="59"/>
  <c r="A267" i="59"/>
  <c r="A266" i="59"/>
  <c r="A265" i="59"/>
  <c r="A264" i="59"/>
  <c r="A263" i="59"/>
  <c r="A262" i="59"/>
  <c r="A261" i="59"/>
  <c r="A260" i="59"/>
  <c r="A259" i="59"/>
  <c r="A258" i="59"/>
  <c r="A257" i="59"/>
  <c r="A256" i="59"/>
  <c r="A255" i="59"/>
  <c r="A254" i="59"/>
  <c r="A253" i="59"/>
  <c r="A252" i="59"/>
  <c r="A251" i="59"/>
  <c r="A250" i="59"/>
  <c r="A249" i="59"/>
  <c r="A248" i="59"/>
  <c r="A247" i="59"/>
  <c r="A246" i="59"/>
  <c r="A245" i="59"/>
  <c r="A244" i="59"/>
  <c r="A243" i="59"/>
  <c r="A242" i="59"/>
  <c r="A241" i="59"/>
  <c r="A240" i="59"/>
  <c r="A239" i="59"/>
  <c r="A238" i="59"/>
  <c r="A237" i="59"/>
  <c r="A236" i="59"/>
  <c r="A235" i="59"/>
  <c r="A234" i="59"/>
  <c r="A233" i="59"/>
  <c r="A232" i="59"/>
  <c r="A231" i="59"/>
  <c r="A230" i="59"/>
  <c r="A229" i="59"/>
  <c r="A228" i="59"/>
  <c r="A227" i="59"/>
  <c r="A226" i="59"/>
  <c r="A225" i="59"/>
  <c r="A224" i="59"/>
  <c r="A223" i="59"/>
  <c r="A222" i="59"/>
  <c r="A221" i="59"/>
  <c r="A220" i="59"/>
  <c r="A219" i="59"/>
  <c r="A218" i="59"/>
  <c r="A217" i="59"/>
  <c r="A216" i="59"/>
  <c r="A215" i="59"/>
  <c r="A214" i="59"/>
  <c r="A213" i="59"/>
  <c r="A212" i="59"/>
  <c r="A211" i="59"/>
  <c r="A210" i="59"/>
  <c r="A209" i="59"/>
  <c r="A208" i="59"/>
  <c r="A207" i="59"/>
  <c r="A206" i="59"/>
  <c r="A205" i="59"/>
  <c r="A204" i="59"/>
  <c r="A203" i="59"/>
  <c r="A202" i="59"/>
  <c r="A201" i="59"/>
  <c r="A200" i="59"/>
  <c r="A199" i="59"/>
  <c r="A198" i="59"/>
  <c r="A197" i="59"/>
  <c r="A196" i="59"/>
  <c r="A195" i="59"/>
  <c r="A194" i="59"/>
  <c r="A193" i="59"/>
  <c r="A192" i="59"/>
  <c r="A191" i="59"/>
  <c r="A190" i="59"/>
  <c r="A189" i="59"/>
  <c r="A188" i="59"/>
  <c r="A187" i="59"/>
  <c r="A186" i="59"/>
  <c r="A185" i="59"/>
  <c r="A184" i="59"/>
  <c r="A183" i="59"/>
  <c r="A182" i="59"/>
  <c r="A181" i="59"/>
  <c r="A180" i="59"/>
  <c r="A179" i="59"/>
  <c r="A178" i="59"/>
  <c r="A177" i="59"/>
  <c r="A176" i="59"/>
  <c r="A175" i="59"/>
  <c r="A174" i="59"/>
  <c r="A173" i="59"/>
  <c r="A172" i="59"/>
  <c r="A171" i="59"/>
  <c r="A170" i="59"/>
  <c r="A169" i="59"/>
  <c r="A168" i="59"/>
  <c r="A167" i="59"/>
  <c r="A166" i="59"/>
  <c r="A165" i="59"/>
  <c r="A164" i="59"/>
  <c r="A163" i="59"/>
  <c r="A162" i="59"/>
  <c r="A161" i="59"/>
  <c r="A160" i="59"/>
  <c r="A159" i="59"/>
  <c r="A158" i="59"/>
  <c r="A157" i="59"/>
  <c r="A156" i="59"/>
  <c r="A155" i="59"/>
  <c r="A154" i="59"/>
  <c r="A153" i="59"/>
  <c r="A152" i="59"/>
  <c r="A151" i="59"/>
  <c r="A150" i="59"/>
  <c r="A149" i="59"/>
  <c r="A148" i="59"/>
  <c r="A147" i="59"/>
  <c r="A146" i="59"/>
  <c r="A145" i="59"/>
  <c r="A144" i="59"/>
  <c r="A143" i="59"/>
  <c r="A142" i="59"/>
  <c r="A141" i="59"/>
  <c r="A140" i="59"/>
  <c r="A139" i="59"/>
  <c r="A138" i="59"/>
  <c r="A137" i="59"/>
  <c r="A136" i="59"/>
  <c r="A135" i="59"/>
  <c r="A134" i="59"/>
  <c r="A133" i="59"/>
  <c r="A132" i="59"/>
  <c r="A131" i="59"/>
  <c r="A130" i="59"/>
  <c r="A129" i="59"/>
  <c r="A128" i="59"/>
  <c r="A127" i="59"/>
  <c r="A126" i="59"/>
  <c r="A125" i="59"/>
  <c r="A124" i="59"/>
  <c r="A123" i="59"/>
  <c r="A122" i="59"/>
  <c r="A121" i="59"/>
  <c r="A120" i="59"/>
  <c r="A119" i="59"/>
  <c r="A118" i="59"/>
  <c r="A117" i="59"/>
  <c r="A116" i="59"/>
  <c r="A115" i="59"/>
  <c r="A114" i="59"/>
  <c r="A113" i="59"/>
  <c r="A112" i="59"/>
  <c r="A111" i="59"/>
  <c r="A110" i="59"/>
  <c r="A109" i="59"/>
  <c r="A108" i="59"/>
  <c r="A107" i="59"/>
  <c r="A106" i="59"/>
  <c r="A105" i="59"/>
  <c r="A104" i="59"/>
  <c r="A103" i="59"/>
  <c r="A102" i="59"/>
  <c r="A101" i="59"/>
  <c r="A100" i="59"/>
  <c r="A99" i="59"/>
  <c r="A98" i="59"/>
  <c r="A97" i="59"/>
  <c r="A96" i="59"/>
  <c r="A95" i="59"/>
  <c r="A94" i="59"/>
  <c r="A93" i="59"/>
  <c r="A92" i="59"/>
  <c r="A91" i="59"/>
  <c r="A90" i="59"/>
  <c r="A89" i="59"/>
  <c r="A88" i="59"/>
  <c r="A87" i="59"/>
  <c r="A86" i="59"/>
  <c r="A85" i="59"/>
  <c r="A84" i="59"/>
  <c r="A83" i="59"/>
  <c r="A82" i="59"/>
  <c r="A81" i="59"/>
  <c r="A80" i="59"/>
  <c r="A79" i="59"/>
  <c r="A78" i="59"/>
  <c r="A77" i="59"/>
  <c r="A76" i="59"/>
  <c r="A75" i="59"/>
  <c r="A74" i="59"/>
  <c r="A73" i="59"/>
  <c r="A72" i="59"/>
  <c r="A71" i="59"/>
  <c r="A70" i="59"/>
  <c r="A69" i="59"/>
  <c r="A68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7" i="59"/>
  <c r="A46" i="59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3" i="59"/>
  <c r="A2" i="59"/>
  <c r="BM4" i="40" l="1"/>
  <c r="BF4" i="40"/>
  <c r="EP16" i="40"/>
  <c r="ER7" i="40"/>
  <c r="O15" i="44" l="1"/>
  <c r="O14" i="44"/>
  <c r="O13" i="44"/>
  <c r="O12" i="44"/>
  <c r="O11" i="44"/>
  <c r="O10" i="44"/>
  <c r="O9" i="44"/>
  <c r="O6" i="44"/>
  <c r="O5" i="44"/>
  <c r="O4" i="44"/>
  <c r="O3" i="44"/>
  <c r="O2" i="44"/>
  <c r="D4" i="40" l="1"/>
  <c r="Q13" i="44"/>
  <c r="Q15" i="44"/>
  <c r="Q5" i="44"/>
  <c r="Q3" i="44"/>
  <c r="Q11" i="44"/>
  <c r="Q10" i="44"/>
  <c r="Q2" i="44"/>
  <c r="Q9" i="44"/>
  <c r="Q14" i="44"/>
  <c r="Q12" i="44"/>
  <c r="Q4" i="44"/>
  <c r="BY4" i="40" l="1"/>
  <c r="BO4" i="40" l="1"/>
  <c r="O6" i="24" l="1"/>
  <c r="O3" i="24" s="1"/>
  <c r="O2" i="24"/>
  <c r="EQ19" i="40"/>
  <c r="BW4" i="40"/>
  <c r="BU4" i="40"/>
  <c r="AO4" i="40"/>
  <c r="AH4" i="40"/>
  <c r="AA4" i="40"/>
  <c r="M4" i="40"/>
  <c r="C4" i="40" s="1"/>
  <c r="F4" i="40"/>
  <c r="E4" i="40"/>
  <c r="A1" i="40" s="1"/>
  <c r="AF3" i="40"/>
  <c r="AE3" i="40"/>
  <c r="AD3" i="40"/>
  <c r="AC3" i="40"/>
  <c r="AB3" i="40"/>
  <c r="AA3" i="40"/>
  <c r="Z3" i="40"/>
  <c r="ER19" i="40" l="1"/>
  <c r="ER20" i="40" s="1"/>
  <c r="ES19" i="40"/>
  <c r="A4" i="40"/>
  <c r="AS3" i="40"/>
  <c r="AN3" i="40"/>
  <c r="AJ3" i="40"/>
  <c r="AT3" i="40"/>
  <c r="AP3" i="40"/>
  <c r="AK3" i="40"/>
  <c r="AQ3" i="40"/>
  <c r="AL3" i="40"/>
  <c r="AG3" i="40"/>
  <c r="AR3" i="40"/>
  <c r="AM3" i="40"/>
  <c r="AI3" i="40"/>
  <c r="AO3" i="40"/>
  <c r="B1" i="44"/>
  <c r="AH3" i="40"/>
  <c r="O5" i="24"/>
  <c r="O4" i="24"/>
  <c r="EQ20" i="40"/>
  <c r="P1" i="44" l="1"/>
  <c r="R12" i="44" s="1"/>
  <c r="P12" i="44" s="1"/>
  <c r="EP12" i="40"/>
  <c r="ER6" i="40"/>
  <c r="ER4" i="40"/>
  <c r="ER5" i="40"/>
  <c r="BN4" i="40"/>
  <c r="BP4" i="40" s="1"/>
  <c r="BG4" i="40"/>
  <c r="R13" i="44" l="1"/>
  <c r="P13" i="44" s="1"/>
  <c r="R3" i="44"/>
  <c r="P3" i="44" s="1"/>
  <c r="R10" i="44"/>
  <c r="P10" i="44" s="1"/>
  <c r="R15" i="44"/>
  <c r="P15" i="44" s="1"/>
  <c r="R5" i="44"/>
  <c r="P5" i="44" s="1"/>
  <c r="Q1" i="44"/>
  <c r="R7" i="44"/>
  <c r="P7" i="44" s="1"/>
  <c r="R6" i="44"/>
  <c r="P6" i="44" s="1"/>
  <c r="R14" i="44"/>
  <c r="P14" i="44" s="1"/>
  <c r="R11" i="44"/>
  <c r="P11" i="44" s="1"/>
  <c r="R9" i="44"/>
  <c r="P9" i="44" s="1"/>
  <c r="R4" i="44"/>
  <c r="P4" i="44" s="1"/>
  <c r="R2" i="44"/>
  <c r="P2" i="44" s="1"/>
  <c r="I8" i="44"/>
  <c r="E8" i="44"/>
  <c r="E9" i="44"/>
  <c r="I9" i="44"/>
  <c r="EP13" i="40"/>
  <c r="G8" i="44"/>
  <c r="H8" i="44" l="1"/>
  <c r="EQ22" i="40"/>
  <c r="G25" i="44"/>
  <c r="G5" i="44"/>
  <c r="G17" i="44"/>
  <c r="G22" i="44"/>
  <c r="G21" i="44"/>
  <c r="G38" i="44"/>
  <c r="G15" i="44"/>
  <c r="G39" i="44"/>
  <c r="G35" i="44"/>
  <c r="G16" i="44"/>
  <c r="G31" i="44"/>
  <c r="G12" i="44"/>
  <c r="G14" i="44"/>
  <c r="G41" i="44"/>
  <c r="G30" i="44"/>
  <c r="G33" i="44"/>
  <c r="G13" i="44"/>
  <c r="G9" i="44"/>
  <c r="G20" i="44"/>
  <c r="F8" i="44"/>
  <c r="G40" i="44"/>
  <c r="F9" i="44"/>
  <c r="G32" i="44"/>
  <c r="G4" i="44"/>
  <c r="G34" i="44"/>
  <c r="G37" i="44"/>
  <c r="G7" i="44"/>
  <c r="G23" i="44"/>
  <c r="G26" i="44"/>
  <c r="G6" i="44"/>
  <c r="G36" i="44"/>
  <c r="G24" i="44"/>
  <c r="J8" i="44" l="1"/>
  <c r="BX4" i="40"/>
  <c r="E41" i="44"/>
  <c r="H41" i="44" l="1"/>
  <c r="E22" i="44"/>
  <c r="EP6" i="40"/>
  <c r="E26" i="44"/>
  <c r="E23" i="44"/>
  <c r="H22" i="44" l="1"/>
  <c r="EQ6" i="40"/>
  <c r="EP10" i="40"/>
  <c r="H26" i="44" l="1"/>
  <c r="EQ10" i="40"/>
  <c r="E21" i="44"/>
  <c r="L22" i="44"/>
  <c r="E35" i="44"/>
  <c r="EP5" i="40"/>
  <c r="H35" i="44" l="1"/>
  <c r="EQ5" i="40"/>
  <c r="H21" i="44"/>
  <c r="E40" i="44"/>
  <c r="E37" i="44"/>
  <c r="E24" i="44"/>
  <c r="L26" i="44"/>
  <c r="M22" i="44"/>
  <c r="EP7" i="40"/>
  <c r="EO6" i="40" l="1"/>
  <c r="EQ7" i="40"/>
  <c r="H23" i="44"/>
  <c r="H40" i="44"/>
  <c r="H37" i="44"/>
  <c r="BV4" i="40"/>
  <c r="E34" i="44"/>
  <c r="E7" i="44"/>
  <c r="E20" i="44"/>
  <c r="M26" i="44"/>
  <c r="L21" i="44"/>
  <c r="EP4" i="40"/>
  <c r="M21" i="44"/>
  <c r="AZ4" i="40" l="1"/>
  <c r="BT4" i="40" s="1"/>
  <c r="H7" i="44"/>
  <c r="H34" i="44"/>
  <c r="H20" i="44"/>
  <c r="EQ4" i="40"/>
  <c r="EO5" i="40"/>
  <c r="EO10" i="40"/>
  <c r="EP8" i="40"/>
  <c r="E14" i="44"/>
  <c r="L23" i="44"/>
  <c r="E4" i="44"/>
  <c r="E33" i="44"/>
  <c r="E16" i="44"/>
  <c r="E38" i="44"/>
  <c r="E17" i="44"/>
  <c r="E32" i="44"/>
  <c r="E31" i="44"/>
  <c r="E30" i="44"/>
  <c r="E13" i="44"/>
  <c r="E15" i="44"/>
  <c r="E12" i="44"/>
  <c r="E6" i="44"/>
  <c r="E5" i="44"/>
  <c r="E25" i="44"/>
  <c r="EP9" i="40"/>
  <c r="E36" i="44"/>
  <c r="E39" i="44"/>
  <c r="H39" i="44" l="1"/>
  <c r="BQ4" i="40"/>
  <c r="H6" i="44"/>
  <c r="H33" i="44"/>
  <c r="H31" i="44"/>
  <c r="EQ8" i="40"/>
  <c r="H24" i="44"/>
  <c r="H15" i="44"/>
  <c r="H32" i="44"/>
  <c r="H13" i="44"/>
  <c r="H30" i="44"/>
  <c r="H16" i="44"/>
  <c r="H12" i="44"/>
  <c r="H4" i="44"/>
  <c r="H17" i="44"/>
  <c r="H38" i="44"/>
  <c r="H9" i="44"/>
  <c r="H25" i="44"/>
  <c r="EQ9" i="40"/>
  <c r="H14" i="44"/>
  <c r="H5" i="44"/>
  <c r="H36" i="44"/>
  <c r="AX4" i="40"/>
  <c r="L25" i="44"/>
  <c r="I6" i="44"/>
  <c r="I13" i="44"/>
  <c r="I21" i="44"/>
  <c r="I38" i="44"/>
  <c r="I7" i="44"/>
  <c r="I33" i="44"/>
  <c r="I31" i="44"/>
  <c r="I40" i="44"/>
  <c r="I39" i="44"/>
  <c r="I32" i="44"/>
  <c r="I20" i="44"/>
  <c r="I15" i="44"/>
  <c r="I14" i="44"/>
  <c r="I26" i="44"/>
  <c r="I17" i="44"/>
  <c r="I41" i="44"/>
  <c r="I35" i="44"/>
  <c r="I5" i="44"/>
  <c r="M23" i="44"/>
  <c r="L20" i="44"/>
  <c r="I34" i="44"/>
  <c r="I22" i="44"/>
  <c r="I30" i="44"/>
  <c r="L24" i="44"/>
  <c r="I36" i="44"/>
  <c r="I4" i="44"/>
  <c r="I24" i="44"/>
  <c r="I16" i="44"/>
  <c r="I12" i="44"/>
  <c r="I37" i="44"/>
  <c r="I25" i="44"/>
  <c r="I23" i="44"/>
  <c r="BR4" i="40" l="1"/>
  <c r="BS4" i="40" s="1"/>
  <c r="EO7" i="40"/>
  <c r="AY4" i="40"/>
  <c r="F22" i="44"/>
  <c r="F13" i="44"/>
  <c r="F41" i="44"/>
  <c r="F12" i="44"/>
  <c r="F17" i="44"/>
  <c r="F38" i="44"/>
  <c r="F35" i="44"/>
  <c r="F24" i="44"/>
  <c r="M20" i="44"/>
  <c r="F37" i="44"/>
  <c r="F23" i="44"/>
  <c r="F25" i="44"/>
  <c r="F39" i="44"/>
  <c r="F14" i="44"/>
  <c r="F20" i="44"/>
  <c r="F31" i="44"/>
  <c r="F15" i="44"/>
  <c r="F32" i="44"/>
  <c r="F33" i="44"/>
  <c r="F5" i="44"/>
  <c r="F40" i="44"/>
  <c r="M25" i="44"/>
  <c r="F6" i="44"/>
  <c r="F36" i="44"/>
  <c r="F26" i="44"/>
  <c r="F21" i="44"/>
  <c r="F30" i="44"/>
  <c r="M24" i="44"/>
  <c r="F34" i="44"/>
  <c r="F7" i="44"/>
  <c r="F16" i="44"/>
  <c r="EO8" i="40" l="1"/>
  <c r="J13" i="44"/>
  <c r="J14" i="44"/>
  <c r="J17" i="44"/>
  <c r="J15" i="44"/>
  <c r="J16" i="44"/>
  <c r="J5" i="44"/>
  <c r="J37" i="44"/>
  <c r="J36" i="44"/>
  <c r="J31" i="44"/>
  <c r="J41" i="44"/>
  <c r="J38" i="44"/>
  <c r="J34" i="44"/>
  <c r="J39" i="44"/>
  <c r="J32" i="44"/>
  <c r="J40" i="44"/>
  <c r="J35" i="44"/>
  <c r="J33" i="44"/>
  <c r="J30" i="44"/>
  <c r="J21" i="44"/>
  <c r="J22" i="44"/>
  <c r="J25" i="44"/>
  <c r="J23" i="44"/>
  <c r="J24" i="44"/>
  <c r="J26" i="44"/>
  <c r="J20" i="44"/>
  <c r="J12" i="44"/>
  <c r="J7" i="44"/>
  <c r="EO9" i="40"/>
  <c r="F4" i="44"/>
  <c r="J4" i="44" s="1"/>
  <c r="J9" i="44"/>
  <c r="J6" i="44"/>
  <c r="EO4" i="40"/>
  <c r="B4" i="40"/>
</calcChain>
</file>

<file path=xl/sharedStrings.xml><?xml version="1.0" encoding="utf-8"?>
<sst xmlns="http://schemas.openxmlformats.org/spreadsheetml/2006/main" count="31765" uniqueCount="4624">
  <si>
    <t>Targets:</t>
  </si>
  <si>
    <t>Budget</t>
  </si>
  <si>
    <t>Benefit (LMY)</t>
  </si>
  <si>
    <t>Suggested Lane-Miles</t>
  </si>
  <si>
    <t>Estimated $/LM</t>
  </si>
  <si>
    <t>Average Life Extension</t>
  </si>
  <si>
    <t>$/LMY</t>
  </si>
  <si>
    <t>RSL Categories:</t>
  </si>
  <si>
    <t>Suggested LM</t>
  </si>
  <si>
    <t>$/LM</t>
  </si>
  <si>
    <t>40 to 50 years</t>
  </si>
  <si>
    <t>A</t>
  </si>
  <si>
    <t>30 to &lt;40 years</t>
  </si>
  <si>
    <t>B</t>
  </si>
  <si>
    <t>20 to &lt;30 years</t>
  </si>
  <si>
    <t>C</t>
  </si>
  <si>
    <t>10 to &lt;20 years</t>
  </si>
  <si>
    <t>D</t>
  </si>
  <si>
    <t>&lt;10 years</t>
  </si>
  <si>
    <t>E</t>
  </si>
  <si>
    <t>0 years</t>
  </si>
  <si>
    <t>F</t>
  </si>
  <si>
    <t>Budget Allocation Breakdown by Project Paving Cost</t>
  </si>
  <si>
    <t>Paving Projects</t>
  </si>
  <si>
    <t>Non-paving Projects</t>
  </si>
  <si>
    <t>Districts</t>
  </si>
  <si>
    <t>Paving Items (see Note 14)</t>
  </si>
  <si>
    <t>Non-paving Items (see Note 15)</t>
  </si>
  <si>
    <t>ADA and Traffic Barrier</t>
  </si>
  <si>
    <t>Functional Class</t>
  </si>
  <si>
    <t>Rural Interstate</t>
  </si>
  <si>
    <t>Rural Principal Arterial - Other</t>
  </si>
  <si>
    <t>Rural Minor Arterial</t>
  </si>
  <si>
    <t>Rural Major Collector</t>
  </si>
  <si>
    <t>Rural Minor Collector</t>
  </si>
  <si>
    <t>Rural Local</t>
  </si>
  <si>
    <t>Urban Interstate</t>
  </si>
  <si>
    <t>Urban Principal Arterial - Other Fwy</t>
  </si>
  <si>
    <t>Urban Principal Arterial - Other</t>
  </si>
  <si>
    <t>Urban Minor Arterial</t>
  </si>
  <si>
    <t>Urban Collector</t>
  </si>
  <si>
    <t>Urban Local</t>
  </si>
  <si>
    <t>Treatment Type</t>
  </si>
  <si>
    <t>Reconstruction</t>
  </si>
  <si>
    <t>See "Lookup &amp; Notes" worksheet for notes</t>
  </si>
  <si>
    <t>Hide</t>
  </si>
  <si>
    <t>See Note 1</t>
  </si>
  <si>
    <t>See Note 2a</t>
  </si>
  <si>
    <t>See Note 2b</t>
  </si>
  <si>
    <t>See Note 3</t>
  </si>
  <si>
    <t>See Note 4</t>
  </si>
  <si>
    <t>See Note 5</t>
  </si>
  <si>
    <t>See Note 6</t>
  </si>
  <si>
    <t>See Note 7</t>
  </si>
  <si>
    <t>See Note 8</t>
  </si>
  <si>
    <t>See Note 9</t>
  </si>
  <si>
    <t>HIDE</t>
  </si>
  <si>
    <t>See Note 10</t>
  </si>
  <si>
    <t>See Note 11</t>
  </si>
  <si>
    <t>See Note 12</t>
  </si>
  <si>
    <t>See Note 4 (Hide)</t>
  </si>
  <si>
    <t>FISCAL YEAR</t>
  </si>
  <si>
    <t>DISTRICT</t>
  </si>
  <si>
    <t>SHOP</t>
  </si>
  <si>
    <t>COUNTY</t>
  </si>
  <si>
    <t>FACILITY</t>
  </si>
  <si>
    <t>SECTION</t>
  </si>
  <si>
    <t>BEGIN_STATION</t>
  </si>
  <si>
    <t>END_STATION</t>
  </si>
  <si>
    <t>DIRECTION</t>
  </si>
  <si>
    <t>NO. OF LANES</t>
  </si>
  <si>
    <t>TOTAL LANE MILES</t>
  </si>
  <si>
    <t>DIVIDED</t>
  </si>
  <si>
    <t>ROAD_CLASS</t>
  </si>
  <si>
    <t>ROAD_TYPE</t>
  </si>
  <si>
    <t>TREATMENT</t>
  </si>
  <si>
    <t>TREATMENT TYPE</t>
  </si>
  <si>
    <t>PAVING BUDGET</t>
  </si>
  <si>
    <t>NON-PAVING BUDGET</t>
  </si>
  <si>
    <t>TOTAL CONSTRUCTION BUDGET</t>
  </si>
  <si>
    <t>Pre Treatment RSL - IRI</t>
  </si>
  <si>
    <t>Pre Treatment RSL - FCI</t>
  </si>
  <si>
    <t>Pre Treatment RSL - SCI</t>
  </si>
  <si>
    <t>Pre Treatment RSL - Rut</t>
  </si>
  <si>
    <t>Pre Treatment RSL - FN</t>
  </si>
  <si>
    <t>Pre Treatment RSL - Overall</t>
  </si>
  <si>
    <t>Pre Treatment RSL Category</t>
  </si>
  <si>
    <t>Post Treatment RSL - IRI</t>
  </si>
  <si>
    <t>Post Treatment RSL - FCI</t>
  </si>
  <si>
    <t>Post Treatment RSL - SCI</t>
  </si>
  <si>
    <t>Post Treatment RSL - Rut</t>
  </si>
  <si>
    <t>Post Treatment RSL - FN</t>
  </si>
  <si>
    <t>Post Treatment RSL - Overall</t>
  </si>
  <si>
    <t>RSL Improvement</t>
  </si>
  <si>
    <t>Minimum RSL for the Treatment</t>
  </si>
  <si>
    <t>LMY based on Original RSL</t>
  </si>
  <si>
    <t>Predicted Life Extension</t>
  </si>
  <si>
    <t>Added LMY</t>
  </si>
  <si>
    <t>RSL output from RC</t>
  </si>
  <si>
    <t>ADJUSTED CONS BUDGET+ DIFFERENCE</t>
  </si>
  <si>
    <t>CONSTRUCTION BUDGET from RC</t>
  </si>
  <si>
    <t>Weighted Budget dn</t>
  </si>
  <si>
    <t>Road Class</t>
  </si>
  <si>
    <t>Total</t>
  </si>
  <si>
    <t>all budget</t>
  </si>
  <si>
    <t>non-paving budget</t>
  </si>
  <si>
    <t>MICROSURFACE</t>
  </si>
  <si>
    <t>CRACK SEAL</t>
  </si>
  <si>
    <t>GRIND-OVERLAY &gt;1.5IN GRADE INCREASE</t>
  </si>
  <si>
    <t>GRIND-OVERLAY &lt;=1.5IN GRADE INCREASE</t>
  </si>
  <si>
    <t>THIN OVERLAY &lt;=1IN ASPHALT</t>
  </si>
  <si>
    <t>No. of sections =</t>
  </si>
  <si>
    <t>SURFACE ABRASION</t>
  </si>
  <si>
    <t>Difference between RC selected project budget and total budget fot the year=</t>
  </si>
  <si>
    <t>This is due to the fact that some budget will be left over in each district as projects are not available to use such a small budget.</t>
  </si>
  <si>
    <t>OVERLAY &gt;1.5IN ASPHALT</t>
  </si>
  <si>
    <t>ASPHALT PATCH ONLY</t>
  </si>
  <si>
    <t>GRIND-OVERLAY &lt;=1.5IN GRADE INCREASE - GAP</t>
  </si>
  <si>
    <t>CONCRETE PAVEMENT RESTORATION WITH DIAMOND GRIND</t>
  </si>
  <si>
    <t>OVERLAY &lt;=1.5IN ASPHALT</t>
  </si>
  <si>
    <t>Notes (referring to Suggested Projects Worksheet):</t>
  </si>
  <si>
    <t>Latest condition data available</t>
  </si>
  <si>
    <t>2a</t>
  </si>
  <si>
    <t>Condition value that is predicted by Roadcare before treatment is placed.</t>
  </si>
  <si>
    <t>2b</t>
  </si>
  <si>
    <t>Condition value that is predicted by Roadcare after treatment is placed.</t>
  </si>
  <si>
    <t>Rehab formerly called T8, T12 and T15.  Pres = Preservation, formerly called T8.  Maint = Maintenance, formerly called M2 and M4.</t>
  </si>
  <si>
    <t>Construction Budget predicted by Roadcare.</t>
  </si>
  <si>
    <t>1 to &lt;10 years</t>
  </si>
  <si>
    <t>RSL = Remaining Service Life.  This RSL value (in years) corresponds to the condition value.</t>
  </si>
  <si>
    <t>Overall RSL is the lowest of the 5 individual RSLs.</t>
  </si>
  <si>
    <t>Category based on grouping of years ===========================================&gt;&gt;&gt;&gt;</t>
  </si>
  <si>
    <t>The predicted RSL (IRI only) after rehab.</t>
  </si>
  <si>
    <t xml:space="preserve">The predicted RSL (CI, Rut, FN) after fix.  </t>
  </si>
  <si>
    <t>Life extensions are adjusted based on historical performance</t>
  </si>
  <si>
    <t>LMY = Lane-mile-years, the product of the project's lane-miles and life extension.</t>
  </si>
  <si>
    <t>$/LMY is construction budget divided by lane-mile-years.</t>
  </si>
  <si>
    <t>IRI  = Ride Quality, CI = Crack Index, Rut = rut, FN = Friction Number</t>
  </si>
  <si>
    <t>Paving Costs Include Excavation, Milling/Grinding, Paving Materials (Borrow, Aggregate, HMA, PCC, Geosynthetics, Sealants, Patching, Shoulder Edge Backup), Rumble Strips</t>
  </si>
  <si>
    <t>Non-Paving Costs Include Mobilization, MOT, Signage and Signalization, Markings, Drainage, Landscaping, and others costs not noted in Note 17</t>
  </si>
  <si>
    <t>RSL Parameters</t>
  </si>
  <si>
    <t>IRI - Pt</t>
  </si>
  <si>
    <t>IRI</t>
  </si>
  <si>
    <t>FN-Pt</t>
  </si>
  <si>
    <t>FN</t>
  </si>
  <si>
    <t>CI - Pt</t>
  </si>
  <si>
    <t>CI</t>
  </si>
  <si>
    <t>Rut Pt</t>
  </si>
  <si>
    <t>Rut</t>
  </si>
  <si>
    <t>FCI - Pt</t>
  </si>
  <si>
    <t>FCI</t>
  </si>
  <si>
    <t>SCI - Pt</t>
  </si>
  <si>
    <t>SCI</t>
  </si>
  <si>
    <t>FC</t>
  </si>
  <si>
    <t>Min. Years Extension</t>
  </si>
  <si>
    <t>Treatment Name</t>
  </si>
  <si>
    <t>A. Crack / Joint Seals</t>
  </si>
  <si>
    <t>B. Asphalt Sealers /Rejuvenators</t>
  </si>
  <si>
    <t>C. Aggregate Seals</t>
  </si>
  <si>
    <t>D. HMA Overlay</t>
  </si>
  <si>
    <t>E. PCC Overlay</t>
  </si>
  <si>
    <t>F. Patch</t>
  </si>
  <si>
    <t>G. Concrete Pavement Restoration</t>
  </si>
  <si>
    <t>H. Surface Terxturizing</t>
  </si>
  <si>
    <t>I. Major (Heavy) Rehabilitation</t>
  </si>
  <si>
    <t>J. Reconstruction</t>
  </si>
  <si>
    <t>Pavement Fixes</t>
  </si>
  <si>
    <t>Category</t>
  </si>
  <si>
    <t>Type of Activity</t>
  </si>
  <si>
    <t>Increase Capacity</t>
  </si>
  <si>
    <t>Increase Strength</t>
  </si>
  <si>
    <t>Reduce Aging</t>
  </si>
  <si>
    <t>Restore Serviceability</t>
  </si>
  <si>
    <t>Specific Fixes (Including but not limited to)</t>
  </si>
  <si>
    <t>X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</si>
  <si>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Full-Depth Reclamation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</si>
  <si>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Reconstruction</t>
    </r>
  </si>
  <si>
    <t>Structural Rehabilitation</t>
  </si>
  <si>
    <t>Major Rehabilitation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</si>
  <si>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Cold In-Place HMA Recycling (CIR)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</si>
  <si>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Break &amp; Seat and Overlay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</si>
  <si>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Crack &amp; Seat and Overlay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</si>
  <si>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Deep Grind and Thick Overlay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</si>
  <si>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Rubblization &amp; Overlay</t>
    </r>
  </si>
  <si>
    <t>Structural Overlay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</si>
  <si>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b/>
        <sz val="10"/>
        <color theme="1"/>
        <rFont val="Times New Roman"/>
        <family val="1"/>
      </rPr>
      <t xml:space="preserve">Overlay or grind/overlay combination where grade increases more than 1.5”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</si>
  <si>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Greater than 5% of project area has fatigue distresses needing patching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</si>
  <si>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Any concrete overlay</t>
    </r>
  </si>
  <si>
    <t>Minor Rehabilitation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</si>
  <si>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b/>
        <sz val="10"/>
        <color theme="1"/>
        <rFont val="Times New Roman"/>
        <family val="1"/>
      </rPr>
      <t>Grade increase due to overlay or mill/overlay thickness is no more than 1.5”,</t>
    </r>
    <r>
      <rPr>
        <sz val="10"/>
        <color theme="1"/>
        <rFont val="Times New Roman"/>
        <family val="1"/>
      </rPr>
      <t xml:space="preserve"> and the project receives less than 5% patching for structural distress.</t>
    </r>
  </si>
  <si>
    <t>Pavement Preservation</t>
  </si>
  <si>
    <t>Preventive Maintenance</t>
  </si>
  <si>
    <t>Asphalt-surfaced Pavements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</si>
  <si>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Cape seal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</si>
  <si>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Modified chip seal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</si>
  <si>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Chip seal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</si>
  <si>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Patching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</si>
  <si>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Crack Fill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</si>
  <si>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Rejuvenators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</si>
  <si>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Crack seal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</si>
  <si>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Sand seal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</si>
  <si>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Diamond grinding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</si>
  <si>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Sandwich seal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</si>
  <si>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Fog  seal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</si>
  <si>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Scrub seal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</si>
  <si>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High-friction surface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</si>
  <si>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Slurry seal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</si>
  <si>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Hot In-Place Recycling (HIR)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</si>
  <si>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Overlay or mill/overlay using &lt;= 1” asphalt.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</si>
  <si>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Microsurfacing</t>
    </r>
  </si>
  <si>
    <t>Concrete-Surface Pavements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</si>
  <si>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Cross-stitching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</si>
  <si>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Joint sealing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</si>
  <si>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Slab stabilization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</si>
  <si>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Diamond grooving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</si>
  <si>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Spall repair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</si>
  <si>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Dowel-bar retrofit</t>
    </r>
  </si>
  <si>
    <t>Reactive Maintenance</t>
  </si>
  <si>
    <t>Routine Maintenance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</si>
  <si>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Crack Fill/Seal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</si>
  <si>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 xml:space="preserve">Cleaning of roadside ditches and structures </t>
    </r>
  </si>
  <si>
    <t>Corrective Maintenance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</si>
  <si>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Pothole repair/patching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</si>
  <si>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Patching of localized pavement deterioration, e.g. edge failures and/or grade separations along the shoulders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</si>
  <si>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Concrete joint replacement or joint sealing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</si>
  <si>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Concrete full-width and depth slab replacement at isolated locations</t>
    </r>
  </si>
  <si>
    <t>Catastrophic Maintenance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</si>
  <si>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Sinkholes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</si>
  <si>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Road washouts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</si>
  <si>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Water-main breaks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</si>
  <si>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Avalanches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</si>
  <si>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Concrete pavement blow-ups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</si>
  <si>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Times New Roman"/>
        <family val="1"/>
      </rPr>
      <t>Rockslides</t>
    </r>
  </si>
  <si>
    <t>Notes: (1) Highlighted areas (Major Rehabilitation, Structural Overlay, Minor Rehabilitation, Preventative Maintenance and Routine Maintenance) are those eligible to be programmatically addressed by Fund 77.</t>
  </si>
  <si>
    <t>(2) Definitions of Specific Fixes are provided in “MDSHA Guide to Pavement Preservation”</t>
  </si>
  <si>
    <t>GRIND-OVERLAY &gt;1.5IN GRADE INCREASE - GAP</t>
  </si>
  <si>
    <t>FROM</t>
  </si>
  <si>
    <t>(SELECT REP.SECTIONID,</t>
  </si>
  <si>
    <t xml:space="preserve">  REP.YEARS AS "FISCAL YEAR",</t>
  </si>
  <si>
    <t xml:space="preserve">  TO_NUMBER(seg.DISTRICT) DISTRICT, SHOP, </t>
  </si>
  <si>
    <t xml:space="preserve">  seg.COUNTY,</t>
  </si>
  <si>
    <t xml:space="preserve">  sec.FACILITY,</t>
  </si>
  <si>
    <t xml:space="preserve">  sec.SECTION,</t>
  </si>
  <si>
    <t xml:space="preserve">  seg.ROUTE,</t>
  </si>
  <si>
    <t xml:space="preserve">  seg.RNUM,</t>
  </si>
  <si>
    <t xml:space="preserve">  seg.RSUFF,</t>
  </si>
  <si>
    <t xml:space="preserve">  sec.BEGIN_STATION,</t>
  </si>
  <si>
    <t xml:space="preserve">  sec.END_STATION,</t>
  </si>
  <si>
    <t xml:space="preserve">  sec.DIRECTION,</t>
  </si>
  <si>
    <t xml:space="preserve">  seg.BEGIN_LIMIT,</t>
  </si>
  <si>
    <t xml:space="preserve">  seg.END_LIMIT,</t>
  </si>
  <si>
    <t xml:space="preserve">  seg.TOTAL_LANES   AS "NO. OF LANES",</t>
  </si>
  <si>
    <t xml:space="preserve">  ROUND(SEC.AREA,2) AS "TOTAL LANE MILES",</t>
  </si>
  <si>
    <t xml:space="preserve">  DIVIDED,</t>
  </si>
  <si>
    <t xml:space="preserve">  CASE</t>
  </si>
  <si>
    <t xml:space="preserve">    THEN 'URBAN'</t>
  </si>
  <si>
    <t xml:space="preserve">    ELSE 'RURAL'</t>
  </si>
  <si>
    <t xml:space="preserve">  END AS ROAD_CLASS,</t>
  </si>
  <si>
    <t xml:space="preserve">    WHEN Upper(seg.ROUTE) = 'IS'</t>
  </si>
  <si>
    <t xml:space="preserve">    THEN 'IS'</t>
  </si>
  <si>
    <t xml:space="preserve">    ELSE 'NON-IS'</t>
  </si>
  <si>
    <t xml:space="preserve">  END                       AS ROAD_TYPE,</t>
  </si>
  <si>
    <t xml:space="preserve">  TO_NUMBER(seg.FUNC_CLASS) AS "FUNCTIONAL_CLASS",</t>
  </si>
  <si>
    <t xml:space="preserve">  seg.PAVEMENT_TYPE,</t>
  </si>
  <si>
    <t xml:space="preserve">  SEG.AVG_IRI AVG_IRI_2013,</t>
  </si>
  <si>
    <t xml:space="preserve">  SEG.R_IRI R_IRI_2013,</t>
  </si>
  <si>
    <t xml:space="preserve">  SEG.CI CI_2013,</t>
  </si>
  <si>
    <t xml:space="preserve">  SEG.CI_FUNCTIONAL CI_FUNCTIONAL_2013,</t>
  </si>
  <si>
    <t xml:space="preserve">  SEG.CI_STRUCTURAL CI_STRUCTURAL_2013,</t>
  </si>
  <si>
    <t xml:space="preserve">  SEG.AVG_RUT AVG_RUT_2013,</t>
  </si>
  <si>
    <t xml:space="preserve">  SEG.SPADJ_SKID_NUMBER SPAD_SKID_NUMBER_2013,</t>
  </si>
  <si>
    <t xml:space="preserve">  rep.TREATMENT,</t>
  </si>
  <si>
    <t xml:space="preserve">  ROUND(rep.COST_,0)                   AS BUDGET,</t>
  </si>
  <si>
    <t xml:space="preserve">  ROUND(rep.REMAINING_LIFE,1)          AS "TREATMENT LIFE",</t>
  </si>
  <si>
    <t xml:space="preserve">  ROUND(rep.remaining_life*sec.area,1) AS "LANE_MILE_YEARS"</t>
  </si>
  <si>
    <t>AND Upper(rep.TREATMENT) != 'NO TREATMENT'</t>
  </si>
  <si>
    <t>rep.YEARS, seg.DISTRICT, SHOP, seg.COUNTY,sec.FACILITY, sec.SECTION,</t>
  </si>
  <si>
    <t>SEG.R_IRI, SEG.CI, SEG.CI_FUNCTIONAL, SEG.CI_STRUCTURAL, SEG.AVG_RUT, SEG.SPADJ_SKID_NUMBER,</t>
  </si>
  <si>
    <t>rep.RLHASH,DIVIDED,rep.REMAINING_LIFE,rep.COST_,SEC.AREA) projlist,-- Main project list is from this subquery</t>
  </si>
  <si>
    <t>(SELECT sectionid, rlhash</t>
  </si>
  <si>
    <t>WHERE prersl.sectionid =postrsl.sectionid</t>
  </si>
  <si>
    <t>AND projlist.sectionid =prersl.sectionid</t>
  </si>
  <si>
    <t>;</t>
  </si>
  <si>
    <t>JOINT RESEALING</t>
  </si>
  <si>
    <t>FOG SEAL</t>
  </si>
  <si>
    <t>REJUVENATOR</t>
  </si>
  <si>
    <t>CAPE SEAL</t>
  </si>
  <si>
    <t>CHIP SEAL</t>
  </si>
  <si>
    <t>HIGH FRICTION SURFACE</t>
  </si>
  <si>
    <t>SAND SEAL</t>
  </si>
  <si>
    <t>GRIND &gt;=4IN-OVERLAY WITH ASPHALT</t>
  </si>
  <si>
    <t>OVERLAY &lt;=1.5IN ASPHALT - GAP</t>
  </si>
  <si>
    <t>OVERLAY &gt;1.5IN ASPHALT - GAP</t>
  </si>
  <si>
    <t>HOT-IN-PLACE RECYCLING</t>
  </si>
  <si>
    <t>UNBONDED PORTLAND CEMENT CONCRETE OVERLAY</t>
  </si>
  <si>
    <t>BONDED PORTLAND CEMENT CONCRETE OVERLAY</t>
  </si>
  <si>
    <t>CONCRETE PAVEMENT RESTORATION - NO DIAMOND GRIND</t>
  </si>
  <si>
    <t>DIAMOND GRINDING</t>
  </si>
  <si>
    <t>DIAMOND GROOVING</t>
  </si>
  <si>
    <t>COLD-IN-PLACE RECYCLING-OVERLAY</t>
  </si>
  <si>
    <t>BREAK-CRACK-SEAT-OVERLAY</t>
  </si>
  <si>
    <t>RUBBILIZATION-OVERLAY</t>
  </si>
  <si>
    <t>RECONSTRUCTION</t>
  </si>
  <si>
    <t>FULL-DEPTH RECLAMATION-OVERLAY</t>
  </si>
  <si>
    <t>SELECT projlist.SECTIONID</t>
  </si>
  <si>
    <t>,projlist."FISCAL YEAR"</t>
  </si>
  <si>
    <t>,projlist.DISTRICT</t>
  </si>
  <si>
    <t>,projlist.DIRECTION</t>
  </si>
  <si>
    <t>,projlist.BEGIN_LIMIT</t>
  </si>
  <si>
    <t>,projlist.END_LIMIT</t>
  </si>
  <si>
    <t>,projlist."NO. OF LANES"</t>
  </si>
  <si>
    <t>,projlist."TOTAL LANE MILES"</t>
  </si>
  <si>
    <t>,projlist.DIVIDED</t>
  </si>
  <si>
    <t>,projlist.ROAD_CLASS</t>
  </si>
  <si>
    <t>,projlist.PAVEMENT_TYPE</t>
  </si>
  <si>
    <t>,projlist.R_IRI_2013</t>
  </si>
  <si>
    <t>,projlist.CI_2013</t>
  </si>
  <si>
    <t>,projlist.CI_FUNCTIONAL_2013</t>
  </si>
  <si>
    <t>,projlist.CI_STRUCTURAL_2013</t>
  </si>
  <si>
    <t>,projlist.AVG_RUT_2013</t>
  </si>
  <si>
    <t>,projlist.SPAD_SKID_NUMBER_2013</t>
  </si>
  <si>
    <t>,projlist.TREATMENT</t>
  </si>
  <si>
    <t>,projlist.BUDGET</t>
  </si>
  <si>
    <t>,projlist.SHOP</t>
  </si>
  <si>
    <t>,projlist.COUNTY</t>
  </si>
  <si>
    <t>,projlist.FACILITY</t>
  </si>
  <si>
    <t>,projlist.SECTION</t>
  </si>
  <si>
    <t>,projlist.ROUTE</t>
  </si>
  <si>
    <t>,projlist.RNUM</t>
  </si>
  <si>
    <t>,projlist.RSUFF</t>
  </si>
  <si>
    <t>,projlist.BEGIN_STATION</t>
  </si>
  <si>
    <t>,projlist.END_STATION</t>
  </si>
  <si>
    <t>,projlist."TREATMENT LIFE"</t>
  </si>
  <si>
    <t>,projlist.LANE_MILE_YEARS</t>
  </si>
  <si>
    <t>,projlist.AVG_IRI_2013</t>
  </si>
  <si>
    <t>,projlist.ROAD_TYPE</t>
  </si>
  <si>
    <t>,projlist.FUNCTIONAL_CLASS</t>
  </si>
  <si>
    <t>,projlist.AVG_IRI_2017</t>
  </si>
  <si>
    <t>,projlist.CI_2017</t>
  </si>
  <si>
    <t>,projlist.CI_FUNCTIONAL_2017</t>
  </si>
  <si>
    <t>,projlist.CI_STRUCTURAL_2017</t>
  </si>
  <si>
    <t>,projlist.AVG_RUT_2017</t>
  </si>
  <si>
    <t>,projlist.SPADJ_SKID_NUMBER_2017</t>
  </si>
  <si>
    <t>,CASE WHEN postrsl.iri_rsl_2017&lt;0 THEN 0 WHEN postrsl.iri_rsl_2017&gt;50 THEN 50 ELSE postrsl.iri_rsl_2017 END iri_rsl_2017</t>
  </si>
  <si>
    <t>,CASE WHEN postrsl.fci_rsl_2017&lt;0 THEN 0 WHEN postrsl.fci_rsl_2017&gt;50 THEN 50 ELSE postrsl.fci_rsl_2017 END fci_rsl_2017</t>
  </si>
  <si>
    <t>,CASE WHEN postrsl.sci_rsl_2017&lt;0 THEN 0 WHEN postrsl.sci_rsl_2017&gt;50 THEN 50 ELSE postrsl.sci_rsl_2017 END sci_rsl_2017</t>
  </si>
  <si>
    <t>,CASE WHEN postrsl.rut_rsl_2017&lt;0 THEN 0 WHEN postrsl.rut_rsl_2017&gt;50 THEN 50 ELSE postrsl.rut_rsl_2017 END rut_rsl_2017</t>
  </si>
  <si>
    <t>,CASE WHEN postrsl.skid_rsl_2017&lt;0 THEN 0 WHEN postrsl.skid_rsl_2017&gt;50 THEN 50 ELSE postrsl.skid_rsl_2017 END skid_rsl_2017</t>
  </si>
  <si>
    <t>,projlist.AADT_VMT_2016</t>
  </si>
  <si>
    <t>,projlist.AVG_IRI_2016</t>
  </si>
  <si>
    <t>,projlist.CI_2016</t>
  </si>
  <si>
    <t>,projlist.CI_FUNCTIONAL_2016</t>
  </si>
  <si>
    <t>,projlist.CI_STRUCTURAL_2016</t>
  </si>
  <si>
    <t>,projlist.AVG_RUT_2016</t>
  </si>
  <si>
    <t>,projlist.SPADJ_SKID_NUMBER_2016</t>
  </si>
  <si>
    <t>,CASE WHEN prersl.iri_rsl_2016&lt;0 THEN 0 WHEN prersl.iri_rsl_2016&gt;50 THEN 50 ELSE prersl.iri_rsl_2016 END iri_rsl_2016</t>
  </si>
  <si>
    <t>,CASE WHEN prersl.fci_rsl_2016&lt;0 THEN 0 WHEN prersl.fci_rsl_2016&gt;50 THEN 50 ELSE prersl.fci_rsl_2016 END fci_rsl_2016</t>
  </si>
  <si>
    <t>,CASE WHEN prersl.sci_rsl_2016&lt;0 THEN 0 WHEN prersl.sci_rsl_2016&gt;50 THEN 50 ELSE prersl.sci_rsl_2016 END sci_rsl_2016</t>
  </si>
  <si>
    <t>,CASE WHEN prersl.rut_rsl_2016&lt;0 THEN 0 WHEN prersl.rut_rsl_2016&gt;50 THEN 50 ELSE prersl.rut_rsl_2016 END rut_rsl_2016</t>
  </si>
  <si>
    <t>,CASE WHEN prersl.skid_rsl_2016&lt;0 THEN 0 WHEN prersl.skid_rsl_2016&gt;50 THEN 50 ELSE prersl.skid_rsl_2016 END skid_rsl_2016</t>
  </si>
  <si>
    <t xml:space="preserve">    WHEN Upper(sim.ROAD_CLASS_2017) = 'U'</t>
  </si>
  <si>
    <t xml:space="preserve">  SIM.AVG_IRI_2017,</t>
  </si>
  <si>
    <t xml:space="preserve">  SIM.CI_FUNCTIONAL_2017*0.25+SIM.CI_STRUCTURAL_2017*0.75 CI_2017,</t>
  </si>
  <si>
    <t xml:space="preserve">  SIM.CI_FUNCTIONAL_2017,</t>
  </si>
  <si>
    <t xml:space="preserve">  SIM.CI_STRUCTURAL_2017,</t>
  </si>
  <si>
    <t xml:space="preserve">  SIM.AVG_RUT_2017,</t>
  </si>
  <si>
    <t xml:space="preserve">  SIM.SPADJ_SKID_NUMBER_2017,</t>
  </si>
  <si>
    <t>WHERE  rep.YEARS = 2017</t>
  </si>
  <si>
    <t>seg.TOTAL_LANES, sim.ROAD_CLASS_2017,seg.PAVEMENT_TYPE,seg.FUNC_CLASS,</t>
  </si>
  <si>
    <t xml:space="preserve">sim.AADT_2017,seg.LAST_TREATMENT,rep.TREATMENT,SEG.AVG_IRI, </t>
  </si>
  <si>
    <t>WHERE YEARS = 2017) postrsl -- post rsl values are from this subquery</t>
  </si>
  <si>
    <t xml:space="preserve">  SIM.AADT_VMT_2016,</t>
  </si>
  <si>
    <t xml:space="preserve">  SIM.AVG_IRI_2016,</t>
  </si>
  <si>
    <t xml:space="preserve">  SIM.CI_FUNCTIONAL_2016*0.25+SIM.CI_STRUCTURAL_2016*0.75 CI_2016,</t>
  </si>
  <si>
    <t xml:space="preserve">  SIM.CI_FUNCTIONAL_2016,</t>
  </si>
  <si>
    <t xml:space="preserve">  SIM.CI_STRUCTURAL_2016,</t>
  </si>
  <si>
    <t xml:space="preserve">  SIM.AVG_RUT_2016,</t>
  </si>
  <si>
    <t xml:space="preserve">  SIM.SPADJ_SKID_NUMBER_2016,</t>
  </si>
  <si>
    <t xml:space="preserve">GROUP BY REP.SECTIONID, SIM.AADT_VMT_2016, </t>
  </si>
  <si>
    <t>SIM.AVG_IRI_2016, SIM.AVG_IRI_2017,</t>
  </si>
  <si>
    <t>SIM.CI_FUNCTIONAL_2016, SIM.CI_FUNCTIONAL_2017,</t>
  </si>
  <si>
    <t>SIM.CI_STRUCTURAL_2016, SIM.CI_STRUCTURAL_2017,</t>
  </si>
  <si>
    <t>SIM.AVG_RUT_2016, SIM.AVG_RUT_2017,</t>
  </si>
  <si>
    <t>SIM.SPADJ_SKID_NUMBER_2016, SIM.SPADJ_SKID_NUMBER_2017,</t>
  </si>
  <si>
    <t>WHERE YEARS = 2016) prersl,-- pre rsl values are from this subquery</t>
  </si>
  <si>
    <t>Low Skid or High Rut Location</t>
  </si>
  <si>
    <t>,PROJLIST.SKID_RUT_FY17</t>
  </si>
  <si>
    <t>,PROJLIST.GLOBAL_ROUTE_ID</t>
  </si>
  <si>
    <t xml:space="preserve">  SEG.GLOBAL_ROUTE_ID,</t>
  </si>
  <si>
    <t>SEG.GLOBAL_ROUTE_ID,</t>
  </si>
  <si>
    <t>LMY based on original RSL (sum)</t>
  </si>
  <si>
    <t>LMY based on original RSL (range)</t>
  </si>
  <si>
    <t>District range</t>
  </si>
  <si>
    <t>ADJUSTED CONS BUDGET+ DIFFERENCE range</t>
  </si>
  <si>
    <t>Visidata Year</t>
  </si>
  <si>
    <t>RC Selected projects budget=</t>
  </si>
  <si>
    <t>Total budget for the year=</t>
  </si>
  <si>
    <t>Magic number
 &lt;--</t>
  </si>
  <si>
    <t>Paving</t>
  </si>
  <si>
    <t>No. of sections (cell O1) =</t>
  </si>
  <si>
    <t>$/LMY Range (for Commit order)</t>
  </si>
  <si>
    <t>Data collection Year</t>
  </si>
  <si>
    <t>Intentionally omitted</t>
  </si>
  <si>
    <t>eGIS</t>
  </si>
  <si>
    <t>,CASE WHEN regexp_instr (RLHASH, 'IRI',1)= 0 THEN NULL</t>
  </si>
  <si>
    <t xml:space="preserve"> WHEN (regexp_substr(rlhash,'[[:digit:]]+',regexp_instr (RLHASH, 'IRI',1),1) IS NULL </t>
  </si>
  <si>
    <t xml:space="preserve"> AND regexp_substr(rlhash,'[[:digit:]]+',regexp_instr (RLHASH, 'IRI',1),2) IS NULL) THEN 0 ELSE</t>
  </si>
  <si>
    <t>TO_NUMBER(REGEXP_SUBSTR(RLHASH,'[[:digit:]]+',REGEXP_INSTR (RLHASH, 'IRI',1),1)||'.'|| REGEXP_SUBSTR(RLHASH,'[[:digit:]]+',REGEXP_INSTR (RLHASH, 'IRI',1),2))-1 END IRI_RSL_2016</t>
  </si>
  <si>
    <t>,CASE WHEN regexp_instr (RLHASH, 'SKID',1)= 0 THEN NULL</t>
  </si>
  <si>
    <t xml:space="preserve"> WHEN (regexp_substr(rlhash,'[[:digit:]]+',regexp_instr (RLHASH, 'SKID',1),1) IS NULL </t>
  </si>
  <si>
    <t xml:space="preserve"> AND regexp_substr(rlhash,'[[:digit:]]+',regexp_instr (RLHASH, 'SKID',1),2) IS NULL) THEN 0 ELSE</t>
  </si>
  <si>
    <t>TO_NUMBER(REGEXP_SUBSTR(RLHASH,'[[:digit:]]+',REGEXP_INSTR (RLHASH, 'SKID',1),1)||'.'|| REGEXP_SUBSTR(RLHASH,'[[:digit:]]+',REGEXP_INSTR (RLHASH, 'SKID',1),2))-1 END SKID_RSL_2016</t>
  </si>
  <si>
    <t>,CASE WHEN regexp_instr (RLHASH, 'STRUCTURAL',1)= 0 THEN NULL</t>
  </si>
  <si>
    <t xml:space="preserve"> WHEN (regexp_substr(rlhash,'[[:digit:]]+',regexp_instr (RLHASH, 'STRUCTURAL',1),1) IS NULL </t>
  </si>
  <si>
    <t xml:space="preserve"> AND regexp_substr(rlhash,'[[:digit:]]+',regexp_instr (RLHASH, 'STRUCTURAL',1),2) IS NULL) THEN 0 ELSE</t>
  </si>
  <si>
    <t>TO_NUMBER(REGEXP_SUBSTR(RLHASH,'[[:digit:]]+',REGEXP_INSTR (RLHASH, 'STRUCTURAL',1),1)||'.'|| REGEXP_SUBSTR(RLHASH,'[[:digit:]]+',REGEXP_INSTR (RLHASH, 'STRUCTURAL',1),2))-1 END SCI_RSL_2016</t>
  </si>
  <si>
    <t>,CASE WHEN regexp_instr (RLHASH, 'RUT',1)= 0 THEN NULL</t>
  </si>
  <si>
    <t xml:space="preserve"> WHEN (regexp_substr(rlhash,'[[:digit:]]+',regexp_instr (RLHASH, 'RUT',1),1) IS NULL </t>
  </si>
  <si>
    <t xml:space="preserve"> AND regexp_substr(rlhash,'[[:digit:]]+',regexp_instr (RLHASH, 'RUT',1),2) IS NULL) THEN 0 ELSE</t>
  </si>
  <si>
    <t>TO_NUMBER(REGEXP_SUBSTR(RLHASH,'[[:digit:]]+',REGEXP_INSTR (RLHASH, 'RUT',1),1)||'.'|| REGEXP_SUBSTR(RLHASH,'[[:digit:]]+',REGEXP_INSTR (RLHASH, 'RUT',1),2))-1 END RUT_RSL_2016</t>
  </si>
  <si>
    <t>,CASE WHEN regexp_instr (RLHASH, 'FUNCTIONAL',1)= 0 THEN NULL</t>
  </si>
  <si>
    <t xml:space="preserve"> WHEN (regexp_substr(rlhash,'[[:digit:]]+',regexp_instr (RLHASH, 'FUNCTIONAL',1),1) IS NULL </t>
  </si>
  <si>
    <t xml:space="preserve"> AND regexp_substr(rlhash,'[[:digit:]]+',regexp_instr (RLHASH, 'FUNCTIONAL',1),2) IS NULL) THEN 0 ELSE</t>
  </si>
  <si>
    <t>TO_NUMBER(REGEXP_SUBSTR(RLHASH,'[[:digit:]]+',REGEXP_INSTR (RLHASH, 'FUNCTIONAL',1),1)||'.'|| REGEXP_SUBSTR(RLHASH,'[[:digit:]]+',REGEXP_INSTR (RLHASH, 'FUNCTIONAL',1),2))-1 END FCI_RSL_2016</t>
  </si>
  <si>
    <t>TO_NUMBER(REGEXP_SUBSTR(RLHASH,'[[:digit:]]+',REGEXP_INSTR (RLHASH, 'IRI',1),1)||'.'|| REGEXP_SUBSTR(RLHASH,'[[:digit:]]+',REGEXP_INSTR (RLHASH, 'IRI',1),2)) END IRI_RSL_2017</t>
  </si>
  <si>
    <t>TO_NUMBER(REGEXP_SUBSTR(RLHASH,'[[:digit:]]+',REGEXP_INSTR (RLHASH, 'SKID',1),1)||'.'|| REGEXP_SUBSTR(RLHASH,'[[:digit:]]+',REGEXP_INSTR (RLHASH, 'SKID',1),2)) END SKID_RSL_2017</t>
  </si>
  <si>
    <t>TO_NUMBER(REGEXP_SUBSTR(RLHASH,'[[:digit:]]+',REGEXP_INSTR (RLHASH, 'STRUCTURAL',1),1)||'.'|| REGEXP_SUBSTR(RLHASH,'[[:digit:]]+',REGEXP_INSTR (RLHASH, 'STRUCTURAL',1),2)) END SCI_RSL_2017</t>
  </si>
  <si>
    <t>TO_NUMBER(REGEXP_SUBSTR(RLHASH,'[[:digit:]]+',REGEXP_INSTR (RLHASH, 'RUT',1),1)||'.'|| REGEXP_SUBSTR(RLHASH,'[[:digit:]]+',REGEXP_INSTR (RLHASH, 'RUT',1),2)) END RUT_RSL_2017</t>
  </si>
  <si>
    <t>TO_NUMBER(REGEXP_SUBSTR(RLHASH,'[[:digit:]]+',REGEXP_INSTR (RLHASH, 'FUNCTIONAL',1),1)||'.'|| REGEXP_SUBSTR(RLHASH,'[[:digit:]]+',REGEXP_INSTR (RLHASH, 'FUNCTIONAL',1),2)) END FCI_RSL_2017</t>
  </si>
  <si>
    <t>DO-MD 331</t>
  </si>
  <si>
    <t>N</t>
  </si>
  <si>
    <t>DO-MD 392</t>
  </si>
  <si>
    <t>W</t>
  </si>
  <si>
    <t>SO-MD 413</t>
  </si>
  <si>
    <t>SO-MD 675</t>
  </si>
  <si>
    <t>WI-MD 12</t>
  </si>
  <si>
    <t>WI-MD 346</t>
  </si>
  <si>
    <t>WI-MD 513</t>
  </si>
  <si>
    <t>S</t>
  </si>
  <si>
    <t>WI-MD 54</t>
  </si>
  <si>
    <t>WI-MD 675B</t>
  </si>
  <si>
    <t>WI-US 13BU</t>
  </si>
  <si>
    <t>WO-MD 12</t>
  </si>
  <si>
    <t>WO-MD 378</t>
  </si>
  <si>
    <t>WO-MD 528</t>
  </si>
  <si>
    <t>WO-MD 589</t>
  </si>
  <si>
    <t>WO-MD 611</t>
  </si>
  <si>
    <t>WO-MD 90</t>
  </si>
  <si>
    <t>QA-MD 213</t>
  </si>
  <si>
    <t>QA-MD 552</t>
  </si>
  <si>
    <t>QA-MD 8</t>
  </si>
  <si>
    <t>KE-MD 213</t>
  </si>
  <si>
    <t>CO-MD 331</t>
  </si>
  <si>
    <t>CO-MD 404</t>
  </si>
  <si>
    <t>TA-MD 328</t>
  </si>
  <si>
    <t>TA-MD 33</t>
  </si>
  <si>
    <t>TA-MD 331</t>
  </si>
  <si>
    <t>CE-MD 213</t>
  </si>
  <si>
    <t>MO-MD 195</t>
  </si>
  <si>
    <t>MO-MD 355</t>
  </si>
  <si>
    <t>MO-MD 410</t>
  </si>
  <si>
    <t>MO-US 29</t>
  </si>
  <si>
    <t>MO-MD 108</t>
  </si>
  <si>
    <t>MO-MD 117</t>
  </si>
  <si>
    <t>MO-MD 189</t>
  </si>
  <si>
    <t>MO-MD 191</t>
  </si>
  <si>
    <t>MO-MD 27</t>
  </si>
  <si>
    <t>MO-MD 28</t>
  </si>
  <si>
    <t>PG-MD 193</t>
  </si>
  <si>
    <t>PG-MD 197</t>
  </si>
  <si>
    <t>PG-MD 198</t>
  </si>
  <si>
    <t>PG-MD 202</t>
  </si>
  <si>
    <t>PG-MD 212</t>
  </si>
  <si>
    <t>PG-MD 410</t>
  </si>
  <si>
    <t>PG-MD 564</t>
  </si>
  <si>
    <t>PG-US 1</t>
  </si>
  <si>
    <t>PG-MD 210U</t>
  </si>
  <si>
    <t>PG-MD 223</t>
  </si>
  <si>
    <t>PG-MD 337</t>
  </si>
  <si>
    <t>PG-MD 967A</t>
  </si>
  <si>
    <t>PG-MD 967D</t>
  </si>
  <si>
    <t>HA-MD 136</t>
  </si>
  <si>
    <t>HA-MD 138</t>
  </si>
  <si>
    <t>HA-MD 146</t>
  </si>
  <si>
    <t>HA-MD 152</t>
  </si>
  <si>
    <t>HA-MD 155</t>
  </si>
  <si>
    <t>HA-MD 165</t>
  </si>
  <si>
    <t>HA-MD 22</t>
  </si>
  <si>
    <t>HA-MD 23</t>
  </si>
  <si>
    <t>HA-MD 543</t>
  </si>
  <si>
    <t>HA-MD 7</t>
  </si>
  <si>
    <t>HA-MD 924</t>
  </si>
  <si>
    <t>HA-US 1</t>
  </si>
  <si>
    <t>BA-MD 157</t>
  </si>
  <si>
    <t>BA-MD 41</t>
  </si>
  <si>
    <t>BA-MD 45</t>
  </si>
  <si>
    <t>BA-MD 695A</t>
  </si>
  <si>
    <t>BA-MD 7</t>
  </si>
  <si>
    <t>BA-US 1</t>
  </si>
  <si>
    <t>BA-US 40</t>
  </si>
  <si>
    <t>BA-MD 138</t>
  </si>
  <si>
    <t>BA-MD 139</t>
  </si>
  <si>
    <t>BA-MD 146</t>
  </si>
  <si>
    <t>BA-MD 129</t>
  </si>
  <si>
    <t>BA-MD 140</t>
  </si>
  <si>
    <t>BA-MD 144</t>
  </si>
  <si>
    <t>BA-MD 26</t>
  </si>
  <si>
    <t>BA-US 1AL</t>
  </si>
  <si>
    <t>AA-MD 175</t>
  </si>
  <si>
    <t>AA-MD 178</t>
  </si>
  <si>
    <t>AA-MD 2</t>
  </si>
  <si>
    <t>AA-MD 253</t>
  </si>
  <si>
    <t>AA-MD 256</t>
  </si>
  <si>
    <t>AA-MD 258</t>
  </si>
  <si>
    <t>AA-MD 32</t>
  </si>
  <si>
    <t>AA-MD 424</t>
  </si>
  <si>
    <t>AA-MD 450</t>
  </si>
  <si>
    <t>AA-MD 732R</t>
  </si>
  <si>
    <t>AA-MD 169</t>
  </si>
  <si>
    <t>AA-MD 170</t>
  </si>
  <si>
    <t>AA-MD 171</t>
  </si>
  <si>
    <t>AA-MD 3BU</t>
  </si>
  <si>
    <t>AA-MD 607</t>
  </si>
  <si>
    <t>AA-MD 648H</t>
  </si>
  <si>
    <t>AA-MD 713B</t>
  </si>
  <si>
    <t>CH-MD 225</t>
  </si>
  <si>
    <t>CH-MD 227</t>
  </si>
  <si>
    <t>CH-MD 381</t>
  </si>
  <si>
    <t>CH-US 301</t>
  </si>
  <si>
    <t>SM-MD 235</t>
  </si>
  <si>
    <t>SM-MD 242</t>
  </si>
  <si>
    <t>SM-MD 245</t>
  </si>
  <si>
    <t>SM-MD 4</t>
  </si>
  <si>
    <t>SM-MD 5</t>
  </si>
  <si>
    <t>CA-MD 2</t>
  </si>
  <si>
    <t>CA-MD 260</t>
  </si>
  <si>
    <t>CA-MD 261</t>
  </si>
  <si>
    <t>CA-MD 4</t>
  </si>
  <si>
    <t>WA-MD 58</t>
  </si>
  <si>
    <t>WA-MD 60</t>
  </si>
  <si>
    <t>WA-MD 63</t>
  </si>
  <si>
    <t>WA-MD 65</t>
  </si>
  <si>
    <t>WA-MD 66</t>
  </si>
  <si>
    <t>WA-US 11</t>
  </si>
  <si>
    <t>WA-US 40</t>
  </si>
  <si>
    <t>WA-US 40AL</t>
  </si>
  <si>
    <t>GA-MD 135</t>
  </si>
  <si>
    <t>GA-US 219</t>
  </si>
  <si>
    <t>AL-MD 135</t>
  </si>
  <si>
    <t>AL-MD 51</t>
  </si>
  <si>
    <t>AL-MD 61</t>
  </si>
  <si>
    <t>AL-US 220</t>
  </si>
  <si>
    <t>AL-US 40AL</t>
  </si>
  <si>
    <t>HO-MD 103</t>
  </si>
  <si>
    <t>HO-MD 108</t>
  </si>
  <si>
    <t>HO-MD 175</t>
  </si>
  <si>
    <t>HO-MD 27</t>
  </si>
  <si>
    <t>HO-MD 32</t>
  </si>
  <si>
    <t>HO-MD 94</t>
  </si>
  <si>
    <t>HO-MD 99</t>
  </si>
  <si>
    <t>HO-US 1</t>
  </si>
  <si>
    <t>FR-MD 140</t>
  </si>
  <si>
    <t>FR-MD 144FA</t>
  </si>
  <si>
    <t>FR-MD 194</t>
  </si>
  <si>
    <t>FR-MD 26</t>
  </si>
  <si>
    <t>FR-MD 28</t>
  </si>
  <si>
    <t>FR-MD 76</t>
  </si>
  <si>
    <t>FR-MD 85</t>
  </si>
  <si>
    <t>FR-US 15</t>
  </si>
  <si>
    <t>FR-US 40</t>
  </si>
  <si>
    <t>CL-MD 140</t>
  </si>
  <si>
    <t>CL-MD 26</t>
  </si>
  <si>
    <t>CL-MD 27</t>
  </si>
  <si>
    <t>CL-MD 30</t>
  </si>
  <si>
    <t>CL-MD 31</t>
  </si>
  <si>
    <t>CL-MD 32</t>
  </si>
  <si>
    <t>CL-MD 91</t>
  </si>
  <si>
    <t>CL-MD 97</t>
  </si>
  <si>
    <t>PREFIX</t>
  </si>
  <si>
    <t>ROUTE #</t>
  </si>
  <si>
    <t>SUFFIX</t>
  </si>
  <si>
    <t>Dir_Div</t>
  </si>
  <si>
    <t>AA-CO 1476</t>
  </si>
  <si>
    <t>ALL DIR</t>
  </si>
  <si>
    <t>AA-CO 2209</t>
  </si>
  <si>
    <t>AA-CO 4645</t>
  </si>
  <si>
    <t>AA-CO 5175</t>
  </si>
  <si>
    <t>AA-CO 5464</t>
  </si>
  <si>
    <t>AA-GV 714 RP2-10</t>
  </si>
  <si>
    <t>NB ONLY</t>
  </si>
  <si>
    <t>AA-IS 195 RP1-1</t>
  </si>
  <si>
    <t>AA-IS 195 RP1-2</t>
  </si>
  <si>
    <t>AA-IS 195 RP2-1</t>
  </si>
  <si>
    <t>WB ONLY</t>
  </si>
  <si>
    <t>AA-IS 195 RP2-2</t>
  </si>
  <si>
    <t>SB ONLY</t>
  </si>
  <si>
    <t>AA-IS 195 RP3-1</t>
  </si>
  <si>
    <t>AA-IS 195 RP3-2</t>
  </si>
  <si>
    <t>EB ONLY</t>
  </si>
  <si>
    <t>AA-IS 195 RP4-1</t>
  </si>
  <si>
    <t>AA-IS 195 RP4-2</t>
  </si>
  <si>
    <t>AA-IS 195 RP5-1</t>
  </si>
  <si>
    <t>AA-IS 195 RP5-2</t>
  </si>
  <si>
    <t>AA-IS 195 RP6-1</t>
  </si>
  <si>
    <t>AA-IS 195 RP6-2</t>
  </si>
  <si>
    <t>AA-IS 195 RP7-1</t>
  </si>
  <si>
    <t>AA-IS 195 RP7-2</t>
  </si>
  <si>
    <t>AA-IS 195 RP8-1</t>
  </si>
  <si>
    <t>AA-IS 195 RP8-2</t>
  </si>
  <si>
    <t>AA-IS 595 RP10-21</t>
  </si>
  <si>
    <t>AA-IS 595 RP11-21</t>
  </si>
  <si>
    <t>AA-IS 595 RP1-16</t>
  </si>
  <si>
    <t>AA-IS 595 RP1-22</t>
  </si>
  <si>
    <t>AA-IS 595 RP1-23</t>
  </si>
  <si>
    <t>AA-IS 595 RP1-24</t>
  </si>
  <si>
    <t>AA-IS 595 RP2-16</t>
  </si>
  <si>
    <t>AA-IS 595 RP2-22</t>
  </si>
  <si>
    <t>AA-IS 595 RP2-24</t>
  </si>
  <si>
    <t>AA-IS 595 RP3-16</t>
  </si>
  <si>
    <t>AA-IS 595 RP3-22</t>
  </si>
  <si>
    <t>AA-IS 595 RP3-24</t>
  </si>
  <si>
    <t>AA-IS 595 RP4-16</t>
  </si>
  <si>
    <t>AA-IS 595 RP4-22</t>
  </si>
  <si>
    <t>AA-IS 595 RP4-23</t>
  </si>
  <si>
    <t>AA-IS 595 RP4-24</t>
  </si>
  <si>
    <t>AA-IS 595 RP5-16</t>
  </si>
  <si>
    <t>AA-IS 595 RP5-22</t>
  </si>
  <si>
    <t>AA-IS 595 RP5-23</t>
  </si>
  <si>
    <t>AA-IS 595 RP5-24</t>
  </si>
  <si>
    <t>AA-IS 595 RP6-16</t>
  </si>
  <si>
    <t>AA-IS 595 RP6-22</t>
  </si>
  <si>
    <t>AA-IS 595 RP6-24</t>
  </si>
  <si>
    <t>AA-IS 595 RP7-16</t>
  </si>
  <si>
    <t>AA-IS 595 RP7-21</t>
  </si>
  <si>
    <t>AA-IS 595 RP7-22</t>
  </si>
  <si>
    <t>AA-IS 595 RP7-23</t>
  </si>
  <si>
    <t>AA-IS 595 RP7-24</t>
  </si>
  <si>
    <t>AA-IS 595 RP8-16</t>
  </si>
  <si>
    <t>AA-IS 595 RP8-22</t>
  </si>
  <si>
    <t>AA-IS 595 RP8-23</t>
  </si>
  <si>
    <t>AA-IS 595 RP8-24</t>
  </si>
  <si>
    <t>AA-IS 595 RP9-21</t>
  </si>
  <si>
    <t>AA-IS 595 RP9-23</t>
  </si>
  <si>
    <t>AA-IS 695 RP1-5</t>
  </si>
  <si>
    <t>AA-IS 695 RP1-6</t>
  </si>
  <si>
    <t>AA-IS 695 RP1-7</t>
  </si>
  <si>
    <t>AA-IS 695 RP1-8</t>
  </si>
  <si>
    <t>AA-IS 695 RP2-5</t>
  </si>
  <si>
    <t>AA-IS 695 RP2-7</t>
  </si>
  <si>
    <t>AA-IS 695 RP2-8</t>
  </si>
  <si>
    <t>AA-IS 695 RP3-5</t>
  </si>
  <si>
    <t>AA-IS 695 RP3-6</t>
  </si>
  <si>
    <t>AA-IS 695 RP3-7</t>
  </si>
  <si>
    <t>AA-IS 695 RP4-5</t>
  </si>
  <si>
    <t>AA-IS 695 RP4-7</t>
  </si>
  <si>
    <t>AA-IS 695 RP4-8</t>
  </si>
  <si>
    <t>AA-IS 695 RP5-5</t>
  </si>
  <si>
    <t>AA-IS 695 RP5-7</t>
  </si>
  <si>
    <t>AA-IS 695 RP6-5</t>
  </si>
  <si>
    <t>AA-IS 695 RP6-6</t>
  </si>
  <si>
    <t>AA-IS 695 RP6-7</t>
  </si>
  <si>
    <t>AA-IS 695 RP7-5</t>
  </si>
  <si>
    <t>AA-IS 695 RP7-7</t>
  </si>
  <si>
    <t>AA-IS 695 RP7-8</t>
  </si>
  <si>
    <t>AA-IS 695 RP8-5</t>
  </si>
  <si>
    <t>AA-IS 695 RP8-6</t>
  </si>
  <si>
    <t>AA-IS 695 RP8-7</t>
  </si>
  <si>
    <t>AA-IS 695 RP8-8</t>
  </si>
  <si>
    <t>AA-IS 895B RP1-3B</t>
  </si>
  <si>
    <t>AA-IS 895B RP2-3B</t>
  </si>
  <si>
    <t>AA-IS 895B RP6-3B</t>
  </si>
  <si>
    <t>AA-IS 97 RP10-15</t>
  </si>
  <si>
    <t>AA-IS 97 RP1-10</t>
  </si>
  <si>
    <t>AA-IS 97 RP1-12</t>
  </si>
  <si>
    <t>AA-IS 97 RP1-13</t>
  </si>
  <si>
    <t>AA-IS 97 RP1-14</t>
  </si>
  <si>
    <t>AA-IS 97 RP1-15</t>
  </si>
  <si>
    <t>AA-IS 97 RP1-16</t>
  </si>
  <si>
    <t>AA-IS 97 RP1-17</t>
  </si>
  <si>
    <t>AA-IS 97 RP2-10</t>
  </si>
  <si>
    <t>AA-IS 97 RP2-12</t>
  </si>
  <si>
    <t>AA-IS 97 RP2-13</t>
  </si>
  <si>
    <t>AA-IS 97 RP2-14</t>
  </si>
  <si>
    <t>AA-IS 97 RP2-15</t>
  </si>
  <si>
    <t>AA-IS 97 RP2-16</t>
  </si>
  <si>
    <t>AA-IS 97 RP2-5</t>
  </si>
  <si>
    <t>AA-IS 97 RP3-1</t>
  </si>
  <si>
    <t>AA-IS 97 RP3-10</t>
  </si>
  <si>
    <t>AA-IS 97 RP3-12</t>
  </si>
  <si>
    <t>AA-IS 97 RP3-13</t>
  </si>
  <si>
    <t>AA-IS 97 RP3-14</t>
  </si>
  <si>
    <t>AA-IS 97 RP3-15</t>
  </si>
  <si>
    <t>AA-IS 97 RP3-16</t>
  </si>
  <si>
    <t>AA-IS 97 RP4-10</t>
  </si>
  <si>
    <t>AA-IS 97 RP4-12</t>
  </si>
  <si>
    <t>AA-IS 97 RP4-13</t>
  </si>
  <si>
    <t>AA-IS 97 RP4-14</t>
  </si>
  <si>
    <t>AA-IS 97 RP4-15</t>
  </si>
  <si>
    <t>AA-IS 97 RP4-16</t>
  </si>
  <si>
    <t>AA-IS 97 RP4-17</t>
  </si>
  <si>
    <t>AA-IS 97 RP5-10</t>
  </si>
  <si>
    <t>AA-IS 97 RP5-12</t>
  </si>
  <si>
    <t>AA-IS 97 RP5-13</t>
  </si>
  <si>
    <t>AA-IS 97 RP5-14</t>
  </si>
  <si>
    <t>AA-IS 97 RP5-15</t>
  </si>
  <si>
    <t>AA-IS 97 RP5-16</t>
  </si>
  <si>
    <t>AA-IS 97 RP5-5</t>
  </si>
  <si>
    <t>AA-IS 97 RP6-10</t>
  </si>
  <si>
    <t>AA-IS 97 RP6-12</t>
  </si>
  <si>
    <t>AA-IS 97 RP6-13</t>
  </si>
  <si>
    <t>AA-IS 97 RP6-14</t>
  </si>
  <si>
    <t>AA-IS 97 RP6-15</t>
  </si>
  <si>
    <t>AA-IS 97 RP6-16</t>
  </si>
  <si>
    <t>AA-IS 97 RP6-17</t>
  </si>
  <si>
    <t>AA-IS 97 RP7-12</t>
  </si>
  <si>
    <t>AA-IS 97 RP7-13</t>
  </si>
  <si>
    <t>AA-IS 97 RP7-14</t>
  </si>
  <si>
    <t>AA-IS 97 RP7-15</t>
  </si>
  <si>
    <t>AA-IS 97 RP7-16</t>
  </si>
  <si>
    <t>AA-IS 97 RP7-17</t>
  </si>
  <si>
    <t>AA-IS 97 RP8-1</t>
  </si>
  <si>
    <t>AA-IS 97 RP8-10</t>
  </si>
  <si>
    <t>AA-IS 97 RP8-12</t>
  </si>
  <si>
    <t>AA-IS 97 RP8-13</t>
  </si>
  <si>
    <t>AA-IS 97 RP8-14</t>
  </si>
  <si>
    <t>AA-IS 97 RP8-15</t>
  </si>
  <si>
    <t>AA-IS 97 RP8-16</t>
  </si>
  <si>
    <t>AA-IS 97 RP9-15</t>
  </si>
  <si>
    <t>AA-MD 10 RP1-4</t>
  </si>
  <si>
    <t>AA-MD 10 RP1-6</t>
  </si>
  <si>
    <t>AA-MD 10 RP1-7</t>
  </si>
  <si>
    <t>AA-MD 10 RP2-2</t>
  </si>
  <si>
    <t>AA-MD 10 RP2-4</t>
  </si>
  <si>
    <t>AA-MD 10 RP2-5</t>
  </si>
  <si>
    <t>AA-MD 10 RP2-6</t>
  </si>
  <si>
    <t>AA-MD 10 RP2-7</t>
  </si>
  <si>
    <t>AA-MD 10 RP3-2</t>
  </si>
  <si>
    <t>AA-MD 10 RP3-4</t>
  </si>
  <si>
    <t>AA-MD 10 RP3-5</t>
  </si>
  <si>
    <t>AA-MD 10 RP3-6</t>
  </si>
  <si>
    <t>AA-MD 10 RP4-4</t>
  </si>
  <si>
    <t>AA-MD 10 RP4-5</t>
  </si>
  <si>
    <t>AA-MD 10 RP4-6</t>
  </si>
  <si>
    <t>AA-MD 10 RP4-7</t>
  </si>
  <si>
    <t>AA-MD 10 RP5-2</t>
  </si>
  <si>
    <t>AA-MD 10 RP5-4</t>
  </si>
  <si>
    <t>AA-MD 10 RP5-5</t>
  </si>
  <si>
    <t>AA-MD 10 RP5-6</t>
  </si>
  <si>
    <t>AA-MD 10 RP6-4</t>
  </si>
  <si>
    <t>AA-MD 10 RP6-5</t>
  </si>
  <si>
    <t>AA-MD 10 RP6-6</t>
  </si>
  <si>
    <t>AA-MD 10 RP6-7</t>
  </si>
  <si>
    <t>AA-MD 10 RP7-4</t>
  </si>
  <si>
    <t>AA-MD 10 RP7-5</t>
  </si>
  <si>
    <t>AA-MD 10 RP7-6</t>
  </si>
  <si>
    <t>AA-MD 10 RP7-7</t>
  </si>
  <si>
    <t>AA-MD 10 RP8-2</t>
  </si>
  <si>
    <t>AA-MD 10 RP8-4</t>
  </si>
  <si>
    <t>AA-MD 10 RP8-5</t>
  </si>
  <si>
    <t>AA-MD 10 RP8-6</t>
  </si>
  <si>
    <t>AA-MD 100 RP10-16</t>
  </si>
  <si>
    <t>AA-MD 100 RP1-10</t>
  </si>
  <si>
    <t>AA-MD 100 RP1-11</t>
  </si>
  <si>
    <t>AA-MD 100 RP11-16</t>
  </si>
  <si>
    <t>AA-MD 100 RP1-16</t>
  </si>
  <si>
    <t>AA-MD 100 RP1-19</t>
  </si>
  <si>
    <t>AA-MD 100 RP1-20</t>
  </si>
  <si>
    <t>AA-MD 100 RP12-16</t>
  </si>
  <si>
    <t>AA-MD 100 RP1-8</t>
  </si>
  <si>
    <t>AA-MD 100 RP2-10</t>
  </si>
  <si>
    <t>AA-MD 100 RP2-11</t>
  </si>
  <si>
    <t>AA-MD 100 RP2-15</t>
  </si>
  <si>
    <t>AA-MD 100 RP2-8</t>
  </si>
  <si>
    <t>AA-MD 100 RP3-10</t>
  </si>
  <si>
    <t>AA-MD 100 RP3-11</t>
  </si>
  <si>
    <t>AA-MD 100 RP3-16</t>
  </si>
  <si>
    <t>AA-MD 100 RP3-19</t>
  </si>
  <si>
    <t>AA-MD 100 RP3-20</t>
  </si>
  <si>
    <t>AA-MD 100 RP3-8</t>
  </si>
  <si>
    <t>AA-MD 100 RP4-10</t>
  </si>
  <si>
    <t>AA-MD 100 RP4-11</t>
  </si>
  <si>
    <t>AA-MD 100 RP4-14</t>
  </si>
  <si>
    <t>AA-MD 100 RP4-15</t>
  </si>
  <si>
    <t>AA-MD 100 RP4-16</t>
  </si>
  <si>
    <t>AA-MD 100 RP4-8</t>
  </si>
  <si>
    <t>AA-MD 100 RP5-10</t>
  </si>
  <si>
    <t>AA-MD 100 RP5-11</t>
  </si>
  <si>
    <t>AA-MD 100 RP5-15</t>
  </si>
  <si>
    <t>AA-MD 100 RP5-16</t>
  </si>
  <si>
    <t>AA-MD 100 RP5-8</t>
  </si>
  <si>
    <t>AA-MD 100 RP6-10</t>
  </si>
  <si>
    <t>AA-MD 100 RP6-11</t>
  </si>
  <si>
    <t>AA-MD 100 RP6-14</t>
  </si>
  <si>
    <t>AA-MD 100 RP6-15</t>
  </si>
  <si>
    <t>AA-MD 100 RP6-16</t>
  </si>
  <si>
    <t>AA-MD 100 RP6-19</t>
  </si>
  <si>
    <t>AA-MD 100 RP6-20</t>
  </si>
  <si>
    <t>AA-MD 100 RP6-8</t>
  </si>
  <si>
    <t>AA-MD 100 RP7-10</t>
  </si>
  <si>
    <t>AA-MD 100 RP7-11</t>
  </si>
  <si>
    <t>AA-MD 100 RP7-16</t>
  </si>
  <si>
    <t>AA-MD 100 RP7-8</t>
  </si>
  <si>
    <t>AA-MD 100 RP8-10</t>
  </si>
  <si>
    <t>AA-MD 100 RP8-11</t>
  </si>
  <si>
    <t>AA-MD 100 RP8-15</t>
  </si>
  <si>
    <t>AA-MD 100 RP8-16</t>
  </si>
  <si>
    <t>AA-MD 100 RP8-19</t>
  </si>
  <si>
    <t>AA-MD 100 RP8-20</t>
  </si>
  <si>
    <t>AA-MD 100 RP8-8</t>
  </si>
  <si>
    <t>AA-MD 100 RP9-16</t>
  </si>
  <si>
    <t>AA-MD 100M</t>
  </si>
  <si>
    <t>AA-MD 100N</t>
  </si>
  <si>
    <t>AA-MD 100O</t>
  </si>
  <si>
    <t>AA-MD 100P</t>
  </si>
  <si>
    <t>AA-MD 100Q</t>
  </si>
  <si>
    <t>AA-MD 100R</t>
  </si>
  <si>
    <t>AA-MD 100S</t>
  </si>
  <si>
    <t>AA-MD 100T</t>
  </si>
  <si>
    <t>AA-MD 100U</t>
  </si>
  <si>
    <t>AA-MD 103</t>
  </si>
  <si>
    <t>AA-MD 168</t>
  </si>
  <si>
    <t>AA-MD 170A</t>
  </si>
  <si>
    <t>AA-MD 172</t>
  </si>
  <si>
    <t>AA-MD 173</t>
  </si>
  <si>
    <t>AA-MD 173A</t>
  </si>
  <si>
    <t>AA-MD 174</t>
  </si>
  <si>
    <t>AA-MD 175AA</t>
  </si>
  <si>
    <t>AA-MD 176</t>
  </si>
  <si>
    <t>AA-MD 176B</t>
  </si>
  <si>
    <t>AA-MD 177</t>
  </si>
  <si>
    <t>AA-MD 178A</t>
  </si>
  <si>
    <t>AA-MD 179</t>
  </si>
  <si>
    <t>AA-MD 181</t>
  </si>
  <si>
    <t>AA-MD 198</t>
  </si>
  <si>
    <t>AA-MD 214</t>
  </si>
  <si>
    <t>AA-MD 214A</t>
  </si>
  <si>
    <t>AA-MD 214B</t>
  </si>
  <si>
    <t>AA-MD 216A</t>
  </si>
  <si>
    <t>AA-MD 216B</t>
  </si>
  <si>
    <t>AA-MD 216I</t>
  </si>
  <si>
    <t>AA-MD 255</t>
  </si>
  <si>
    <t>AA-MD 259</t>
  </si>
  <si>
    <t>AA-MD 260</t>
  </si>
  <si>
    <t>AA-MD 261</t>
  </si>
  <si>
    <t>AA-MD 270</t>
  </si>
  <si>
    <t>AA-MD 295 RP10-4</t>
  </si>
  <si>
    <t>AA-MD 295 RP1-2</t>
  </si>
  <si>
    <t>AA-MD 295 RP1-4</t>
  </si>
  <si>
    <t>AA-MD 295 RP1-6</t>
  </si>
  <si>
    <t>AA-MD 295 RP1-7</t>
  </si>
  <si>
    <t>AA-MD 295 RP1-9</t>
  </si>
  <si>
    <t>AA-MD 295 RP2-13</t>
  </si>
  <si>
    <t>AA-MD 295 RP2-2</t>
  </si>
  <si>
    <t>AA-MD 295 RP2-4</t>
  </si>
  <si>
    <t>AA-MD 295 RP2-5</t>
  </si>
  <si>
    <t>AA-MD 295 RP2-6</t>
  </si>
  <si>
    <t>AA-MD 295 RP2-7</t>
  </si>
  <si>
    <t>AA-MD 295 RP2-9</t>
  </si>
  <si>
    <t>AA-MD 295 RP3-13</t>
  </si>
  <si>
    <t>AA-MD 295 RP3-2</t>
  </si>
  <si>
    <t>AA-MD 295 RP3-4</t>
  </si>
  <si>
    <t>AA-MD 295 RP3-6</t>
  </si>
  <si>
    <t>AA-MD 295 RP3-7</t>
  </si>
  <si>
    <t>AA-MD 295 RP3-9</t>
  </si>
  <si>
    <t>AA-MD 295 RP4-13</t>
  </si>
  <si>
    <t>AA-MD 295 RP4-2</t>
  </si>
  <si>
    <t>AA-MD 295 RP4-4</t>
  </si>
  <si>
    <t>AA-MD 295 RP4-6</t>
  </si>
  <si>
    <t>AA-MD 295 RP4-7</t>
  </si>
  <si>
    <t>AA-MD 295 RP4-9</t>
  </si>
  <si>
    <t>AA-MD 295 RP5-13</t>
  </si>
  <si>
    <t>AA-MD 295 RP5-2</t>
  </si>
  <si>
    <t>AA-MD 295 RP5-4</t>
  </si>
  <si>
    <t>AA-MD 295 RP5-5</t>
  </si>
  <si>
    <t>AA-MD 295 RP5-6</t>
  </si>
  <si>
    <t>AA-MD 295 RP5-7</t>
  </si>
  <si>
    <t>AA-MD 295 RP5-9</t>
  </si>
  <si>
    <t>AA-MD 295 RP6-13</t>
  </si>
  <si>
    <t>AA-MD 295 RP6-2</t>
  </si>
  <si>
    <t>AA-MD 295 RP6-4</t>
  </si>
  <si>
    <t>AA-MD 295 RP6-6</t>
  </si>
  <si>
    <t>AA-MD 295 RP6-9</t>
  </si>
  <si>
    <t>AA-MD 295 RP7-2</t>
  </si>
  <si>
    <t>AA-MD 295 RP7-4</t>
  </si>
  <si>
    <t>AA-MD 295 RP7-6</t>
  </si>
  <si>
    <t>AA-MD 295 RP7-7</t>
  </si>
  <si>
    <t>AA-MD 295 RP7-9</t>
  </si>
  <si>
    <t>AA-MD 295 RP8-13</t>
  </si>
  <si>
    <t>AA-MD 295 RP8-2</t>
  </si>
  <si>
    <t>AA-MD 295 RP8-4</t>
  </si>
  <si>
    <t>AA-MD 295 RP8-6</t>
  </si>
  <si>
    <t>AA-MD 295 RP8-9</t>
  </si>
  <si>
    <t>AA-MD 295 RP9-4</t>
  </si>
  <si>
    <t>AA-MD 295 RP9-9</t>
  </si>
  <si>
    <t>AA-MD 2AB</t>
  </si>
  <si>
    <t>AA-MD 3 RP1-7</t>
  </si>
  <si>
    <t>AA-MD 3 RP2-7</t>
  </si>
  <si>
    <t>AA-MD 3 RP3-7</t>
  </si>
  <si>
    <t>AA-MD 3 RP4-7</t>
  </si>
  <si>
    <t>AA-MD 3 RP6-7</t>
  </si>
  <si>
    <t>AA-MD 3 RP7-7</t>
  </si>
  <si>
    <t>AA-MD 3 RP8-7</t>
  </si>
  <si>
    <t>AA-MD 32 RP1-5</t>
  </si>
  <si>
    <t>AA-MD 32 RP1-6</t>
  </si>
  <si>
    <t>AA-MD 32 RP2-10B</t>
  </si>
  <si>
    <t>AA-MD 32 RP2-11</t>
  </si>
  <si>
    <t>AA-MD 32 RP2-5</t>
  </si>
  <si>
    <t>AA-MD 32 RP2-6</t>
  </si>
  <si>
    <t>AA-MD 32 RP2-9</t>
  </si>
  <si>
    <t>AA-MD 32 RP3-5</t>
  </si>
  <si>
    <t>AA-MD 32 RP3-6</t>
  </si>
  <si>
    <t>AA-MD 32 RP4-10A</t>
  </si>
  <si>
    <t>AA-MD 32 RP4-10B</t>
  </si>
  <si>
    <t>AA-MD 32 RP4-11</t>
  </si>
  <si>
    <t>AA-MD 32 RP4-3</t>
  </si>
  <si>
    <t>AA-MD 32 RP4-5</t>
  </si>
  <si>
    <t>AA-MD 32 RP4-6</t>
  </si>
  <si>
    <t>AA-MD 32 RP4-9</t>
  </si>
  <si>
    <t>AA-MD 32 RP5-10B</t>
  </si>
  <si>
    <t>AA-MD 32 RP5-5</t>
  </si>
  <si>
    <t>AA-MD 32 RP5-6</t>
  </si>
  <si>
    <t>AA-MD 32 RP6-3</t>
  </si>
  <si>
    <t>AA-MD 32 RP6-5</t>
  </si>
  <si>
    <t>AA-MD 32 RP6-6</t>
  </si>
  <si>
    <t>AA-MD 32 RP6-9</t>
  </si>
  <si>
    <t>AA-MD 32 RP7-10B</t>
  </si>
  <si>
    <t>AA-MD 32 RP7-11</t>
  </si>
  <si>
    <t>AA-MD 32 RP7-5</t>
  </si>
  <si>
    <t>AA-MD 32 RP7-6</t>
  </si>
  <si>
    <t>AA-MD 32 RP8-11</t>
  </si>
  <si>
    <t>AA-MD 32 RP8-3</t>
  </si>
  <si>
    <t>AA-MD 32 RP8-5</t>
  </si>
  <si>
    <t>AA-MD 32 RP8-6</t>
  </si>
  <si>
    <t>AA-MD 32 RP8-9</t>
  </si>
  <si>
    <t>AA-MD 32AA</t>
  </si>
  <si>
    <t>AA-MD 32AH</t>
  </si>
  <si>
    <t>AA-MD 387</t>
  </si>
  <si>
    <t>AA-MD 393</t>
  </si>
  <si>
    <t>AA-MD 3AA</t>
  </si>
  <si>
    <t>AA-MD 3AB</t>
  </si>
  <si>
    <t>AA-MD 3D</t>
  </si>
  <si>
    <t>AA-MD 4 RP1-4</t>
  </si>
  <si>
    <t>AA-MD 4 RP2-2</t>
  </si>
  <si>
    <t>AA-MD 4 RP4-4</t>
  </si>
  <si>
    <t>AA-MD 4 RP5-2</t>
  </si>
  <si>
    <t>AA-MD 4 RP5-36</t>
  </si>
  <si>
    <t>AA-MD 4 RP6-2</t>
  </si>
  <si>
    <t>AA-MD 4 RP6-4</t>
  </si>
  <si>
    <t>AA-MD 4 RP8-4</t>
  </si>
  <si>
    <t>AA-MD 408</t>
  </si>
  <si>
    <t>AA-MD 408A</t>
  </si>
  <si>
    <t>AA-MD 408B</t>
  </si>
  <si>
    <t>AA-MD 422</t>
  </si>
  <si>
    <t>AA-MD 423</t>
  </si>
  <si>
    <t>AA-MD 435</t>
  </si>
  <si>
    <t>AA-MD 436</t>
  </si>
  <si>
    <t>AA-MD 468</t>
  </si>
  <si>
    <t>AA-MD 468B</t>
  </si>
  <si>
    <t>AA-MD 553A</t>
  </si>
  <si>
    <t>AA-MD 553B</t>
  </si>
  <si>
    <t>AA-MD 553C</t>
  </si>
  <si>
    <t>AA-MD 553D</t>
  </si>
  <si>
    <t>AA-MD 642</t>
  </si>
  <si>
    <t>AA-MD 645B</t>
  </si>
  <si>
    <t>AA-MD 645D</t>
  </si>
  <si>
    <t>AA-MD 648A</t>
  </si>
  <si>
    <t>AA-MD 648AA</t>
  </si>
  <si>
    <t>AA-MD 648AB</t>
  </si>
  <si>
    <t>AA-MD 648D</t>
  </si>
  <si>
    <t>AA-MD 648E</t>
  </si>
  <si>
    <t>AA-MD 648F</t>
  </si>
  <si>
    <t>AA-MD 648G</t>
  </si>
  <si>
    <t>AA-MD 648I</t>
  </si>
  <si>
    <t>AA-MD 652</t>
  </si>
  <si>
    <t>AA-MD 665 RP1-1</t>
  </si>
  <si>
    <t>AA-MD 665 RP1-2</t>
  </si>
  <si>
    <t>AA-MD 665 RP2-1</t>
  </si>
  <si>
    <t>AA-MD 665 RP2-2</t>
  </si>
  <si>
    <t>AA-MD 665 RP3-1</t>
  </si>
  <si>
    <t>AA-MD 665 RP3-2</t>
  </si>
  <si>
    <t>AA-MD 665 RP4-1</t>
  </si>
  <si>
    <t>AA-MD 665 RP4-2</t>
  </si>
  <si>
    <t>AA-MD 665 RP5-1</t>
  </si>
  <si>
    <t>AA-MD 665 RP5-2</t>
  </si>
  <si>
    <t>AA-MD 665 RP6-1</t>
  </si>
  <si>
    <t>AA-MD 665 RP6-2</t>
  </si>
  <si>
    <t>AA-MD 665 RP7-1</t>
  </si>
  <si>
    <t>AA-MD 665 RP7-2</t>
  </si>
  <si>
    <t>AA-MD 665 RP8-1</t>
  </si>
  <si>
    <t>AA-MD 665 RP8-2</t>
  </si>
  <si>
    <t>AA-MD 665A</t>
  </si>
  <si>
    <t>AA-MD 665B</t>
  </si>
  <si>
    <t>AA-MD 665E</t>
  </si>
  <si>
    <t>AA-MD 665F</t>
  </si>
  <si>
    <t>AA-MD 672</t>
  </si>
  <si>
    <t>AA-MD 695 RP3-3A</t>
  </si>
  <si>
    <t>AA-MD 695 RP5-3A</t>
  </si>
  <si>
    <t>AA-MD 695 RP6-3A</t>
  </si>
  <si>
    <t>AA-MD 695 RP8-3A</t>
  </si>
  <si>
    <t>AA-MD 695 RP9-3A</t>
  </si>
  <si>
    <t>AA-MD 70A</t>
  </si>
  <si>
    <t>AA-MD 70C</t>
  </si>
  <si>
    <t>AA-MD 710</t>
  </si>
  <si>
    <t>AA-MD 711</t>
  </si>
  <si>
    <t>AA-MD 713</t>
  </si>
  <si>
    <t>AA-MD 713C</t>
  </si>
  <si>
    <t>AA-MD 713D</t>
  </si>
  <si>
    <t>AA-MD 713E</t>
  </si>
  <si>
    <t>AA-MD 723</t>
  </si>
  <si>
    <t>AA-MD 758</t>
  </si>
  <si>
    <t>AA-MD 762</t>
  </si>
  <si>
    <t>AA-MD 778</t>
  </si>
  <si>
    <t>AA-MD 778D</t>
  </si>
  <si>
    <t>AA-MD 778E</t>
  </si>
  <si>
    <t>AA-MD 778F</t>
  </si>
  <si>
    <t>AA-MD 778G</t>
  </si>
  <si>
    <t>AA-MD 778I</t>
  </si>
  <si>
    <t>AA-MD 778J</t>
  </si>
  <si>
    <t>AA-MD 778L</t>
  </si>
  <si>
    <t>AA-MD 778M</t>
  </si>
  <si>
    <t>AA-MD 778N</t>
  </si>
  <si>
    <t>AA-MD 778Q</t>
  </si>
  <si>
    <t>AA-MD 779</t>
  </si>
  <si>
    <t>AA-MD 779A</t>
  </si>
  <si>
    <t>AA-MD 783</t>
  </si>
  <si>
    <t>AA-MD 784</t>
  </si>
  <si>
    <t>AA-MD 785</t>
  </si>
  <si>
    <t>AA-MD 788A</t>
  </si>
  <si>
    <t>AA-MD 794</t>
  </si>
  <si>
    <t>AA-MD 796</t>
  </si>
  <si>
    <t>AA-MD 796A</t>
  </si>
  <si>
    <t>AA-MD 797</t>
  </si>
  <si>
    <t>AA-MD 798</t>
  </si>
  <si>
    <t>AA-MD 908A</t>
  </si>
  <si>
    <t>AA-MD 908B</t>
  </si>
  <si>
    <t>AA-MD 908C</t>
  </si>
  <si>
    <t>AA-MD 908D</t>
  </si>
  <si>
    <t>AA-MD 908E</t>
  </si>
  <si>
    <t>AA-MD 909</t>
  </si>
  <si>
    <t>AA-MD 915</t>
  </si>
  <si>
    <t>AA-MD 915A</t>
  </si>
  <si>
    <t>AA-MD 915H</t>
  </si>
  <si>
    <t>AA-MD 917</t>
  </si>
  <si>
    <t>AA-MD 931L</t>
  </si>
  <si>
    <t>AA-MD 931Q</t>
  </si>
  <si>
    <t>AA-MD 931R</t>
  </si>
  <si>
    <t>AA-MD 931U</t>
  </si>
  <si>
    <t>AA-MD 931Y</t>
  </si>
  <si>
    <t>AA-MD 969</t>
  </si>
  <si>
    <t>AA-MD 980A</t>
  </si>
  <si>
    <t>AA-MD 980B</t>
  </si>
  <si>
    <t>AA-MD 980C</t>
  </si>
  <si>
    <t>AA-MD 980E</t>
  </si>
  <si>
    <t>AA-MD 990</t>
  </si>
  <si>
    <t>AA-MD 995</t>
  </si>
  <si>
    <t>AA-MD 997D</t>
  </si>
  <si>
    <t>AA-MD 997E</t>
  </si>
  <si>
    <t>AA-US 50 RP1-28</t>
  </si>
  <si>
    <t>AA-US 50 RP1-29</t>
  </si>
  <si>
    <t>AA-US 50 RP1-32</t>
  </si>
  <si>
    <t>AA-US 50 RP2-27</t>
  </si>
  <si>
    <t>AA-US 50 RP2-28</t>
  </si>
  <si>
    <t>AA-US 50 RP2-29</t>
  </si>
  <si>
    <t>AA-US 50 RP2-32</t>
  </si>
  <si>
    <t>AA-US 50 RP3-27</t>
  </si>
  <si>
    <t>AA-US 50 RP3-28</t>
  </si>
  <si>
    <t>AA-US 50 RP3-29</t>
  </si>
  <si>
    <t>AA-US 50 RP3-30</t>
  </si>
  <si>
    <t>AA-US 50 RP4-27</t>
  </si>
  <si>
    <t>AA-US 50 RP4-28</t>
  </si>
  <si>
    <t>AA-US 50 RP4-30</t>
  </si>
  <si>
    <t>AA-US 50 RP4-32</t>
  </si>
  <si>
    <t>AA-US 50 RP5-27</t>
  </si>
  <si>
    <t>AA-US 50 RP5-28</t>
  </si>
  <si>
    <t>AA-US 50 RP5-29</t>
  </si>
  <si>
    <t>AA-US 50 RP5-30</t>
  </si>
  <si>
    <t>AA-US 50 RP5-32</t>
  </si>
  <si>
    <t>AA-US 50 RP6-27</t>
  </si>
  <si>
    <t>AA-US 50 RP6-28</t>
  </si>
  <si>
    <t>AA-US 50 RP6-30</t>
  </si>
  <si>
    <t>AA-US 50 RP6-32</t>
  </si>
  <si>
    <t>AA-US 50 RP7-27</t>
  </si>
  <si>
    <t>AA-US 50 RP7-28</t>
  </si>
  <si>
    <t>AA-US 50 RP7-29</t>
  </si>
  <si>
    <t>AA-US 50 RP7-32</t>
  </si>
  <si>
    <t>AA-US 50 RP8-27</t>
  </si>
  <si>
    <t>AA-US 50 RP8-28</t>
  </si>
  <si>
    <t>AA-US 50 RP8-29</t>
  </si>
  <si>
    <t>AA-US 50 RP8-32</t>
  </si>
  <si>
    <t>AA-US 50 RP9-27</t>
  </si>
  <si>
    <t>AA-US 50 RP9-32</t>
  </si>
  <si>
    <t>AL-IS 68 RP10-47</t>
  </si>
  <si>
    <t>AL-IS 68 RP1-33</t>
  </si>
  <si>
    <t>AL-IS 68 RP1-34</t>
  </si>
  <si>
    <t>AL-IS 68 RP1-39</t>
  </si>
  <si>
    <t>AL-IS 68 RP1-42</t>
  </si>
  <si>
    <t>AL-IS 68 RP1-43A</t>
  </si>
  <si>
    <t>AL-IS 68 RP1-43B</t>
  </si>
  <si>
    <t>AL-IS 68 RP1-44</t>
  </si>
  <si>
    <t>AL-IS 68 RP1-47</t>
  </si>
  <si>
    <t>AL-IS 68 RP1-68</t>
  </si>
  <si>
    <t>AL-IS 68 RP2-33</t>
  </si>
  <si>
    <t>AL-IS 68 RP2-34</t>
  </si>
  <si>
    <t>AL-IS 68 RP2-39</t>
  </si>
  <si>
    <t>AL-IS 68 RP2-40</t>
  </si>
  <si>
    <t>AL-IS 68 RP2-41</t>
  </si>
  <si>
    <t>AL-IS 68 RP2-42</t>
  </si>
  <si>
    <t>AL-IS 68 RP2-43A</t>
  </si>
  <si>
    <t>AL-IS 68 RP2-43C</t>
  </si>
  <si>
    <t>AL-IS 68 RP2-43D</t>
  </si>
  <si>
    <t>AL-IS 68 RP2-44</t>
  </si>
  <si>
    <t>AL-IS 68 RP2-47</t>
  </si>
  <si>
    <t>AL-IS 68 RP2-50</t>
  </si>
  <si>
    <t>AL-IS 68 RP2-62</t>
  </si>
  <si>
    <t>AL-IS 68 RP2-68</t>
  </si>
  <si>
    <t>AL-IS 68 RP2-72</t>
  </si>
  <si>
    <t>AL-IS 68 RP3-33</t>
  </si>
  <si>
    <t>AL-IS 68 RP3-34</t>
  </si>
  <si>
    <t>AL-IS 68 RP3-39</t>
  </si>
  <si>
    <t>AL-IS 68 RP3-40</t>
  </si>
  <si>
    <t>AL-IS 68 RP3-42</t>
  </si>
  <si>
    <t>AL-IS 68 RP3-43A</t>
  </si>
  <si>
    <t>AL-IS 68 RP3-43B</t>
  </si>
  <si>
    <t>AL-IS 68 RP3-44</t>
  </si>
  <si>
    <t>AL-IS 68 RP3-46</t>
  </si>
  <si>
    <t>AL-IS 68 RP3-68</t>
  </si>
  <si>
    <t>AL-IS 68 RP4-33</t>
  </si>
  <si>
    <t>AL-IS 68 RP4-34</t>
  </si>
  <si>
    <t>AL-IS 68 RP4-39</t>
  </si>
  <si>
    <t>AL-IS 68 RP4-40</t>
  </si>
  <si>
    <t>AL-IS 68 RP4-42</t>
  </si>
  <si>
    <t>AL-IS 68 RP4-43A</t>
  </si>
  <si>
    <t>AL-IS 68 RP4-43C</t>
  </si>
  <si>
    <t>AL-IS 68 RP4-43D</t>
  </si>
  <si>
    <t>AL-IS 68 RP4-44</t>
  </si>
  <si>
    <t>AL-IS 68 RP4-45</t>
  </si>
  <si>
    <t>AL-IS 68 RP4-46</t>
  </si>
  <si>
    <t>AL-IS 68 RP4-47</t>
  </si>
  <si>
    <t>AL-IS 68 RP4-50</t>
  </si>
  <si>
    <t>AL-IS 68 RP4-56</t>
  </si>
  <si>
    <t>AL-IS 68 RP4-64</t>
  </si>
  <si>
    <t>AL-IS 68 RP4-68</t>
  </si>
  <si>
    <t>AL-IS 68 RP4-72</t>
  </si>
  <si>
    <t>AL-IS 68 RP5-33</t>
  </si>
  <si>
    <t>AL-IS 68 RP5-34</t>
  </si>
  <si>
    <t>AL-IS 68 RP5-39</t>
  </si>
  <si>
    <t>AL-IS 68 RP5-40</t>
  </si>
  <si>
    <t>AL-IS 68 RP5-42</t>
  </si>
  <si>
    <t>AL-IS 68 RP5-43A</t>
  </si>
  <si>
    <t>AL-IS 68 RP5-43C</t>
  </si>
  <si>
    <t>AL-IS 68 RP5-44</t>
  </si>
  <si>
    <t>AL-IS 68 RP5-47</t>
  </si>
  <si>
    <t>AL-IS 68 RP5-52</t>
  </si>
  <si>
    <t>AL-IS 68 RP5-56</t>
  </si>
  <si>
    <t>AL-IS 68 RP5-62</t>
  </si>
  <si>
    <t>AL-IS 68 RP5-68</t>
  </si>
  <si>
    <t>AL-IS 68 RP6-33</t>
  </si>
  <si>
    <t>AL-IS 68 RP6-34</t>
  </si>
  <si>
    <t>AL-IS 68 RP6-40</t>
  </si>
  <si>
    <t>AL-IS 68 RP6-42</t>
  </si>
  <si>
    <t>AL-IS 68 RP6-43B</t>
  </si>
  <si>
    <t>AL-IS 68 RP6-43D</t>
  </si>
  <si>
    <t>AL-IS 68 RP6-44</t>
  </si>
  <si>
    <t>AL-IS 68 RP6-45</t>
  </si>
  <si>
    <t>AL-IS 68 RP6-46</t>
  </si>
  <si>
    <t>AL-IS 68 RP6-50</t>
  </si>
  <si>
    <t>AL-IS 68 RP6-56</t>
  </si>
  <si>
    <t>AL-IS 68 RP6-62</t>
  </si>
  <si>
    <t>AL-IS 68 RP6-64</t>
  </si>
  <si>
    <t>AL-IS 68 RP6-68</t>
  </si>
  <si>
    <t>AL-IS 68 RP6-72</t>
  </si>
  <si>
    <t>AL-IS 68 RP7-33</t>
  </si>
  <si>
    <t>AL-IS 68 RP7-34</t>
  </si>
  <si>
    <t>AL-IS 68 RP7-40</t>
  </si>
  <si>
    <t>AL-IS 68 RP7-42</t>
  </si>
  <si>
    <t>AL-IS 68 RP7-43B</t>
  </si>
  <si>
    <t>AL-IS 68 RP7-44</t>
  </si>
  <si>
    <t>AL-IS 68 RP7-45</t>
  </si>
  <si>
    <t>AL-IS 68 RP7-46</t>
  </si>
  <si>
    <t>AL-IS 68 RP7-47</t>
  </si>
  <si>
    <t>AL-IS 68 RP7-52</t>
  </si>
  <si>
    <t>AL-IS 68 RP7-56</t>
  </si>
  <si>
    <t>AL-IS 68 RP7-64</t>
  </si>
  <si>
    <t>AL-IS 68 RP7-68</t>
  </si>
  <si>
    <t>AL-IS 68 RP8-33</t>
  </si>
  <si>
    <t>AL-IS 68 RP8-34</t>
  </si>
  <si>
    <t>AL-IS 68 RP8-39</t>
  </si>
  <si>
    <t>AL-IS 68 RP8-42</t>
  </si>
  <si>
    <t>AL-IS 68 RP8-43B</t>
  </si>
  <si>
    <t>AL-IS 68 RP8-43D</t>
  </si>
  <si>
    <t>AL-IS 68 RP8-44</t>
  </si>
  <si>
    <t>AL-IS 68 RP8-45</t>
  </si>
  <si>
    <t>AL-IS 68 RP8-47</t>
  </si>
  <si>
    <t>AL-IS 68 RP8-50</t>
  </si>
  <si>
    <t>AL-IS 68 RP8-62</t>
  </si>
  <si>
    <t>AL-IS 68 RP8-64</t>
  </si>
  <si>
    <t>AL-IS 68 RP8-68</t>
  </si>
  <si>
    <t>AL-IS 68 RP8-72</t>
  </si>
  <si>
    <t>AL-IS 68 RP9-47</t>
  </si>
  <si>
    <t>AL-MD 135A</t>
  </si>
  <si>
    <t>AL-MD 135B</t>
  </si>
  <si>
    <t>AL-MD 135D</t>
  </si>
  <si>
    <t>AL-MD 144</t>
  </si>
  <si>
    <t>AL-MD 144AE</t>
  </si>
  <si>
    <t>AL-MD 144AL</t>
  </si>
  <si>
    <t>AL-MD 35</t>
  </si>
  <si>
    <t>AL-MD 36</t>
  </si>
  <si>
    <t>AL-MD 36B</t>
  </si>
  <si>
    <t>AL-MD 36C</t>
  </si>
  <si>
    <t>AL-MD 47</t>
  </si>
  <si>
    <t>AL-MD 47A</t>
  </si>
  <si>
    <t>AL-MD 49</t>
  </si>
  <si>
    <t>AL-MD 51A</t>
  </si>
  <si>
    <t>AL-MD 51D</t>
  </si>
  <si>
    <t>AL-MD 51E</t>
  </si>
  <si>
    <t>AL-MD 51F</t>
  </si>
  <si>
    <t>AL-MD 53</t>
  </si>
  <si>
    <t>AL-MD 55</t>
  </si>
  <si>
    <t>AL-MD 636</t>
  </si>
  <si>
    <t>AL-MD 638</t>
  </si>
  <si>
    <t>AL-MD 639</t>
  </si>
  <si>
    <t>AL-MD 639A</t>
  </si>
  <si>
    <t>AL-MD 639B</t>
  </si>
  <si>
    <t>AL-MD 736</t>
  </si>
  <si>
    <t>AL-MD 743</t>
  </si>
  <si>
    <t>AL-MD 807</t>
  </si>
  <si>
    <t>AL-MD 807A</t>
  </si>
  <si>
    <t>AL-MD 807B</t>
  </si>
  <si>
    <t>AL-MD 807C</t>
  </si>
  <si>
    <t>AL-MD 807D</t>
  </si>
  <si>
    <t>AL-MD 807E</t>
  </si>
  <si>
    <t>AL-MD 830A</t>
  </si>
  <si>
    <t>AL-MD 830B</t>
  </si>
  <si>
    <t>AL-MD 831A</t>
  </si>
  <si>
    <t>AL-MD 831B</t>
  </si>
  <si>
    <t>AL-MD 831C</t>
  </si>
  <si>
    <t>AL-MD 831D</t>
  </si>
  <si>
    <t>AL-MD 831F</t>
  </si>
  <si>
    <t>AL-MD 831G</t>
  </si>
  <si>
    <t>AL-MD 831H</t>
  </si>
  <si>
    <t>AL-MD 831I</t>
  </si>
  <si>
    <t>AL-MD 935</t>
  </si>
  <si>
    <t>AL-MD 935A</t>
  </si>
  <si>
    <t>AL-MD 936</t>
  </si>
  <si>
    <t>AL-MD 937</t>
  </si>
  <si>
    <t>AL-MD 939</t>
  </si>
  <si>
    <t>AL-MD 942</t>
  </si>
  <si>
    <t>AL-MD 948AD</t>
  </si>
  <si>
    <t>AL-MD 948AE</t>
  </si>
  <si>
    <t>AL-MD 948AF</t>
  </si>
  <si>
    <t>AL-MD 948AL</t>
  </si>
  <si>
    <t>AL-MD 948AM</t>
  </si>
  <si>
    <t>AL-MD 948AO</t>
  </si>
  <si>
    <t>AL-MD 948C</t>
  </si>
  <si>
    <t>AL-MD 948M</t>
  </si>
  <si>
    <t>AL-MD 948Y</t>
  </si>
  <si>
    <t>AL-MD 949</t>
  </si>
  <si>
    <t>AL-MD 949A</t>
  </si>
  <si>
    <t>AL-MD 951</t>
  </si>
  <si>
    <t>AL-MD 952</t>
  </si>
  <si>
    <t>AL-MD 952A</t>
  </si>
  <si>
    <t>AL-MD 952B</t>
  </si>
  <si>
    <t>AL-MD 956</t>
  </si>
  <si>
    <t>AL-MU 2370</t>
  </si>
  <si>
    <t>AL-MU 2371</t>
  </si>
  <si>
    <t>AL-MU 680</t>
  </si>
  <si>
    <t>AL-MU 681</t>
  </si>
  <si>
    <t>AL-US 40AB</t>
  </si>
  <si>
    <t>AL-US 40AF</t>
  </si>
  <si>
    <t>AL-US 40SC</t>
  </si>
  <si>
    <t>BA-CO 2000</t>
  </si>
  <si>
    <t>BA-CO 2251</t>
  </si>
  <si>
    <t>BA-CO 5212</t>
  </si>
  <si>
    <t>BA-CO 774</t>
  </si>
  <si>
    <t>BA-CO 798</t>
  </si>
  <si>
    <t>BA-CO 938</t>
  </si>
  <si>
    <t>BA-IS 195 RP1-3</t>
  </si>
  <si>
    <t>BA-IS 195 RP2-3</t>
  </si>
  <si>
    <t>BA-IS 195 RP3-3</t>
  </si>
  <si>
    <t>BA-IS 195 RP4-3</t>
  </si>
  <si>
    <t>BA-IS 195 RP6-3</t>
  </si>
  <si>
    <t>BA-IS 195 RP7-3</t>
  </si>
  <si>
    <t>BA-IS 195 RP8-3</t>
  </si>
  <si>
    <t>BA-IS 695 RP10-12B</t>
  </si>
  <si>
    <t>BA-IS 695 RP1-10</t>
  </si>
  <si>
    <t>BA-IS 695 RP11-12B</t>
  </si>
  <si>
    <t>BA-IS 695 RP1-12B</t>
  </si>
  <si>
    <t>BA-IS 695 RP1-15</t>
  </si>
  <si>
    <t>BA-IS 695 RP1-17</t>
  </si>
  <si>
    <t>BA-IS 695 RP1-18</t>
  </si>
  <si>
    <t>BA-IS 695 RP1-19</t>
  </si>
  <si>
    <t>BA-IS 695 RP1-20</t>
  </si>
  <si>
    <t>BA-IS 695 RP1-21</t>
  </si>
  <si>
    <t>BA-IS 695 RP1-25</t>
  </si>
  <si>
    <t>BA-IS 695 RP1-26</t>
  </si>
  <si>
    <t>BA-IS 695 RP1-27</t>
  </si>
  <si>
    <t>BA-IS 695 RP1-28</t>
  </si>
  <si>
    <t>BA-IS 695 RP1-29A</t>
  </si>
  <si>
    <t>BA-IS 695 RP1-30</t>
  </si>
  <si>
    <t>BA-IS 695 RP1-31</t>
  </si>
  <si>
    <t>BA-IS 695 RP1-32</t>
  </si>
  <si>
    <t>BA-IS 695 RP1-9</t>
  </si>
  <si>
    <t>BA-IS 695 RP2-10</t>
  </si>
  <si>
    <t>BA-IS 695 RP2-12B</t>
  </si>
  <si>
    <t>BA-IS 695 RP2-13</t>
  </si>
  <si>
    <t>BA-IS 695 RP2-14</t>
  </si>
  <si>
    <t>BA-IS 695 RP2-15</t>
  </si>
  <si>
    <t>BA-IS 695 RP2-17</t>
  </si>
  <si>
    <t>BA-IS 695 RP2-18</t>
  </si>
  <si>
    <t>BA-IS 695 RP2-20</t>
  </si>
  <si>
    <t>BA-IS 695 RP2-21</t>
  </si>
  <si>
    <t>BA-IS 695 RP2-22</t>
  </si>
  <si>
    <t>BA-IS 695 RP2-25</t>
  </si>
  <si>
    <t>BA-IS 695 RP2-26</t>
  </si>
  <si>
    <t>BA-IS 695 RP2-27</t>
  </si>
  <si>
    <t>BA-IS 695 RP2-28</t>
  </si>
  <si>
    <t>BA-IS 695 RP2-30</t>
  </si>
  <si>
    <t>BA-IS 695 RP2-31</t>
  </si>
  <si>
    <t>BA-IS 695 RP2-32</t>
  </si>
  <si>
    <t>BA-IS 695 RP2-8A</t>
  </si>
  <si>
    <t>BA-IS 695 RP2-9</t>
  </si>
  <si>
    <t>BA-IS 695 RP3-12A</t>
  </si>
  <si>
    <t>BA-IS 695 RP3-12B</t>
  </si>
  <si>
    <t>BA-IS 695 RP3-13</t>
  </si>
  <si>
    <t>BA-IS 695 RP3-14</t>
  </si>
  <si>
    <t>BA-IS 695 RP3-15</t>
  </si>
  <si>
    <t>BA-IS 695 RP3-17</t>
  </si>
  <si>
    <t>BA-IS 695 RP3-18</t>
  </si>
  <si>
    <t>BA-IS 695 RP3-19</t>
  </si>
  <si>
    <t>BA-IS 695 RP3-20</t>
  </si>
  <si>
    <t>BA-IS 695 RP3-21</t>
  </si>
  <si>
    <t>BA-IS 695 RP3-22</t>
  </si>
  <si>
    <t>BA-IS 695 RP3-25</t>
  </si>
  <si>
    <t>BA-IS 695 RP3-26</t>
  </si>
  <si>
    <t>BA-IS 695 RP3-27</t>
  </si>
  <si>
    <t>BA-IS 695 RP3-28</t>
  </si>
  <si>
    <t>BA-IS 695 RP3-30</t>
  </si>
  <si>
    <t>BA-IS 695 RP3-31</t>
  </si>
  <si>
    <t>BA-IS 695 RP3-32</t>
  </si>
  <si>
    <t>BA-IS 695 RP4-10</t>
  </si>
  <si>
    <t>BA-IS 695 RP4-12B</t>
  </si>
  <si>
    <t>BA-IS 695 RP4-13</t>
  </si>
  <si>
    <t>BA-IS 695 RP4-14</t>
  </si>
  <si>
    <t>BA-IS 695 RP4-15</t>
  </si>
  <si>
    <t>BA-IS 695 RP4-17</t>
  </si>
  <si>
    <t>BA-IS 695 RP4-18</t>
  </si>
  <si>
    <t>BA-IS 695 RP4-20</t>
  </si>
  <si>
    <t>BA-IS 695 RP4-21</t>
  </si>
  <si>
    <t>BA-IS 695 RP4-22</t>
  </si>
  <si>
    <t>BA-IS 695 RP4-25</t>
  </si>
  <si>
    <t>BA-IS 695 RP4-26</t>
  </si>
  <si>
    <t>BA-IS 695 RP4-27</t>
  </si>
  <si>
    <t>BA-IS 695 RP4-28</t>
  </si>
  <si>
    <t>BA-IS 695 RP4-29B</t>
  </si>
  <si>
    <t>BA-IS 695 RP4-30</t>
  </si>
  <si>
    <t>BA-IS 695 RP4-31</t>
  </si>
  <si>
    <t>BA-IS 695 RP4-32</t>
  </si>
  <si>
    <t>BA-IS 695 RP4-9</t>
  </si>
  <si>
    <t>BA-IS 695 RP5-10</t>
  </si>
  <si>
    <t>BA-IS 695 RP5-12B</t>
  </si>
  <si>
    <t>BA-IS 695 RP5-15</t>
  </si>
  <si>
    <t>BA-IS 695 RP5-17</t>
  </si>
  <si>
    <t>BA-IS 695 RP5-18</t>
  </si>
  <si>
    <t>BA-IS 695 RP5-20</t>
  </si>
  <si>
    <t>BA-IS 695 RP5-22</t>
  </si>
  <si>
    <t>BA-IS 695 RP5-25</t>
  </si>
  <si>
    <t>BA-IS 695 RP5-26</t>
  </si>
  <si>
    <t>BA-IS 695 RP5-27</t>
  </si>
  <si>
    <t>BA-IS 695 RP5-28</t>
  </si>
  <si>
    <t>BA-IS 695 RP5-29B</t>
  </si>
  <si>
    <t>BA-IS 695 RP5-30</t>
  </si>
  <si>
    <t>BA-IS 695 RP5-31</t>
  </si>
  <si>
    <t>BA-IS 695 RP5-32</t>
  </si>
  <si>
    <t>BA-IS 695 RP5-8A</t>
  </si>
  <si>
    <t>BA-IS 695 RP5-9</t>
  </si>
  <si>
    <t>BA-IS 695 RP6-12A</t>
  </si>
  <si>
    <t>BA-IS 695 RP6-12B</t>
  </si>
  <si>
    <t>BA-IS 695 RP6-13</t>
  </si>
  <si>
    <t>BA-IS 695 RP6-15</t>
  </si>
  <si>
    <t>BA-IS 695 RP6-17</t>
  </si>
  <si>
    <t>BA-IS 695 RP6-18</t>
  </si>
  <si>
    <t>BA-IS 695 RP6-19</t>
  </si>
  <si>
    <t>BA-IS 695 RP6-20</t>
  </si>
  <si>
    <t>BA-IS 695 RP6-21</t>
  </si>
  <si>
    <t>BA-IS 695 RP6-22</t>
  </si>
  <si>
    <t>BA-IS 695 RP6-25</t>
  </si>
  <si>
    <t>BA-IS 695 RP6-26</t>
  </si>
  <si>
    <t>BA-IS 695 RP6-27</t>
  </si>
  <si>
    <t>BA-IS 695 RP6-28</t>
  </si>
  <si>
    <t>BA-IS 695 RP6-29A</t>
  </si>
  <si>
    <t>BA-IS 695 RP6-30</t>
  </si>
  <si>
    <t>BA-IS 695 RP6-31</t>
  </si>
  <si>
    <t>BA-IS 695 RP6-32</t>
  </si>
  <si>
    <t>BA-IS 695 RP6-9</t>
  </si>
  <si>
    <t>BA-IS 695 RP7-12B</t>
  </si>
  <si>
    <t>BA-IS 695 RP7-14</t>
  </si>
  <si>
    <t>BA-IS 695 RP7-15</t>
  </si>
  <si>
    <t>BA-IS 695 RP7-17</t>
  </si>
  <si>
    <t>BA-IS 695 RP7-18</t>
  </si>
  <si>
    <t>BA-IS 695 RP7-20</t>
  </si>
  <si>
    <t>BA-IS 695 RP7-21</t>
  </si>
  <si>
    <t>BA-IS 695 RP7-22</t>
  </si>
  <si>
    <t>BA-IS 695 RP7-27</t>
  </si>
  <si>
    <t>BA-IS 695 RP7-28</t>
  </si>
  <si>
    <t>BA-IS 695 RP7-29A</t>
  </si>
  <si>
    <t>BA-IS 695 RP7-30</t>
  </si>
  <si>
    <t>BA-IS 695 RP7-31</t>
  </si>
  <si>
    <t>BA-IS 695 RP7-32</t>
  </si>
  <si>
    <t>BA-IS 695 RP8-10</t>
  </si>
  <si>
    <t>BA-IS 695 RP8-12A</t>
  </si>
  <si>
    <t>BA-IS 695 RP8-12B</t>
  </si>
  <si>
    <t>BA-IS 695 RP8-13</t>
  </si>
  <si>
    <t>BA-IS 695 RP8-14</t>
  </si>
  <si>
    <t>BA-IS 695 RP8-15</t>
  </si>
  <si>
    <t>BA-IS 695 RP8-17</t>
  </si>
  <si>
    <t>BA-IS 695 RP8-18</t>
  </si>
  <si>
    <t>BA-IS 695 RP8-19</t>
  </si>
  <si>
    <t>BA-IS 695 RP8-20</t>
  </si>
  <si>
    <t>BA-IS 695 RP8-21</t>
  </si>
  <si>
    <t>BA-IS 695 RP8-22</t>
  </si>
  <si>
    <t>BA-IS 695 RP8-25</t>
  </si>
  <si>
    <t>BA-IS 695 RP8-26</t>
  </si>
  <si>
    <t>BA-IS 695 RP8-27</t>
  </si>
  <si>
    <t>BA-IS 695 RP8-28</t>
  </si>
  <si>
    <t>BA-IS 695 RP8-29A</t>
  </si>
  <si>
    <t>BA-IS 695 RP8-30</t>
  </si>
  <si>
    <t>BA-IS 695 RP8-31</t>
  </si>
  <si>
    <t>BA-IS 695 RP8-32</t>
  </si>
  <si>
    <t>BA-IS 695 RP8-9</t>
  </si>
  <si>
    <t>BA-IS 695 RP9-12B</t>
  </si>
  <si>
    <t>BA-IS 695 RP9-15</t>
  </si>
  <si>
    <t>BA-IS 695 RP9-18</t>
  </si>
  <si>
    <t>BA-IS 695 RP9-25</t>
  </si>
  <si>
    <t>BA-IS 695 RP9-26</t>
  </si>
  <si>
    <t>BA-IS 695 RP9-27</t>
  </si>
  <si>
    <t>BA-IS 70 RP1-91</t>
  </si>
  <si>
    <t>BA-IS 70 RP1-93</t>
  </si>
  <si>
    <t>BA-IS 70 RP1-94</t>
  </si>
  <si>
    <t>BA-IS 70 RP2-91</t>
  </si>
  <si>
    <t>BA-IS 70 RP2-94</t>
  </si>
  <si>
    <t>BA-IS 70 RP3-91</t>
  </si>
  <si>
    <t>BA-IS 70 RP3-94</t>
  </si>
  <si>
    <t>BA-IS 70 RP4-91</t>
  </si>
  <si>
    <t>BA-IS 70 RP4-94</t>
  </si>
  <si>
    <t>BA-IS 70 RP5-91</t>
  </si>
  <si>
    <t>BA-IS 70 RP5-94</t>
  </si>
  <si>
    <t>BA-IS 70 RP6-91</t>
  </si>
  <si>
    <t>BA-IS 70 RP6-93</t>
  </si>
  <si>
    <t>BA-IS 70 RP7-91</t>
  </si>
  <si>
    <t>BA-IS 70 RP8-91</t>
  </si>
  <si>
    <t>BA-IS 70 RP8-93</t>
  </si>
  <si>
    <t>BA-IS 70 RP8-94</t>
  </si>
  <si>
    <t>BA-IS 795 RP10-4</t>
  </si>
  <si>
    <t>BA-IS 795 RP11-4</t>
  </si>
  <si>
    <t>BA-IS 795 RP12-4</t>
  </si>
  <si>
    <t>BA-IS 795 RP1-4</t>
  </si>
  <si>
    <t>BA-IS 795 RP1-7</t>
  </si>
  <si>
    <t>BA-IS 795 RP1-9</t>
  </si>
  <si>
    <t>BA-IS 795 RP2-4</t>
  </si>
  <si>
    <t>BA-IS 795 RP2-7</t>
  </si>
  <si>
    <t>BA-IS 795 RP3-4</t>
  </si>
  <si>
    <t>BA-IS 795 RP3-7</t>
  </si>
  <si>
    <t>BA-IS 795 RP4-4</t>
  </si>
  <si>
    <t>BA-IS 795 RP4-7</t>
  </si>
  <si>
    <t>BA-IS 795 RP5-4</t>
  </si>
  <si>
    <t>BA-IS 795 RP6-4</t>
  </si>
  <si>
    <t>BA-IS 795 RP6-7</t>
  </si>
  <si>
    <t>BA-IS 795 RP6-9</t>
  </si>
  <si>
    <t>BA-IS 795 RP7-4</t>
  </si>
  <si>
    <t>BA-IS 795 RP7-7</t>
  </si>
  <si>
    <t>BA-IS 795 RP8-4</t>
  </si>
  <si>
    <t>BA-IS 795 RP8-7</t>
  </si>
  <si>
    <t>BA-IS 795 RP9-4</t>
  </si>
  <si>
    <t>BA-IS 795 RP9-7</t>
  </si>
  <si>
    <t>BA-IS 83 RP10-20</t>
  </si>
  <si>
    <t>BA-IS 83 RP1-13</t>
  </si>
  <si>
    <t>BA-IS 83 RP1-16</t>
  </si>
  <si>
    <t>BA-IS 83 RP1-17</t>
  </si>
  <si>
    <t>BA-IS 83 RP1-20</t>
  </si>
  <si>
    <t>BA-IS 83 RP1-24</t>
  </si>
  <si>
    <t>BA-IS 83 RP1-27</t>
  </si>
  <si>
    <t>BA-IS 83 RP1-31</t>
  </si>
  <si>
    <t>BA-IS 83 RP1-33</t>
  </si>
  <si>
    <t>BA-IS 83 RP1-36</t>
  </si>
  <si>
    <t>BA-IS 83 RP2-13</t>
  </si>
  <si>
    <t>BA-IS 83 RP2-14</t>
  </si>
  <si>
    <t>BA-IS 83 RP2-16</t>
  </si>
  <si>
    <t>BA-IS 83 RP2-17</t>
  </si>
  <si>
    <t>BA-IS 83 RP2-20</t>
  </si>
  <si>
    <t>BA-IS 83 RP2-24</t>
  </si>
  <si>
    <t>BA-IS 83 RP2-27</t>
  </si>
  <si>
    <t>BA-IS 83 RP2-31</t>
  </si>
  <si>
    <t>BA-IS 83 RP2-33</t>
  </si>
  <si>
    <t>BA-IS 83 RP2-36</t>
  </si>
  <si>
    <t>BA-IS 83 RP3-13</t>
  </si>
  <si>
    <t>BA-IS 83 RP3-14</t>
  </si>
  <si>
    <t>BA-IS 83 RP3-16</t>
  </si>
  <si>
    <t>BA-IS 83 RP3-17</t>
  </si>
  <si>
    <t>BA-IS 83 RP3-20</t>
  </si>
  <si>
    <t>BA-IS 83 RP3-24</t>
  </si>
  <si>
    <t>BA-IS 83 RP3-27</t>
  </si>
  <si>
    <t>BA-IS 83 RP3-31</t>
  </si>
  <si>
    <t>BA-IS 83 RP3-36</t>
  </si>
  <si>
    <t>BA-IS 83 RP3-37</t>
  </si>
  <si>
    <t>BA-IS 83 RP4-12</t>
  </si>
  <si>
    <t>BA-IS 83 RP4-13</t>
  </si>
  <si>
    <t>BA-IS 83 RP4-16</t>
  </si>
  <si>
    <t>BA-IS 83 RP4-17</t>
  </si>
  <si>
    <t>BA-IS 83 RP4-18</t>
  </si>
  <si>
    <t>BA-IS 83 RP4-20</t>
  </si>
  <si>
    <t>BA-IS 83 RP4-24</t>
  </si>
  <si>
    <t>BA-IS 83 RP4-27</t>
  </si>
  <si>
    <t>BA-IS 83 RP4-31</t>
  </si>
  <si>
    <t>BA-IS 83 RP4-33</t>
  </si>
  <si>
    <t>BA-IS 83 RP5-13</t>
  </si>
  <si>
    <t>BA-IS 83 RP5-14</t>
  </si>
  <si>
    <t>BA-IS 83 RP5-16</t>
  </si>
  <si>
    <t>BA-IS 83 RP5-17</t>
  </si>
  <si>
    <t>BA-IS 83 RP5-20</t>
  </si>
  <si>
    <t>BA-IS 83 RP5-24</t>
  </si>
  <si>
    <t>BA-IS 83 RP5-27</t>
  </si>
  <si>
    <t>BA-IS 83 RP5-31</t>
  </si>
  <si>
    <t>BA-IS 83 RP5-36</t>
  </si>
  <si>
    <t>BA-IS 83 RP6-12</t>
  </si>
  <si>
    <t>BA-IS 83 RP6-13</t>
  </si>
  <si>
    <t>BA-IS 83 RP6-16</t>
  </si>
  <si>
    <t>BA-IS 83 RP6-17</t>
  </si>
  <si>
    <t>BA-IS 83 RP6-20</t>
  </si>
  <si>
    <t>BA-IS 83 RP6-24</t>
  </si>
  <si>
    <t>BA-IS 83 RP6-27</t>
  </si>
  <si>
    <t>BA-IS 83 RP6-31</t>
  </si>
  <si>
    <t>BA-IS 83 RP6-33</t>
  </si>
  <si>
    <t>BA-IS 83 RP6-36</t>
  </si>
  <si>
    <t>BA-IS 83 RP7-12</t>
  </si>
  <si>
    <t>BA-IS 83 RP7-13</t>
  </si>
  <si>
    <t>BA-IS 83 RP7-16</t>
  </si>
  <si>
    <t>BA-IS 83 RP7-17</t>
  </si>
  <si>
    <t>BA-IS 83 RP7-18</t>
  </si>
  <si>
    <t>BA-IS 83 RP7-20</t>
  </si>
  <si>
    <t>BA-IS 83 RP7-24</t>
  </si>
  <si>
    <t>BA-IS 83 RP7-27</t>
  </si>
  <si>
    <t>BA-IS 83 RP7-31</t>
  </si>
  <si>
    <t>BA-IS 83 RP7-36</t>
  </si>
  <si>
    <t>BA-IS 83 RP8-13</t>
  </si>
  <si>
    <t>BA-IS 83 RP8-16</t>
  </si>
  <si>
    <t>BA-IS 83 RP8-17</t>
  </si>
  <si>
    <t>BA-IS 83 RP8-20</t>
  </si>
  <si>
    <t>BA-IS 83 RP8-24</t>
  </si>
  <si>
    <t>BA-IS 83 RP8-27</t>
  </si>
  <si>
    <t>BA-IS 83 RP8-31</t>
  </si>
  <si>
    <t>BA-IS 83 RP8-33</t>
  </si>
  <si>
    <t>BA-IS 83 RP8-37</t>
  </si>
  <si>
    <t>BA-IS 83 RP9-20</t>
  </si>
  <si>
    <t>BA-IS 895 RP4-1</t>
  </si>
  <si>
    <t>BA-IS 895 RP4-4</t>
  </si>
  <si>
    <t>BA-IS 895 RP7-1</t>
  </si>
  <si>
    <t>BA-IS 895 RP7-4</t>
  </si>
  <si>
    <t>BA-IS 95 RP10-49</t>
  </si>
  <si>
    <t>BA-IS 95 RP1-47</t>
  </si>
  <si>
    <t>BA-IS 95 RP1-49</t>
  </si>
  <si>
    <t>BA-IS 95 RP1-64</t>
  </si>
  <si>
    <t>BA-IS 95 RP1-67</t>
  </si>
  <si>
    <t>BA-IS 95 RP2-47</t>
  </si>
  <si>
    <t>BA-IS 95 RP2-49</t>
  </si>
  <si>
    <t>BA-IS 95 RP2-64</t>
  </si>
  <si>
    <t>BA-IS 95 RP2-67</t>
  </si>
  <si>
    <t>BA-IS 95 RP3-47</t>
  </si>
  <si>
    <t>BA-IS 95 RP3-49</t>
  </si>
  <si>
    <t>BA-IS 95 RP3-64</t>
  </si>
  <si>
    <t>BA-IS 95 RP3-67</t>
  </si>
  <si>
    <t>BA-IS 95 RP4-47</t>
  </si>
  <si>
    <t>BA-IS 95 RP4-49</t>
  </si>
  <si>
    <t>BA-IS 95 RP4-64</t>
  </si>
  <si>
    <t>BA-IS 95 RP4-67</t>
  </si>
  <si>
    <t>BA-IS 95 RP5-47</t>
  </si>
  <si>
    <t>BA-IS 95 RP5-49</t>
  </si>
  <si>
    <t>BA-IS 95 RP5-64</t>
  </si>
  <si>
    <t>BA-IS 95 RP5-67</t>
  </si>
  <si>
    <t>BA-IS 95 RP6-47</t>
  </si>
  <si>
    <t>BA-IS 95 RP6-49</t>
  </si>
  <si>
    <t>BA-IS 95 RP6-64</t>
  </si>
  <si>
    <t>BA-IS 95 RP6-67</t>
  </si>
  <si>
    <t>BA-IS 95 RP7-47</t>
  </si>
  <si>
    <t>BA-IS 95 RP7-49</t>
  </si>
  <si>
    <t>BA-IS 95 RP7-64</t>
  </si>
  <si>
    <t>BA-IS 95 RP7-67</t>
  </si>
  <si>
    <t>BA-IS 95 RP8-47</t>
  </si>
  <si>
    <t>BA-IS 95 RP8-49</t>
  </si>
  <si>
    <t>BA-IS 95 RP8-64</t>
  </si>
  <si>
    <t>BA-IS 95 RP8-67</t>
  </si>
  <si>
    <t>BA-IS 95 RP9-49</t>
  </si>
  <si>
    <t>BA-MD 125</t>
  </si>
  <si>
    <t>BA-MD 128</t>
  </si>
  <si>
    <t>BA-MD 129A</t>
  </si>
  <si>
    <t>BA-MD 130</t>
  </si>
  <si>
    <t>BA-MD 131</t>
  </si>
  <si>
    <t>BA-MD 133</t>
  </si>
  <si>
    <t>BA-MD 134</t>
  </si>
  <si>
    <t>BA-MD 137</t>
  </si>
  <si>
    <t>BA-MD 139A</t>
  </si>
  <si>
    <t>BA-MD 140 RP1-5</t>
  </si>
  <si>
    <t>BA-MD 140 RP2-5</t>
  </si>
  <si>
    <t>BA-MD 140 RP6-5</t>
  </si>
  <si>
    <t>BA-MD 140 RP7-5</t>
  </si>
  <si>
    <t>BA-MD 140 RP8-5</t>
  </si>
  <si>
    <t>BA-MD 145</t>
  </si>
  <si>
    <t>BA-MD 146A</t>
  </si>
  <si>
    <t>BA-MD 147</t>
  </si>
  <si>
    <t>BA-MD 150</t>
  </si>
  <si>
    <t>BA-MD 150 RP1-1</t>
  </si>
  <si>
    <t>BA-MD 150 RP1-5</t>
  </si>
  <si>
    <t>BA-MD 150 RP2-1</t>
  </si>
  <si>
    <t>BA-MD 150 RP2-5</t>
  </si>
  <si>
    <t>BA-MD 150 RP3-1</t>
  </si>
  <si>
    <t>BA-MD 150 RP3-5</t>
  </si>
  <si>
    <t>BA-MD 150 RP4-1</t>
  </si>
  <si>
    <t>BA-MD 150 RP5-1</t>
  </si>
  <si>
    <t>BA-MD 150 RP5-5</t>
  </si>
  <si>
    <t>BA-MD 150 RP6-1</t>
  </si>
  <si>
    <t>BA-MD 150 RP7-1</t>
  </si>
  <si>
    <t>BA-MD 150 RP8-1</t>
  </si>
  <si>
    <t>BA-MD 150 RP8-5</t>
  </si>
  <si>
    <t>BA-MD 151 RP1-6</t>
  </si>
  <si>
    <t>BA-MD 151 RP2-1</t>
  </si>
  <si>
    <t>BA-MD 151 RP3-1</t>
  </si>
  <si>
    <t>BA-MD 151 RP4-1</t>
  </si>
  <si>
    <t>BA-MD 151 RP4-6</t>
  </si>
  <si>
    <t>BA-MD 151 RP5-1</t>
  </si>
  <si>
    <t>BA-MD 151 RP6-6</t>
  </si>
  <si>
    <t>BA-MD 151 RP7-1</t>
  </si>
  <si>
    <t>BA-MD 151 RP8-1</t>
  </si>
  <si>
    <t>BA-MD 151 RP8-6</t>
  </si>
  <si>
    <t>BA-MD 151 RP9-1</t>
  </si>
  <si>
    <t>BA-MD 151A</t>
  </si>
  <si>
    <t>BA-MD 158</t>
  </si>
  <si>
    <t>BA-MD 165</t>
  </si>
  <si>
    <t>BA-MD 166</t>
  </si>
  <si>
    <t>BA-MD 166 RP2-1</t>
  </si>
  <si>
    <t>BA-MD 166 RP4-1</t>
  </si>
  <si>
    <t>BA-MD 166 RP5-1</t>
  </si>
  <si>
    <t>BA-MD 166 RP7-1</t>
  </si>
  <si>
    <t>BA-MD 25</t>
  </si>
  <si>
    <t>BA-MD 30</t>
  </si>
  <si>
    <t>BA-MD 372</t>
  </si>
  <si>
    <t>BA-MD 43 RP1-1</t>
  </si>
  <si>
    <t>BA-MD 43 RP1-4</t>
  </si>
  <si>
    <t>BA-MD 43 RP2-1</t>
  </si>
  <si>
    <t>BA-MD 43 RP3-1</t>
  </si>
  <si>
    <t>BA-MD 43 RP3-4</t>
  </si>
  <si>
    <t>BA-MD 43 RP4-1</t>
  </si>
  <si>
    <t>BA-MD 43 RP5-1</t>
  </si>
  <si>
    <t>BA-MD 43 RP6-1</t>
  </si>
  <si>
    <t>BA-MD 43 RP6-4</t>
  </si>
  <si>
    <t>BA-MD 43 RP7-1</t>
  </si>
  <si>
    <t>BA-MD 43 RP8-1</t>
  </si>
  <si>
    <t>BA-MD 43 RP8-4</t>
  </si>
  <si>
    <t>BA-MD 43 RP9-1</t>
  </si>
  <si>
    <t>BA-MD 439</t>
  </si>
  <si>
    <t>BA-MD 45A</t>
  </si>
  <si>
    <t>BA-MD 45B</t>
  </si>
  <si>
    <t>BA-MD 45C</t>
  </si>
  <si>
    <t>BA-MD 45D</t>
  </si>
  <si>
    <t>BA-MD 45E</t>
  </si>
  <si>
    <t>BA-MD 562</t>
  </si>
  <si>
    <t>BA-MD 588</t>
  </si>
  <si>
    <t>BA-MD 644C</t>
  </si>
  <si>
    <t>BA-MD 644D</t>
  </si>
  <si>
    <t>BA-MD 648E</t>
  </si>
  <si>
    <t>BA-MD 695 RP1-34</t>
  </si>
  <si>
    <t>BA-MD 695 RP1-35</t>
  </si>
  <si>
    <t>BA-MD 695 RP1-39</t>
  </si>
  <si>
    <t>BA-MD 695 RP1-40</t>
  </si>
  <si>
    <t>BA-MD 695 RP1-41</t>
  </si>
  <si>
    <t>BA-MD 695 RP1-43</t>
  </si>
  <si>
    <t>BA-MD 695 RP1-44</t>
  </si>
  <si>
    <t>BA-MD 695 RP2-34</t>
  </si>
  <si>
    <t>BA-MD 695 RP2-35</t>
  </si>
  <si>
    <t>BA-MD 695 RP2-38</t>
  </si>
  <si>
    <t>BA-MD 695 RP2-40</t>
  </si>
  <si>
    <t>BA-MD 695 RP2-41</t>
  </si>
  <si>
    <t>BA-MD 695 RP2-42</t>
  </si>
  <si>
    <t>BA-MD 695 RP3-35</t>
  </si>
  <si>
    <t>BA-MD 695 RP3-38</t>
  </si>
  <si>
    <t>BA-MD 695 RP3-41</t>
  </si>
  <si>
    <t>BA-MD 695 RP3-42</t>
  </si>
  <si>
    <t>BA-MD 695 RP3-43</t>
  </si>
  <si>
    <t>BA-MD 695 RP4-34</t>
  </si>
  <si>
    <t>BA-MD 695 RP4-35</t>
  </si>
  <si>
    <t>BA-MD 695 RP4-36</t>
  </si>
  <si>
    <t>BA-MD 695 RP4-38</t>
  </si>
  <si>
    <t>BA-MD 695 RP4-41</t>
  </si>
  <si>
    <t>BA-MD 695 RP4-43</t>
  </si>
  <si>
    <t>BA-MD 695 RP5-34</t>
  </si>
  <si>
    <t>BA-MD 695 RP5-35</t>
  </si>
  <si>
    <t>BA-MD 695 RP5-38</t>
  </si>
  <si>
    <t>BA-MD 695 RP5-40</t>
  </si>
  <si>
    <t>BA-MD 695 RP5-41</t>
  </si>
  <si>
    <t>BA-MD 695 RP5-42</t>
  </si>
  <si>
    <t>BA-MD 695 RP5-43</t>
  </si>
  <si>
    <t>BA-MD 695 RP6-34</t>
  </si>
  <si>
    <t>BA-MD 695 RP6-35</t>
  </si>
  <si>
    <t>BA-MD 695 RP6-39</t>
  </si>
  <si>
    <t>BA-MD 695 RP6-40</t>
  </si>
  <si>
    <t>BA-MD 695 RP6-41</t>
  </si>
  <si>
    <t>BA-MD 695 RP6-43</t>
  </si>
  <si>
    <t>BA-MD 695 RP6-44</t>
  </si>
  <si>
    <t>BA-MD 695 RP7-34</t>
  </si>
  <si>
    <t>BA-MD 695 RP7-35</t>
  </si>
  <si>
    <t>BA-MD 695 RP7-36</t>
  </si>
  <si>
    <t>BA-MD 695 RP7-38</t>
  </si>
  <si>
    <t>BA-MD 695 RP7-41</t>
  </si>
  <si>
    <t>BA-MD 695 RP7-43</t>
  </si>
  <si>
    <t>BA-MD 695 RP7-44</t>
  </si>
  <si>
    <t>BA-MD 695 RP8-34</t>
  </si>
  <si>
    <t>BA-MD 695 RP8-35</t>
  </si>
  <si>
    <t>BA-MD 695 RP8-38</t>
  </si>
  <si>
    <t>BA-MD 695 RP8-41</t>
  </si>
  <si>
    <t>BA-MD 695 RP8-42</t>
  </si>
  <si>
    <t>BA-MD 695 RP8-43</t>
  </si>
  <si>
    <t>BA-MD 695 RP9-35</t>
  </si>
  <si>
    <t>BA-MD 695 RP9-39</t>
  </si>
  <si>
    <t>BA-MD 695 RP9-43</t>
  </si>
  <si>
    <t>BA-MD 695 RP9-44</t>
  </si>
  <si>
    <t>BA-MD 695B</t>
  </si>
  <si>
    <t>BA-MD 695C</t>
  </si>
  <si>
    <t>BA-MD 702 RP2-1</t>
  </si>
  <si>
    <t>BA-MD 702 RP3-1</t>
  </si>
  <si>
    <t>BA-MD 702 RP5-1</t>
  </si>
  <si>
    <t>BA-MD 702 RP8-1</t>
  </si>
  <si>
    <t>BA-MD 746A</t>
  </si>
  <si>
    <t>BA-MD 795</t>
  </si>
  <si>
    <t>BA-MD 7BA</t>
  </si>
  <si>
    <t>BA-MD 7J</t>
  </si>
  <si>
    <t>BA-MD 88</t>
  </si>
  <si>
    <t>BA-MD 889</t>
  </si>
  <si>
    <t>BA-MD 91</t>
  </si>
  <si>
    <t>BA-MD 993B</t>
  </si>
  <si>
    <t>BA-OP 7065</t>
  </si>
  <si>
    <t>BA-US 40 RP1-18</t>
  </si>
  <si>
    <t>BA-US 40 RP1-20</t>
  </si>
  <si>
    <t>BA-US 40 RP2-20</t>
  </si>
  <si>
    <t>BA-US 40 RP4-18</t>
  </si>
  <si>
    <t>BA-US 40 RP4-20</t>
  </si>
  <si>
    <t>BA-US 40 RP6-18</t>
  </si>
  <si>
    <t>BA-US 40 RP6-20</t>
  </si>
  <si>
    <t>BA-US 40 RP7-18</t>
  </si>
  <si>
    <t>BA-US 40 RP7-20</t>
  </si>
  <si>
    <t>BA-US 40 RP8-20</t>
  </si>
  <si>
    <t>BA-US 40 RP9-20</t>
  </si>
  <si>
    <t>BC-IS 395A RP4-1</t>
  </si>
  <si>
    <t>BC-IS 83 RP1-10</t>
  </si>
  <si>
    <t>BC-IS 83 RP1-7</t>
  </si>
  <si>
    <t>BC-IS 83 RP1-9</t>
  </si>
  <si>
    <t>BC-IS 83 RP2-10</t>
  </si>
  <si>
    <t>BC-IS 83 RP2-3</t>
  </si>
  <si>
    <t>BC-IS 83 RP2-4</t>
  </si>
  <si>
    <t>BC-IS 83 RP2-5</t>
  </si>
  <si>
    <t>BC-IS 83 RP2-9</t>
  </si>
  <si>
    <t>BC-IS 83 RP3-10</t>
  </si>
  <si>
    <t>BC-IS 83 RP3-2</t>
  </si>
  <si>
    <t>BC-IS 83 RP3-6</t>
  </si>
  <si>
    <t>BC-IS 83 RP3-7</t>
  </si>
  <si>
    <t>BC-IS 83 RP3-9</t>
  </si>
  <si>
    <t>BC-IS 83 RP4-10</t>
  </si>
  <si>
    <t>BC-IS 83 RP4-3</t>
  </si>
  <si>
    <t>BC-IS 83 RP4-6</t>
  </si>
  <si>
    <t>BC-IS 83 RP4-7</t>
  </si>
  <si>
    <t>BC-IS 83 RP4-8</t>
  </si>
  <si>
    <t>BC-IS 83 RP4-9</t>
  </si>
  <si>
    <t>BC-IS 83 RP5-10</t>
  </si>
  <si>
    <t>BC-IS 83 RP5-5</t>
  </si>
  <si>
    <t>BC-IS 83 RP5-7</t>
  </si>
  <si>
    <t>BC-IS 83 RP5-9</t>
  </si>
  <si>
    <t>BC-IS 83 RP6-10</t>
  </si>
  <si>
    <t>BC-IS 83 RP6-2</t>
  </si>
  <si>
    <t>BC-IS 83 RP6-8</t>
  </si>
  <si>
    <t>BC-IS 83 RP6-9</t>
  </si>
  <si>
    <t>BC-IS 83 RP7-10</t>
  </si>
  <si>
    <t>BC-IS 83 RP7-3</t>
  </si>
  <si>
    <t>BC-IS 83 RP7-6</t>
  </si>
  <si>
    <t>BC-IS 83 RP7-7</t>
  </si>
  <si>
    <t>BC-IS 83 RP7-9</t>
  </si>
  <si>
    <t>BC-IS 83 RP8-10</t>
  </si>
  <si>
    <t>BC-IS 83 RP8-3</t>
  </si>
  <si>
    <t>BC-IS 83 RP8-4</t>
  </si>
  <si>
    <t>BC-IS 83 RP8-6</t>
  </si>
  <si>
    <t>BC-IS 83 RP8-7</t>
  </si>
  <si>
    <t>BC-IS 83 RP8-9</t>
  </si>
  <si>
    <t>BC-IS 83 RP9-6</t>
  </si>
  <si>
    <t>BC-IS 895 RP1-11B</t>
  </si>
  <si>
    <t>BC-IS 895 RP1-12</t>
  </si>
  <si>
    <t>BC-IS 895 RP2-12</t>
  </si>
  <si>
    <t>BC-IS 895 RP2-14</t>
  </si>
  <si>
    <t>BC-IS 895 RP2-7</t>
  </si>
  <si>
    <t>BC-IS 895 RP2-8</t>
  </si>
  <si>
    <t>BC-IS 895 RP3-14</t>
  </si>
  <si>
    <t>BC-IS 895 RP3-7</t>
  </si>
  <si>
    <t>BC-IS 895 RP3-8</t>
  </si>
  <si>
    <t>BC-IS 895 RP4-10</t>
  </si>
  <si>
    <t>BC-IS 895 RP4-11A</t>
  </si>
  <si>
    <t>BC-IS 895 RP4-12</t>
  </si>
  <si>
    <t>BC-IS 895 RP4-13</t>
  </si>
  <si>
    <t>BC-IS 895 RP4-9</t>
  </si>
  <si>
    <t>BC-IS 895 RP5-12</t>
  </si>
  <si>
    <t>BC-IS 895 RP5-14</t>
  </si>
  <si>
    <t>BC-IS 895 RP5-7</t>
  </si>
  <si>
    <t>BC-IS 895 RP5-8</t>
  </si>
  <si>
    <t>BC-IS 895 RP6-11A</t>
  </si>
  <si>
    <t>BC-IS 895 RP6-12</t>
  </si>
  <si>
    <t>BC-IS 895 RP6-13</t>
  </si>
  <si>
    <t>BC-IS 895 RP6-14</t>
  </si>
  <si>
    <t>BC-IS 895 RP6-9</t>
  </si>
  <si>
    <t>BC-IS 895 RP7-11B</t>
  </si>
  <si>
    <t>BC-IS 895 RP7-14</t>
  </si>
  <si>
    <t>BC-IS 895 RP8-14</t>
  </si>
  <si>
    <t>BC-IS 895 RP8-8</t>
  </si>
  <si>
    <t>BC-IS 895 RP9-13</t>
  </si>
  <si>
    <t>BC-IS 895 RP9-8</t>
  </si>
  <si>
    <t>BC-IS 95 RP10-50</t>
  </si>
  <si>
    <t>BC-IS 95 RP1-54</t>
  </si>
  <si>
    <t>BC-IS 95 RP1-55</t>
  </si>
  <si>
    <t>BC-IS 95 RP1-56</t>
  </si>
  <si>
    <t>BC-IS 95 RP1-57</t>
  </si>
  <si>
    <t>BC-IS 95 RP1-59</t>
  </si>
  <si>
    <t>BC-IS 95 RP2-50</t>
  </si>
  <si>
    <t>BC-IS 95 RP2-53</t>
  </si>
  <si>
    <t>BC-IS 95 RP2-56</t>
  </si>
  <si>
    <t>BC-IS 95 RP2-57</t>
  </si>
  <si>
    <t>BC-IS 95 RP2-59</t>
  </si>
  <si>
    <t>BC-IS 95 RP3-50</t>
  </si>
  <si>
    <t>BC-IS 95 RP3-51</t>
  </si>
  <si>
    <t>BC-IS 95 RP3-52</t>
  </si>
  <si>
    <t>BC-IS 95 RP3-53</t>
  </si>
  <si>
    <t>BC-IS 95 RP3-56</t>
  </si>
  <si>
    <t>BC-IS 95 RP3-59</t>
  </si>
  <si>
    <t>BC-IS 95 RP4-50</t>
  </si>
  <si>
    <t>BC-IS 95 RP4-52</t>
  </si>
  <si>
    <t>BC-IS 95 RP4-55</t>
  </si>
  <si>
    <t>BC-IS 95 RP4-56</t>
  </si>
  <si>
    <t>BC-IS 95 RP4-57</t>
  </si>
  <si>
    <t>BC-IS 95 RP4-58</t>
  </si>
  <si>
    <t>BC-IS 95 RP4-59</t>
  </si>
  <si>
    <t>BC-IS 95 RP4-61</t>
  </si>
  <si>
    <t>BC-IS 95 RP5-50</t>
  </si>
  <si>
    <t>BC-IS 95 RP5-51</t>
  </si>
  <si>
    <t>BC-IS 95 RP5-53</t>
  </si>
  <si>
    <t>BC-IS 95 RP5-57</t>
  </si>
  <si>
    <t>BC-IS 95 RP5-59</t>
  </si>
  <si>
    <t>BC-IS 95 RP6-50</t>
  </si>
  <si>
    <t>BC-IS 95 RP6-51</t>
  </si>
  <si>
    <t>BC-IS 95 RP6-54</t>
  </si>
  <si>
    <t>BC-IS 95 RP6-55</t>
  </si>
  <si>
    <t>BC-IS 95 RP6-57</t>
  </si>
  <si>
    <t>BC-IS 95 RP7-50</t>
  </si>
  <si>
    <t>BC-IS 95 RP7-52</t>
  </si>
  <si>
    <t>BC-IS 95 RP7-55</t>
  </si>
  <si>
    <t>BC-IS 95 RP7-57</t>
  </si>
  <si>
    <t>BC-IS 95 RP7-58</t>
  </si>
  <si>
    <t>BC-IS 95 RP7-59</t>
  </si>
  <si>
    <t>BC-IS 95 RP7-61</t>
  </si>
  <si>
    <t>BC-IS 95 RP8-50</t>
  </si>
  <si>
    <t>BC-IS 95 RP8-51</t>
  </si>
  <si>
    <t>BC-IS 95 RP8-52</t>
  </si>
  <si>
    <t>BC-IS 95 RP8-58</t>
  </si>
  <si>
    <t>BC-IS 95 RP8-59</t>
  </si>
  <si>
    <t>BC-IS 95 RP9-50</t>
  </si>
  <si>
    <t>BC-IS 95 RP9-56</t>
  </si>
  <si>
    <t>BC-MD 129</t>
  </si>
  <si>
    <t>BC-MD 129B</t>
  </si>
  <si>
    <t>BC-MD 139</t>
  </si>
  <si>
    <t>BC-MD 140</t>
  </si>
  <si>
    <t>BC-MD 144</t>
  </si>
  <si>
    <t>BC-MD 147</t>
  </si>
  <si>
    <t>BC-MD 173</t>
  </si>
  <si>
    <t>BC-MD 2</t>
  </si>
  <si>
    <t>BC-MD 26</t>
  </si>
  <si>
    <t>BC-MD 295 RP1-30</t>
  </si>
  <si>
    <t>BC-MD 295 RP1-31</t>
  </si>
  <si>
    <t>BC-MD 295 RP2-1</t>
  </si>
  <si>
    <t>BC-MD 295 RP3-2</t>
  </si>
  <si>
    <t>BC-MD 295 RP4-1</t>
  </si>
  <si>
    <t>BC-MD 295 RP4-2</t>
  </si>
  <si>
    <t>BC-MD 295 RP4-31</t>
  </si>
  <si>
    <t>BC-MD 295 RP5-2</t>
  </si>
  <si>
    <t>BC-MD 295 RP6-1</t>
  </si>
  <si>
    <t>BC-MD 295 RP6-2</t>
  </si>
  <si>
    <t>BC-MD 295 RP6-31</t>
  </si>
  <si>
    <t>BC-MD 295 RP8-1</t>
  </si>
  <si>
    <t>BC-MD 295 RP8-30</t>
  </si>
  <si>
    <t>BC-MD 295 RP9-30</t>
  </si>
  <si>
    <t>BC-MD 45</t>
  </si>
  <si>
    <t>BC-MD 695 RP2-1</t>
  </si>
  <si>
    <t>BC-MD 695 RP3-1</t>
  </si>
  <si>
    <t>BC-MD 695 RP4-1</t>
  </si>
  <si>
    <t>BC-MD 695 RP6-1</t>
  </si>
  <si>
    <t>BC-MD 695 RP8-1</t>
  </si>
  <si>
    <t>BC-MD 695 RP9-1</t>
  </si>
  <si>
    <t>BC-MU 10</t>
  </si>
  <si>
    <t>BC-MU 101</t>
  </si>
  <si>
    <t>BC-MU 1024</t>
  </si>
  <si>
    <t>BC-MU 1025</t>
  </si>
  <si>
    <t>BC-MU 1026</t>
  </si>
  <si>
    <t>BC-MU 1027</t>
  </si>
  <si>
    <t>BC-MU 1050</t>
  </si>
  <si>
    <t>BC-MU 1070</t>
  </si>
  <si>
    <t>BC-MU 1085</t>
  </si>
  <si>
    <t>BC-MU 1087</t>
  </si>
  <si>
    <t>BC-MU 1090</t>
  </si>
  <si>
    <t>BC-MU 1135</t>
  </si>
  <si>
    <t>BC-MU 1170</t>
  </si>
  <si>
    <t>BC-MU 1200</t>
  </si>
  <si>
    <t>BC-MU 1230</t>
  </si>
  <si>
    <t>BC-MU 1241</t>
  </si>
  <si>
    <t>BC-MU 1280</t>
  </si>
  <si>
    <t>BC-MU 1281</t>
  </si>
  <si>
    <t>BC-MU 1300</t>
  </si>
  <si>
    <t>BC-MU 1310</t>
  </si>
  <si>
    <t>BC-MU 1340</t>
  </si>
  <si>
    <t>BC-MU 1351</t>
  </si>
  <si>
    <t>BC-MU 1353</t>
  </si>
  <si>
    <t>BC-MU 1357</t>
  </si>
  <si>
    <t>BC-MU 1358</t>
  </si>
  <si>
    <t>BC-MU 1359</t>
  </si>
  <si>
    <t>BC-MU 1360</t>
  </si>
  <si>
    <t>BC-MU 1365</t>
  </si>
  <si>
    <t>BC-MU 1370</t>
  </si>
  <si>
    <t>BC-MU 1390</t>
  </si>
  <si>
    <t>BC-MU 1391</t>
  </si>
  <si>
    <t>BC-MU 1392</t>
  </si>
  <si>
    <t>BC-MU 1395</t>
  </si>
  <si>
    <t>BC-MU 1450</t>
  </si>
  <si>
    <t>BC-MU 1455</t>
  </si>
  <si>
    <t>BC-MU 1470</t>
  </si>
  <si>
    <t>BC-MU 1480</t>
  </si>
  <si>
    <t>BC-MU 1500</t>
  </si>
  <si>
    <t>BC-MU 1515</t>
  </si>
  <si>
    <t>BC-MU 1540</t>
  </si>
  <si>
    <t>BC-MU 1611</t>
  </si>
  <si>
    <t>BC-MU 1612</t>
  </si>
  <si>
    <t>BC-MU 1613</t>
  </si>
  <si>
    <t>BC-MU 1615</t>
  </si>
  <si>
    <t>BC-MU 1700</t>
  </si>
  <si>
    <t>BC-MU 1720</t>
  </si>
  <si>
    <t>BC-MU 1740</t>
  </si>
  <si>
    <t>BC-MU 1790</t>
  </si>
  <si>
    <t>BC-MU 1830</t>
  </si>
  <si>
    <t>BC-MU 2100</t>
  </si>
  <si>
    <t>BC-MU 2105</t>
  </si>
  <si>
    <t>BC-MU 2150</t>
  </si>
  <si>
    <t>BC-MU 2320</t>
  </si>
  <si>
    <t>BC-MU 2365</t>
  </si>
  <si>
    <t>BC-MU 2880</t>
  </si>
  <si>
    <t>BC-MU 2890</t>
  </si>
  <si>
    <t>BC-MU 2965</t>
  </si>
  <si>
    <t>BC-MU 2971</t>
  </si>
  <si>
    <t>BC-MU 4020</t>
  </si>
  <si>
    <t>BC-MU 4021</t>
  </si>
  <si>
    <t>BC-MU 4230</t>
  </si>
  <si>
    <t>BC-MU 43</t>
  </si>
  <si>
    <t>BC-MU 4320</t>
  </si>
  <si>
    <t>BC-MU 4400</t>
  </si>
  <si>
    <t>BC-MU 4405</t>
  </si>
  <si>
    <t>BC-MU 4410</t>
  </si>
  <si>
    <t>BC-MU 4415</t>
  </si>
  <si>
    <t>BC-MU 4420</t>
  </si>
  <si>
    <t>BC-MU 4460</t>
  </si>
  <si>
    <t>BC-MU 4465</t>
  </si>
  <si>
    <t>BC-MU 501</t>
  </si>
  <si>
    <t>BC-MU 5855</t>
  </si>
  <si>
    <t>BC-MU 5857</t>
  </si>
  <si>
    <t>BC-MU 5861</t>
  </si>
  <si>
    <t>BC-MU 6155</t>
  </si>
  <si>
    <t>BC-MU 6156</t>
  </si>
  <si>
    <t>BC-MU 6170</t>
  </si>
  <si>
    <t>BC-MU 6171</t>
  </si>
  <si>
    <t>BC-MU 6361</t>
  </si>
  <si>
    <t>BC-MU 6362</t>
  </si>
  <si>
    <t>BC-MU 908</t>
  </si>
  <si>
    <t>BC-MU 952</t>
  </si>
  <si>
    <t>BC-US 1</t>
  </si>
  <si>
    <t>CA-MD 231</t>
  </si>
  <si>
    <t>CA-MD 260 RP3-6</t>
  </si>
  <si>
    <t>CA-MD 260 RP5-6</t>
  </si>
  <si>
    <t>CA-MD 260 RP7-6</t>
  </si>
  <si>
    <t>CA-MD 260 RP8-6</t>
  </si>
  <si>
    <t>CA-MD 260D</t>
  </si>
  <si>
    <t>CA-MD 262</t>
  </si>
  <si>
    <t>CA-MD 262A</t>
  </si>
  <si>
    <t>CA-MD 263</t>
  </si>
  <si>
    <t>CA-MD 264</t>
  </si>
  <si>
    <t>CA-MD 264A</t>
  </si>
  <si>
    <t>CA-MD 265</t>
  </si>
  <si>
    <t>CA-MD 2A</t>
  </si>
  <si>
    <t>CA-MD 2AC</t>
  </si>
  <si>
    <t>CA-MD 2AE</t>
  </si>
  <si>
    <t>CA-MD 2AF</t>
  </si>
  <si>
    <t>CA-MD 2AG</t>
  </si>
  <si>
    <t>CA-MD 2B</t>
  </si>
  <si>
    <t>CA-MD 2C</t>
  </si>
  <si>
    <t>CA-MD 2D</t>
  </si>
  <si>
    <t>CA-MD 2E</t>
  </si>
  <si>
    <t>CA-MD 2F</t>
  </si>
  <si>
    <t>CA-MD 2G</t>
  </si>
  <si>
    <t>CA-MD 2H</t>
  </si>
  <si>
    <t>CA-MD 2I</t>
  </si>
  <si>
    <t>CA-MD 2J</t>
  </si>
  <si>
    <t>CA-MD 2K</t>
  </si>
  <si>
    <t>CA-MD 2L</t>
  </si>
  <si>
    <t>CA-MD 2M</t>
  </si>
  <si>
    <t>CA-MD 2N</t>
  </si>
  <si>
    <t>CA-MD 2O</t>
  </si>
  <si>
    <t>CA-MD 2P</t>
  </si>
  <si>
    <t>CA-MD 2Q</t>
  </si>
  <si>
    <t>CA-MD 2S</t>
  </si>
  <si>
    <t>CA-MD 2T</t>
  </si>
  <si>
    <t>CA-MD 2W</t>
  </si>
  <si>
    <t>CA-MD 2X</t>
  </si>
  <si>
    <t>CA-MD 2Y</t>
  </si>
  <si>
    <t>CA-MD 2Z</t>
  </si>
  <si>
    <t>CA-MD 4 RP2-36</t>
  </si>
  <si>
    <t>CA-MD 4 RP4-36</t>
  </si>
  <si>
    <t>CA-MD 4 RP5-36</t>
  </si>
  <si>
    <t>CA-MD 402</t>
  </si>
  <si>
    <t>CA-MD 497</t>
  </si>
  <si>
    <t>CA-MD 506</t>
  </si>
  <si>
    <t>CA-MD 508</t>
  </si>
  <si>
    <t>CA-MD 509</t>
  </si>
  <si>
    <t>CA-MD 521</t>
  </si>
  <si>
    <t>CA-MD 524</t>
  </si>
  <si>
    <t>CA-MD 752</t>
  </si>
  <si>
    <t>CA-MD 760</t>
  </si>
  <si>
    <t>CA-MD 761</t>
  </si>
  <si>
    <t>CA-MD 764</t>
  </si>
  <si>
    <t>CA-MD 764A</t>
  </si>
  <si>
    <t>CA-MD 765</t>
  </si>
  <si>
    <t>CA-MD 765A</t>
  </si>
  <si>
    <t>CA-MD 765B</t>
  </si>
  <si>
    <t>CA-MD 765C</t>
  </si>
  <si>
    <t>CA-MD 765D</t>
  </si>
  <si>
    <t>CA-MD 765E</t>
  </si>
  <si>
    <t>CA-MD 765F</t>
  </si>
  <si>
    <t>CA-MD 765G</t>
  </si>
  <si>
    <t>CA-MD 765H</t>
  </si>
  <si>
    <t>CA-MD 765I</t>
  </si>
  <si>
    <t>CA-MD 765J</t>
  </si>
  <si>
    <t>CA-MD 765K</t>
  </si>
  <si>
    <t>CA-MD 765M</t>
  </si>
  <si>
    <t>CA-MD 765N</t>
  </si>
  <si>
    <t>CA-MD 765O</t>
  </si>
  <si>
    <t>CA-MD 765P</t>
  </si>
  <si>
    <t>CA-MD 765Q</t>
  </si>
  <si>
    <t>CA-MD 765R</t>
  </si>
  <si>
    <t>CA-MD 765S</t>
  </si>
  <si>
    <t>CA-MD 765T</t>
  </si>
  <si>
    <t>CA-MD 765U</t>
  </si>
  <si>
    <t>CA-MD 765V</t>
  </si>
  <si>
    <t>CA-MD 765W</t>
  </si>
  <si>
    <t>CA-MD 765X</t>
  </si>
  <si>
    <t>CA-MD 765Y</t>
  </si>
  <si>
    <t>CA-MD 768</t>
  </si>
  <si>
    <t>CA-MD 778</t>
  </si>
  <si>
    <t>CE-IS 95 RP10-109</t>
  </si>
  <si>
    <t>CE-IS 95 RP1-100</t>
  </si>
  <si>
    <t>CE-IS 95 RP1-109</t>
  </si>
  <si>
    <t>CE-IS 95 RP1-93</t>
  </si>
  <si>
    <t>CE-IS 95 RP2-100</t>
  </si>
  <si>
    <t>CE-IS 95 RP2-109</t>
  </si>
  <si>
    <t>CE-IS 95 RP2-93</t>
  </si>
  <si>
    <t>CE-IS 95 RP3-100</t>
  </si>
  <si>
    <t>CE-IS 95 RP3-109</t>
  </si>
  <si>
    <t>CE-IS 95 RP4-100</t>
  </si>
  <si>
    <t>CE-IS 95 RP4-109</t>
  </si>
  <si>
    <t>CE-IS 95 RP4-93</t>
  </si>
  <si>
    <t>CE-IS 95 RP5-100</t>
  </si>
  <si>
    <t>CE-IS 95 RP5-109</t>
  </si>
  <si>
    <t>CE-IS 95 RP5-93</t>
  </si>
  <si>
    <t>CE-IS 95 RP6-100</t>
  </si>
  <si>
    <t>CE-IS 95 RP6-109</t>
  </si>
  <si>
    <t>CE-IS 95 RP6-93</t>
  </si>
  <si>
    <t>CE-IS 95 RP7-100</t>
  </si>
  <si>
    <t>CE-IS 95 RP7-109</t>
  </si>
  <si>
    <t>CE-IS 95 RP7-93</t>
  </si>
  <si>
    <t>CE-IS 95 RP8-100</t>
  </si>
  <si>
    <t>CE-IS 95 RP8-109</t>
  </si>
  <si>
    <t>CE-IS 95 RP8-93</t>
  </si>
  <si>
    <t>CE-IS 95 RP9-100</t>
  </si>
  <si>
    <t>CE-IS 95 RP9-109</t>
  </si>
  <si>
    <t>CE-IS 95R</t>
  </si>
  <si>
    <t>CE-IS 95S</t>
  </si>
  <si>
    <t>CE-MD 222</t>
  </si>
  <si>
    <t>CE-MD 222B</t>
  </si>
  <si>
    <t>CE-MD 222C</t>
  </si>
  <si>
    <t>CE-MD 267</t>
  </si>
  <si>
    <t>CE-MD 268</t>
  </si>
  <si>
    <t>CE-MD 272</t>
  </si>
  <si>
    <t>CE-MD 273</t>
  </si>
  <si>
    <t>CE-MD 273A</t>
  </si>
  <si>
    <t>CE-MD 274</t>
  </si>
  <si>
    <t>CE-MD 274A</t>
  </si>
  <si>
    <t>CE-MD 274B</t>
  </si>
  <si>
    <t>CE-MD 275</t>
  </si>
  <si>
    <t>CE-MD 276</t>
  </si>
  <si>
    <t>CE-MD 277</t>
  </si>
  <si>
    <t>CE-MD 279</t>
  </si>
  <si>
    <t>CE-MD 281</t>
  </si>
  <si>
    <t>CE-MD 282</t>
  </si>
  <si>
    <t>CE-MD 284</t>
  </si>
  <si>
    <t>CE-MD 285</t>
  </si>
  <si>
    <t>CE-MD 286</t>
  </si>
  <si>
    <t>CE-MD 299</t>
  </si>
  <si>
    <t>CE-MD 310</t>
  </si>
  <si>
    <t>CE-MD 316</t>
  </si>
  <si>
    <t>CE-MD 327</t>
  </si>
  <si>
    <t>CE-MD 342</t>
  </si>
  <si>
    <t>CE-MD 537B</t>
  </si>
  <si>
    <t>CE-MD 537C</t>
  </si>
  <si>
    <t>CE-MD 537D</t>
  </si>
  <si>
    <t>CE-MD 545</t>
  </si>
  <si>
    <t>CE-MD 591A</t>
  </si>
  <si>
    <t>CE-MD 591B</t>
  </si>
  <si>
    <t>CE-MD 727</t>
  </si>
  <si>
    <t>CE-MD 727A</t>
  </si>
  <si>
    <t>CE-MD 781</t>
  </si>
  <si>
    <t>CE-MD 7B</t>
  </si>
  <si>
    <t>CE-MD 7C</t>
  </si>
  <si>
    <t>CE-MD 7D</t>
  </si>
  <si>
    <t>CE-MD 7E</t>
  </si>
  <si>
    <t>CE-MD 7H</t>
  </si>
  <si>
    <t>CE-MD 7K</t>
  </si>
  <si>
    <t>CE-MD 824A</t>
  </si>
  <si>
    <t>CE-MD 896</t>
  </si>
  <si>
    <t>CE-US 1</t>
  </si>
  <si>
    <t>CE-US 222</t>
  </si>
  <si>
    <t>CH-MD 210J</t>
  </si>
  <si>
    <t>CH-MD 224</t>
  </si>
  <si>
    <t>CH-MD 229</t>
  </si>
  <si>
    <t>CH-MD 231</t>
  </si>
  <si>
    <t>CH-MD 234</t>
  </si>
  <si>
    <t>CH-MD 254</t>
  </si>
  <si>
    <t>CH-MD 257</t>
  </si>
  <si>
    <t>CH-MD 344</t>
  </si>
  <si>
    <t>CH-MD 382F</t>
  </si>
  <si>
    <t>CH-MD 382G</t>
  </si>
  <si>
    <t>CH-MD 425</t>
  </si>
  <si>
    <t>CH-MD 488</t>
  </si>
  <si>
    <t>CH-MD 5 RP1-47</t>
  </si>
  <si>
    <t>CH-MD 5 RP2-47</t>
  </si>
  <si>
    <t>CH-MD 5 RP3-47</t>
  </si>
  <si>
    <t>CH-MD 5 RP4-47</t>
  </si>
  <si>
    <t>CH-MD 5 RP6-47</t>
  </si>
  <si>
    <t>CH-MD 5 RP8-47</t>
  </si>
  <si>
    <t>CH-MD 5BU</t>
  </si>
  <si>
    <t>CH-MD 5K</t>
  </si>
  <si>
    <t>CH-MD 5S</t>
  </si>
  <si>
    <t>CH-MD 6</t>
  </si>
  <si>
    <t>CH-MD 625</t>
  </si>
  <si>
    <t>CH-MD 625A</t>
  </si>
  <si>
    <t>CH-MD 925</t>
  </si>
  <si>
    <t>CL-IS 70 RP1-68</t>
  </si>
  <si>
    <t>CL-IS 70 RP2-68</t>
  </si>
  <si>
    <t>CL-IS 70 RP4-68</t>
  </si>
  <si>
    <t>CL-IS 70 RP7-68</t>
  </si>
  <si>
    <t>CL-IS 70 RP8-68</t>
  </si>
  <si>
    <t>CL-MD 140 RP1-10</t>
  </si>
  <si>
    <t>CL-MD 140 RP1-9</t>
  </si>
  <si>
    <t>CL-MD 140 RP2-10</t>
  </si>
  <si>
    <t>CL-MD 140 RP2-9</t>
  </si>
  <si>
    <t>CL-MD 140 RP3-10</t>
  </si>
  <si>
    <t>CL-MD 140 RP3-9</t>
  </si>
  <si>
    <t>CL-MD 140 RP4-10</t>
  </si>
  <si>
    <t>CL-MD 140 RP4-9</t>
  </si>
  <si>
    <t>CL-MD 140 RP5-10</t>
  </si>
  <si>
    <t>CL-MD 140 RP5-9</t>
  </si>
  <si>
    <t>CL-MD 140 RP6-10</t>
  </si>
  <si>
    <t>CL-MD 140 RP6-9</t>
  </si>
  <si>
    <t>CL-MD 140 RP7-10</t>
  </si>
  <si>
    <t>CL-MD 140 RP7-9</t>
  </si>
  <si>
    <t>CL-MD 140 RP8-9</t>
  </si>
  <si>
    <t>CL-MD 144A</t>
  </si>
  <si>
    <t>CL-MD 194</t>
  </si>
  <si>
    <t>CL-MD 194D</t>
  </si>
  <si>
    <t>CL-MD 194E</t>
  </si>
  <si>
    <t>CL-MD 26 RP2-6</t>
  </si>
  <si>
    <t>CL-MD 26 RP5-6</t>
  </si>
  <si>
    <t>CL-MD 26 RP6-6</t>
  </si>
  <si>
    <t>CL-MD 26 RP7-6</t>
  </si>
  <si>
    <t>CL-MD 26A</t>
  </si>
  <si>
    <t>CL-MD 27A</t>
  </si>
  <si>
    <t>CL-MD 27B</t>
  </si>
  <si>
    <t>CL-MD 27C</t>
  </si>
  <si>
    <t>CL-MD 27D</t>
  </si>
  <si>
    <t>CL-MD 27E</t>
  </si>
  <si>
    <t>CL-MD 30BC</t>
  </si>
  <si>
    <t>CL-MD 30BU</t>
  </si>
  <si>
    <t>CL-MD 30BZ</t>
  </si>
  <si>
    <t>CL-MD 407</t>
  </si>
  <si>
    <t>CL-MD 482</t>
  </si>
  <si>
    <t>CL-MD 482A</t>
  </si>
  <si>
    <t>CL-MD 496</t>
  </si>
  <si>
    <t>CL-MD 668</t>
  </si>
  <si>
    <t>CL-MD 75</t>
  </si>
  <si>
    <t>CL-MD 75A</t>
  </si>
  <si>
    <t>CL-MD 77</t>
  </si>
  <si>
    <t>CL-MD 800A</t>
  </si>
  <si>
    <t>CL-MD 800B</t>
  </si>
  <si>
    <t>CL-MD 800C</t>
  </si>
  <si>
    <t>CL-MD 800D</t>
  </si>
  <si>
    <t>CL-MD 800E</t>
  </si>
  <si>
    <t>CL-MD 800G</t>
  </si>
  <si>
    <t>CL-MD 808A</t>
  </si>
  <si>
    <t>CL-MD 808B</t>
  </si>
  <si>
    <t>CL-MD 831J</t>
  </si>
  <si>
    <t>CL-MD 832</t>
  </si>
  <si>
    <t>CL-MD 833</t>
  </si>
  <si>
    <t>CL-MD 84</t>
  </si>
  <si>
    <t>CL-MD 849</t>
  </si>
  <si>
    <t>CL-MD 850C</t>
  </si>
  <si>
    <t>CL-MD 850D</t>
  </si>
  <si>
    <t>CL-MD 850E</t>
  </si>
  <si>
    <t>CL-MD 850H</t>
  </si>
  <si>
    <t>CL-MD 850I</t>
  </si>
  <si>
    <t>CL-MD 850J</t>
  </si>
  <si>
    <t>CL-MD 850K</t>
  </si>
  <si>
    <t>CL-MD 851</t>
  </si>
  <si>
    <t>CL-MD 851A</t>
  </si>
  <si>
    <t>CL-MD 851B</t>
  </si>
  <si>
    <t>CL-MD 852</t>
  </si>
  <si>
    <t>CL-MD 852A</t>
  </si>
  <si>
    <t>CL-MD 852B</t>
  </si>
  <si>
    <t>CL-MD 852C</t>
  </si>
  <si>
    <t>CL-MD 852F</t>
  </si>
  <si>
    <t>CL-MD 852G</t>
  </si>
  <si>
    <t>CL-MD 852H</t>
  </si>
  <si>
    <t>CL-MD 852I</t>
  </si>
  <si>
    <t>CL-MD 852J</t>
  </si>
  <si>
    <t>CL-MD 852K</t>
  </si>
  <si>
    <t>CL-MD 852M</t>
  </si>
  <si>
    <t>CL-MD 853A</t>
  </si>
  <si>
    <t>CL-MD 853C</t>
  </si>
  <si>
    <t>CL-MD 853E</t>
  </si>
  <si>
    <t>CL-MD 853F</t>
  </si>
  <si>
    <t>CL-MD 854A</t>
  </si>
  <si>
    <t>CL-MD 854B</t>
  </si>
  <si>
    <t>CL-MD 86</t>
  </si>
  <si>
    <t>CL-MD 879</t>
  </si>
  <si>
    <t>CL-MD 879B</t>
  </si>
  <si>
    <t>CL-MD 879C</t>
  </si>
  <si>
    <t>CL-MD 879D</t>
  </si>
  <si>
    <t>CL-MD 879E</t>
  </si>
  <si>
    <t>CL-MD 88</t>
  </si>
  <si>
    <t>CL-MD 904</t>
  </si>
  <si>
    <t>CL-MD 904A</t>
  </si>
  <si>
    <t>CL-MD 904D</t>
  </si>
  <si>
    <t>CO-MD 16</t>
  </si>
  <si>
    <t>CO-MD 16A</t>
  </si>
  <si>
    <t>CO-MD 287</t>
  </si>
  <si>
    <t>CO-MD 302</t>
  </si>
  <si>
    <t>CO-MD 304A</t>
  </si>
  <si>
    <t>CO-MD 306</t>
  </si>
  <si>
    <t>CO-MD 307</t>
  </si>
  <si>
    <t>CO-MD 308</t>
  </si>
  <si>
    <t>CO-MD 311</t>
  </si>
  <si>
    <t>CO-MD 312</t>
  </si>
  <si>
    <t>CO-MD 312A</t>
  </si>
  <si>
    <t>CO-MD 313</t>
  </si>
  <si>
    <t>CO-MD 314</t>
  </si>
  <si>
    <t>CO-MD 314A</t>
  </si>
  <si>
    <t>CO-MD 315</t>
  </si>
  <si>
    <t>CO-MD 315A</t>
  </si>
  <si>
    <t>CO-MD 317</t>
  </si>
  <si>
    <t>CO-MD 318</t>
  </si>
  <si>
    <t>CO-MD 324</t>
  </si>
  <si>
    <t>CO-MD 328</t>
  </si>
  <si>
    <t>CO-MD 331A</t>
  </si>
  <si>
    <t>CO-MD 331D</t>
  </si>
  <si>
    <t>CO-MD 404 RP1-7</t>
  </si>
  <si>
    <t>CO-MD 404 RP2-7</t>
  </si>
  <si>
    <t>CO-MD 404 RP3-7</t>
  </si>
  <si>
    <t>CO-MD 404 RP4-7</t>
  </si>
  <si>
    <t>CO-MD 404 RP5-7</t>
  </si>
  <si>
    <t>CO-MD 404 RP6-7</t>
  </si>
  <si>
    <t>CO-MD 404 RP7-7</t>
  </si>
  <si>
    <t>CO-MD 404 RP8-7</t>
  </si>
  <si>
    <t>CO-MD 404AL</t>
  </si>
  <si>
    <t>CO-MD 404BU</t>
  </si>
  <si>
    <t>CO-MD 404C</t>
  </si>
  <si>
    <t>CO-MD 404D</t>
  </si>
  <si>
    <t>CO-MD 404K</t>
  </si>
  <si>
    <t>CO-MD 404L</t>
  </si>
  <si>
    <t>CO-MD 404M</t>
  </si>
  <si>
    <t>CO-MD 404N</t>
  </si>
  <si>
    <t>CO-MD 404P</t>
  </si>
  <si>
    <t>CO-MD 404R</t>
  </si>
  <si>
    <t>CO-MD 404S</t>
  </si>
  <si>
    <t>CO-MD 404T</t>
  </si>
  <si>
    <t>CO-MD 404U</t>
  </si>
  <si>
    <t>CO-MD 454</t>
  </si>
  <si>
    <t>CO-MD 480</t>
  </si>
  <si>
    <t>CO-MD 485</t>
  </si>
  <si>
    <t>CO-MD 485A</t>
  </si>
  <si>
    <t>CO-MD 577</t>
  </si>
  <si>
    <t>CO-MD 578</t>
  </si>
  <si>
    <t>CO-MD 617</t>
  </si>
  <si>
    <t>CO-MD 619</t>
  </si>
  <si>
    <t>CO-MD 619B</t>
  </si>
  <si>
    <t>CO-MD 776</t>
  </si>
  <si>
    <t>CO-MD 776A</t>
  </si>
  <si>
    <t>CO-MD 817A</t>
  </si>
  <si>
    <t>CO-MD 817B</t>
  </si>
  <si>
    <t>CO-MD 820</t>
  </si>
  <si>
    <t>CO-MD 821</t>
  </si>
  <si>
    <t>DO-MD 14</t>
  </si>
  <si>
    <t>DO-MD 16</t>
  </si>
  <si>
    <t>DO-MD 307</t>
  </si>
  <si>
    <t>DO-MD 313</t>
  </si>
  <si>
    <t>DO-MD 318</t>
  </si>
  <si>
    <t>DO-MD 331B</t>
  </si>
  <si>
    <t>DO-MD 335</t>
  </si>
  <si>
    <t>DO-MD 336</t>
  </si>
  <si>
    <t>DO-MD 341</t>
  </si>
  <si>
    <t>DO-MD 343</t>
  </si>
  <si>
    <t>DO-MD 343A</t>
  </si>
  <si>
    <t>DO-MD 343B</t>
  </si>
  <si>
    <t>DO-MD 392A</t>
  </si>
  <si>
    <t>DO-MD 750</t>
  </si>
  <si>
    <t>DO-MD 795</t>
  </si>
  <si>
    <t>DO-MD 819</t>
  </si>
  <si>
    <t>DO-US 50 RP1-95</t>
  </si>
  <si>
    <t>DO-US 50 RP2-95</t>
  </si>
  <si>
    <t>DO-US 50 RP4-95</t>
  </si>
  <si>
    <t>DO-US 50 RP5-95</t>
  </si>
  <si>
    <t>DO-US 50 RP6-95</t>
  </si>
  <si>
    <t>DO-US 50 RP7-95</t>
  </si>
  <si>
    <t>DO-US 50 RP8-95</t>
  </si>
  <si>
    <t>FR-IS 270 RP1-26</t>
  </si>
  <si>
    <t>FR-IS 270 RP1-31</t>
  </si>
  <si>
    <t>FR-IS 270 RP2-26</t>
  </si>
  <si>
    <t>FR-IS 270 RP2-31</t>
  </si>
  <si>
    <t>FR-IS 270 RP3-26</t>
  </si>
  <si>
    <t>FR-IS 270 RP3-31</t>
  </si>
  <si>
    <t>FR-IS 270 RP4-26</t>
  </si>
  <si>
    <t>FR-IS 270 RP4-31</t>
  </si>
  <si>
    <t>FR-IS 270 RP5-26</t>
  </si>
  <si>
    <t>FR-IS 270 RP5-31</t>
  </si>
  <si>
    <t>FR-IS 270 RP6-26</t>
  </si>
  <si>
    <t>FR-IS 270 RP6-31</t>
  </si>
  <si>
    <t>FR-IS 270 RP7-31</t>
  </si>
  <si>
    <t>FR-IS 270 RP8-31</t>
  </si>
  <si>
    <t>FR-IS 70 RP1-42</t>
  </si>
  <si>
    <t>FR-IS 70 RP1-52</t>
  </si>
  <si>
    <t>FR-IS 70 RP1-53</t>
  </si>
  <si>
    <t>FR-IS 70 RP1-54</t>
  </si>
  <si>
    <t>FR-IS 70 RP1-55</t>
  </si>
  <si>
    <t>FR-IS 70 RP1-62</t>
  </si>
  <si>
    <t>FR-IS 70 RP2-42</t>
  </si>
  <si>
    <t>FR-IS 70 RP2-48</t>
  </si>
  <si>
    <t>FR-IS 70 RP2-53</t>
  </si>
  <si>
    <t>FR-IS 70 RP2-54</t>
  </si>
  <si>
    <t>FR-IS 70 RP2-55</t>
  </si>
  <si>
    <t>FR-IS 70 RP2-56</t>
  </si>
  <si>
    <t>FR-IS 70 RP2-62</t>
  </si>
  <si>
    <t>FR-IS 70 RP3-42</t>
  </si>
  <si>
    <t>FR-IS 70 RP3-52</t>
  </si>
  <si>
    <t>FR-IS 70 RP3-54</t>
  </si>
  <si>
    <t>FR-IS 70 RP3-55</t>
  </si>
  <si>
    <t>FR-IS 70 RP3-56</t>
  </si>
  <si>
    <t>FR-IS 70 RP3-62</t>
  </si>
  <si>
    <t>FR-IS 70 RP3-68</t>
  </si>
  <si>
    <t>FR-IS 70 RP4-42</t>
  </si>
  <si>
    <t>FR-IS 70 RP4-49</t>
  </si>
  <si>
    <t>FR-IS 70 RP4-52</t>
  </si>
  <si>
    <t>FR-IS 70 RP4-53</t>
  </si>
  <si>
    <t>FR-IS 70 RP4-54</t>
  </si>
  <si>
    <t>FR-IS 70 RP4-55</t>
  </si>
  <si>
    <t>FR-IS 70 RP4-59</t>
  </si>
  <si>
    <t>FR-IS 70 RP4-62</t>
  </si>
  <si>
    <t>FR-IS 70 RP5-42</t>
  </si>
  <si>
    <t>FR-IS 70 RP5-48</t>
  </si>
  <si>
    <t>FR-IS 70 RP5-52</t>
  </si>
  <si>
    <t>FR-IS 70 RP5-53</t>
  </si>
  <si>
    <t>FR-IS 70 RP5-54</t>
  </si>
  <si>
    <t>FR-IS 70 RP5-55</t>
  </si>
  <si>
    <t>FR-IS 70 RP5-56</t>
  </si>
  <si>
    <t>FR-IS 70 RP5-59</t>
  </si>
  <si>
    <t>FR-IS 70 RP5-62</t>
  </si>
  <si>
    <t>FR-IS 70 RP5-68</t>
  </si>
  <si>
    <t>FR-IS 70 RP6-42</t>
  </si>
  <si>
    <t>FR-IS 70 RP6-49</t>
  </si>
  <si>
    <t>FR-IS 70 RP6-52</t>
  </si>
  <si>
    <t>FR-IS 70 RP6-53</t>
  </si>
  <si>
    <t>FR-IS 70 RP6-54</t>
  </si>
  <si>
    <t>FR-IS 70 RP6-56</t>
  </si>
  <si>
    <t>FR-IS 70 RP6-62</t>
  </si>
  <si>
    <t>FR-IS 70 RP6-68</t>
  </si>
  <si>
    <t>FR-IS 70 RP7-42</t>
  </si>
  <si>
    <t>FR-IS 70 RP7-49</t>
  </si>
  <si>
    <t>FR-IS 70 RP7-52</t>
  </si>
  <si>
    <t>FR-IS 70 RP7-53</t>
  </si>
  <si>
    <t>FR-IS 70 RP7-54</t>
  </si>
  <si>
    <t>FR-IS 70 RP7-55</t>
  </si>
  <si>
    <t>FR-IS 70 RP7-59</t>
  </si>
  <si>
    <t>FR-IS 70 RP7-62</t>
  </si>
  <si>
    <t>FR-IS 70 RP8-42</t>
  </si>
  <si>
    <t>FR-IS 70 RP8-52</t>
  </si>
  <si>
    <t>FR-IS 70 RP8-54</t>
  </si>
  <si>
    <t>FR-IS 70 RP8-62</t>
  </si>
  <si>
    <t>FR-IS 70 RP8-68</t>
  </si>
  <si>
    <t>FR-MD 144A</t>
  </si>
  <si>
    <t>FR-MD 144FB</t>
  </si>
  <si>
    <t>FR-MD 15C</t>
  </si>
  <si>
    <t>FR-MD 15D</t>
  </si>
  <si>
    <t>FR-MD 17</t>
  </si>
  <si>
    <t>FR-MD 17A</t>
  </si>
  <si>
    <t>FR-MD 180</t>
  </si>
  <si>
    <t>FR-MD 180B</t>
  </si>
  <si>
    <t>FR-MD 194A</t>
  </si>
  <si>
    <t>FR-MD 194B</t>
  </si>
  <si>
    <t>FR-MD 31</t>
  </si>
  <si>
    <t>FR-MD 351</t>
  </si>
  <si>
    <t>FR-MD 355</t>
  </si>
  <si>
    <t>FR-MD 355A</t>
  </si>
  <si>
    <t>FR-MD 355B</t>
  </si>
  <si>
    <t>FR-MD 383</t>
  </si>
  <si>
    <t>FR-MD 464</t>
  </si>
  <si>
    <t>FR-MD 478</t>
  </si>
  <si>
    <t>FR-MD 491</t>
  </si>
  <si>
    <t>FR-MD 550</t>
  </si>
  <si>
    <t>FR-MD 75</t>
  </si>
  <si>
    <t>FR-MD 75FB</t>
  </si>
  <si>
    <t>FR-MD 75FC</t>
  </si>
  <si>
    <t>FR-MD 77</t>
  </si>
  <si>
    <t>FR-MD 79</t>
  </si>
  <si>
    <t>FR-MD 80</t>
  </si>
  <si>
    <t>FR-MD 806A</t>
  </si>
  <si>
    <t>FR-MD 806I</t>
  </si>
  <si>
    <t>FR-MD 806N</t>
  </si>
  <si>
    <t>FR-MD 806O</t>
  </si>
  <si>
    <t>FR-MD 806R</t>
  </si>
  <si>
    <t>FR-MD 806S</t>
  </si>
  <si>
    <t>FR-MD 814</t>
  </si>
  <si>
    <t>FR-MD 850D</t>
  </si>
  <si>
    <t>FR-MD 85B</t>
  </si>
  <si>
    <t>FR-MD 870G</t>
  </si>
  <si>
    <t>FR-MD 871F</t>
  </si>
  <si>
    <t>FR-MD 871G</t>
  </si>
  <si>
    <t>FR-MD 871H</t>
  </si>
  <si>
    <t>FR-MD 872</t>
  </si>
  <si>
    <t>FR-MD 873</t>
  </si>
  <si>
    <t>FR-MD 874</t>
  </si>
  <si>
    <t>FR-MD 874B</t>
  </si>
  <si>
    <t>FR-MD 874D</t>
  </si>
  <si>
    <t>FR-MD 874E</t>
  </si>
  <si>
    <t>FR-MD 877B</t>
  </si>
  <si>
    <t>FR-MD 904H</t>
  </si>
  <si>
    <t>FR-MD 904I</t>
  </si>
  <si>
    <t>FR-MU 1400</t>
  </si>
  <si>
    <t>FR-MU 1401</t>
  </si>
  <si>
    <t>FR-MU 1625</t>
  </si>
  <si>
    <t>FR-MU 300</t>
  </si>
  <si>
    <t>FR-MU 350</t>
  </si>
  <si>
    <t>FR-MU 660</t>
  </si>
  <si>
    <t>FR-MU 761</t>
  </si>
  <si>
    <t>FR-MU 9071</t>
  </si>
  <si>
    <t>FR-US 15 RP10-11</t>
  </si>
  <si>
    <t>FR-US 15 RP10-12</t>
  </si>
  <si>
    <t>FR-US 15 RP1-11</t>
  </si>
  <si>
    <t>FR-US 15 RP11-12</t>
  </si>
  <si>
    <t>FR-US 15 RP1-12</t>
  </si>
  <si>
    <t>FR-US 15 RP1-13</t>
  </si>
  <si>
    <t>FR-US 15 RP1-14</t>
  </si>
  <si>
    <t>FR-US 15 RP1-15</t>
  </si>
  <si>
    <t>FR-US 15 RP1-16</t>
  </si>
  <si>
    <t>FR-US 15 RP1-29</t>
  </si>
  <si>
    <t>FR-US 15 RP1-30</t>
  </si>
  <si>
    <t>FR-US 15 RP1-9</t>
  </si>
  <si>
    <t>FR-US 15 RP2-11</t>
  </si>
  <si>
    <t>FR-US 15 RP2-12</t>
  </si>
  <si>
    <t>FR-US 15 RP2-13</t>
  </si>
  <si>
    <t>FR-US 15 RP2-14</t>
  </si>
  <si>
    <t>FR-US 15 RP2-15</t>
  </si>
  <si>
    <t>FR-US 15 RP2-16</t>
  </si>
  <si>
    <t>FR-US 15 RP2-17</t>
  </si>
  <si>
    <t>FR-US 15 RP2-28</t>
  </si>
  <si>
    <t>FR-US 15 RP2-29</t>
  </si>
  <si>
    <t>FR-US 15 RP2-30</t>
  </si>
  <si>
    <t>FR-US 15 RP2-9</t>
  </si>
  <si>
    <t>FR-US 15 RP3-11</t>
  </si>
  <si>
    <t>FR-US 15 RP3-12</t>
  </si>
  <si>
    <t>FR-US 15 RP3-13</t>
  </si>
  <si>
    <t>FR-US 15 RP3-14</t>
  </si>
  <si>
    <t>FR-US 15 RP3-15</t>
  </si>
  <si>
    <t>FR-US 15 RP3-16</t>
  </si>
  <si>
    <t>FR-US 15 RP3-28</t>
  </si>
  <si>
    <t>FR-US 15 RP3-29</t>
  </si>
  <si>
    <t>FR-US 15 RP3-30</t>
  </si>
  <si>
    <t>FR-US 15 RP3-9</t>
  </si>
  <si>
    <t>FR-US 15 RP4-11</t>
  </si>
  <si>
    <t>FR-US 15 RP4-12</t>
  </si>
  <si>
    <t>FR-US 15 RP4-13</t>
  </si>
  <si>
    <t>FR-US 15 RP4-14</t>
  </si>
  <si>
    <t>FR-US 15 RP4-15</t>
  </si>
  <si>
    <t>FR-US 15 RP4-16</t>
  </si>
  <si>
    <t>FR-US 15 RP4-28</t>
  </si>
  <si>
    <t>FR-US 15 RP4-29</t>
  </si>
  <si>
    <t>FR-US 15 RP4-30</t>
  </si>
  <si>
    <t>FR-US 15 RP4-9</t>
  </si>
  <si>
    <t>FR-US 15 RP5-11</t>
  </si>
  <si>
    <t>FR-US 15 RP5-12</t>
  </si>
  <si>
    <t>FR-US 15 RP5-13</t>
  </si>
  <si>
    <t>FR-US 15 RP5-14</t>
  </si>
  <si>
    <t>FR-US 15 RP5-15</t>
  </si>
  <si>
    <t>FR-US 15 RP5-16</t>
  </si>
  <si>
    <t>FR-US 15 RP5-29</t>
  </si>
  <si>
    <t>FR-US 15 RP5-30</t>
  </si>
  <si>
    <t>FR-US 15 RP5-9</t>
  </si>
  <si>
    <t>FR-US 15 RP6-12</t>
  </si>
  <si>
    <t>FR-US 15 RP6-13</t>
  </si>
  <si>
    <t>FR-US 15 RP6-14</t>
  </si>
  <si>
    <t>FR-US 15 RP6-15</t>
  </si>
  <si>
    <t>FR-US 15 RP6-16</t>
  </si>
  <si>
    <t>FR-US 15 RP6-28</t>
  </si>
  <si>
    <t>FR-US 15 RP6-29</t>
  </si>
  <si>
    <t>FR-US 15 RP6-30</t>
  </si>
  <si>
    <t>FR-US 15 RP6-9</t>
  </si>
  <si>
    <t>FR-US 15 RP7-11</t>
  </si>
  <si>
    <t>FR-US 15 RP7-12</t>
  </si>
  <si>
    <t>FR-US 15 RP7-13</t>
  </si>
  <si>
    <t>FR-US 15 RP7-14</t>
  </si>
  <si>
    <t>FR-US 15 RP7-15</t>
  </si>
  <si>
    <t>FR-US 15 RP7-16</t>
  </si>
  <si>
    <t>FR-US 15 RP7-29</t>
  </si>
  <si>
    <t>FR-US 15 RP7-30</t>
  </si>
  <si>
    <t>FR-US 15 RP7-9</t>
  </si>
  <si>
    <t>FR-US 15 RP8-11</t>
  </si>
  <si>
    <t>FR-US 15 RP8-12</t>
  </si>
  <si>
    <t>FR-US 15 RP8-13</t>
  </si>
  <si>
    <t>FR-US 15 RP8-14</t>
  </si>
  <si>
    <t>FR-US 15 RP8-16</t>
  </si>
  <si>
    <t>FR-US 15 RP8-28</t>
  </si>
  <si>
    <t>FR-US 15 RP8-29</t>
  </si>
  <si>
    <t>FR-US 15 RP8-30</t>
  </si>
  <si>
    <t>FR-US 15 RP8-9</t>
  </si>
  <si>
    <t>FR-US 15 RP9-11</t>
  </si>
  <si>
    <t>FR-US 15BU</t>
  </si>
  <si>
    <t>FR-US 15G</t>
  </si>
  <si>
    <t>FR-US 340 RP1-4</t>
  </si>
  <si>
    <t>FR-US 340 RP1-8</t>
  </si>
  <si>
    <t>FR-US 340 RP2-2</t>
  </si>
  <si>
    <t>FR-US 340 RP2-4</t>
  </si>
  <si>
    <t>FR-US 340 RP2-8</t>
  </si>
  <si>
    <t>FR-US 340 RP3-2</t>
  </si>
  <si>
    <t>FR-US 340 RP3-4</t>
  </si>
  <si>
    <t>FR-US 340 RP3-8</t>
  </si>
  <si>
    <t>FR-US 340 RP4-2</t>
  </si>
  <si>
    <t>FR-US 340 RP4-4</t>
  </si>
  <si>
    <t>FR-US 340 RP4-8</t>
  </si>
  <si>
    <t>FR-US 340 RP5-2</t>
  </si>
  <si>
    <t>FR-US 340 RP5-4</t>
  </si>
  <si>
    <t>FR-US 340 RP5-8</t>
  </si>
  <si>
    <t>FR-US 340 RP6-2</t>
  </si>
  <si>
    <t>FR-US 340 RP6-4</t>
  </si>
  <si>
    <t>FR-US 340 RP6-8</t>
  </si>
  <si>
    <t>FR-US 340 RP7-2</t>
  </si>
  <si>
    <t>FR-US 340 RP7-4</t>
  </si>
  <si>
    <t>FR-US 340 RP7-8</t>
  </si>
  <si>
    <t>FR-US 340 RP8-2</t>
  </si>
  <si>
    <t>FR-US 340 RP8-4</t>
  </si>
  <si>
    <t>FR-US 340 RP8-8</t>
  </si>
  <si>
    <t>FR-US 40AL</t>
  </si>
  <si>
    <t>GA-IS 68 RP1-14</t>
  </si>
  <si>
    <t>GA-IS 68 RP1-19</t>
  </si>
  <si>
    <t>GA-IS 68 RP1-22</t>
  </si>
  <si>
    <t>GA-IS 68 RP1-29</t>
  </si>
  <si>
    <t>GA-IS 68 RP2-14</t>
  </si>
  <si>
    <t>GA-IS 68 RP2-19</t>
  </si>
  <si>
    <t>GA-IS 68 RP2-22</t>
  </si>
  <si>
    <t>GA-IS 68 RP2-24</t>
  </si>
  <si>
    <t>GA-IS 68 RP2-29</t>
  </si>
  <si>
    <t>GA-IS 68 RP2-4</t>
  </si>
  <si>
    <t>GA-IS 68 RP3-14</t>
  </si>
  <si>
    <t>GA-IS 68 RP3-19</t>
  </si>
  <si>
    <t>GA-IS 68 RP3-24</t>
  </si>
  <si>
    <t>GA-IS 68 RP3-4</t>
  </si>
  <si>
    <t>GA-IS 68 RP4-14</t>
  </si>
  <si>
    <t>GA-IS 68 RP4-19</t>
  </si>
  <si>
    <t>GA-IS 68 RP4-22</t>
  </si>
  <si>
    <t>GA-IS 68 RP4-24</t>
  </si>
  <si>
    <t>GA-IS 68 RP4-29</t>
  </si>
  <si>
    <t>GA-IS 68 RP4-4</t>
  </si>
  <si>
    <t>GA-IS 68 RP5-14</t>
  </si>
  <si>
    <t>GA-IS 68 RP5-19</t>
  </si>
  <si>
    <t>GA-IS 68 RP5-22</t>
  </si>
  <si>
    <t>GA-IS 68 RP5-24</t>
  </si>
  <si>
    <t>GA-IS 68 RP6-14</t>
  </si>
  <si>
    <t>GA-IS 68 RP6-19</t>
  </si>
  <si>
    <t>GA-IS 68 RP6-22</t>
  </si>
  <si>
    <t>GA-IS 68 RP6-24</t>
  </si>
  <si>
    <t>GA-IS 68 RP6-29</t>
  </si>
  <si>
    <t>GA-IS 68 RP6-4</t>
  </si>
  <si>
    <t>GA-IS 68 RP7-14</t>
  </si>
  <si>
    <t>GA-IS 68 RP7-19</t>
  </si>
  <si>
    <t>GA-IS 68 RP7-29</t>
  </si>
  <si>
    <t>GA-IS 68 RP8-14</t>
  </si>
  <si>
    <t>GA-IS 68 RP8-19</t>
  </si>
  <si>
    <t>GA-IS 68 RP8-22</t>
  </si>
  <si>
    <t>GA-IS 68 RP8-24</t>
  </si>
  <si>
    <t>GA-IS 68 RP8-29</t>
  </si>
  <si>
    <t>GA-IS 68 RP8-4</t>
  </si>
  <si>
    <t>GA-MD 135C</t>
  </si>
  <si>
    <t>GA-MD 219</t>
  </si>
  <si>
    <t>GA-MD 38</t>
  </si>
  <si>
    <t>GA-MD 38A</t>
  </si>
  <si>
    <t>GA-MD 38B</t>
  </si>
  <si>
    <t>GA-MD 39</t>
  </si>
  <si>
    <t>GA-MD 39A</t>
  </si>
  <si>
    <t>GA-MD 42</t>
  </si>
  <si>
    <t>GA-MD 42A</t>
  </si>
  <si>
    <t>GA-MD 495</t>
  </si>
  <si>
    <t>GA-MD 495A</t>
  </si>
  <si>
    <t>GA-MD 546</t>
  </si>
  <si>
    <t>GA-MD 546F</t>
  </si>
  <si>
    <t>GA-MD 560</t>
  </si>
  <si>
    <t>GA-MD 669</t>
  </si>
  <si>
    <t>GA-MD 733</t>
  </si>
  <si>
    <t>GA-MD 733A</t>
  </si>
  <si>
    <t>GA-MD 742</t>
  </si>
  <si>
    <t>GA-MD 825B</t>
  </si>
  <si>
    <t>GA-MD 825C</t>
  </si>
  <si>
    <t>GA-MD 826A</t>
  </si>
  <si>
    <t>GA-MD 826B</t>
  </si>
  <si>
    <t>GA-MD 826C</t>
  </si>
  <si>
    <t>GA-MD 826D</t>
  </si>
  <si>
    <t>GA-MD 826E</t>
  </si>
  <si>
    <t>GA-MD 826G</t>
  </si>
  <si>
    <t>GA-MD 826H</t>
  </si>
  <si>
    <t>GA-MD 826J</t>
  </si>
  <si>
    <t>GA-MD 826K</t>
  </si>
  <si>
    <t>GA-MD 826L</t>
  </si>
  <si>
    <t>GA-MD 826M</t>
  </si>
  <si>
    <t>GA-MD 826N</t>
  </si>
  <si>
    <t>GA-MD 826P</t>
  </si>
  <si>
    <t>GA-MD 827A</t>
  </si>
  <si>
    <t>GA-MD 827C</t>
  </si>
  <si>
    <t>GA-MD 828</t>
  </si>
  <si>
    <t>GA-MD 828A</t>
  </si>
  <si>
    <t>GA-MD 946</t>
  </si>
  <si>
    <t>GA-MD 948B</t>
  </si>
  <si>
    <t>GA-MD 948H</t>
  </si>
  <si>
    <t>GA-MD 948K</t>
  </si>
  <si>
    <t>GA-US 219A</t>
  </si>
  <si>
    <t>GA-US 219B</t>
  </si>
  <si>
    <t>GA-US 219C</t>
  </si>
  <si>
    <t>GA-US 219D</t>
  </si>
  <si>
    <t>GA-US 219E</t>
  </si>
  <si>
    <t>GA-US 219F</t>
  </si>
  <si>
    <t>GA-US 219G</t>
  </si>
  <si>
    <t>GA-US 219J</t>
  </si>
  <si>
    <t>GA-US 40</t>
  </si>
  <si>
    <t>GA-US 40AL</t>
  </si>
  <si>
    <t>GA-US 50</t>
  </si>
  <si>
    <t>HA-IS 95 RP10-77</t>
  </si>
  <si>
    <t>HA-IS 95 RP10-85</t>
  </si>
  <si>
    <t>HA-IS 95 RP11-77</t>
  </si>
  <si>
    <t>HA-IS 95 RP11-85</t>
  </si>
  <si>
    <t>HA-IS 95 RP1-74</t>
  </si>
  <si>
    <t>HA-IS 95 RP1-77</t>
  </si>
  <si>
    <t>HA-IS 95 RP1-80</t>
  </si>
  <si>
    <t>HA-IS 95 RP1-85</t>
  </si>
  <si>
    <t>HA-IS 95 RP1-89</t>
  </si>
  <si>
    <t>HA-IS 95 RP2-74</t>
  </si>
  <si>
    <t>HA-IS 95 RP2-77</t>
  </si>
  <si>
    <t>HA-IS 95 RP2-80</t>
  </si>
  <si>
    <t>HA-IS 95 RP2-85</t>
  </si>
  <si>
    <t>HA-IS 95 RP2-89</t>
  </si>
  <si>
    <t>HA-IS 95 RP3-74</t>
  </si>
  <si>
    <t>HA-IS 95 RP3-77</t>
  </si>
  <si>
    <t>HA-IS 95 RP3-80</t>
  </si>
  <si>
    <t>HA-IS 95 RP3-85</t>
  </si>
  <si>
    <t>HA-IS 95 RP3-89</t>
  </si>
  <si>
    <t>HA-IS 95 RP4-74</t>
  </si>
  <si>
    <t>HA-IS 95 RP4-77</t>
  </si>
  <si>
    <t>HA-IS 95 RP4-80</t>
  </si>
  <si>
    <t>HA-IS 95 RP4-85</t>
  </si>
  <si>
    <t>HA-IS 95 RP4-89</t>
  </si>
  <si>
    <t>HA-IS 95 RP5-74</t>
  </si>
  <si>
    <t>HA-IS 95 RP5-77</t>
  </si>
  <si>
    <t>HA-IS 95 RP5-80</t>
  </si>
  <si>
    <t>HA-IS 95 RP5-85</t>
  </si>
  <si>
    <t>HA-IS 95 RP5-89</t>
  </si>
  <si>
    <t>HA-IS 95 RP6-74</t>
  </si>
  <si>
    <t>HA-IS 95 RP6-77</t>
  </si>
  <si>
    <t>HA-IS 95 RP6-80</t>
  </si>
  <si>
    <t>HA-IS 95 RP6-85</t>
  </si>
  <si>
    <t>HA-IS 95 RP6-89</t>
  </si>
  <si>
    <t>HA-IS 95 RP7-74</t>
  </si>
  <si>
    <t>HA-IS 95 RP7-77</t>
  </si>
  <si>
    <t>HA-IS 95 RP7-80</t>
  </si>
  <si>
    <t>HA-IS 95 RP7-89</t>
  </si>
  <si>
    <t>HA-IS 95 RP8-74</t>
  </si>
  <si>
    <t>HA-IS 95 RP8-77</t>
  </si>
  <si>
    <t>HA-IS 95 RP8-80</t>
  </si>
  <si>
    <t>HA-IS 95 RP8-85</t>
  </si>
  <si>
    <t>HA-IS 95 RP8-89</t>
  </si>
  <si>
    <t>HA-IS 95 RP9-77</t>
  </si>
  <si>
    <t>HA-IS 95 RP9-85</t>
  </si>
  <si>
    <t>HA-IS 95M</t>
  </si>
  <si>
    <t>HA-IS 95N</t>
  </si>
  <si>
    <t>HA-MD 132</t>
  </si>
  <si>
    <t>HA-MD 132B</t>
  </si>
  <si>
    <t>HA-MD 132C</t>
  </si>
  <si>
    <t>HA-MD 147</t>
  </si>
  <si>
    <t>HA-MD 152A</t>
  </si>
  <si>
    <t>HA-MD 152B</t>
  </si>
  <si>
    <t>HA-MD 155A</t>
  </si>
  <si>
    <t>HA-MD 156</t>
  </si>
  <si>
    <t>HA-MD 156A</t>
  </si>
  <si>
    <t>HA-MD 159</t>
  </si>
  <si>
    <t>HA-MD 159A</t>
  </si>
  <si>
    <t>HA-MD 161</t>
  </si>
  <si>
    <t>HA-MD 22A</t>
  </si>
  <si>
    <t>HA-MD 22B</t>
  </si>
  <si>
    <t>HA-MD 24</t>
  </si>
  <si>
    <t>HA-MD 24 RP2-4</t>
  </si>
  <si>
    <t>HA-MD 24 RP4-4</t>
  </si>
  <si>
    <t>HA-MD 24 RP6-4</t>
  </si>
  <si>
    <t>HA-MD 24 RP8-4</t>
  </si>
  <si>
    <t>HA-MD 24E</t>
  </si>
  <si>
    <t>HA-MD 24F</t>
  </si>
  <si>
    <t>HA-MD 439</t>
  </si>
  <si>
    <t>HA-MD 440</t>
  </si>
  <si>
    <t>HA-MD 462</t>
  </si>
  <si>
    <t>HA-MD 490</t>
  </si>
  <si>
    <t>HA-MD 623</t>
  </si>
  <si>
    <t>HA-MD 624</t>
  </si>
  <si>
    <t>HA-MD 646</t>
  </si>
  <si>
    <t>HA-MD 755</t>
  </si>
  <si>
    <t>HA-MD 763</t>
  </si>
  <si>
    <t>HA-MD 7A</t>
  </si>
  <si>
    <t>HA-MD 922E</t>
  </si>
  <si>
    <t>HA-US 1 RP1-6</t>
  </si>
  <si>
    <t>HA-US 1 RP2-6</t>
  </si>
  <si>
    <t>HA-US 1 RP3-6</t>
  </si>
  <si>
    <t>HA-US 1 RP4-6</t>
  </si>
  <si>
    <t>HA-US 1 RP5-6</t>
  </si>
  <si>
    <t>HA-US 1 RP6-6</t>
  </si>
  <si>
    <t>HA-US 1 RP7-6</t>
  </si>
  <si>
    <t>HA-US 1 RP8-6</t>
  </si>
  <si>
    <t>HA-US 1BU</t>
  </si>
  <si>
    <t>HA-US 40 RP1-14</t>
  </si>
  <si>
    <t>HA-US 40 RP2-11</t>
  </si>
  <si>
    <t>HA-US 40 RP2-14</t>
  </si>
  <si>
    <t>HA-US 40 RP3-14</t>
  </si>
  <si>
    <t>HA-US 40 RP4-11</t>
  </si>
  <si>
    <t>HA-US 40 RP4-14</t>
  </si>
  <si>
    <t>HA-US 40 RP5-11</t>
  </si>
  <si>
    <t>HA-US 40 RP5-14</t>
  </si>
  <si>
    <t>HA-US 40 RP6-11</t>
  </si>
  <si>
    <t>HA-US 40 RP6-14</t>
  </si>
  <si>
    <t>HA-US 40 RP7-14</t>
  </si>
  <si>
    <t>HA-US 40 RP8-14</t>
  </si>
  <si>
    <t>HO-CO 121</t>
  </si>
  <si>
    <t>HO-CO 2231</t>
  </si>
  <si>
    <t>HO-CO 2292</t>
  </si>
  <si>
    <t>HO-CO 3625</t>
  </si>
  <si>
    <t>HO-IS 70 RP1-73</t>
  </si>
  <si>
    <t>HO-IS 70 RP1-76</t>
  </si>
  <si>
    <t>HO-IS 70 RP1-80</t>
  </si>
  <si>
    <t>HO-IS 70 RP1-87</t>
  </si>
  <si>
    <t>HO-IS 70 RP2-73</t>
  </si>
  <si>
    <t>HO-IS 70 RP2-76</t>
  </si>
  <si>
    <t>HO-IS 70 RP2-80</t>
  </si>
  <si>
    <t>HO-IS 70 RP2-83</t>
  </si>
  <si>
    <t>HO-IS 70 RP2-87</t>
  </si>
  <si>
    <t>HO-IS 70 RP3-73</t>
  </si>
  <si>
    <t>HO-IS 70 RP3-76</t>
  </si>
  <si>
    <t>HO-IS 70 RP3-80</t>
  </si>
  <si>
    <t>HO-IS 70 RP3-87</t>
  </si>
  <si>
    <t>HO-IS 70 RP4-73</t>
  </si>
  <si>
    <t>HO-IS 70 RP4-76</t>
  </si>
  <si>
    <t>HO-IS 70 RP4-80</t>
  </si>
  <si>
    <t>HO-IS 70 RP4-83</t>
  </si>
  <si>
    <t>HO-IS 70 RP4-87</t>
  </si>
  <si>
    <t>HO-IS 70 RP5-73</t>
  </si>
  <si>
    <t>HO-IS 70 RP5-76</t>
  </si>
  <si>
    <t>HO-IS 70 RP5-80</t>
  </si>
  <si>
    <t>HO-IS 70 RP5-83</t>
  </si>
  <si>
    <t>HO-IS 70 RP5-87</t>
  </si>
  <si>
    <t>HO-IS 70 RP6-73</t>
  </si>
  <si>
    <t>HO-IS 70 RP6-76</t>
  </si>
  <si>
    <t>HO-IS 70 RP6-80</t>
  </si>
  <si>
    <t>HO-IS 70 RP6-87</t>
  </si>
  <si>
    <t>HO-IS 70 RP7-73</t>
  </si>
  <si>
    <t>HO-IS 70 RP7-76</t>
  </si>
  <si>
    <t>HO-IS 70 RP7-80</t>
  </si>
  <si>
    <t>HO-IS 70 RP7-83</t>
  </si>
  <si>
    <t>HO-IS 70 RP7-87</t>
  </si>
  <si>
    <t>HO-IS 70 RP8-73</t>
  </si>
  <si>
    <t>HO-IS 70 RP8-76</t>
  </si>
  <si>
    <t>HO-IS 70 RP8-80</t>
  </si>
  <si>
    <t>HO-IS 70 RP8-87</t>
  </si>
  <si>
    <t>HO-IS 70 RP9-87</t>
  </si>
  <si>
    <t>HO-IS 895 RP4-1</t>
  </si>
  <si>
    <t>HO-IS 895 RP7-1</t>
  </si>
  <si>
    <t>HO-IS 95 RP1-35</t>
  </si>
  <si>
    <t>HO-IS 95 RP1-38</t>
  </si>
  <si>
    <t>HO-IS 95 RP1-41</t>
  </si>
  <si>
    <t>HO-IS 95 RP1-43</t>
  </si>
  <si>
    <t>HO-IS 95 RP2-35</t>
  </si>
  <si>
    <t>HO-IS 95 RP2-38</t>
  </si>
  <si>
    <t>HO-IS 95 RP2-41</t>
  </si>
  <si>
    <t>HO-IS 95 RP2-43</t>
  </si>
  <si>
    <t>HO-IS 95 RP3-35</t>
  </si>
  <si>
    <t>HO-IS 95 RP3-38</t>
  </si>
  <si>
    <t>HO-IS 95 RP3-41</t>
  </si>
  <si>
    <t>HO-IS 95 RP3-43</t>
  </si>
  <si>
    <t>HO-IS 95 RP4-35</t>
  </si>
  <si>
    <t>HO-IS 95 RP4-38</t>
  </si>
  <si>
    <t>HO-IS 95 RP4-41</t>
  </si>
  <si>
    <t>HO-IS 95 RP4-43</t>
  </si>
  <si>
    <t>HO-IS 95 RP5-35</t>
  </si>
  <si>
    <t>HO-IS 95 RP5-38</t>
  </si>
  <si>
    <t>HO-IS 95 RP5-41</t>
  </si>
  <si>
    <t>HO-IS 95 RP5-43</t>
  </si>
  <si>
    <t>HO-IS 95 RP6-35</t>
  </si>
  <si>
    <t>HO-IS 95 RP6-38</t>
  </si>
  <si>
    <t>HO-IS 95 RP6-41</t>
  </si>
  <si>
    <t>HO-IS 95 RP6-43</t>
  </si>
  <si>
    <t>HO-IS 95 RP7-35</t>
  </si>
  <si>
    <t>HO-IS 95 RP7-38</t>
  </si>
  <si>
    <t>HO-IS 95 RP7-41</t>
  </si>
  <si>
    <t>HO-IS 95 RP7-43</t>
  </si>
  <si>
    <t>HO-IS 95 RP8-35</t>
  </si>
  <si>
    <t>HO-IS 95 RP8-38</t>
  </si>
  <si>
    <t>HO-IS 95 RP8-41</t>
  </si>
  <si>
    <t>HO-IS 95 RP8-43</t>
  </si>
  <si>
    <t>HO-IS 95I</t>
  </si>
  <si>
    <t>HO-IS 95J</t>
  </si>
  <si>
    <t>HO-IS 95K</t>
  </si>
  <si>
    <t>HO-IS 95L</t>
  </si>
  <si>
    <t>HO-MD 100 RP1-4</t>
  </si>
  <si>
    <t>HO-MD 100 RP1-6</t>
  </si>
  <si>
    <t>HO-MD 100 RP2-1A</t>
  </si>
  <si>
    <t>HO-MD 100 RP2-2</t>
  </si>
  <si>
    <t>HO-MD 100 RP2-3</t>
  </si>
  <si>
    <t>HO-MD 100 RP2-4</t>
  </si>
  <si>
    <t>HO-MD 100 RP2-6</t>
  </si>
  <si>
    <t>HO-MD 100 RP2-7</t>
  </si>
  <si>
    <t>HO-MD 100 RP3-1A</t>
  </si>
  <si>
    <t>HO-MD 100 RP3-4</t>
  </si>
  <si>
    <t>HO-MD 100 RP3-6</t>
  </si>
  <si>
    <t>HO-MD 100 RP4-2</t>
  </si>
  <si>
    <t>HO-MD 100 RP4-4</t>
  </si>
  <si>
    <t>HO-MD 100 RP4-6</t>
  </si>
  <si>
    <t>HO-MD 100 RP4-7</t>
  </si>
  <si>
    <t>HO-MD 100 RP5-1A</t>
  </si>
  <si>
    <t>HO-MD 100 RP5-1C</t>
  </si>
  <si>
    <t>HO-MD 100 RP5-2</t>
  </si>
  <si>
    <t>HO-MD 100 RP5-3</t>
  </si>
  <si>
    <t>HO-MD 100 RP5-4</t>
  </si>
  <si>
    <t>HO-MD 100 RP5-6</t>
  </si>
  <si>
    <t>HO-MD 100 RP6-1A</t>
  </si>
  <si>
    <t>HO-MD 100 RP6-1B</t>
  </si>
  <si>
    <t>HO-MD 100 RP6-1C</t>
  </si>
  <si>
    <t>HO-MD 100 RP6-2</t>
  </si>
  <si>
    <t>HO-MD 100 RP6-3</t>
  </si>
  <si>
    <t>HO-MD 100 RP6-4</t>
  </si>
  <si>
    <t>HO-MD 100 RP6-6</t>
  </si>
  <si>
    <t>HO-MD 100 RP6-7</t>
  </si>
  <si>
    <t>HO-MD 100 RP7-1A</t>
  </si>
  <si>
    <t>HO-MD 100 RP7-1B</t>
  </si>
  <si>
    <t>HO-MD 100 RP7-4</t>
  </si>
  <si>
    <t>HO-MD 100 RP7-6</t>
  </si>
  <si>
    <t>HO-MD 100 RP8-1B</t>
  </si>
  <si>
    <t>HO-MD 100 RP8-2</t>
  </si>
  <si>
    <t>HO-MD 100 RP8-3</t>
  </si>
  <si>
    <t>HO-MD 100 RP8-4</t>
  </si>
  <si>
    <t>HO-MD 100 RP8-6</t>
  </si>
  <si>
    <t>HO-MD 100 RP8-7</t>
  </si>
  <si>
    <t>HO-MD 100L</t>
  </si>
  <si>
    <t>HO-MD 100M</t>
  </si>
  <si>
    <t>HO-MD 100V</t>
  </si>
  <si>
    <t>HO-MD 100X</t>
  </si>
  <si>
    <t>HO-MD 103A</t>
  </si>
  <si>
    <t>HO-MD 103C</t>
  </si>
  <si>
    <t>HO-MD 104</t>
  </si>
  <si>
    <t>HO-MD 104A</t>
  </si>
  <si>
    <t>HO-MD 108A</t>
  </si>
  <si>
    <t>HO-MD 108H</t>
  </si>
  <si>
    <t>HO-MD 125</t>
  </si>
  <si>
    <t>HO-MD 144A</t>
  </si>
  <si>
    <t>HO-MD 144HB</t>
  </si>
  <si>
    <t>HO-MD 144HC</t>
  </si>
  <si>
    <t>HO-MD 175 RP1-13</t>
  </si>
  <si>
    <t>HO-MD 175 RP2-13</t>
  </si>
  <si>
    <t>HO-MD 175 RP4-13</t>
  </si>
  <si>
    <t>HO-MD 175 RP7-13</t>
  </si>
  <si>
    <t>HO-MD 175 RP8-13</t>
  </si>
  <si>
    <t>HO-MD 175 RP9-13</t>
  </si>
  <si>
    <t>HO-MD 175HC</t>
  </si>
  <si>
    <t>HO-MD 176C</t>
  </si>
  <si>
    <t>HO-MD 216</t>
  </si>
  <si>
    <t>HO-MD 216 RP2-1</t>
  </si>
  <si>
    <t>HO-MD 216 RP4-1</t>
  </si>
  <si>
    <t>HO-MD 216 RP8-1</t>
  </si>
  <si>
    <t>HO-MD 216D</t>
  </si>
  <si>
    <t>HO-MD 216E</t>
  </si>
  <si>
    <t>HO-MD 216F</t>
  </si>
  <si>
    <t>HO-MD 216H</t>
  </si>
  <si>
    <t>HO-MD 32 RP10-12</t>
  </si>
  <si>
    <t>HO-MD 32 RP1-11</t>
  </si>
  <si>
    <t>HO-MD 32 RP1-12</t>
  </si>
  <si>
    <t>HO-MD 32 RP1-14</t>
  </si>
  <si>
    <t>HO-MD 32 RP1-15</t>
  </si>
  <si>
    <t>HO-MD 32 RP1-16</t>
  </si>
  <si>
    <t>HO-MD 32 RP1-17</t>
  </si>
  <si>
    <t>HO-MD 32 RP2-11</t>
  </si>
  <si>
    <t>HO-MD 32 RP2-12</t>
  </si>
  <si>
    <t>HO-MD 32 RP2-14</t>
  </si>
  <si>
    <t>HO-MD 32 RP2-15</t>
  </si>
  <si>
    <t>HO-MD 32 RP2-16</t>
  </si>
  <si>
    <t>HO-MD 32 RP2-17</t>
  </si>
  <si>
    <t>HO-MD 32 RP2-19</t>
  </si>
  <si>
    <t>HO-MD 32 RP2-20</t>
  </si>
  <si>
    <t>HO-MD 32 RP2-26</t>
  </si>
  <si>
    <t>HO-MD 32 RP3-11</t>
  </si>
  <si>
    <t>HO-MD 32 RP3-12</t>
  </si>
  <si>
    <t>HO-MD 32 RP3-14</t>
  </si>
  <si>
    <t>HO-MD 32 RP3-15</t>
  </si>
  <si>
    <t>HO-MD 32 RP3-16</t>
  </si>
  <si>
    <t>HO-MD 32 RP3-17</t>
  </si>
  <si>
    <t>HO-MD 32 RP4-11</t>
  </si>
  <si>
    <t>HO-MD 32 RP4-12</t>
  </si>
  <si>
    <t>HO-MD 32 RP4-14</t>
  </si>
  <si>
    <t>HO-MD 32 RP4-15</t>
  </si>
  <si>
    <t>HO-MD 32 RP4-16</t>
  </si>
  <si>
    <t>HO-MD 32 RP4-17</t>
  </si>
  <si>
    <t>HO-MD 32 RP4-19</t>
  </si>
  <si>
    <t>HO-MD 32 RP4-20</t>
  </si>
  <si>
    <t>HO-MD 32 RP4-26</t>
  </si>
  <si>
    <t>HO-MD 32 RP5-11</t>
  </si>
  <si>
    <t>HO-MD 32 RP5-12</t>
  </si>
  <si>
    <t>HO-MD 32 RP5-14</t>
  </si>
  <si>
    <t>HO-MD 32 RP5-15</t>
  </si>
  <si>
    <t>HO-MD 32 RP5-16</t>
  </si>
  <si>
    <t>HO-MD 32 RP5-17</t>
  </si>
  <si>
    <t>HO-MD 32 RP6-11</t>
  </si>
  <si>
    <t>HO-MD 32 RP6-12</t>
  </si>
  <si>
    <t>HO-MD 32 RP6-14</t>
  </si>
  <si>
    <t>HO-MD 32 RP6-15</t>
  </si>
  <si>
    <t>HO-MD 32 RP6-16</t>
  </si>
  <si>
    <t>HO-MD 32 RP6-17</t>
  </si>
  <si>
    <t>HO-MD 32 RP6-20</t>
  </si>
  <si>
    <t>HO-MD 32 RP6-26</t>
  </si>
  <si>
    <t>HO-MD 32 RP7-11</t>
  </si>
  <si>
    <t>HO-MD 32 RP7-12</t>
  </si>
  <si>
    <t>HO-MD 32 RP7-14</t>
  </si>
  <si>
    <t>HO-MD 32 RP7-15</t>
  </si>
  <si>
    <t>HO-MD 32 RP7-16</t>
  </si>
  <si>
    <t>HO-MD 32 RP7-17</t>
  </si>
  <si>
    <t>HO-MD 32 RP8-11</t>
  </si>
  <si>
    <t>HO-MD 32 RP8-12</t>
  </si>
  <si>
    <t>HO-MD 32 RP8-14</t>
  </si>
  <si>
    <t>HO-MD 32 RP8-15</t>
  </si>
  <si>
    <t>HO-MD 32 RP8-16</t>
  </si>
  <si>
    <t>HO-MD 32 RP8-17</t>
  </si>
  <si>
    <t>HO-MD 32 RP8-20</t>
  </si>
  <si>
    <t>HO-MD 32 RP8-26</t>
  </si>
  <si>
    <t>HO-MD 32 RP9-12</t>
  </si>
  <si>
    <t>HO-MD 32B</t>
  </si>
  <si>
    <t>HO-MD 432</t>
  </si>
  <si>
    <t>HO-MD 732R</t>
  </si>
  <si>
    <t>HO-MD 851</t>
  </si>
  <si>
    <t>HO-MD 851D</t>
  </si>
  <si>
    <t>HO-MD 851F</t>
  </si>
  <si>
    <t>HO-MD 851H</t>
  </si>
  <si>
    <t>HO-MD 851J</t>
  </si>
  <si>
    <t>HO-MD 932B</t>
  </si>
  <si>
    <t>HO-MD 932C</t>
  </si>
  <si>
    <t>HO-MD 932D</t>
  </si>
  <si>
    <t>HO-MD 932E</t>
  </si>
  <si>
    <t>HO-MD 958P</t>
  </si>
  <si>
    <t>HO-MD 97</t>
  </si>
  <si>
    <t>HO-MD 981</t>
  </si>
  <si>
    <t>HO-MD 983</t>
  </si>
  <si>
    <t>HO-MD 983A</t>
  </si>
  <si>
    <t>HO-MD 984</t>
  </si>
  <si>
    <t>HO-MD 985</t>
  </si>
  <si>
    <t>HO-MD 985A</t>
  </si>
  <si>
    <t>HO-MD 986M</t>
  </si>
  <si>
    <t>HO-US 29 RP10-24</t>
  </si>
  <si>
    <t>HO-US 29 RP11-24</t>
  </si>
  <si>
    <t>HO-US 29 RP1-13</t>
  </si>
  <si>
    <t>HO-US 29 RP1-17</t>
  </si>
  <si>
    <t>HO-US 29 RP1-18</t>
  </si>
  <si>
    <t>HO-US 29 RP1-20</t>
  </si>
  <si>
    <t>HO-US 29 RP1-21</t>
  </si>
  <si>
    <t>HO-US 29 RP1-24</t>
  </si>
  <si>
    <t>HO-US 29 RP2-13</t>
  </si>
  <si>
    <t>HO-US 29 RP2-15</t>
  </si>
  <si>
    <t>HO-US 29 RP2-18</t>
  </si>
  <si>
    <t>HO-US 29 RP2-20</t>
  </si>
  <si>
    <t>HO-US 29 RP2-21</t>
  </si>
  <si>
    <t>HO-US 29 RP2-23</t>
  </si>
  <si>
    <t>HO-US 29 RP2-24</t>
  </si>
  <si>
    <t>HO-US 29 RP3-13</t>
  </si>
  <si>
    <t>HO-US 29 RP3-15</t>
  </si>
  <si>
    <t>HO-US 29 RP3-17</t>
  </si>
  <si>
    <t>HO-US 29 RP3-18</t>
  </si>
  <si>
    <t>HO-US 29 RP3-20</t>
  </si>
  <si>
    <t>HO-US 29 RP3-21</t>
  </si>
  <si>
    <t>HO-US 29 RP3-23</t>
  </si>
  <si>
    <t>HO-US 29 RP3-24</t>
  </si>
  <si>
    <t>HO-US 29 RP4-13</t>
  </si>
  <si>
    <t>HO-US 29 RP4-15</t>
  </si>
  <si>
    <t>HO-US 29 RP4-17</t>
  </si>
  <si>
    <t>HO-US 29 RP4-18</t>
  </si>
  <si>
    <t>HO-US 29 RP4-20</t>
  </si>
  <si>
    <t>HO-US 29 RP4-21</t>
  </si>
  <si>
    <t>HO-US 29 RP4-22</t>
  </si>
  <si>
    <t>HO-US 29 RP4-24</t>
  </si>
  <si>
    <t>HO-US 29 RP5-13</t>
  </si>
  <si>
    <t>HO-US 29 RP5-15</t>
  </si>
  <si>
    <t>HO-US 29 RP5-18</t>
  </si>
  <si>
    <t>HO-US 29 RP5-20</t>
  </si>
  <si>
    <t>HO-US 29 RP5-21</t>
  </si>
  <si>
    <t>HO-US 29 RP5-24</t>
  </si>
  <si>
    <t>HO-US 29 RP6-13</t>
  </si>
  <si>
    <t>HO-US 29 RP6-15</t>
  </si>
  <si>
    <t>HO-US 29 RP6-18</t>
  </si>
  <si>
    <t>HO-US 29 RP6-20</t>
  </si>
  <si>
    <t>HO-US 29 RP6-21</t>
  </si>
  <si>
    <t>HO-US 29 RP6-23</t>
  </si>
  <si>
    <t>HO-US 29 RP6-24</t>
  </si>
  <si>
    <t>HO-US 29 RP7-13</t>
  </si>
  <si>
    <t>HO-US 29 RP7-15</t>
  </si>
  <si>
    <t>HO-US 29 RP7-17</t>
  </si>
  <si>
    <t>HO-US 29 RP7-18</t>
  </si>
  <si>
    <t>HO-US 29 RP7-20</t>
  </si>
  <si>
    <t>HO-US 29 RP7-21</t>
  </si>
  <si>
    <t>HO-US 29 RP7-22</t>
  </si>
  <si>
    <t>HO-US 29 RP7-23</t>
  </si>
  <si>
    <t>HO-US 29 RP7-24</t>
  </si>
  <si>
    <t>HO-US 29 RP8-13</t>
  </si>
  <si>
    <t>HO-US 29 RP8-15</t>
  </si>
  <si>
    <t>HO-US 29 RP8-17</t>
  </si>
  <si>
    <t>HO-US 29 RP8-18</t>
  </si>
  <si>
    <t>HO-US 29 RP8-20</t>
  </si>
  <si>
    <t>HO-US 29 RP8-21</t>
  </si>
  <si>
    <t>HO-US 29 RP8-23</t>
  </si>
  <si>
    <t>HO-US 29 RP8-24</t>
  </si>
  <si>
    <t>HO-US 29 RP9-24</t>
  </si>
  <si>
    <t>KE-MD 20</t>
  </si>
  <si>
    <t>KE-MD 21</t>
  </si>
  <si>
    <t>KE-MD 288</t>
  </si>
  <si>
    <t>KE-MD 289</t>
  </si>
  <si>
    <t>KE-MD 290</t>
  </si>
  <si>
    <t>KE-MD 291</t>
  </si>
  <si>
    <t>KE-MD 292</t>
  </si>
  <si>
    <t>KE-MD 297</t>
  </si>
  <si>
    <t>KE-MD 298</t>
  </si>
  <si>
    <t>KE-MD 298B</t>
  </si>
  <si>
    <t>KE-MD 299</t>
  </si>
  <si>
    <t>KE-MD 299A</t>
  </si>
  <si>
    <t>KE-MD 313</t>
  </si>
  <si>
    <t>KE-MD 313A</t>
  </si>
  <si>
    <t>KE-MD 330</t>
  </si>
  <si>
    <t>KE-MD 444</t>
  </si>
  <si>
    <t>KE-MD 444A</t>
  </si>
  <si>
    <t>KE-MD 445</t>
  </si>
  <si>
    <t>KE-MD 446</t>
  </si>
  <si>
    <t>KE-MD 449</t>
  </si>
  <si>
    <t>KE-MD 514</t>
  </si>
  <si>
    <t>KE-MD 561</t>
  </si>
  <si>
    <t>KE-MD 566</t>
  </si>
  <si>
    <t>KE-MD 674</t>
  </si>
  <si>
    <t>KE-MD 701</t>
  </si>
  <si>
    <t>KE-MD 701A</t>
  </si>
  <si>
    <t>KE-MD 855</t>
  </si>
  <si>
    <t>KE-MD 855A</t>
  </si>
  <si>
    <t>KE-MD 856</t>
  </si>
  <si>
    <t>KE-MD 864</t>
  </si>
  <si>
    <t>KE-US 301 RP2-112</t>
  </si>
  <si>
    <t>KE-US 301 RP2-119</t>
  </si>
  <si>
    <t>KE-US 301 RP4-112</t>
  </si>
  <si>
    <t>KE-US 301 RP4-119</t>
  </si>
  <si>
    <t>KE-US 301 RP6-112</t>
  </si>
  <si>
    <t>KE-US 301 RP6-119</t>
  </si>
  <si>
    <t>KE-US 301 RP8-112</t>
  </si>
  <si>
    <t>KE-US 301 RP8-119</t>
  </si>
  <si>
    <t>MO-CO 5376</t>
  </si>
  <si>
    <t>MO-CO 5500</t>
  </si>
  <si>
    <t>MO-IS 270 RP10-1A</t>
  </si>
  <si>
    <t>MO-IS 270 RP10-4</t>
  </si>
  <si>
    <t>MO-IS 270 RP10-8</t>
  </si>
  <si>
    <t>MO-IS 270 RP1-10</t>
  </si>
  <si>
    <t>MO-IS 270 RP1-11</t>
  </si>
  <si>
    <t>MO-IS 270 RP1-13</t>
  </si>
  <si>
    <t>MO-IS 270 RP1-15</t>
  </si>
  <si>
    <t>MO-IS 270 RP1-16</t>
  </si>
  <si>
    <t>MO-IS 270 RP1-18</t>
  </si>
  <si>
    <t>MO-IS 270 RP1-22</t>
  </si>
  <si>
    <t>MO-IS 270 RP1-35</t>
  </si>
  <si>
    <t>MO-IS 270 RP1-4</t>
  </si>
  <si>
    <t>MO-IS 270 RP1-5</t>
  </si>
  <si>
    <t>MO-IS 270 RP1-6</t>
  </si>
  <si>
    <t>MO-IS 270 RP1-8</t>
  </si>
  <si>
    <t>MO-IS 270 RP1-9</t>
  </si>
  <si>
    <t>MO-IS 270 RP2-11</t>
  </si>
  <si>
    <t>MO-IS 270 RP2-15</t>
  </si>
  <si>
    <t>MO-IS 270 RP2-16</t>
  </si>
  <si>
    <t>MO-IS 270 RP2-18</t>
  </si>
  <si>
    <t>MO-IS 270 RP2-1A</t>
  </si>
  <si>
    <t>MO-IS 270 RP2-1B</t>
  </si>
  <si>
    <t>MO-IS 270 RP2-22</t>
  </si>
  <si>
    <t>MO-IS 270 RP2-4</t>
  </si>
  <si>
    <t>MO-IS 270 RP2-5</t>
  </si>
  <si>
    <t>MO-IS 270 RP2-6</t>
  </si>
  <si>
    <t>MO-IS 270 RP2-8</t>
  </si>
  <si>
    <t>MO-IS 270 RP2-9</t>
  </si>
  <si>
    <t>MO-IS 270 RP3-11</t>
  </si>
  <si>
    <t>MO-IS 270 RP3-15</t>
  </si>
  <si>
    <t>MO-IS 270 RP3-16</t>
  </si>
  <si>
    <t>MO-IS 270 RP3-18</t>
  </si>
  <si>
    <t>MO-IS 270 RP3-1B</t>
  </si>
  <si>
    <t>MO-IS 270 RP3-22</t>
  </si>
  <si>
    <t>MO-IS 270 RP3-4</t>
  </si>
  <si>
    <t>MO-IS 270 RP3-5</t>
  </si>
  <si>
    <t>MO-IS 270 RP3-6</t>
  </si>
  <si>
    <t>MO-IS 270 RP3-8</t>
  </si>
  <si>
    <t>MO-IS 270 RP3-9</t>
  </si>
  <si>
    <t>MO-IS 270 RP4-11</t>
  </si>
  <si>
    <t>MO-IS 270 RP4-13</t>
  </si>
  <si>
    <t>MO-IS 270 RP4-15</t>
  </si>
  <si>
    <t>MO-IS 270 RP4-16</t>
  </si>
  <si>
    <t>MO-IS 270 RP4-18</t>
  </si>
  <si>
    <t>MO-IS 270 RP4-1A</t>
  </si>
  <si>
    <t>MO-IS 270 RP4-1B</t>
  </si>
  <si>
    <t>MO-IS 270 RP4-22</t>
  </si>
  <si>
    <t>MO-IS 270 RP4-4</t>
  </si>
  <si>
    <t>MO-IS 270 RP4-5</t>
  </si>
  <si>
    <t>MO-IS 270 RP4-6</t>
  </si>
  <si>
    <t>MO-IS 270 RP4-8</t>
  </si>
  <si>
    <t>MO-IS 270 RP4-9</t>
  </si>
  <si>
    <t>MO-IS 270 RP5-15</t>
  </si>
  <si>
    <t>MO-IS 270 RP5-16</t>
  </si>
  <si>
    <t>MO-IS 270 RP5-18</t>
  </si>
  <si>
    <t>MO-IS 270 RP5-1A</t>
  </si>
  <si>
    <t>MO-IS 270 RP5-22</t>
  </si>
  <si>
    <t>MO-IS 270 RP5-4</t>
  </si>
  <si>
    <t>MO-IS 270 RP5-5</t>
  </si>
  <si>
    <t>MO-IS 270 RP5-6</t>
  </si>
  <si>
    <t>MO-IS 270 RP5-8</t>
  </si>
  <si>
    <t>MO-IS 270 RP5-9</t>
  </si>
  <si>
    <t>MO-IS 270 RP6-10</t>
  </si>
  <si>
    <t>MO-IS 270 RP6-11</t>
  </si>
  <si>
    <t>MO-IS 270 RP6-13</t>
  </si>
  <si>
    <t>MO-IS 270 RP6-15</t>
  </si>
  <si>
    <t>MO-IS 270 RP6-16</t>
  </si>
  <si>
    <t>MO-IS 270 RP6-18</t>
  </si>
  <si>
    <t>MO-IS 270 RP6-1A</t>
  </si>
  <si>
    <t>MO-IS 270 RP6-1B</t>
  </si>
  <si>
    <t>MO-IS 270 RP6-22</t>
  </si>
  <si>
    <t>MO-IS 270 RP6-35</t>
  </si>
  <si>
    <t>MO-IS 270 RP6-4</t>
  </si>
  <si>
    <t>MO-IS 270 RP6-5</t>
  </si>
  <si>
    <t>MO-IS 270 RP6-6</t>
  </si>
  <si>
    <t>MO-IS 270 RP6-8</t>
  </si>
  <si>
    <t>MO-IS 270 RP6-9</t>
  </si>
  <si>
    <t>MO-IS 270 RP7-10</t>
  </si>
  <si>
    <t>MO-IS 270 RP7-11</t>
  </si>
  <si>
    <t>MO-IS 270 RP7-13</t>
  </si>
  <si>
    <t>MO-IS 270 RP7-15</t>
  </si>
  <si>
    <t>MO-IS 270 RP7-16</t>
  </si>
  <si>
    <t>MO-IS 270 RP7-18</t>
  </si>
  <si>
    <t>MO-IS 270 RP7-1A</t>
  </si>
  <si>
    <t>MO-IS 270 RP7-22</t>
  </si>
  <si>
    <t>MO-IS 270 RP7-4</t>
  </si>
  <si>
    <t>MO-IS 270 RP7-5</t>
  </si>
  <si>
    <t>MO-IS 270 RP7-6</t>
  </si>
  <si>
    <t>MO-IS 270 RP7-8</t>
  </si>
  <si>
    <t>MO-IS 270 RP7-9</t>
  </si>
  <si>
    <t>MO-IS 270 RP8-11</t>
  </si>
  <si>
    <t>MO-IS 270 RP8-15</t>
  </si>
  <si>
    <t>MO-IS 270 RP8-16</t>
  </si>
  <si>
    <t>MO-IS 270 RP8-18</t>
  </si>
  <si>
    <t>MO-IS 270 RP8-1A</t>
  </si>
  <si>
    <t>MO-IS 270 RP8-1B</t>
  </si>
  <si>
    <t>MO-IS 270 RP8-22</t>
  </si>
  <si>
    <t>MO-IS 270 RP8-4</t>
  </si>
  <si>
    <t>MO-IS 270 RP8-5</t>
  </si>
  <si>
    <t>MO-IS 270 RP8-6</t>
  </si>
  <si>
    <t>MO-IS 270 RP8-8</t>
  </si>
  <si>
    <t>MO-IS 270 RP8-9</t>
  </si>
  <si>
    <t>MO-IS 270 RP9-15</t>
  </si>
  <si>
    <t>MO-IS 270 RP9-1A</t>
  </si>
  <si>
    <t>MO-IS 270 RP9-4</t>
  </si>
  <si>
    <t>MO-IS 270 RP9-8</t>
  </si>
  <si>
    <t>MO-IS 270Y RP1-1</t>
  </si>
  <si>
    <t>MO-IS 270Y RP2-1</t>
  </si>
  <si>
    <t>MO-IS 270Y RP3-1</t>
  </si>
  <si>
    <t>MO-IS 270Y RP3-2</t>
  </si>
  <si>
    <t>MO-IS 270Y RP4-1</t>
  </si>
  <si>
    <t>MO-IS 270Y RP5-1</t>
  </si>
  <si>
    <t>MO-IS 270Y RP5-2</t>
  </si>
  <si>
    <t>MO-IS 270Y RP6-1</t>
  </si>
  <si>
    <t>MO-IS 270Y RP7-1</t>
  </si>
  <si>
    <t>MO-IS 270Y RP8-1</t>
  </si>
  <si>
    <t>MO-IS 370 RP10-3</t>
  </si>
  <si>
    <t>MO-IS 370 RP11-3</t>
  </si>
  <si>
    <t>MO-IS 370 RP1-2</t>
  </si>
  <si>
    <t>MO-IS 370 RP12-3</t>
  </si>
  <si>
    <t>MO-IS 370 RP1-3</t>
  </si>
  <si>
    <t>MO-IS 370 RP2-2</t>
  </si>
  <si>
    <t>MO-IS 370 RP3-2</t>
  </si>
  <si>
    <t>MO-IS 370 RP4-3</t>
  </si>
  <si>
    <t>MO-IS 370 RP6-3</t>
  </si>
  <si>
    <t>MO-IS 370 RP7-2</t>
  </si>
  <si>
    <t>MO-IS 370 RP7-3</t>
  </si>
  <si>
    <t>MO-IS 370 RP8-2</t>
  </si>
  <si>
    <t>MO-IS 370 RP9-2</t>
  </si>
  <si>
    <t>MO-IS 370 RP9-3</t>
  </si>
  <si>
    <t>MO-IS 495 RP10-39</t>
  </si>
  <si>
    <t>MO-IS 495 RP11-39</t>
  </si>
  <si>
    <t>MO-IS 495 RP1-28</t>
  </si>
  <si>
    <t>MO-IS 495 RP1-29</t>
  </si>
  <si>
    <t>MO-IS 495 RP1-30</t>
  </si>
  <si>
    <t>MO-IS 495 RP1-31</t>
  </si>
  <si>
    <t>MO-IS 495 RP1-33</t>
  </si>
  <si>
    <t>MO-IS 495 RP1-34</t>
  </si>
  <si>
    <t>MO-IS 495 RP1-36</t>
  </si>
  <si>
    <t>MO-IS 495 RP1-39</t>
  </si>
  <si>
    <t>MO-IS 495 RP1-41</t>
  </si>
  <si>
    <t>MO-IS 495 RP2-28</t>
  </si>
  <si>
    <t>MO-IS 495 RP2-29</t>
  </si>
  <si>
    <t>MO-IS 495 RP2-31</t>
  </si>
  <si>
    <t>MO-IS 495 RP2-33</t>
  </si>
  <si>
    <t>MO-IS 495 RP2-34</t>
  </si>
  <si>
    <t>MO-IS 495 RP2-36</t>
  </si>
  <si>
    <t>MO-IS 495 RP2-39</t>
  </si>
  <si>
    <t>MO-IS 495 RP3-28</t>
  </si>
  <si>
    <t>MO-IS 495 RP3-30</t>
  </si>
  <si>
    <t>MO-IS 495 RP3-31</t>
  </si>
  <si>
    <t>MO-IS 495 RP3-33</t>
  </si>
  <si>
    <t>MO-IS 495 RP3-36</t>
  </si>
  <si>
    <t>MO-IS 495 RP3-39</t>
  </si>
  <si>
    <t>MO-IS 495 RP3-41</t>
  </si>
  <si>
    <t>MO-IS 495 RP4-28</t>
  </si>
  <si>
    <t>MO-IS 495 RP4-29</t>
  </si>
  <si>
    <t>MO-IS 495 RP4-30</t>
  </si>
  <si>
    <t>MO-IS 495 RP4-31</t>
  </si>
  <si>
    <t>MO-IS 495 RP4-33</t>
  </si>
  <si>
    <t>MO-IS 495 RP4-34</t>
  </si>
  <si>
    <t>MO-IS 495 RP4-36</t>
  </si>
  <si>
    <t>MO-IS 495 RP4-39</t>
  </si>
  <si>
    <t>MO-IS 495 RP4-41</t>
  </si>
  <si>
    <t>MO-IS 495 RP5-28</t>
  </si>
  <si>
    <t>MO-IS 495 RP5-29</t>
  </si>
  <si>
    <t>MO-IS 495 RP5-31</t>
  </si>
  <si>
    <t>MO-IS 495 RP5-33</t>
  </si>
  <si>
    <t>MO-IS 495 RP5-34</t>
  </si>
  <si>
    <t>MO-IS 495 RP5-36</t>
  </si>
  <si>
    <t>MO-IS 495 RP5-39</t>
  </si>
  <si>
    <t>MO-IS 495 RP6-28</t>
  </si>
  <si>
    <t>MO-IS 495 RP6-29</t>
  </si>
  <si>
    <t>MO-IS 495 RP6-30</t>
  </si>
  <si>
    <t>MO-IS 495 RP6-31</t>
  </si>
  <si>
    <t>MO-IS 495 RP6-33</t>
  </si>
  <si>
    <t>MO-IS 495 RP6-34</t>
  </si>
  <si>
    <t>MO-IS 495 RP6-36</t>
  </si>
  <si>
    <t>MO-IS 495 RP6-39</t>
  </si>
  <si>
    <t>MO-IS 495 RP6-41</t>
  </si>
  <si>
    <t>MO-IS 495 RP7-28</t>
  </si>
  <si>
    <t>MO-IS 495 RP7-29</t>
  </si>
  <si>
    <t>MO-IS 495 RP7-30</t>
  </si>
  <si>
    <t>MO-IS 495 RP7-31</t>
  </si>
  <si>
    <t>MO-IS 495 RP7-33</t>
  </si>
  <si>
    <t>MO-IS 495 RP7-36</t>
  </si>
  <si>
    <t>MO-IS 495 RP7-39</t>
  </si>
  <si>
    <t>MO-IS 495 RP7-41</t>
  </si>
  <si>
    <t>MO-IS 495 RP8-28</t>
  </si>
  <si>
    <t>MO-IS 495 RP8-30</t>
  </si>
  <si>
    <t>MO-IS 495 RP8-31</t>
  </si>
  <si>
    <t>MO-IS 495 RP8-33</t>
  </si>
  <si>
    <t>MO-IS 495 RP8-36</t>
  </si>
  <si>
    <t>MO-IS 495 RP8-39</t>
  </si>
  <si>
    <t>MO-IS 495 RP8-41</t>
  </si>
  <si>
    <t>MO-IS 495 RP9-39</t>
  </si>
  <si>
    <t>MO-MD 107</t>
  </si>
  <si>
    <t>MO-MD 109</t>
  </si>
  <si>
    <t>MO-MD 112</t>
  </si>
  <si>
    <t>MO-MD 115</t>
  </si>
  <si>
    <t>MO-MD 117A</t>
  </si>
  <si>
    <t>MO-MD 118</t>
  </si>
  <si>
    <t>MO-MD 121</t>
  </si>
  <si>
    <t>MO-MD 121A</t>
  </si>
  <si>
    <t>MO-MD 124</t>
  </si>
  <si>
    <t>MO-MD 182</t>
  </si>
  <si>
    <t>MO-MD 182A</t>
  </si>
  <si>
    <t>MO-MD 185A</t>
  </si>
  <si>
    <t>MO-MD 185B</t>
  </si>
  <si>
    <t>MO-MD 185C</t>
  </si>
  <si>
    <t>MO-MD 185D</t>
  </si>
  <si>
    <t>MO-MD 185E</t>
  </si>
  <si>
    <t>MO-MD 186</t>
  </si>
  <si>
    <t>MO-MD 187</t>
  </si>
  <si>
    <t>MO-MD 188</t>
  </si>
  <si>
    <t>MO-MD 190</t>
  </si>
  <si>
    <t>MO-MD 190A</t>
  </si>
  <si>
    <t>MO-MD 192</t>
  </si>
  <si>
    <t>MO-MD 195A</t>
  </si>
  <si>
    <t>MO-MD 198</t>
  </si>
  <si>
    <t>MO-MD 198A</t>
  </si>
  <si>
    <t>MO-MD 200 RP10-17</t>
  </si>
  <si>
    <t>MO-MD 200 RP1-10</t>
  </si>
  <si>
    <t>MO-MD 200 RP11-17</t>
  </si>
  <si>
    <t>MO-MD 200 RP1-13</t>
  </si>
  <si>
    <t>MO-MD 200 RP1-16</t>
  </si>
  <si>
    <t>MO-MD 200 RP1-17</t>
  </si>
  <si>
    <t>MO-MD 200 RP1-8</t>
  </si>
  <si>
    <t>MO-MD 200 RP2-10</t>
  </si>
  <si>
    <t>MO-MD 200 RP2-13</t>
  </si>
  <si>
    <t>MO-MD 200 RP2-16</t>
  </si>
  <si>
    <t>MO-MD 200 RP2-17</t>
  </si>
  <si>
    <t>MO-MD 200 RP2-8</t>
  </si>
  <si>
    <t>MO-MD 200 RP3-13</t>
  </si>
  <si>
    <t>MO-MD 200 RP3-16</t>
  </si>
  <si>
    <t>MO-MD 200 RP3-17</t>
  </si>
  <si>
    <t>MO-MD 200 RP3-8</t>
  </si>
  <si>
    <t>MO-MD 200 RP4-10</t>
  </si>
  <si>
    <t>MO-MD 200 RP4-13</t>
  </si>
  <si>
    <t>MO-MD 200 RP4-16</t>
  </si>
  <si>
    <t>MO-MD 200 RP4-17</t>
  </si>
  <si>
    <t>MO-MD 200 RP4-8</t>
  </si>
  <si>
    <t>MO-MD 200 RP5-10</t>
  </si>
  <si>
    <t>MO-MD 200 RP5-13</t>
  </si>
  <si>
    <t>MO-MD 200 RP5-16</t>
  </si>
  <si>
    <t>MO-MD 200 RP5-8</t>
  </si>
  <si>
    <t>MO-MD 200 RP6-10</t>
  </si>
  <si>
    <t>MO-MD 200 RP6-13</t>
  </si>
  <si>
    <t>MO-MD 200 RP6-16</t>
  </si>
  <si>
    <t>MO-MD 200 RP6-8</t>
  </si>
  <si>
    <t>MO-MD 200 RP7-13</t>
  </si>
  <si>
    <t>MO-MD 200 RP7-16</t>
  </si>
  <si>
    <t>MO-MD 200 RP7-8</t>
  </si>
  <si>
    <t>MO-MD 200 RP8-10</t>
  </si>
  <si>
    <t>MO-MD 200 RP8-13</t>
  </si>
  <si>
    <t>MO-MD 200 RP8-16</t>
  </si>
  <si>
    <t>MO-MD 200 RP8-8</t>
  </si>
  <si>
    <t>MO-MD 200 RP9-17</t>
  </si>
  <si>
    <t>MO-MD 200A RP1-1</t>
  </si>
  <si>
    <t>MO-MD 200A RP2-1</t>
  </si>
  <si>
    <t>MO-MD 200A RP3-1</t>
  </si>
  <si>
    <t>MO-MD 200A RP4-1</t>
  </si>
  <si>
    <t>MO-MD 200A RP5-1</t>
  </si>
  <si>
    <t>MO-MD 200A RP6-1</t>
  </si>
  <si>
    <t>MO-MD 200A RP7-1</t>
  </si>
  <si>
    <t>MO-MD 200A RP8-1</t>
  </si>
  <si>
    <t>MO-MD 28 RP2-22</t>
  </si>
  <si>
    <t>MO-MD 28 RP5-22</t>
  </si>
  <si>
    <t>MO-MD 320</t>
  </si>
  <si>
    <t>MO-MD 355 RP2-7</t>
  </si>
  <si>
    <t>MO-MD 355 RP4-7</t>
  </si>
  <si>
    <t>MO-MD 355 RP6-7</t>
  </si>
  <si>
    <t>MO-MD 396</t>
  </si>
  <si>
    <t>MO-MD 396A</t>
  </si>
  <si>
    <t>MO-MD 547</t>
  </si>
  <si>
    <t>MO-MD 614</t>
  </si>
  <si>
    <t>MO-MD 614A</t>
  </si>
  <si>
    <t>MO-MD 614B</t>
  </si>
  <si>
    <t>MO-MD 614C</t>
  </si>
  <si>
    <t>MO-MD 614D</t>
  </si>
  <si>
    <t>MO-MD 650</t>
  </si>
  <si>
    <t>MO-MD 655</t>
  </si>
  <si>
    <t>MO-MD 655A</t>
  </si>
  <si>
    <t>MO-MD 655B</t>
  </si>
  <si>
    <t>MO-MD 655C</t>
  </si>
  <si>
    <t>MO-MD 655D</t>
  </si>
  <si>
    <t>MO-MD 655E</t>
  </si>
  <si>
    <t>MO-MD 655F</t>
  </si>
  <si>
    <t>MO-MD 655G</t>
  </si>
  <si>
    <t>MO-MD 655H</t>
  </si>
  <si>
    <t>MO-MD 660</t>
  </si>
  <si>
    <t>MO-MD 80</t>
  </si>
  <si>
    <t>MO-MD 899</t>
  </si>
  <si>
    <t>MO-MD 899A</t>
  </si>
  <si>
    <t>MO-MD 928</t>
  </si>
  <si>
    <t>MO-MD 928C</t>
  </si>
  <si>
    <t>MO-MD 929C</t>
  </si>
  <si>
    <t>MO-MD 929D</t>
  </si>
  <si>
    <t>MO-MD 929E</t>
  </si>
  <si>
    <t>MO-MD 97</t>
  </si>
  <si>
    <t>MO-MD 97A</t>
  </si>
  <si>
    <t>MO-MD 998A</t>
  </si>
  <si>
    <t>MO-US 29 RP1-11A</t>
  </si>
  <si>
    <t>MO-US 29 RP1-3</t>
  </si>
  <si>
    <t>MO-US 29 RP1-7</t>
  </si>
  <si>
    <t>MO-US 29 RP2-11A</t>
  </si>
  <si>
    <t>MO-US 29 RP2-11B</t>
  </si>
  <si>
    <t>MO-US 29 RP2-3</t>
  </si>
  <si>
    <t>MO-US 29 RP2-7</t>
  </si>
  <si>
    <t>MO-US 29 RP2-8</t>
  </si>
  <si>
    <t>MO-US 29 RP3-11A</t>
  </si>
  <si>
    <t>MO-US 29 RP3-3</t>
  </si>
  <si>
    <t>MO-US 29 RP3-7</t>
  </si>
  <si>
    <t>MO-US 29 RP4-10B</t>
  </si>
  <si>
    <t>MO-US 29 RP4-11A</t>
  </si>
  <si>
    <t>MO-US 29 RP4-3</t>
  </si>
  <si>
    <t>MO-US 29 RP4-7</t>
  </si>
  <si>
    <t>MO-US 29 RP5-10B</t>
  </si>
  <si>
    <t>MO-US 29 RP5-3</t>
  </si>
  <si>
    <t>MO-US 29 RP5-7</t>
  </si>
  <si>
    <t>MO-US 29 RP5-8</t>
  </si>
  <si>
    <t>MO-US 29 RP6-11A</t>
  </si>
  <si>
    <t>MO-US 29 RP6-3</t>
  </si>
  <si>
    <t>MO-US 29 RP6-7</t>
  </si>
  <si>
    <t>MO-US 29 RP6-8</t>
  </si>
  <si>
    <t>MO-US 29 RP7-3</t>
  </si>
  <si>
    <t>MO-US 29 RP7-7</t>
  </si>
  <si>
    <t>MO-US 29 RP8-11A</t>
  </si>
  <si>
    <t>MO-US 29 RP8-11B</t>
  </si>
  <si>
    <t>MO-US 29 RP8-3</t>
  </si>
  <si>
    <t>MO-US 29 RP8-7</t>
  </si>
  <si>
    <t>MO-US 29 RP9-11A</t>
  </si>
  <si>
    <t>PG-CO 1202</t>
  </si>
  <si>
    <t>PG-CO 1210</t>
  </si>
  <si>
    <t>PG-CO 154</t>
  </si>
  <si>
    <t>PG-CO 21</t>
  </si>
  <si>
    <t>PG-CO 2737</t>
  </si>
  <si>
    <t>PG-CO 3584</t>
  </si>
  <si>
    <t>PG-CO 366</t>
  </si>
  <si>
    <t>PG-CO 3668</t>
  </si>
  <si>
    <t>PG-CO 4231</t>
  </si>
  <si>
    <t>PG-GV 119 RP1-1</t>
  </si>
  <si>
    <t>PG-GV 119 RP1-6</t>
  </si>
  <si>
    <t>PG-GV 119 RP2-1</t>
  </si>
  <si>
    <t>PG-GV 119 RP2-6</t>
  </si>
  <si>
    <t>PG-GV 119 RP4-1</t>
  </si>
  <si>
    <t>PG-GV 119 RP4-6</t>
  </si>
  <si>
    <t>PG-GV 119 RP5-1</t>
  </si>
  <si>
    <t>PG-GV 119 RP5-3</t>
  </si>
  <si>
    <t>PG-GV 119 RP6-1</t>
  </si>
  <si>
    <t>PG-GV 119 RP6-3</t>
  </si>
  <si>
    <t>PG-GV 119 RP6-6</t>
  </si>
  <si>
    <t>PG-GV 119 RP7-3</t>
  </si>
  <si>
    <t>PG-GV 119 RP7-6</t>
  </si>
  <si>
    <t>PG-GV 119 RP8-3</t>
  </si>
  <si>
    <t>PG-GV 119 RP8-6</t>
  </si>
  <si>
    <t>PG-IS 495 RP4-28</t>
  </si>
  <si>
    <t>PG-IS 595 RP10-13</t>
  </si>
  <si>
    <t>PG-IS 595 RP10-8</t>
  </si>
  <si>
    <t>PG-IS 595 RP1-11</t>
  </si>
  <si>
    <t>PG-IS 595 RP1-13</t>
  </si>
  <si>
    <t>PG-IS 595 RP1-8</t>
  </si>
  <si>
    <t>PG-IS 595 RP2-11</t>
  </si>
  <si>
    <t>PG-IS 595 RP2-13</t>
  </si>
  <si>
    <t>PG-IS 595 RP2-8</t>
  </si>
  <si>
    <t>PG-IS 595 RP3-13</t>
  </si>
  <si>
    <t>PG-IS 595 RP3-8</t>
  </si>
  <si>
    <t>PG-IS 595 RP4-11</t>
  </si>
  <si>
    <t>PG-IS 595 RP4-13</t>
  </si>
  <si>
    <t>PG-IS 595 RP4-8</t>
  </si>
  <si>
    <t>PG-IS 595 RP5-11</t>
  </si>
  <si>
    <t>PG-IS 595 RP5-13</t>
  </si>
  <si>
    <t>PG-IS 595 RP5-8</t>
  </si>
  <si>
    <t>PG-IS 595 RP6-11</t>
  </si>
  <si>
    <t>PG-IS 595 RP6-13</t>
  </si>
  <si>
    <t>PG-IS 595 RP6-8</t>
  </si>
  <si>
    <t>PG-IS 595 RP7-11</t>
  </si>
  <si>
    <t>PG-IS 595 RP7-13</t>
  </si>
  <si>
    <t>PG-IS 595 RP7-8</t>
  </si>
  <si>
    <t>PG-IS 595 RP8-11</t>
  </si>
  <si>
    <t>PG-IS 595 RP8-13</t>
  </si>
  <si>
    <t>PG-IS 595 RP8-8</t>
  </si>
  <si>
    <t>PG-IS 595 RP9-13</t>
  </si>
  <si>
    <t>PG-IS 595 RP9-8</t>
  </si>
  <si>
    <t>PG-IS 95 RP10-15</t>
  </si>
  <si>
    <t>PG-IS 95 RP10-17</t>
  </si>
  <si>
    <t>PG-IS 95 RP10-19</t>
  </si>
  <si>
    <t>PG-IS 95 RP10-2</t>
  </si>
  <si>
    <t>PG-IS 95 RP10-22</t>
  </si>
  <si>
    <t>PG-IS 95 RP10-25</t>
  </si>
  <si>
    <t>PG-IS 95 RP10-4</t>
  </si>
  <si>
    <t>PG-IS 95 RP1-11</t>
  </si>
  <si>
    <t>PG-IS 95 RP11-19</t>
  </si>
  <si>
    <t>PG-IS 95 RP11-2</t>
  </si>
  <si>
    <t>PG-IS 95 RP1-15</t>
  </si>
  <si>
    <t>PG-IS 95 RP1-16</t>
  </si>
  <si>
    <t>PG-IS 95 RP1-19</t>
  </si>
  <si>
    <t>PG-IS 95 RP1-2</t>
  </si>
  <si>
    <t>PG-IS 95 RP1-20</t>
  </si>
  <si>
    <t>PG-IS 95 RP1-22</t>
  </si>
  <si>
    <t>PG-IS 95 RP12-2</t>
  </si>
  <si>
    <t>PG-IS 95 RP1-23</t>
  </si>
  <si>
    <t>PG-IS 95 RP1-25</t>
  </si>
  <si>
    <t>PG-IS 95 RP1-27</t>
  </si>
  <si>
    <t>PG-IS 95 RP1-29</t>
  </si>
  <si>
    <t>PG-IS 95 RP1-3</t>
  </si>
  <si>
    <t>PG-IS 95 RP1-31</t>
  </si>
  <si>
    <t>PG-IS 95 RP13-2</t>
  </si>
  <si>
    <t>PG-IS 95 RP1-33</t>
  </si>
  <si>
    <t>PG-IS 95 RP1-4</t>
  </si>
  <si>
    <t>PG-IS 95 RP14-2</t>
  </si>
  <si>
    <t>PG-IS 95 RP15-2</t>
  </si>
  <si>
    <t>PG-IS 95 RP16-2</t>
  </si>
  <si>
    <t>PG-IS 95 RP1-7</t>
  </si>
  <si>
    <t>PG-IS 95 RP17-2</t>
  </si>
  <si>
    <t>PG-IS 95 RP18-2</t>
  </si>
  <si>
    <t>PG-IS 95 RP19-2</t>
  </si>
  <si>
    <t>PG-IS 95 RP20-2</t>
  </si>
  <si>
    <t>PG-IS 95 RP2-11</t>
  </si>
  <si>
    <t>PG-IS 95 RP21-2</t>
  </si>
  <si>
    <t>PG-IS 95 RP2-13</t>
  </si>
  <si>
    <t>PG-IS 95 RP2-15</t>
  </si>
  <si>
    <t>PG-IS 95 RP2-16</t>
  </si>
  <si>
    <t>PG-IS 95 RP2-17</t>
  </si>
  <si>
    <t>PG-IS 95 RP2-19</t>
  </si>
  <si>
    <t>PG-IS 95 RP2-2</t>
  </si>
  <si>
    <t>PG-IS 95 RP2-20</t>
  </si>
  <si>
    <t>PG-IS 95 RP2-22</t>
  </si>
  <si>
    <t>PG-IS 95 RP22-2</t>
  </si>
  <si>
    <t>PG-IS 95 RP2-23</t>
  </si>
  <si>
    <t>PG-IS 95 RP2-29</t>
  </si>
  <si>
    <t>PG-IS 95 RP2-3</t>
  </si>
  <si>
    <t>PG-IS 95 RP2-31</t>
  </si>
  <si>
    <t>PG-IS 95 RP23-2</t>
  </si>
  <si>
    <t>PG-IS 95 RP2-33</t>
  </si>
  <si>
    <t>PG-IS 95 RP2-4</t>
  </si>
  <si>
    <t>PG-IS 95 RP24-2</t>
  </si>
  <si>
    <t>PG-IS 95 RP25-2</t>
  </si>
  <si>
    <t>PG-IS 95 RP26-2</t>
  </si>
  <si>
    <t>PG-IS 95 RP2-7</t>
  </si>
  <si>
    <t>PG-IS 95 RP27-2</t>
  </si>
  <si>
    <t>PG-IS 95 RP3-11</t>
  </si>
  <si>
    <t>PG-IS 95 RP3-15</t>
  </si>
  <si>
    <t>PG-IS 95 RP3-17</t>
  </si>
  <si>
    <t>PG-IS 95 RP3-19</t>
  </si>
  <si>
    <t>PG-IS 95 RP3-2</t>
  </si>
  <si>
    <t>PG-IS 95 RP3-20</t>
  </si>
  <si>
    <t>PG-IS 95 RP3-22</t>
  </si>
  <si>
    <t>PG-IS 95 RP3-23</t>
  </si>
  <si>
    <t>PG-IS 95 RP3-25</t>
  </si>
  <si>
    <t>PG-IS 95 RP3-27</t>
  </si>
  <si>
    <t>PG-IS 95 RP3-29</t>
  </si>
  <si>
    <t>PG-IS 95 RP3-3</t>
  </si>
  <si>
    <t>PG-IS 95 RP3-31</t>
  </si>
  <si>
    <t>PG-IS 95 RP3-33</t>
  </si>
  <si>
    <t>PG-IS 95 RP3-4</t>
  </si>
  <si>
    <t>PG-IS 95 RP3-7</t>
  </si>
  <si>
    <t>PG-IS 95 RP4-11</t>
  </si>
  <si>
    <t>PG-IS 95 RP4-13</t>
  </si>
  <si>
    <t>PG-IS 95 RP4-15</t>
  </si>
  <si>
    <t>PG-IS 95 RP4-16</t>
  </si>
  <si>
    <t>PG-IS 95 RP4-17</t>
  </si>
  <si>
    <t>PG-IS 95 RP4-19</t>
  </si>
  <si>
    <t>PG-IS 95 RP4-2</t>
  </si>
  <si>
    <t>PG-IS 95 RP4-20</t>
  </si>
  <si>
    <t>PG-IS 95 RP4-22</t>
  </si>
  <si>
    <t>PG-IS 95 RP4-23</t>
  </si>
  <si>
    <t>PG-IS 95 RP4-25</t>
  </si>
  <si>
    <t>PG-IS 95 RP4-27</t>
  </si>
  <si>
    <t>PG-IS 95 RP4-29</t>
  </si>
  <si>
    <t>PG-IS 95 RP4-3</t>
  </si>
  <si>
    <t>PG-IS 95 RP4-31</t>
  </si>
  <si>
    <t>PG-IS 95 RP4-33</t>
  </si>
  <si>
    <t>PG-IS 95 RP4-4</t>
  </si>
  <si>
    <t>PG-IS 95 RP4-7</t>
  </si>
  <si>
    <t>PG-IS 95 RP4-9</t>
  </si>
  <si>
    <t>PG-IS 95 RP5-11</t>
  </si>
  <si>
    <t>PG-IS 95 RP5-15</t>
  </si>
  <si>
    <t>PG-IS 95 RP5-17</t>
  </si>
  <si>
    <t>PG-IS 95 RP5-19</t>
  </si>
  <si>
    <t>PG-IS 95 RP5-2</t>
  </si>
  <si>
    <t>PG-IS 95 RP5-20</t>
  </si>
  <si>
    <t>PG-IS 95 RP5-22</t>
  </si>
  <si>
    <t>PG-IS 95 RP5-23</t>
  </si>
  <si>
    <t>PG-IS 95 RP5-25</t>
  </si>
  <si>
    <t>PG-IS 95 RP5-27</t>
  </si>
  <si>
    <t>PG-IS 95 RP5-29</t>
  </si>
  <si>
    <t>PG-IS 95 RP5-31</t>
  </si>
  <si>
    <t>PG-IS 95 RP5-33</t>
  </si>
  <si>
    <t>PG-IS 95 RP5-4</t>
  </si>
  <si>
    <t>PG-IS 95 RP5-7</t>
  </si>
  <si>
    <t>PG-IS 95 RP5-9</t>
  </si>
  <si>
    <t>PG-IS 95 RP6-11</t>
  </si>
  <si>
    <t>PG-IS 95 RP6-13</t>
  </si>
  <si>
    <t>PG-IS 95 RP6-15</t>
  </si>
  <si>
    <t>PG-IS 95 RP6-16</t>
  </si>
  <si>
    <t>PG-IS 95 RP6-17</t>
  </si>
  <si>
    <t>PG-IS 95 RP6-19</t>
  </si>
  <si>
    <t>PG-IS 95 RP6-2</t>
  </si>
  <si>
    <t>PG-IS 95 RP6-20</t>
  </si>
  <si>
    <t>PG-IS 95 RP6-22</t>
  </si>
  <si>
    <t>PG-IS 95 RP6-23</t>
  </si>
  <si>
    <t>PG-IS 95 RP6-25</t>
  </si>
  <si>
    <t>PG-IS 95 RP6-27</t>
  </si>
  <si>
    <t>PG-IS 95 RP6-29</t>
  </si>
  <si>
    <t>PG-IS 95 RP6-31</t>
  </si>
  <si>
    <t>PG-IS 95 RP6-33</t>
  </si>
  <si>
    <t>PG-IS 95 RP6-4</t>
  </si>
  <si>
    <t>PG-IS 95 RP6-7</t>
  </si>
  <si>
    <t>PG-IS 95 RP6-9</t>
  </si>
  <si>
    <t>PG-IS 95 RP7-11</t>
  </si>
  <si>
    <t>PG-IS 95 RP7-15</t>
  </si>
  <si>
    <t>PG-IS 95 RP7-17</t>
  </si>
  <si>
    <t>PG-IS 95 RP7-19</t>
  </si>
  <si>
    <t>PG-IS 95 RP7-2</t>
  </si>
  <si>
    <t>PG-IS 95 RP7-20</t>
  </si>
  <si>
    <t>PG-IS 95 RP7-22</t>
  </si>
  <si>
    <t>PG-IS 95 RP7-25</t>
  </si>
  <si>
    <t>PG-IS 95 RP7-27</t>
  </si>
  <si>
    <t>PG-IS 95 RP7-29</t>
  </si>
  <si>
    <t>PG-IS 95 RP7-3</t>
  </si>
  <si>
    <t>PG-IS 95 RP7-31</t>
  </si>
  <si>
    <t>PG-IS 95 RP7-33</t>
  </si>
  <si>
    <t>PG-IS 95 RP7-4</t>
  </si>
  <si>
    <t>PG-IS 95 RP7-7</t>
  </si>
  <si>
    <t>PG-IS 95 RP7-9</t>
  </si>
  <si>
    <t>PG-IS 95 RP8-11</t>
  </si>
  <si>
    <t>PG-IS 95 RP8-13</t>
  </si>
  <si>
    <t>PG-IS 95 RP8-15</t>
  </si>
  <si>
    <t>PG-IS 95 RP8-16</t>
  </si>
  <si>
    <t>PG-IS 95 RP8-17</t>
  </si>
  <si>
    <t>PG-IS 95 RP8-19</t>
  </si>
  <si>
    <t>PG-IS 95 RP8-2</t>
  </si>
  <si>
    <t>PG-IS 95 RP8-20</t>
  </si>
  <si>
    <t>PG-IS 95 RP8-22</t>
  </si>
  <si>
    <t>PG-IS 95 RP8-23</t>
  </si>
  <si>
    <t>PG-IS 95 RP8-25</t>
  </si>
  <si>
    <t>PG-IS 95 RP8-27</t>
  </si>
  <si>
    <t>PG-IS 95 RP8-29</t>
  </si>
  <si>
    <t>PG-IS 95 RP8-3</t>
  </si>
  <si>
    <t>PG-IS 95 RP8-31</t>
  </si>
  <si>
    <t>PG-IS 95 RP8-33</t>
  </si>
  <si>
    <t>PG-IS 95 RP8-4</t>
  </si>
  <si>
    <t>PG-IS 95 RP8-7</t>
  </si>
  <si>
    <t>PG-IS 95 RP8-9</t>
  </si>
  <si>
    <t>PG-IS 95 RP9-15</t>
  </si>
  <si>
    <t>PG-IS 95 RP9-17</t>
  </si>
  <si>
    <t>PG-IS 95 RP9-19</t>
  </si>
  <si>
    <t>PG-IS 95 RP9-2</t>
  </si>
  <si>
    <t>PG-IS 95 RP9-22</t>
  </si>
  <si>
    <t>PG-IS 95 RP9-29</t>
  </si>
  <si>
    <t>PG-IS 95 RP9-3</t>
  </si>
  <si>
    <t>PG-IS 95 RP9-31</t>
  </si>
  <si>
    <t>PG-IS 95 RP9-33</t>
  </si>
  <si>
    <t>PG-IS 95 RP9-4</t>
  </si>
  <si>
    <t>PG-IS 95 RP9-7</t>
  </si>
  <si>
    <t>PG-IS 95 RP9-9</t>
  </si>
  <si>
    <t>PG-MD 193AA</t>
  </si>
  <si>
    <t>PG-MD 193AD</t>
  </si>
  <si>
    <t>PG-MD 193C</t>
  </si>
  <si>
    <t>PG-MD 193D</t>
  </si>
  <si>
    <t>PG-MD 193E</t>
  </si>
  <si>
    <t>PG-MD 197D</t>
  </si>
  <si>
    <t>PG-MD 201</t>
  </si>
  <si>
    <t>PG-MD 201 RP1-6</t>
  </si>
  <si>
    <t>PG-MD 201 RP2-1</t>
  </si>
  <si>
    <t>PG-MD 201 RP2-6</t>
  </si>
  <si>
    <t>PG-MD 201 RP3-6</t>
  </si>
  <si>
    <t>PG-MD 201 RP4-6</t>
  </si>
  <si>
    <t>PG-MD 201 RP5-1</t>
  </si>
  <si>
    <t>PG-MD 201 RP5-2</t>
  </si>
  <si>
    <t>PG-MD 201 RP5-6</t>
  </si>
  <si>
    <t>PG-MD 201 RP6-2</t>
  </si>
  <si>
    <t>PG-MD 201 RP6-6</t>
  </si>
  <si>
    <t>PG-MD 201 RP7-6</t>
  </si>
  <si>
    <t>PG-MD 201 RP8-6</t>
  </si>
  <si>
    <t>PG-MD 202 RP10-7</t>
  </si>
  <si>
    <t>PG-MD 202 RP1-10</t>
  </si>
  <si>
    <t>PG-MD 202 RP1-7</t>
  </si>
  <si>
    <t>PG-MD 202 RP2-10</t>
  </si>
  <si>
    <t>PG-MD 202 RP2-7</t>
  </si>
  <si>
    <t>PG-MD 202 RP3-10</t>
  </si>
  <si>
    <t>PG-MD 202 RP3-7</t>
  </si>
  <si>
    <t>PG-MD 202 RP4-10</t>
  </si>
  <si>
    <t>PG-MD 202 RP4-7</t>
  </si>
  <si>
    <t>PG-MD 202 RP5-10</t>
  </si>
  <si>
    <t>PG-MD 202 RP5-7</t>
  </si>
  <si>
    <t>PG-MD 202 RP6-10</t>
  </si>
  <si>
    <t>PG-MD 202 RP6-7</t>
  </si>
  <si>
    <t>PG-MD 202 RP7-10</t>
  </si>
  <si>
    <t>PG-MD 202 RP7-7</t>
  </si>
  <si>
    <t>PG-MD 202 RP8-10</t>
  </si>
  <si>
    <t>PG-MD 202 RP8-7</t>
  </si>
  <si>
    <t>PG-MD 202 RP9-7</t>
  </si>
  <si>
    <t>PG-MD 202C</t>
  </si>
  <si>
    <t>PG-MD 202D</t>
  </si>
  <si>
    <t>PG-MD 202E</t>
  </si>
  <si>
    <t>PG-MD 202F</t>
  </si>
  <si>
    <t>PG-MD 208</t>
  </si>
  <si>
    <t>PG-MD 210 RP2-13</t>
  </si>
  <si>
    <t>PG-MD 210 RP3-13</t>
  </si>
  <si>
    <t>PG-MD 210 RP4-13</t>
  </si>
  <si>
    <t>PG-MD 210 RP5-13</t>
  </si>
  <si>
    <t>PG-MD 210 RP6-13</t>
  </si>
  <si>
    <t>PG-MD 210 RP7-13</t>
  </si>
  <si>
    <t>PG-MD 210 RP8-13</t>
  </si>
  <si>
    <t>PG-MD 210A</t>
  </si>
  <si>
    <t>PG-MD 210B</t>
  </si>
  <si>
    <t>PG-MD 210C</t>
  </si>
  <si>
    <t>PG-MD 210D</t>
  </si>
  <si>
    <t>PG-MD 210E</t>
  </si>
  <si>
    <t>PG-MD 210F</t>
  </si>
  <si>
    <t>PG-MD 210I</t>
  </si>
  <si>
    <t>PG-MD 210J</t>
  </si>
  <si>
    <t>PG-MD 210K</t>
  </si>
  <si>
    <t>PG-MD 210L</t>
  </si>
  <si>
    <t>PG-MD 210M</t>
  </si>
  <si>
    <t>PG-MD 210N</t>
  </si>
  <si>
    <t>PG-MD 210P</t>
  </si>
  <si>
    <t>PG-MD 210R</t>
  </si>
  <si>
    <t>PG-MD 210S</t>
  </si>
  <si>
    <t>PG-MD 210T</t>
  </si>
  <si>
    <t>PG-MD 212A</t>
  </si>
  <si>
    <t>PG-MD 214</t>
  </si>
  <si>
    <t>PG-MD 218</t>
  </si>
  <si>
    <t>PG-MD 223A</t>
  </si>
  <si>
    <t>PG-MD 228A</t>
  </si>
  <si>
    <t>PG-MD 295 RP1-3</t>
  </si>
  <si>
    <t>PG-MD 295 RP1-6</t>
  </si>
  <si>
    <t>PG-MD 295 RP1-9</t>
  </si>
  <si>
    <t>PG-MD 295 RP2-6</t>
  </si>
  <si>
    <t>PG-MD 295 RP2-7</t>
  </si>
  <si>
    <t>PG-MD 295 RP2-8</t>
  </si>
  <si>
    <t>PG-MD 295 RP2-9</t>
  </si>
  <si>
    <t>PG-MD 295 RP3-3</t>
  </si>
  <si>
    <t>PG-MD 295 RP3-6</t>
  </si>
  <si>
    <t>PG-MD 295 RP4-3</t>
  </si>
  <si>
    <t>PG-MD 295 RP4-6</t>
  </si>
  <si>
    <t>PG-MD 295 RP4-7</t>
  </si>
  <si>
    <t>PG-MD 295 RP4-8</t>
  </si>
  <si>
    <t>PG-MD 295 RP5-6</t>
  </si>
  <si>
    <t>PG-MD 295 RP5-9</t>
  </si>
  <si>
    <t>PG-MD 295 RP6-6</t>
  </si>
  <si>
    <t>PG-MD 295 RP6-8</t>
  </si>
  <si>
    <t>PG-MD 295 RP6-9</t>
  </si>
  <si>
    <t>PG-MD 295 RP7-6</t>
  </si>
  <si>
    <t>PG-MD 295 RP7-9</t>
  </si>
  <si>
    <t>PG-MD 295 RP8-6</t>
  </si>
  <si>
    <t>PG-MD 295 RP8-8</t>
  </si>
  <si>
    <t>PG-MD 295 RP8-9</t>
  </si>
  <si>
    <t>PG-MD 3 RP1-1</t>
  </si>
  <si>
    <t>PG-MD 3 RP2-1</t>
  </si>
  <si>
    <t>PG-MD 3 RP3-1</t>
  </si>
  <si>
    <t>PG-MD 3 RP4-1</t>
  </si>
  <si>
    <t>PG-MD 3 RP6-1</t>
  </si>
  <si>
    <t>PG-MD 3 RP7-1</t>
  </si>
  <si>
    <t>PG-MD 3 RP8-1</t>
  </si>
  <si>
    <t>PG-MD 3 RP9-1</t>
  </si>
  <si>
    <t>PG-MD 332</t>
  </si>
  <si>
    <t>PG-MD 332A</t>
  </si>
  <si>
    <t>PG-MD 373</t>
  </si>
  <si>
    <t>PG-MD 381</t>
  </si>
  <si>
    <t>PG-MD 382</t>
  </si>
  <si>
    <t>PG-MD 3F</t>
  </si>
  <si>
    <t>PG-MD 3G</t>
  </si>
  <si>
    <t>PG-MD 4 RP1-2</t>
  </si>
  <si>
    <t>PG-MD 4 RP1-3</t>
  </si>
  <si>
    <t>PG-MD 4 RP1-6</t>
  </si>
  <si>
    <t>PG-MD 4 RP2-2</t>
  </si>
  <si>
    <t>PG-MD 4 RP2-4</t>
  </si>
  <si>
    <t>PG-MD 4 RP2-6</t>
  </si>
  <si>
    <t>PG-MD 4 RP3-3</t>
  </si>
  <si>
    <t>PG-MD 4 RP3-4</t>
  </si>
  <si>
    <t>PG-MD 4 RP3-6</t>
  </si>
  <si>
    <t>PG-MD 4 RP4-1</t>
  </si>
  <si>
    <t>PG-MD 4 RP4-2</t>
  </si>
  <si>
    <t>PG-MD 4 RP4-6</t>
  </si>
  <si>
    <t>PG-MD 4 RP5-2</t>
  </si>
  <si>
    <t>PG-MD 4 RP5-4</t>
  </si>
  <si>
    <t>PG-MD 4 RP5-6</t>
  </si>
  <si>
    <t>PG-MD 4 RP6-2</t>
  </si>
  <si>
    <t>PG-MD 4 RP6-3</t>
  </si>
  <si>
    <t>PG-MD 4 RP6-6</t>
  </si>
  <si>
    <t>PG-MD 4 RP7-2</t>
  </si>
  <si>
    <t>PG-MD 4 RP8-2</t>
  </si>
  <si>
    <t>PG-MD 4 RP8-3</t>
  </si>
  <si>
    <t>PG-MD 4 RP8-4</t>
  </si>
  <si>
    <t>PG-MD 4 RP8-6</t>
  </si>
  <si>
    <t>PG-MD 4 RP9-6</t>
  </si>
  <si>
    <t>PG-MD 414</t>
  </si>
  <si>
    <t>PG-MD 414A</t>
  </si>
  <si>
    <t>PG-MD 430</t>
  </si>
  <si>
    <t>PG-MD 450</t>
  </si>
  <si>
    <t>PG-MD 450A</t>
  </si>
  <si>
    <t>PG-MD 450B</t>
  </si>
  <si>
    <t>PG-MD 450C</t>
  </si>
  <si>
    <t>PG-MD 450E</t>
  </si>
  <si>
    <t>PG-MD 450F</t>
  </si>
  <si>
    <t>PG-MD 458B</t>
  </si>
  <si>
    <t>PG-MD 459</t>
  </si>
  <si>
    <t>PG-MD 4PA</t>
  </si>
  <si>
    <t>PG-MD 4PB</t>
  </si>
  <si>
    <t>PG-MD 5 RP1-10</t>
  </si>
  <si>
    <t>PG-MD 5 RP1-13</t>
  </si>
  <si>
    <t>PG-MD 5 RP1-7</t>
  </si>
  <si>
    <t>PG-MD 5 RP1-9</t>
  </si>
  <si>
    <t>PG-MD 5 RP2-10</t>
  </si>
  <si>
    <t>PG-MD 5 RP2-13</t>
  </si>
  <si>
    <t>PG-MD 5 RP2-7</t>
  </si>
  <si>
    <t>PG-MD 5 RP3-10</t>
  </si>
  <si>
    <t>PG-MD 5 RP3-11</t>
  </si>
  <si>
    <t>PG-MD 5 RP3-13</t>
  </si>
  <si>
    <t>PG-MD 5 RP3-7</t>
  </si>
  <si>
    <t>PG-MD 5 RP3-9</t>
  </si>
  <si>
    <t>PG-MD 5 RP4-10</t>
  </si>
  <si>
    <t>PG-MD 5 RP4-11</t>
  </si>
  <si>
    <t>PG-MD 5 RP4-13</t>
  </si>
  <si>
    <t>PG-MD 5 RP4-7</t>
  </si>
  <si>
    <t>PG-MD 5 RP4-9</t>
  </si>
  <si>
    <t>PG-MD 5 RP5-10</t>
  </si>
  <si>
    <t>PG-MD 5 RP5-13</t>
  </si>
  <si>
    <t>PG-MD 5 RP5-7</t>
  </si>
  <si>
    <t>PG-MD 5 RP5-9</t>
  </si>
  <si>
    <t>PG-MD 5 RP6-10</t>
  </si>
  <si>
    <t>PG-MD 5 RP6-13</t>
  </si>
  <si>
    <t>PG-MD 5 RP6-7</t>
  </si>
  <si>
    <t>PG-MD 5 RP6-8</t>
  </si>
  <si>
    <t>PG-MD 5 RP6-9</t>
  </si>
  <si>
    <t>PG-MD 5 RP7-10</t>
  </si>
  <si>
    <t>PG-MD 5 RP7-13</t>
  </si>
  <si>
    <t>PG-MD 5 RP7-7</t>
  </si>
  <si>
    <t>PG-MD 5 RP7-9</t>
  </si>
  <si>
    <t>PG-MD 5 RP8-10</t>
  </si>
  <si>
    <t>PG-MD 5 RP8-13</t>
  </si>
  <si>
    <t>PG-MD 5 RP8-7</t>
  </si>
  <si>
    <t>PG-MD 5 RP8-8</t>
  </si>
  <si>
    <t>PG-MD 5 RP8-9</t>
  </si>
  <si>
    <t>PG-MD 5 RP9-10</t>
  </si>
  <si>
    <t>PG-MD 5 RP9-9</t>
  </si>
  <si>
    <t>PG-MD 501</t>
  </si>
  <si>
    <t>PG-MD 564A</t>
  </si>
  <si>
    <t>PG-MD 564B</t>
  </si>
  <si>
    <t>PG-MD 564C</t>
  </si>
  <si>
    <t>PG-MD 5L</t>
  </si>
  <si>
    <t>PG-MD 5N</t>
  </si>
  <si>
    <t>PG-MD 5P</t>
  </si>
  <si>
    <t>PG-MD 5Q</t>
  </si>
  <si>
    <t>PG-MD 5R</t>
  </si>
  <si>
    <t>PG-MD 631</t>
  </si>
  <si>
    <t>PG-MD 637A</t>
  </si>
  <si>
    <t>PG-MD 694</t>
  </si>
  <si>
    <t>PG-MD 717</t>
  </si>
  <si>
    <t>PG-MD 725</t>
  </si>
  <si>
    <t>PG-MD 726</t>
  </si>
  <si>
    <t>PG-MD 769B</t>
  </si>
  <si>
    <t>PG-MD 769C</t>
  </si>
  <si>
    <t>PG-MD 769D</t>
  </si>
  <si>
    <t>PG-MD 810A</t>
  </si>
  <si>
    <t>PG-MD 810B</t>
  </si>
  <si>
    <t>PG-MD 810C</t>
  </si>
  <si>
    <t>PG-MD 810D</t>
  </si>
  <si>
    <t>PG-MD 810E</t>
  </si>
  <si>
    <t>PG-MD 810F</t>
  </si>
  <si>
    <t>PG-MD 810G</t>
  </si>
  <si>
    <t>PG-MD 810H</t>
  </si>
  <si>
    <t>PG-MD 810I</t>
  </si>
  <si>
    <t>PG-MD 810J</t>
  </si>
  <si>
    <t>PG-MD 810K</t>
  </si>
  <si>
    <t>PG-MD 950</t>
  </si>
  <si>
    <t>PG-MD 950A</t>
  </si>
  <si>
    <t>PG-MD 950C</t>
  </si>
  <si>
    <t>PG-MD 950D</t>
  </si>
  <si>
    <t>PG-MD 953</t>
  </si>
  <si>
    <t>PG-MD 953A</t>
  </si>
  <si>
    <t>PG-MD 963</t>
  </si>
  <si>
    <t>PG-MD 964</t>
  </si>
  <si>
    <t>PG-MD 965</t>
  </si>
  <si>
    <t>PG-MD 965A</t>
  </si>
  <si>
    <t>PG-MD 967</t>
  </si>
  <si>
    <t>PG-MD 967B</t>
  </si>
  <si>
    <t>PG-MD 967C</t>
  </si>
  <si>
    <t>PG-MD 968</t>
  </si>
  <si>
    <t>PG-MD 972A</t>
  </si>
  <si>
    <t>PG-MD 973B</t>
  </si>
  <si>
    <t>PG-MD 974</t>
  </si>
  <si>
    <t>PG-MD 976</t>
  </si>
  <si>
    <t>PG-MD 976A</t>
  </si>
  <si>
    <t>PG-MD 976B</t>
  </si>
  <si>
    <t>PG-MD 976C</t>
  </si>
  <si>
    <t>PG-MD 977F</t>
  </si>
  <si>
    <t>PG-MD 977H</t>
  </si>
  <si>
    <t>PG-MD 978A</t>
  </si>
  <si>
    <t>PG-MD 978B</t>
  </si>
  <si>
    <t>PG-MD 979</t>
  </si>
  <si>
    <t>PG-MD 980D</t>
  </si>
  <si>
    <t>PG-US 1 RP1-5</t>
  </si>
  <si>
    <t>PG-US 1 RP2-5</t>
  </si>
  <si>
    <t>PG-US 1 RP6-5</t>
  </si>
  <si>
    <t>PG-US 1 RP8-5</t>
  </si>
  <si>
    <t>PG-US 1AL</t>
  </si>
  <si>
    <t>PG-US 301 RP1-14</t>
  </si>
  <si>
    <t>PG-US 301 RP1-20</t>
  </si>
  <si>
    <t>PG-US 301 RP2-14</t>
  </si>
  <si>
    <t>PG-US 301 RP2-20</t>
  </si>
  <si>
    <t>PG-US 301 RP3-14</t>
  </si>
  <si>
    <t>PG-US 301 RP3-20</t>
  </si>
  <si>
    <t>PG-US 301 RP4-14</t>
  </si>
  <si>
    <t>PG-US 301 RP5-14</t>
  </si>
  <si>
    <t>PG-US 301 RP5-20</t>
  </si>
  <si>
    <t>PG-US 301 RP6-14</t>
  </si>
  <si>
    <t>PG-US 301 RP7-14</t>
  </si>
  <si>
    <t>PG-US 301 RP7-20</t>
  </si>
  <si>
    <t>PG-US 301 RP8-14</t>
  </si>
  <si>
    <t>PG-US 301 RP8-20</t>
  </si>
  <si>
    <t>PG-US 50 RP10-1</t>
  </si>
  <si>
    <t>PG-US 50 RP1-1</t>
  </si>
  <si>
    <t>PG-US 50 RP1-3</t>
  </si>
  <si>
    <t>PG-US 50 RP1-5</t>
  </si>
  <si>
    <t>PG-US 50 RP2-2</t>
  </si>
  <si>
    <t>PG-US 50 RP2-3</t>
  </si>
  <si>
    <t>PG-US 50 RP2-5</t>
  </si>
  <si>
    <t>PG-US 50 RP2-6</t>
  </si>
  <si>
    <t>PG-US 50 RP3-1</t>
  </si>
  <si>
    <t>PG-US 50 RP3-2</t>
  </si>
  <si>
    <t>PG-US 50 RP3-3</t>
  </si>
  <si>
    <t>PG-US 50 RP3-5</t>
  </si>
  <si>
    <t>PG-US 50 RP4-1</t>
  </si>
  <si>
    <t>PG-US 50 RP4-3</t>
  </si>
  <si>
    <t>PG-US 50 RP4-5</t>
  </si>
  <si>
    <t>PG-US 50 RP4-6</t>
  </si>
  <si>
    <t>PG-US 50 RP5-1</t>
  </si>
  <si>
    <t>PG-US 50 RP5-3</t>
  </si>
  <si>
    <t>PG-US 50 RP5-5</t>
  </si>
  <si>
    <t>PG-US 50 RP5-6</t>
  </si>
  <si>
    <t>PG-US 50 RP6-1</t>
  </si>
  <si>
    <t>PG-US 50 RP6-3</t>
  </si>
  <si>
    <t>PG-US 50 RP6-5</t>
  </si>
  <si>
    <t>PG-US 50 RP7-1</t>
  </si>
  <si>
    <t>PG-US 50 RP7-3</t>
  </si>
  <si>
    <t>PG-US 50 RP7-5</t>
  </si>
  <si>
    <t>PG-US 50 RP8-1</t>
  </si>
  <si>
    <t>PG-US 50 RP8-2</t>
  </si>
  <si>
    <t>PG-US 50 RP8-3</t>
  </si>
  <si>
    <t>PG-US 50 RP8-5</t>
  </si>
  <si>
    <t>PG-US 50 RP8-6</t>
  </si>
  <si>
    <t>PG-US 50 RP9-1</t>
  </si>
  <si>
    <t>PG-US 50PA</t>
  </si>
  <si>
    <t>QA-MD 18A</t>
  </si>
  <si>
    <t>QA-MD 18B</t>
  </si>
  <si>
    <t>QA-MD 18C</t>
  </si>
  <si>
    <t>QA-MD 18G</t>
  </si>
  <si>
    <t>QA-MD 18H</t>
  </si>
  <si>
    <t>QA-MD 18R</t>
  </si>
  <si>
    <t>QA-MD 18S</t>
  </si>
  <si>
    <t>QA-MD 18T</t>
  </si>
  <si>
    <t>QA-MD 18V</t>
  </si>
  <si>
    <t>QA-MD 18W</t>
  </si>
  <si>
    <t>QA-MD 18Y</t>
  </si>
  <si>
    <t>QA-MD 19</t>
  </si>
  <si>
    <t>QA-MD 19A</t>
  </si>
  <si>
    <t>QA-MD 290</t>
  </si>
  <si>
    <t>QA-MD 300</t>
  </si>
  <si>
    <t>QA-MD 300A</t>
  </si>
  <si>
    <t>QA-MD 302</t>
  </si>
  <si>
    <t>QA-MD 303</t>
  </si>
  <si>
    <t>QA-MD 304</t>
  </si>
  <si>
    <t>QA-MD 304A</t>
  </si>
  <si>
    <t>QA-MD 305</t>
  </si>
  <si>
    <t>QA-MD 309</t>
  </si>
  <si>
    <t>QA-MD 313</t>
  </si>
  <si>
    <t>QA-MD 404</t>
  </si>
  <si>
    <t>QA-MD 405</t>
  </si>
  <si>
    <t>QA-MD 456</t>
  </si>
  <si>
    <t>QA-MD 456A</t>
  </si>
  <si>
    <t>QA-MD 481</t>
  </si>
  <si>
    <t>QA-MD 544</t>
  </si>
  <si>
    <t>QA-MD 544A</t>
  </si>
  <si>
    <t>QA-MD 552A</t>
  </si>
  <si>
    <t>QA-MD 656</t>
  </si>
  <si>
    <t>QA-MD 662</t>
  </si>
  <si>
    <t>QA-MD 662A</t>
  </si>
  <si>
    <t>QA-MD 759B</t>
  </si>
  <si>
    <t>QA-MD 802</t>
  </si>
  <si>
    <t>QA-MD 834</t>
  </si>
  <si>
    <t>QA-MD 835</t>
  </si>
  <si>
    <t>QA-MD 835A</t>
  </si>
  <si>
    <t>QA-MD 835B</t>
  </si>
  <si>
    <t>QA-MD 835C</t>
  </si>
  <si>
    <t>QA-MD 835G</t>
  </si>
  <si>
    <t>QA-MD 835H</t>
  </si>
  <si>
    <t>QA-MD 835I</t>
  </si>
  <si>
    <t>QA-MD 835J</t>
  </si>
  <si>
    <t>QA-MD 835K</t>
  </si>
  <si>
    <t>QA-MD 837</t>
  </si>
  <si>
    <t>QA-MD 8A</t>
  </si>
  <si>
    <t>QA-US 301 RP1-89</t>
  </si>
  <si>
    <t>QA-US 301 RP2-89</t>
  </si>
  <si>
    <t>QA-US 301 RP3-106</t>
  </si>
  <si>
    <t>QA-US 301 RP3-89</t>
  </si>
  <si>
    <t>QA-US 301 RP4-106</t>
  </si>
  <si>
    <t>QA-US 301 RP4-89</t>
  </si>
  <si>
    <t>QA-US 301 RP5-89</t>
  </si>
  <si>
    <t>QA-US 301 RP6-89</t>
  </si>
  <si>
    <t>QA-US 301 RP7-106</t>
  </si>
  <si>
    <t>QA-US 301 RP7-89</t>
  </si>
  <si>
    <t>QA-US 301 RP8-106</t>
  </si>
  <si>
    <t>QA-US 301 RP8-89</t>
  </si>
  <si>
    <t>QA-US 50 RP1-37</t>
  </si>
  <si>
    <t>QA-US 50 RP2-37</t>
  </si>
  <si>
    <t>QA-US 50 RP2-43</t>
  </si>
  <si>
    <t>QA-US 50 RP3-37</t>
  </si>
  <si>
    <t>QA-US 50 RP4-37</t>
  </si>
  <si>
    <t>QA-US 50 RP4-45</t>
  </si>
  <si>
    <t>QA-US 50 RP5-37</t>
  </si>
  <si>
    <t>QA-US 50 RP5-41</t>
  </si>
  <si>
    <t>QA-US 50 RP5-45</t>
  </si>
  <si>
    <t>QA-US 50 RP6-37</t>
  </si>
  <si>
    <t>QA-US 50 RP6-41</t>
  </si>
  <si>
    <t>QA-US 50 RP6-43</t>
  </si>
  <si>
    <t>QA-US 50 RP6-45</t>
  </si>
  <si>
    <t>QA-US 50 RP7-37</t>
  </si>
  <si>
    <t>QA-US 50 RP7-41</t>
  </si>
  <si>
    <t>QA-US 50 RP7-43</t>
  </si>
  <si>
    <t>QA-US 50 RP8-37</t>
  </si>
  <si>
    <t>QA-US 50 RP8-41</t>
  </si>
  <si>
    <t>QA-US 50 RP8-43</t>
  </si>
  <si>
    <t>QA-US 50 RP8-45</t>
  </si>
  <si>
    <t>QA-US 50QB</t>
  </si>
  <si>
    <t>QA-US 50QC</t>
  </si>
  <si>
    <t>SM-MD 234</t>
  </si>
  <si>
    <t>SM-MD 236</t>
  </si>
  <si>
    <t>SM-MD 236A</t>
  </si>
  <si>
    <t>SM-MD 238</t>
  </si>
  <si>
    <t>SM-MD 239</t>
  </si>
  <si>
    <t>SM-MD 243</t>
  </si>
  <si>
    <t>SM-MD 244</t>
  </si>
  <si>
    <t>SM-MD 246</t>
  </si>
  <si>
    <t>SM-MD 247</t>
  </si>
  <si>
    <t>SM-MD 249</t>
  </si>
  <si>
    <t>SM-MD 470</t>
  </si>
  <si>
    <t>SM-MD 471</t>
  </si>
  <si>
    <t>SM-MD 472</t>
  </si>
  <si>
    <t>SM-MD 489</t>
  </si>
  <si>
    <t>SM-MD 4A</t>
  </si>
  <si>
    <t>SM-MD 4B</t>
  </si>
  <si>
    <t>SM-MD 520</t>
  </si>
  <si>
    <t>SM-MD 584</t>
  </si>
  <si>
    <t>SM-MD 5A</t>
  </si>
  <si>
    <t>SM-MD 5B</t>
  </si>
  <si>
    <t>SM-MD 5C</t>
  </si>
  <si>
    <t>SM-MD 5F</t>
  </si>
  <si>
    <t>SM-MD 5G</t>
  </si>
  <si>
    <t>SM-MD 5H</t>
  </si>
  <si>
    <t>SM-MD 5J</t>
  </si>
  <si>
    <t>SM-MD 6</t>
  </si>
  <si>
    <t>SM-MD 712</t>
  </si>
  <si>
    <t>SM-MD 863A</t>
  </si>
  <si>
    <t>SM-MD 868G</t>
  </si>
  <si>
    <t>SM-MD 944</t>
  </si>
  <si>
    <t>SM-MD 944A</t>
  </si>
  <si>
    <t>SM-MD 944B</t>
  </si>
  <si>
    <t>SM-MD 944C</t>
  </si>
  <si>
    <t>SM-MD 944D</t>
  </si>
  <si>
    <t>SM-MD 944E</t>
  </si>
  <si>
    <t>SM-MD 945</t>
  </si>
  <si>
    <t>SO-MD 358</t>
  </si>
  <si>
    <t>SO-MD 358A</t>
  </si>
  <si>
    <t>SO-MD 361</t>
  </si>
  <si>
    <t>SO-MD 362</t>
  </si>
  <si>
    <t>SO-MD 363</t>
  </si>
  <si>
    <t>SO-MD 363A</t>
  </si>
  <si>
    <t>SO-MD 364</t>
  </si>
  <si>
    <t>SO-MD 380</t>
  </si>
  <si>
    <t>SO-MD 388</t>
  </si>
  <si>
    <t>SO-MD 460</t>
  </si>
  <si>
    <t>SO-MD 529</t>
  </si>
  <si>
    <t>SO-MD 627</t>
  </si>
  <si>
    <t>SO-MD 640</t>
  </si>
  <si>
    <t>SO-MD 667</t>
  </si>
  <si>
    <t>SO-MD 673A</t>
  </si>
  <si>
    <t>SO-MD 675D</t>
  </si>
  <si>
    <t>SO-MD 918</t>
  </si>
  <si>
    <t>SO-MD 920</t>
  </si>
  <si>
    <t>SO-MD 920A</t>
  </si>
  <si>
    <t>SO-MD 920B</t>
  </si>
  <si>
    <t>SO-MD 920C</t>
  </si>
  <si>
    <t>SO-MD 920D</t>
  </si>
  <si>
    <t>SO-MD 920F</t>
  </si>
  <si>
    <t>SO-MD 920G</t>
  </si>
  <si>
    <t>SO-MD 920H</t>
  </si>
  <si>
    <t>SO-MD 920J</t>
  </si>
  <si>
    <t>SO-MD 920K</t>
  </si>
  <si>
    <t>SO-MD 920L</t>
  </si>
  <si>
    <t>SO-MD 920M</t>
  </si>
  <si>
    <t>SO-MD 920N</t>
  </si>
  <si>
    <t>SO-MD 920O</t>
  </si>
  <si>
    <t>SO-MD 920P</t>
  </si>
  <si>
    <t>SO-MD 920Q</t>
  </si>
  <si>
    <t>SO-MD 920R</t>
  </si>
  <si>
    <t>SO-MD 920S</t>
  </si>
  <si>
    <t>SO-MD 920T</t>
  </si>
  <si>
    <t>SO-US 13BU</t>
  </si>
  <si>
    <t>TA-MD 303</t>
  </si>
  <si>
    <t>TA-MD 309</t>
  </si>
  <si>
    <t>TA-MD 322</t>
  </si>
  <si>
    <t>TA-MD 322A</t>
  </si>
  <si>
    <t>TA-MD 322B</t>
  </si>
  <si>
    <t>TA-MD 329</t>
  </si>
  <si>
    <t>TA-MD 333</t>
  </si>
  <si>
    <t>TA-MD 334</t>
  </si>
  <si>
    <t>TA-MD 370</t>
  </si>
  <si>
    <t>TA-MD 404</t>
  </si>
  <si>
    <t>TA-MD 404AL</t>
  </si>
  <si>
    <t>TA-MD 518</t>
  </si>
  <si>
    <t>TA-MD 565</t>
  </si>
  <si>
    <t>TA-MD 565A</t>
  </si>
  <si>
    <t>TA-MD 565B</t>
  </si>
  <si>
    <t>TA-MD 579</t>
  </si>
  <si>
    <t>TA-MD 662</t>
  </si>
  <si>
    <t>TA-MD 662B</t>
  </si>
  <si>
    <t>TA-MD 662C</t>
  </si>
  <si>
    <t>TA-MD 662D</t>
  </si>
  <si>
    <t>TA-MD 954A</t>
  </si>
  <si>
    <t>TA-MD 954B</t>
  </si>
  <si>
    <t>TA-MD 954C</t>
  </si>
  <si>
    <t>TA-MU 1090</t>
  </si>
  <si>
    <t>TA-MU 1091</t>
  </si>
  <si>
    <t>TA-MU 277</t>
  </si>
  <si>
    <t>TA-MU 280</t>
  </si>
  <si>
    <t>TA-MU 430</t>
  </si>
  <si>
    <t>TA-MU 470</t>
  </si>
  <si>
    <t>WA-CO 316</t>
  </si>
  <si>
    <t>WA-CO 869</t>
  </si>
  <si>
    <t>WA-IS 68 RP1-77</t>
  </si>
  <si>
    <t>WA-IS 68 RP2-75</t>
  </si>
  <si>
    <t>WA-IS 68 RP3-74</t>
  </si>
  <si>
    <t>WA-IS 68 RP4-75</t>
  </si>
  <si>
    <t>WA-IS 68 RP4-77</t>
  </si>
  <si>
    <t>WA-IS 68 RP6-74</t>
  </si>
  <si>
    <t>WA-IS 68 RP6-75</t>
  </si>
  <si>
    <t>WA-IS 68 RP6-77</t>
  </si>
  <si>
    <t>WA-IS 68 RP7-77</t>
  </si>
  <si>
    <t>WA-IS 68 RP8-74</t>
  </si>
  <si>
    <t>WA-IS 68 RP8-75</t>
  </si>
  <si>
    <t>WA-IS 70 RP10-26</t>
  </si>
  <si>
    <t>WA-IS 70 RP1-12</t>
  </si>
  <si>
    <t>WA-IS 70 RP11-26</t>
  </si>
  <si>
    <t>WA-IS 70 RP1-18</t>
  </si>
  <si>
    <t>WA-IS 70 RP12-26</t>
  </si>
  <si>
    <t>WA-IS 70 RP1-24</t>
  </si>
  <si>
    <t>WA-IS 70 RP1-26</t>
  </si>
  <si>
    <t>WA-IS 70 RP1-28</t>
  </si>
  <si>
    <t>WA-IS 70 RP1-29</t>
  </si>
  <si>
    <t>WA-IS 70 RP1-32</t>
  </si>
  <si>
    <t>WA-IS 70 RP1-35</t>
  </si>
  <si>
    <t>WA-IS 70 RP1-5</t>
  </si>
  <si>
    <t>WA-IS 70 RP2-1</t>
  </si>
  <si>
    <t>WA-IS 70 RP2-12</t>
  </si>
  <si>
    <t>WA-IS 70 RP2-18</t>
  </si>
  <si>
    <t>WA-IS 70 RP2-24</t>
  </si>
  <si>
    <t>WA-IS 70 RP2-26</t>
  </si>
  <si>
    <t>WA-IS 70 RP2-28</t>
  </si>
  <si>
    <t>WA-IS 70 RP2-29</t>
  </si>
  <si>
    <t>WA-IS 70 RP2-32</t>
  </si>
  <si>
    <t>WA-IS 70 RP2-35</t>
  </si>
  <si>
    <t>WA-IS 70 RP2-5</t>
  </si>
  <si>
    <t>WA-IS 70 RP3-1</t>
  </si>
  <si>
    <t>WA-IS 70 RP3-12</t>
  </si>
  <si>
    <t>WA-IS 70 RP3-18</t>
  </si>
  <si>
    <t>WA-IS 70 RP3-24</t>
  </si>
  <si>
    <t>WA-IS 70 RP3-26</t>
  </si>
  <si>
    <t>WA-IS 70 RP3-29</t>
  </si>
  <si>
    <t>WA-IS 70 RP3-32</t>
  </si>
  <si>
    <t>WA-IS 70 RP3-35</t>
  </si>
  <si>
    <t>WA-IS 70 RP3-5</t>
  </si>
  <si>
    <t>WA-IS 70 RP4-1</t>
  </si>
  <si>
    <t>WA-IS 70 RP4-12</t>
  </si>
  <si>
    <t>WA-IS 70 RP4-18</t>
  </si>
  <si>
    <t>WA-IS 70 RP4-24</t>
  </si>
  <si>
    <t>WA-IS 70 RP4-26</t>
  </si>
  <si>
    <t>WA-IS 70 RP4-28</t>
  </si>
  <si>
    <t>WA-IS 70 RP4-29</t>
  </si>
  <si>
    <t>WA-IS 70 RP4-3</t>
  </si>
  <si>
    <t>WA-IS 70 RP4-32</t>
  </si>
  <si>
    <t>WA-IS 70 RP4-35</t>
  </si>
  <si>
    <t>WA-IS 70 RP5-12</t>
  </si>
  <si>
    <t>WA-IS 70 RP5-18</t>
  </si>
  <si>
    <t>WA-IS 70 RP5-24</t>
  </si>
  <si>
    <t>WA-IS 70 RP5-26</t>
  </si>
  <si>
    <t>WA-IS 70 RP5-28</t>
  </si>
  <si>
    <t>WA-IS 70 RP5-29</t>
  </si>
  <si>
    <t>WA-IS 70 RP5-32</t>
  </si>
  <si>
    <t>WA-IS 70 RP5-35</t>
  </si>
  <si>
    <t>WA-IS 70 RP5-5</t>
  </si>
  <si>
    <t>WA-IS 70 RP6-1</t>
  </si>
  <si>
    <t>WA-IS 70 RP6-12</t>
  </si>
  <si>
    <t>WA-IS 70 RP6-18</t>
  </si>
  <si>
    <t>WA-IS 70 RP6-24</t>
  </si>
  <si>
    <t>WA-IS 70 RP6-26</t>
  </si>
  <si>
    <t>WA-IS 70 RP6-28</t>
  </si>
  <si>
    <t>WA-IS 70 RP6-29</t>
  </si>
  <si>
    <t>WA-IS 70 RP6-3</t>
  </si>
  <si>
    <t>WA-IS 70 RP6-32</t>
  </si>
  <si>
    <t>WA-IS 70 RP6-35</t>
  </si>
  <si>
    <t>WA-IS 70 RP7-12</t>
  </si>
  <si>
    <t>WA-IS 70 RP7-18</t>
  </si>
  <si>
    <t>WA-IS 70 RP7-24</t>
  </si>
  <si>
    <t>WA-IS 70 RP7-26</t>
  </si>
  <si>
    <t>WA-IS 70 RP7-28</t>
  </si>
  <si>
    <t>WA-IS 70 RP7-29</t>
  </si>
  <si>
    <t>WA-IS 70 RP7-3</t>
  </si>
  <si>
    <t>WA-IS 70 RP7-32</t>
  </si>
  <si>
    <t>WA-IS 70 RP7-35</t>
  </si>
  <si>
    <t>WA-IS 70 RP7-5</t>
  </si>
  <si>
    <t>WA-IS 70 RP8-1</t>
  </si>
  <si>
    <t>WA-IS 70 RP8-12</t>
  </si>
  <si>
    <t>WA-IS 70 RP8-18</t>
  </si>
  <si>
    <t>WA-IS 70 RP8-24</t>
  </si>
  <si>
    <t>WA-IS 70 RP8-26</t>
  </si>
  <si>
    <t>WA-IS 70 RP8-28</t>
  </si>
  <si>
    <t>WA-IS 70 RP8-29</t>
  </si>
  <si>
    <t>WA-IS 70 RP8-3</t>
  </si>
  <si>
    <t>WA-IS 70 RP8-32</t>
  </si>
  <si>
    <t>WA-IS 70 RP8-35</t>
  </si>
  <si>
    <t>WA-IS 70 RP8-5</t>
  </si>
  <si>
    <t>WA-IS 70 RP9-1</t>
  </si>
  <si>
    <t>WA-IS 70 RP9-26</t>
  </si>
  <si>
    <t>WA-IS 81 RP1-1</t>
  </si>
  <si>
    <t>WA-IS 81 RP1-10</t>
  </si>
  <si>
    <t>WA-IS 81 RP1-2</t>
  </si>
  <si>
    <t>WA-IS 81 RP1-5</t>
  </si>
  <si>
    <t>WA-IS 81 RP1-6</t>
  </si>
  <si>
    <t>WA-IS 81 RP1-7</t>
  </si>
  <si>
    <t>WA-IS 81 RP1-9</t>
  </si>
  <si>
    <t>WA-IS 81 RP2-1</t>
  </si>
  <si>
    <t>WA-IS 81 RP2-10</t>
  </si>
  <si>
    <t>WA-IS 81 RP2-2</t>
  </si>
  <si>
    <t>WA-IS 81 RP2-5</t>
  </si>
  <si>
    <t>WA-IS 81 RP2-6</t>
  </si>
  <si>
    <t>WA-IS 81 RP2-7</t>
  </si>
  <si>
    <t>WA-IS 81 RP2-8</t>
  </si>
  <si>
    <t>WA-IS 81 RP2-9</t>
  </si>
  <si>
    <t>WA-IS 81 RP3-1</t>
  </si>
  <si>
    <t>WA-IS 81 RP3-10</t>
  </si>
  <si>
    <t>WA-IS 81 RP3-2</t>
  </si>
  <si>
    <t>WA-IS 81 RP3-5</t>
  </si>
  <si>
    <t>WA-IS 81 RP3-6</t>
  </si>
  <si>
    <t>WA-IS 81 RP3-7</t>
  </si>
  <si>
    <t>WA-IS 81 RP3-8</t>
  </si>
  <si>
    <t>WA-IS 81 RP4-1</t>
  </si>
  <si>
    <t>WA-IS 81 RP4-10</t>
  </si>
  <si>
    <t>WA-IS 81 RP4-2</t>
  </si>
  <si>
    <t>WA-IS 81 RP4-5</t>
  </si>
  <si>
    <t>WA-IS 81 RP4-6</t>
  </si>
  <si>
    <t>WA-IS 81 RP4-7</t>
  </si>
  <si>
    <t>WA-IS 81 RP4-9</t>
  </si>
  <si>
    <t>WA-IS 81 RP5-1</t>
  </si>
  <si>
    <t>WA-IS 81 RP5-10</t>
  </si>
  <si>
    <t>WA-IS 81 RP5-12</t>
  </si>
  <si>
    <t>WA-IS 81 RP5-2</t>
  </si>
  <si>
    <t>WA-IS 81 RP5-5</t>
  </si>
  <si>
    <t>WA-IS 81 RP5-6</t>
  </si>
  <si>
    <t>WA-IS 81 RP5-7</t>
  </si>
  <si>
    <t>WA-IS 81 RP5-8</t>
  </si>
  <si>
    <t>WA-IS 81 RP5-9</t>
  </si>
  <si>
    <t>WA-IS 81 RP6-1</t>
  </si>
  <si>
    <t>WA-IS 81 RP6-10</t>
  </si>
  <si>
    <t>WA-IS 81 RP6-12</t>
  </si>
  <si>
    <t>WA-IS 81 RP6-2</t>
  </si>
  <si>
    <t>WA-IS 81 RP6-5</t>
  </si>
  <si>
    <t>WA-IS 81 RP6-6</t>
  </si>
  <si>
    <t>WA-IS 81 RP6-7</t>
  </si>
  <si>
    <t>WA-IS 81 RP6-9</t>
  </si>
  <si>
    <t>WA-IS 81 RP7-1</t>
  </si>
  <si>
    <t>WA-IS 81 RP7-10</t>
  </si>
  <si>
    <t>WA-IS 81 RP7-12</t>
  </si>
  <si>
    <t>WA-IS 81 RP7-2</t>
  </si>
  <si>
    <t>WA-IS 81 RP7-5</t>
  </si>
  <si>
    <t>WA-IS 81 RP7-6</t>
  </si>
  <si>
    <t>WA-IS 81 RP7-7</t>
  </si>
  <si>
    <t>WA-IS 81 RP7-9</t>
  </si>
  <si>
    <t>WA-IS 81 RP8-1</t>
  </si>
  <si>
    <t>WA-IS 81 RP8-10</t>
  </si>
  <si>
    <t>WA-IS 81 RP8-12</t>
  </si>
  <si>
    <t>WA-IS 81 RP8-2</t>
  </si>
  <si>
    <t>WA-IS 81 RP8-5</t>
  </si>
  <si>
    <t>WA-IS 81 RP8-6</t>
  </si>
  <si>
    <t>WA-IS 81 RP8-7</t>
  </si>
  <si>
    <t>WA-IS 81 RP8-8</t>
  </si>
  <si>
    <t>WA-IS 81 RP8-9</t>
  </si>
  <si>
    <t>WA-MD 144WA</t>
  </si>
  <si>
    <t>WA-MD 144WB</t>
  </si>
  <si>
    <t>WA-MD 180A</t>
  </si>
  <si>
    <t>WA-MD 34</t>
  </si>
  <si>
    <t>WA-MD 418</t>
  </si>
  <si>
    <t>WA-MD 491</t>
  </si>
  <si>
    <t>WA-MD 494</t>
  </si>
  <si>
    <t>WA-MD 550</t>
  </si>
  <si>
    <t>WA-MD 56</t>
  </si>
  <si>
    <t>WA-MD 57</t>
  </si>
  <si>
    <t>WA-MD 60A</t>
  </si>
  <si>
    <t>WA-MD 615</t>
  </si>
  <si>
    <t>WA-MD 62</t>
  </si>
  <si>
    <t>WA-MD 632</t>
  </si>
  <si>
    <t>WA-MD 64</t>
  </si>
  <si>
    <t>WA-MD 65A</t>
  </si>
  <si>
    <t>WA-MD 67</t>
  </si>
  <si>
    <t>WA-MD 67A</t>
  </si>
  <si>
    <t>WA-MD 67B</t>
  </si>
  <si>
    <t>WA-MD 67C</t>
  </si>
  <si>
    <t>WA-MD 67D</t>
  </si>
  <si>
    <t>WA-MD 67E</t>
  </si>
  <si>
    <t>WA-MD 67F</t>
  </si>
  <si>
    <t>WA-MD 68</t>
  </si>
  <si>
    <t>WA-MD 735</t>
  </si>
  <si>
    <t>WA-MD 741</t>
  </si>
  <si>
    <t>WA-MD 77</t>
  </si>
  <si>
    <t>WA-MD 804B</t>
  </si>
  <si>
    <t>WA-MD 805B</t>
  </si>
  <si>
    <t>WA-MD 843B</t>
  </si>
  <si>
    <t>WA-MD 843D</t>
  </si>
  <si>
    <t>WA-MD 843F</t>
  </si>
  <si>
    <t>WA-MD 843I</t>
  </si>
  <si>
    <t>WA-MD 844</t>
  </si>
  <si>
    <t>WA-MD 845A</t>
  </si>
  <si>
    <t>WA-MD 846B</t>
  </si>
  <si>
    <t>WA-MD 846D</t>
  </si>
  <si>
    <t>WA-MD 847D</t>
  </si>
  <si>
    <t>WA-MD 858A</t>
  </si>
  <si>
    <t>WA-MD 858E</t>
  </si>
  <si>
    <t>WA-MD 858F</t>
  </si>
  <si>
    <t>WA-MD 858G</t>
  </si>
  <si>
    <t>WA-MD 878</t>
  </si>
  <si>
    <t>WA-MD 894</t>
  </si>
  <si>
    <t>WA-MD 903</t>
  </si>
  <si>
    <t>WA-MD 910B</t>
  </si>
  <si>
    <t>WA-MD 910C</t>
  </si>
  <si>
    <t>WA-MU 1430</t>
  </si>
  <si>
    <t>WA-MU 1431</t>
  </si>
  <si>
    <t>WA-MU 2000</t>
  </si>
  <si>
    <t>WA-MU 2005</t>
  </si>
  <si>
    <t>WA-MU 705</t>
  </si>
  <si>
    <t>WA-MU 710</t>
  </si>
  <si>
    <t>WA-MU 780</t>
  </si>
  <si>
    <t>WA-MU 90</t>
  </si>
  <si>
    <t>WA-US 340 RP2-1</t>
  </si>
  <si>
    <t>WA-US 340 RP3-1</t>
  </si>
  <si>
    <t>WA-US 340 RP5-1</t>
  </si>
  <si>
    <t>WA-US 340 RP6-1</t>
  </si>
  <si>
    <t>WA-US 340 RP8-1</t>
  </si>
  <si>
    <t>WA-US 40H</t>
  </si>
  <si>
    <t>WA-US 522</t>
  </si>
  <si>
    <t>WA-US 522A</t>
  </si>
  <si>
    <t>WA-US 522B</t>
  </si>
  <si>
    <t>WA-US 522C</t>
  </si>
  <si>
    <t>WI-MD 313</t>
  </si>
  <si>
    <t>WI-MD 347</t>
  </si>
  <si>
    <t>WI-MD 348</t>
  </si>
  <si>
    <t>WI-MD 349</t>
  </si>
  <si>
    <t>WI-MD 350</t>
  </si>
  <si>
    <t>WI-MD 352</t>
  </si>
  <si>
    <t>WI-MD 353</t>
  </si>
  <si>
    <t>WI-MD 354</t>
  </si>
  <si>
    <t>WI-MD 374</t>
  </si>
  <si>
    <t>WI-MD 670</t>
  </si>
  <si>
    <t>WI-MD 731A</t>
  </si>
  <si>
    <t>WI-MD 731C</t>
  </si>
  <si>
    <t>WI-MD 813F</t>
  </si>
  <si>
    <t>WI-MD 815</t>
  </si>
  <si>
    <t>WI-MD 991</t>
  </si>
  <si>
    <t>WI-MD 992A</t>
  </si>
  <si>
    <t>WI-MD 992B</t>
  </si>
  <si>
    <t>WI-MD 992C</t>
  </si>
  <si>
    <t>WI-MD 992D</t>
  </si>
  <si>
    <t>WI-MD 992E</t>
  </si>
  <si>
    <t>WI-MU 1632</t>
  </si>
  <si>
    <t>WI-US 13 RP1-29</t>
  </si>
  <si>
    <t>WI-US 13 RP1-32</t>
  </si>
  <si>
    <t>WI-US 13 RP1-35</t>
  </si>
  <si>
    <t>WI-US 13 RP2-29</t>
  </si>
  <si>
    <t>WI-US 13 RP2-32</t>
  </si>
  <si>
    <t>WI-US 13 RP2-35</t>
  </si>
  <si>
    <t>WI-US 13 RP2-38</t>
  </si>
  <si>
    <t>WI-US 13 RP3-29</t>
  </si>
  <si>
    <t>WI-US 13 RP3-32</t>
  </si>
  <si>
    <t>WI-US 13 RP3-35</t>
  </si>
  <si>
    <t>WI-US 13 RP3-38</t>
  </si>
  <si>
    <t>WI-US 13 RP4-29</t>
  </si>
  <si>
    <t>WI-US 13 RP4-32</t>
  </si>
  <si>
    <t>WI-US 13 RP4-35</t>
  </si>
  <si>
    <t>WI-US 13 RP4-38</t>
  </si>
  <si>
    <t>WI-US 13 RP5-29</t>
  </si>
  <si>
    <t>WI-US 13 RP5-32</t>
  </si>
  <si>
    <t>WI-US 13 RP5-35</t>
  </si>
  <si>
    <t>WI-US 13 RP5-38</t>
  </si>
  <si>
    <t>WI-US 13 RP6-29</t>
  </si>
  <si>
    <t>WI-US 13 RP6-32</t>
  </si>
  <si>
    <t>WI-US 13 RP6-35</t>
  </si>
  <si>
    <t>WI-US 13 RP6-38</t>
  </si>
  <si>
    <t>WI-US 13 RP7-29</t>
  </si>
  <si>
    <t>WI-US 13 RP7-32</t>
  </si>
  <si>
    <t>WI-US 13 RP7-35</t>
  </si>
  <si>
    <t>WI-US 13 RP7-38</t>
  </si>
  <si>
    <t>WI-US 13 RP8-29</t>
  </si>
  <si>
    <t>WI-US 13 RP8-32</t>
  </si>
  <si>
    <t>WI-US 13 RP8-35</t>
  </si>
  <si>
    <t>WI-US 13 RP8-38</t>
  </si>
  <si>
    <t>WI-US 13 RP9-35</t>
  </si>
  <si>
    <t>WI-US 50 RP2-109</t>
  </si>
  <si>
    <t>WI-US 50 RP4-109</t>
  </si>
  <si>
    <t>WI-US 50 RP6-109</t>
  </si>
  <si>
    <t>WI-US 50 RP6-111</t>
  </si>
  <si>
    <t>WI-US 50 RP8-109</t>
  </si>
  <si>
    <t>WI-US 50 RP8-111</t>
  </si>
  <si>
    <t>WI-US 50UA</t>
  </si>
  <si>
    <t>WO-MD 12A</t>
  </si>
  <si>
    <t>WO-MD 250A</t>
  </si>
  <si>
    <t>WO-MD 346</t>
  </si>
  <si>
    <t>WO-MD 354</t>
  </si>
  <si>
    <t>WO-MD 359</t>
  </si>
  <si>
    <t>WO-MD 359A</t>
  </si>
  <si>
    <t>WO-MD 359B</t>
  </si>
  <si>
    <t>WO-MD 364</t>
  </si>
  <si>
    <t>WO-MD 365</t>
  </si>
  <si>
    <t>WO-MD 366</t>
  </si>
  <si>
    <t>WO-MD 367</t>
  </si>
  <si>
    <t>WO-MD 368</t>
  </si>
  <si>
    <t>WO-MD 371</t>
  </si>
  <si>
    <t>WO-MD 374</t>
  </si>
  <si>
    <t>WO-MD 375</t>
  </si>
  <si>
    <t>WO-MD 376</t>
  </si>
  <si>
    <t>WO-MD 377</t>
  </si>
  <si>
    <t>WO-MD 378A</t>
  </si>
  <si>
    <t>WO-MD 378B</t>
  </si>
  <si>
    <t>WO-MD 452</t>
  </si>
  <si>
    <t>WO-MD 568</t>
  </si>
  <si>
    <t>WO-MD 575</t>
  </si>
  <si>
    <t>WO-MD 575A</t>
  </si>
  <si>
    <t>WO-MD 575B</t>
  </si>
  <si>
    <t>WO-MD 575C</t>
  </si>
  <si>
    <t>WO-MD 575D</t>
  </si>
  <si>
    <t>WO-MD 575E</t>
  </si>
  <si>
    <t>WO-MD 575F</t>
  </si>
  <si>
    <t>WO-MD 575G</t>
  </si>
  <si>
    <t>WO-MD 575H</t>
  </si>
  <si>
    <t>WO-MD 575I</t>
  </si>
  <si>
    <t>WO-MD 575J</t>
  </si>
  <si>
    <t>WO-MD 575K</t>
  </si>
  <si>
    <t>WO-MD 575L</t>
  </si>
  <si>
    <t>WO-MD 575M</t>
  </si>
  <si>
    <t>WO-MD 575N</t>
  </si>
  <si>
    <t>WO-MD 610</t>
  </si>
  <si>
    <t>WO-MD 703</t>
  </si>
  <si>
    <t>WO-MD 707A</t>
  </si>
  <si>
    <t>WO-MD 707B</t>
  </si>
  <si>
    <t>WO-MD 707D</t>
  </si>
  <si>
    <t>WO-MD 707E</t>
  </si>
  <si>
    <t>WO-MD 756</t>
  </si>
  <si>
    <t>WO-MD 818</t>
  </si>
  <si>
    <t>WO-MD 818A</t>
  </si>
  <si>
    <t>WO-MD 90 RP1-4</t>
  </si>
  <si>
    <t>WO-MD 90 RP1-5</t>
  </si>
  <si>
    <t>WO-MD 90 RP2-4</t>
  </si>
  <si>
    <t>WO-MD 90 RP2-5</t>
  </si>
  <si>
    <t>WO-MD 90 RP3-4</t>
  </si>
  <si>
    <t>WO-MD 90 RP3-5</t>
  </si>
  <si>
    <t>WO-MD 90 RP4-4</t>
  </si>
  <si>
    <t>WO-MD 90 RP4-5</t>
  </si>
  <si>
    <t>WO-MD 90 RP5-4</t>
  </si>
  <si>
    <t>WO-MD 90 RP5-5</t>
  </si>
  <si>
    <t>WO-MD 90 RP6-4</t>
  </si>
  <si>
    <t>WO-MD 90 RP6-5</t>
  </si>
  <si>
    <t>WO-MD 90 RP7-4</t>
  </si>
  <si>
    <t>WO-MD 90 RP7-5</t>
  </si>
  <si>
    <t>WO-MD 90 RP8-4</t>
  </si>
  <si>
    <t>WO-MD 90 RP8-5</t>
  </si>
  <si>
    <t>WO-MD 921A</t>
  </si>
  <si>
    <t>WO-MD 921B</t>
  </si>
  <si>
    <t>WO-MD 921C</t>
  </si>
  <si>
    <t>WO-MD 921D</t>
  </si>
  <si>
    <t>WO-MD 921E</t>
  </si>
  <si>
    <t>WO-MD 921F</t>
  </si>
  <si>
    <t>WO-MD 921G</t>
  </si>
  <si>
    <t>WO-MD 921H</t>
  </si>
  <si>
    <t>WO-MD 921I</t>
  </si>
  <si>
    <t>WO-MD 921J</t>
  </si>
  <si>
    <t>WO-MD 921K</t>
  </si>
  <si>
    <t>WO-MD 921L</t>
  </si>
  <si>
    <t>WO-MD 921M</t>
  </si>
  <si>
    <t>WO-MD 921N</t>
  </si>
  <si>
    <t>WO-MD 921O</t>
  </si>
  <si>
    <t>WO-MD 921P</t>
  </si>
  <si>
    <t>WO-MD 921R</t>
  </si>
  <si>
    <t>WO-MD 992F</t>
  </si>
  <si>
    <t>WO-US 113</t>
  </si>
  <si>
    <t>WO-US 113 RP2-32</t>
  </si>
  <si>
    <t>WO-US 113 RP3-32</t>
  </si>
  <si>
    <t>WO-US 113 RP4-32</t>
  </si>
  <si>
    <t>WO-US 113BU</t>
  </si>
  <si>
    <t>WO-US 13BU</t>
  </si>
  <si>
    <t>WO-US 50</t>
  </si>
  <si>
    <t>WO-US 50 RP1-134</t>
  </si>
  <si>
    <t>WO-US 50 RP2-134</t>
  </si>
  <si>
    <t>WO-US 50 RP3-134</t>
  </si>
  <si>
    <t>WO-US 50 RP4-134</t>
  </si>
  <si>
    <t>WO-US 50 RP5-134</t>
  </si>
  <si>
    <t>WO-US 50 RP6-134</t>
  </si>
  <si>
    <t>WO-US 50 RP7-134</t>
  </si>
  <si>
    <t>WO-US 50 RP8-134</t>
  </si>
  <si>
    <t>WO-US 50WB</t>
  </si>
  <si>
    <t>WO-US 50WC</t>
  </si>
  <si>
    <t>Div_Undiv Count of Rows</t>
  </si>
  <si>
    <t>Div_Undiv Range</t>
  </si>
  <si>
    <t>BA-MD 700</t>
  </si>
  <si>
    <t>BC-MD 295</t>
  </si>
  <si>
    <t>BC-US 40</t>
  </si>
  <si>
    <t>CH-MD 5</t>
  </si>
  <si>
    <t>HA-MD 715</t>
  </si>
  <si>
    <t>MO-MD 929A</t>
  </si>
  <si>
    <t>WA-US 340</t>
  </si>
  <si>
    <t>PG-MD 210V</t>
  </si>
  <si>
    <t>PG-MD 458A</t>
  </si>
  <si>
    <t>FCI_FC-1</t>
  </si>
  <si>
    <t>[FUNC_CLASS]='1'</t>
  </si>
  <si>
    <t>FCI_FC-11</t>
  </si>
  <si>
    <t>[FUNC_CLASS]='11'</t>
  </si>
  <si>
    <t>FCI_FC-12</t>
  </si>
  <si>
    <t>[FUNC_CLASS]='12'</t>
  </si>
  <si>
    <t>FCI_FC-14</t>
  </si>
  <si>
    <t>[FUNC_CLASS]='14'</t>
  </si>
  <si>
    <t>FCI_FC-16</t>
  </si>
  <si>
    <t>[FUNC_CLASS]='16'</t>
  </si>
  <si>
    <t>FCI_FC-17</t>
  </si>
  <si>
    <t>[FUNC_CLASS]='17'</t>
  </si>
  <si>
    <t>FCI_FC-19</t>
  </si>
  <si>
    <t>[FUNC_CLASS]='19'</t>
  </si>
  <si>
    <t>FCI_FC-2</t>
  </si>
  <si>
    <t>[FUNC_CLASS]='2'</t>
  </si>
  <si>
    <t>FCI_FC-6</t>
  </si>
  <si>
    <t>[FUNC_CLASS]='6'</t>
  </si>
  <si>
    <t>FCI_FC-7</t>
  </si>
  <si>
    <t>[FUNC_CLASS]='7'</t>
  </si>
  <si>
    <t>FCI_FC-8</t>
  </si>
  <si>
    <t>[FUNC_CLASS]='8'</t>
  </si>
  <si>
    <t>FCI_FC-9</t>
  </si>
  <si>
    <t>[FUNC_CLASS]='9'</t>
  </si>
  <si>
    <t>IRI_FC-1</t>
  </si>
  <si>
    <t>IRI_FC-11</t>
  </si>
  <si>
    <t>IRI_FC-12</t>
  </si>
  <si>
    <t>IRI_FC-14</t>
  </si>
  <si>
    <t>IRI_FC-16</t>
  </si>
  <si>
    <t>IRI_FC-17</t>
  </si>
  <si>
    <t>IRI_FC-19</t>
  </si>
  <si>
    <t>IRI_FC-2</t>
  </si>
  <si>
    <t>IRI_FC-6</t>
  </si>
  <si>
    <t>IRI_FC-7</t>
  </si>
  <si>
    <t>IRI_FC-8</t>
  </si>
  <si>
    <t>IRI_FC-9</t>
  </si>
  <si>
    <t>SCI_FC-1</t>
  </si>
  <si>
    <t>SCI_FC-11</t>
  </si>
  <si>
    <t>SCI_FC-12</t>
  </si>
  <si>
    <t>SCI_FC-14</t>
  </si>
  <si>
    <t>SCI_FC-16</t>
  </si>
  <si>
    <t>SCI_FC-17</t>
  </si>
  <si>
    <t>SCI_FC-19</t>
  </si>
  <si>
    <t>SCI_FC-2</t>
  </si>
  <si>
    <t>SCI_FC-6</t>
  </si>
  <si>
    <t>SCI_FC-7</t>
  </si>
  <si>
    <t>SCI_FC-8</t>
  </si>
  <si>
    <t>SCI_FC-9</t>
  </si>
  <si>
    <t>,PROJLIST.LAST_YEAR</t>
  </si>
  <si>
    <t xml:space="preserve">  SEG.SKID_RUT_FY17,</t>
  </si>
  <si>
    <t xml:space="preserve">  seg.LAST_YEAR,</t>
  </si>
  <si>
    <t xml:space="preserve">FROM SECTION_1290 SEC  </t>
  </si>
  <si>
    <t xml:space="preserve">JOIN SEGMENT_1290_NS0 SEG ON (SEC.SECTIONID = SEG.SECTIONID) </t>
  </si>
  <si>
    <t>JOIN SIMULATION_1290_1911 SIM ON (SEG.SECTIONID=SIM.SECTIONID)</t>
  </si>
  <si>
    <t>JOIN REPORT_1290_1911 REP ON (SEC.SECTIONID=REP.SECTIONID)</t>
  </si>
  <si>
    <t xml:space="preserve">SEG.ROUTE,SEG.RNUM, SEG.RSUFF,SEC.BEGIN_STATION, </t>
  </si>
  <si>
    <t>sec.END_STATION, sec.DIRECTION,seg.BEGIN_LIMIT, seg.END_LIMIT, seg.SKID_RUT_FY17, seg.LAST_YEAR,</t>
  </si>
  <si>
    <t>FROM report_1290_1911</t>
  </si>
  <si>
    <t>--include attributes LAST_YEAR, SKID_RUT_FY17, GLOBAL_ROUTE_ID</t>
  </si>
  <si>
    <t>LAST_YEAR</t>
  </si>
  <si>
    <t>ATTRIBUTE</t>
  </si>
  <si>
    <t>TARGET NAME</t>
  </si>
  <si>
    <t>TARGET</t>
  </si>
  <si>
    <t>CRITERIA</t>
  </si>
  <si>
    <t>CI_FUNCTIONAL</t>
  </si>
  <si>
    <t>AVG_IRI</t>
  </si>
  <si>
    <t>CI_STRUCTURAL</t>
  </si>
  <si>
    <t>BEGIN MP</t>
  </si>
  <si>
    <t>END MP</t>
  </si>
  <si>
    <t>BEGIN LIMIT</t>
  </si>
  <si>
    <t>END LIMIT</t>
  </si>
  <si>
    <t>FUNCTIONAL CLASS</t>
  </si>
  <si>
    <t>PAVEMENT TYPE</t>
  </si>
  <si>
    <t>VISIDATA</t>
  </si>
  <si>
    <t>COMMIT ORDER</t>
  </si>
  <si>
    <t>GLOBAL ROUTE ID</t>
  </si>
  <si>
    <t>Suggested Projects Range</t>
  </si>
  <si>
    <t>Values</t>
  </si>
  <si>
    <t xml:space="preserve">$/LMY </t>
  </si>
  <si>
    <t xml:space="preserve">$/LM </t>
  </si>
  <si>
    <t>Shop + Treatment</t>
  </si>
  <si>
    <t>ORDER BY DISTRICT, SHOP, TREATMENT</t>
  </si>
  <si>
    <t>Cambridge</t>
  </si>
  <si>
    <t/>
  </si>
  <si>
    <t>Princess Anne</t>
  </si>
  <si>
    <t>Salisbury</t>
  </si>
  <si>
    <t>Snow Hill</t>
  </si>
  <si>
    <t>Centreville</t>
  </si>
  <si>
    <t>Chestertown</t>
  </si>
  <si>
    <t>Denton</t>
  </si>
  <si>
    <t>Easton</t>
  </si>
  <si>
    <t>Elkton</t>
  </si>
  <si>
    <t>Fairland</t>
  </si>
  <si>
    <t>Gaithersburg</t>
  </si>
  <si>
    <t>Laurel</t>
  </si>
  <si>
    <t>Marlboro</t>
  </si>
  <si>
    <t>Churchville</t>
  </si>
  <si>
    <t>Golden Ring</t>
  </si>
  <si>
    <t>Hereford</t>
  </si>
  <si>
    <t>Owings Mills</t>
  </si>
  <si>
    <t>Annapolis</t>
  </si>
  <si>
    <t>Glen Burnie</t>
  </si>
  <si>
    <t>LaPlata</t>
  </si>
  <si>
    <t>Leonardtown</t>
  </si>
  <si>
    <t>Prince Frederick</t>
  </si>
  <si>
    <t>Hagerstown</t>
  </si>
  <si>
    <t>Keysers Ridge</t>
  </si>
  <si>
    <t>LaVale</t>
  </si>
  <si>
    <t>Dayton</t>
  </si>
  <si>
    <t>Frederick</t>
  </si>
  <si>
    <t>Westminster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</si>
</sst>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.00"/>
    <numFmt numFmtId="166" formatCode="_(&quot;$&quot;* #,##0_);_(&quot;$&quot;* \(#,##0\);_(&quot;$&quot;* &quot;-&quot;??_);_(@_)"/>
    <numFmt numFmtId="167" formatCode="0.0"/>
    <numFmt numFmtId="168" formatCode="_(&quot;$&quot;\ #,##0_);_(&quot;$&quot;\ \(#,##0\);_(&quot;$&quot;\ &quot;-&quot;??_);_(@_)"/>
    <numFmt numFmtId="169" formatCode="0.0%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9"/>
      <color rgb="FFFFFFFF"/>
      <name val="Calibri"/>
      <family val="2"/>
      <scheme val="minor"/>
    </font>
    <font>
      <sz val="22"/>
      <color rgb="FFFFFF00"/>
      <name val="Calibri"/>
      <family val="2"/>
      <scheme val="minor"/>
    </font>
    <font>
      <b/>
      <sz val="22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8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Symbol"/>
      <family val="1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7"/>
      <color theme="1"/>
      <name val="Times New Roman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8.8000000000000007"/>
      <color theme="10"/>
      <name val="Calibri"/>
      <family val="2"/>
    </font>
    <font>
      <b/>
      <sz val="18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4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00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43" fontId="1" fillId="0" borderId="0"/>
    <xf numFmtId="44" fontId="1" fillId="0" borderId="0"/>
    <xf numFmtId="0" fontId="11" fillId="0" borderId="0"/>
    <xf numFmtId="0" fontId="11" fillId="0" borderId="0"/>
    <xf numFmtId="0" fontId="32" fillId="0" borderId="0" applyNumberFormat="0" applyFill="0" applyBorder="0" applyAlignment="0" applyProtection="0">
      <alignment vertical="top"/>
      <protection locked="0"/>
    </xf>
    <xf numFmtId="44" fontId="1" fillId="0" borderId="0" applyFont="0" applyFill="0" applyBorder="0" applyAlignment="0" applyProtection="0"/>
    <xf numFmtId="0" fontId="1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</cellStyleXfs>
  <cellXfs count="318">
    <xf numFmtId="0" fontId="0" fillId="0" borderId="0" xfId="0"/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164" fontId="2" fillId="3" borderId="9" xfId="0" applyNumberFormat="1" applyFont="1" applyFill="1" applyBorder="1" applyAlignment="1">
      <alignment horizontal="center"/>
    </xf>
    <xf numFmtId="164" fontId="2" fillId="0" borderId="9" xfId="0" applyNumberFormat="1" applyFont="1" applyBorder="1" applyAlignment="1">
      <alignment horizontal="center"/>
    </xf>
    <xf numFmtId="0" fontId="13" fillId="0" borderId="11" xfId="0" applyFont="1" applyBorder="1" applyAlignment="1">
      <alignment horizontal="center" wrapText="1"/>
    </xf>
    <xf numFmtId="0" fontId="13" fillId="0" borderId="11" xfId="0" applyFont="1" applyBorder="1" applyAlignment="1">
      <alignment vertical="top" textRotation="90" wrapText="1"/>
    </xf>
    <xf numFmtId="0" fontId="13" fillId="8" borderId="11" xfId="0" applyFont="1" applyFill="1" applyBorder="1" applyAlignment="1">
      <alignment horizontal="center" wrapText="1"/>
    </xf>
    <xf numFmtId="0" fontId="14" fillId="8" borderId="11" xfId="0" applyFont="1" applyFill="1" applyBorder="1" applyAlignment="1">
      <alignment horizontal="center" wrapText="1"/>
    </xf>
    <xf numFmtId="0" fontId="0" fillId="8" borderId="17" xfId="0" applyFill="1" applyBorder="1" applyAlignment="1">
      <alignment wrapText="1"/>
    </xf>
    <xf numFmtId="0" fontId="0" fillId="8" borderId="11" xfId="0" applyFill="1" applyBorder="1" applyAlignment="1">
      <alignment wrapText="1"/>
    </xf>
    <xf numFmtId="0" fontId="0" fillId="8" borderId="15" xfId="0" applyFill="1" applyBorder="1" applyAlignment="1">
      <alignment wrapText="1"/>
    </xf>
    <xf numFmtId="0" fontId="20" fillId="0" borderId="0" xfId="0" applyFont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1" fontId="10" fillId="3" borderId="3" xfId="0" applyNumberFormat="1" applyFont="1" applyFill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3" borderId="3" xfId="0" applyNumberFormat="1" applyFont="1" applyFill="1" applyBorder="1" applyAlignment="1">
      <alignment horizontal="center"/>
    </xf>
    <xf numFmtId="0" fontId="5" fillId="0" borderId="5" xfId="0" applyFont="1" applyBorder="1" applyAlignment="1">
      <alignment wrapText="1"/>
    </xf>
    <xf numFmtId="0" fontId="5" fillId="0" borderId="8" xfId="0" applyFont="1" applyBorder="1"/>
    <xf numFmtId="0" fontId="6" fillId="0" borderId="0" xfId="0" applyFont="1"/>
    <xf numFmtId="164" fontId="6" fillId="4" borderId="0" xfId="0" applyNumberFormat="1" applyFont="1" applyFill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9" fillId="3" borderId="0" xfId="0" applyFont="1" applyFill="1" applyAlignment="1">
      <alignment horizontal="right"/>
    </xf>
    <xf numFmtId="164" fontId="10" fillId="3" borderId="9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0" xfId="0" applyFont="1" applyAlignment="1">
      <alignment horizontal="right"/>
    </xf>
    <xf numFmtId="164" fontId="10" fillId="0" borderId="9" xfId="0" applyNumberFormat="1" applyFont="1" applyBorder="1" applyAlignment="1">
      <alignment horizontal="center"/>
    </xf>
    <xf numFmtId="0" fontId="9" fillId="3" borderId="3" xfId="0" applyFont="1" applyFill="1" applyBorder="1" applyAlignment="1">
      <alignment horizontal="right"/>
    </xf>
    <xf numFmtId="164" fontId="10" fillId="3" borderId="11" xfId="0" applyNumberFormat="1" applyFont="1" applyFill="1" applyBorder="1" applyAlignment="1">
      <alignment horizontal="center"/>
    </xf>
    <xf numFmtId="0" fontId="19" fillId="11" borderId="8" xfId="0" applyFont="1" applyFill="1" applyBorder="1"/>
    <xf numFmtId="0" fontId="19" fillId="11" borderId="0" xfId="0" applyFont="1" applyFill="1" applyAlignment="1">
      <alignment horizontal="right"/>
    </xf>
    <xf numFmtId="0" fontId="16" fillId="13" borderId="10" xfId="0" applyFont="1" applyFill="1" applyBorder="1"/>
    <xf numFmtId="0" fontId="16" fillId="13" borderId="3" xfId="0" applyFont="1" applyFill="1" applyBorder="1" applyAlignment="1">
      <alignment horizontal="right"/>
    </xf>
    <xf numFmtId="0" fontId="16" fillId="10" borderId="8" xfId="0" applyFont="1" applyFill="1" applyBorder="1"/>
    <xf numFmtId="0" fontId="16" fillId="10" borderId="0" xfId="0" applyFont="1" applyFill="1" applyAlignment="1">
      <alignment horizontal="right"/>
    </xf>
    <xf numFmtId="164" fontId="2" fillId="3" borderId="11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 wrapText="1"/>
    </xf>
    <xf numFmtId="1" fontId="2" fillId="0" borderId="0" xfId="0" applyNumberFormat="1" applyFont="1" applyAlignment="1">
      <alignment horizontal="center"/>
    </xf>
    <xf numFmtId="37" fontId="21" fillId="0" borderId="0" xfId="2" applyNumberFormat="1" applyFont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5" fillId="0" borderId="9" xfId="0" applyFont="1" applyBorder="1" applyAlignment="1">
      <alignment wrapText="1"/>
    </xf>
    <xf numFmtId="0" fontId="7" fillId="0" borderId="9" xfId="0" applyFont="1" applyBorder="1"/>
    <xf numFmtId="0" fontId="8" fillId="0" borderId="9" xfId="0" applyFont="1" applyBorder="1" applyAlignment="1">
      <alignment horizontal="center"/>
    </xf>
    <xf numFmtId="0" fontId="7" fillId="3" borderId="8" xfId="0" applyFont="1" applyFill="1" applyBorder="1"/>
    <xf numFmtId="0" fontId="8" fillId="3" borderId="10" xfId="0" applyFont="1" applyFill="1" applyBorder="1" applyAlignment="1">
      <alignment horizontal="center"/>
    </xf>
    <xf numFmtId="0" fontId="13" fillId="8" borderId="15" xfId="0" applyFont="1" applyFill="1" applyBorder="1" applyAlignment="1">
      <alignment horizontal="center" wrapText="1"/>
    </xf>
    <xf numFmtId="0" fontId="13" fillId="8" borderId="17" xfId="0" applyFont="1" applyFill="1" applyBorder="1" applyAlignment="1">
      <alignment horizontal="center" wrapText="1"/>
    </xf>
    <xf numFmtId="0" fontId="15" fillId="8" borderId="9" xfId="0" applyFont="1" applyFill="1" applyBorder="1" applyAlignment="1">
      <alignment horizontal="left" wrapText="1" indent="2"/>
    </xf>
    <xf numFmtId="0" fontId="14" fillId="4" borderId="11" xfId="0" applyFont="1" applyFill="1" applyBorder="1" applyAlignment="1">
      <alignment horizontal="center" wrapText="1"/>
    </xf>
    <xf numFmtId="0" fontId="14" fillId="0" borderId="0" xfId="0" applyFont="1" applyAlignment="1">
      <alignment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8" fillId="3" borderId="30" xfId="0" applyNumberFormat="1" applyFont="1" applyFill="1" applyBorder="1" applyAlignment="1">
      <alignment horizontal="center"/>
    </xf>
    <xf numFmtId="164" fontId="4" fillId="2" borderId="0" xfId="0" applyNumberFormat="1" applyFont="1" applyFill="1"/>
    <xf numFmtId="164" fontId="8" fillId="0" borderId="0" xfId="0" applyNumberFormat="1" applyFont="1" applyAlignment="1">
      <alignment horizontal="center"/>
    </xf>
    <xf numFmtId="164" fontId="20" fillId="11" borderId="9" xfId="2" applyNumberFormat="1" applyFont="1" applyFill="1" applyBorder="1" applyAlignment="1">
      <alignment horizontal="center"/>
    </xf>
    <xf numFmtId="164" fontId="20" fillId="12" borderId="9" xfId="2" applyNumberFormat="1" applyFont="1" applyFill="1" applyBorder="1" applyAlignment="1">
      <alignment horizontal="center"/>
    </xf>
    <xf numFmtId="164" fontId="20" fillId="4" borderId="9" xfId="2" applyNumberFormat="1" applyFont="1" applyFill="1" applyBorder="1" applyAlignment="1">
      <alignment horizontal="center"/>
    </xf>
    <xf numFmtId="164" fontId="20" fillId="9" borderId="9" xfId="2" applyNumberFormat="1" applyFont="1" applyFill="1" applyBorder="1" applyAlignment="1">
      <alignment horizontal="center"/>
    </xf>
    <xf numFmtId="164" fontId="22" fillId="10" borderId="9" xfId="2" applyNumberFormat="1" applyFont="1" applyFill="1" applyBorder="1" applyAlignment="1">
      <alignment horizontal="center"/>
    </xf>
    <xf numFmtId="164" fontId="22" fillId="13" borderId="11" xfId="2" applyNumberFormat="1" applyFont="1" applyFill="1" applyBorder="1" applyAlignment="1">
      <alignment horizontal="center"/>
    </xf>
    <xf numFmtId="164" fontId="8" fillId="3" borderId="31" xfId="0" applyNumberFormat="1" applyFont="1" applyFill="1" applyBorder="1" applyAlignment="1">
      <alignment horizontal="center"/>
    </xf>
    <xf numFmtId="164" fontId="8" fillId="0" borderId="33" xfId="0" applyNumberFormat="1" applyFont="1" applyBorder="1" applyAlignment="1">
      <alignment horizontal="center"/>
    </xf>
    <xf numFmtId="164" fontId="8" fillId="3" borderId="33" xfId="0" applyNumberFormat="1" applyFont="1" applyFill="1" applyBorder="1" applyAlignment="1">
      <alignment horizontal="center"/>
    </xf>
    <xf numFmtId="164" fontId="8" fillId="3" borderId="35" xfId="0" applyNumberFormat="1" applyFont="1" applyFill="1" applyBorder="1" applyAlignment="1">
      <alignment horizontal="center"/>
    </xf>
    <xf numFmtId="164" fontId="8" fillId="0" borderId="32" xfId="0" applyNumberFormat="1" applyFont="1" applyBorder="1" applyAlignment="1">
      <alignment horizontal="center"/>
    </xf>
    <xf numFmtId="164" fontId="8" fillId="3" borderId="32" xfId="0" applyNumberFormat="1" applyFont="1" applyFill="1" applyBorder="1" applyAlignment="1">
      <alignment horizontal="center"/>
    </xf>
    <xf numFmtId="164" fontId="8" fillId="0" borderId="34" xfId="0" applyNumberFormat="1" applyFont="1" applyBorder="1" applyAlignment="1">
      <alignment horizontal="center"/>
    </xf>
    <xf numFmtId="37" fontId="8" fillId="3" borderId="30" xfId="2" applyNumberFormat="1" applyFont="1" applyFill="1" applyBorder="1" applyAlignment="1">
      <alignment horizontal="center"/>
    </xf>
    <xf numFmtId="37" fontId="8" fillId="0" borderId="32" xfId="2" applyNumberFormat="1" applyFont="1" applyBorder="1" applyAlignment="1">
      <alignment horizontal="center"/>
    </xf>
    <xf numFmtId="37" fontId="8" fillId="3" borderId="32" xfId="2" applyNumberFormat="1" applyFont="1" applyFill="1" applyBorder="1" applyAlignment="1">
      <alignment horizontal="center"/>
    </xf>
    <xf numFmtId="37" fontId="8" fillId="3" borderId="34" xfId="2" applyNumberFormat="1" applyFont="1" applyFill="1" applyBorder="1" applyAlignment="1">
      <alignment horizontal="center"/>
    </xf>
    <xf numFmtId="37" fontId="8" fillId="0" borderId="34" xfId="2" applyNumberFormat="1" applyFont="1" applyBorder="1" applyAlignment="1">
      <alignment horizontal="center"/>
    </xf>
    <xf numFmtId="0" fontId="2" fillId="3" borderId="18" xfId="0" applyFont="1" applyFill="1" applyBorder="1" applyAlignment="1">
      <alignment horizontal="center" vertical="center" wrapText="1"/>
    </xf>
    <xf numFmtId="166" fontId="2" fillId="3" borderId="18" xfId="2" applyNumberFormat="1" applyFont="1" applyFill="1" applyBorder="1" applyAlignment="1">
      <alignment horizontal="center" vertical="center" wrapText="1"/>
    </xf>
    <xf numFmtId="3" fontId="21" fillId="14" borderId="24" xfId="0" applyNumberFormat="1" applyFont="1" applyFill="1" applyBorder="1" applyAlignment="1">
      <alignment horizontal="center" wrapText="1"/>
    </xf>
    <xf numFmtId="164" fontId="20" fillId="0" borderId="24" xfId="0" applyNumberFormat="1" applyFont="1" applyBorder="1" applyAlignment="1">
      <alignment horizontal="center"/>
    </xf>
    <xf numFmtId="2" fontId="2" fillId="4" borderId="24" xfId="0" applyNumberFormat="1" applyFont="1" applyFill="1" applyBorder="1" applyAlignment="1">
      <alignment horizontal="center"/>
    </xf>
    <xf numFmtId="1" fontId="6" fillId="4" borderId="0" xfId="1" applyNumberFormat="1" applyFont="1" applyFill="1" applyAlignment="1">
      <alignment horizontal="center"/>
    </xf>
    <xf numFmtId="0" fontId="2" fillId="4" borderId="39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left"/>
    </xf>
    <xf numFmtId="0" fontId="2" fillId="15" borderId="24" xfId="0" applyFont="1" applyFill="1" applyBorder="1"/>
    <xf numFmtId="0" fontId="18" fillId="0" borderId="6" xfId="0" applyFont="1" applyBorder="1" applyAlignment="1">
      <alignment horizontal="center" vertical="center" wrapText="1"/>
    </xf>
    <xf numFmtId="164" fontId="18" fillId="0" borderId="6" xfId="0" applyNumberFormat="1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top" wrapText="1"/>
    </xf>
    <xf numFmtId="0" fontId="6" fillId="4" borderId="6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left" vertical="center"/>
    </xf>
    <xf numFmtId="0" fontId="0" fillId="0" borderId="0" xfId="0"/>
    <xf numFmtId="0" fontId="0" fillId="0" borderId="8" xfId="0" applyBorder="1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8" xfId="0" applyFill="1" applyBorder="1"/>
    <xf numFmtId="0" fontId="0" fillId="3" borderId="0" xfId="0" applyFill="1"/>
    <xf numFmtId="0" fontId="0" fillId="3" borderId="10" xfId="0" applyFill="1" applyBorder="1"/>
    <xf numFmtId="0" fontId="0" fillId="3" borderId="3" xfId="0" applyFill="1" applyBorder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24" xfId="0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left" vertical="center"/>
    </xf>
    <xf numFmtId="0" fontId="0" fillId="0" borderId="24" xfId="0" applyBorder="1" applyAlignment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/>
    <xf numFmtId="0" fontId="0" fillId="0" borderId="24" xfId="0" applyBorder="1"/>
    <xf numFmtId="9" fontId="17" fillId="5" borderId="24" xfId="0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4" xfId="0" applyFont="1" applyFill="1" applyBorder="1" applyAlignment="1">
      <alignment horizontal="center"/>
    </xf>
    <xf numFmtId="0" fontId="27" fillId="0" borderId="24" xfId="3" applyFont="1" applyBorder="1" applyAlignment="1">
      <alignment horizontal="center"/>
    </xf>
    <xf numFmtId="0" fontId="28" fillId="7" borderId="38" xfId="3" applyFont="1" applyFill="1" applyBorder="1" applyAlignment="1">
      <alignment horizontal="center"/>
    </xf>
    <xf numFmtId="0" fontId="28" fillId="7" borderId="37" xfId="3" applyFont="1" applyFill="1" applyBorder="1" applyAlignment="1">
      <alignment horizontal="center"/>
    </xf>
    <xf numFmtId="1" fontId="17" fillId="6" borderId="25" xfId="0" applyNumberFormat="1" applyFont="1" applyFill="1" applyBorder="1" applyAlignment="1">
      <alignment horizontal="center"/>
    </xf>
    <xf numFmtId="1" fontId="17" fillId="6" borderId="24" xfId="0" applyNumberFormat="1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69" fontId="0" fillId="0" borderId="24" xfId="0" applyNumberFormat="1" applyBorder="1" applyAlignment="1">
      <alignment horizontal="center"/>
    </xf>
    <xf numFmtId="0" fontId="0" fillId="0" borderId="0" xfId="0" applyAlignment="1">
      <alignment horizontal="right"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12" borderId="8" xfId="0" applyFill="1" applyBorder="1"/>
    <xf numFmtId="0" fontId="0" fillId="12" borderId="0" xfId="0" applyFill="1" applyAlignment="1">
      <alignment horizontal="right"/>
    </xf>
    <xf numFmtId="0" fontId="0" fillId="4" borderId="8" xfId="0" applyFill="1" applyBorder="1"/>
    <xf numFmtId="0" fontId="0" fillId="4" borderId="0" xfId="0" applyFill="1" applyAlignment="1">
      <alignment horizontal="right"/>
    </xf>
    <xf numFmtId="0" fontId="0" fillId="9" borderId="8" xfId="0" applyFill="1" applyBorder="1"/>
    <xf numFmtId="0" fontId="0" fillId="9" borderId="0" xfId="0" applyFill="1" applyAlignment="1">
      <alignment horizontal="right"/>
    </xf>
    <xf numFmtId="0" fontId="0" fillId="0" borderId="0" xfId="0" applyAlignment="1">
      <alignment horizontal="center"/>
    </xf>
    <xf numFmtId="0" fontId="0" fillId="0" borderId="9" xfId="0" applyBorder="1" applyAlignment="1">
      <alignment vertical="top" wrapText="1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vertical="top" wrapText="1"/>
    </xf>
    <xf numFmtId="164" fontId="0" fillId="0" borderId="0" xfId="0" applyNumberFormat="1"/>
    <xf numFmtId="0" fontId="2" fillId="15" borderId="24" xfId="0" applyFont="1" applyFill="1" applyBorder="1" applyAlignment="1">
      <alignment horizontal="center"/>
    </xf>
    <xf numFmtId="0" fontId="26" fillId="15" borderId="24" xfId="0" applyFont="1" applyFill="1" applyBorder="1" applyAlignment="1">
      <alignment horizontal="center"/>
    </xf>
    <xf numFmtId="0" fontId="0" fillId="0" borderId="0" xfId="0"/>
    <xf numFmtId="37" fontId="8" fillId="0" borderId="0" xfId="2" applyNumberFormat="1" applyFont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24" fillId="0" borderId="0" xfId="0" applyFont="1" applyBorder="1"/>
    <xf numFmtId="0" fontId="24" fillId="0" borderId="0" xfId="0" applyFont="1" applyFill="1" applyBorder="1"/>
    <xf numFmtId="1" fontId="0" fillId="0" borderId="25" xfId="0" applyNumberFormat="1" applyBorder="1" applyAlignment="1">
      <alignment horizontal="center"/>
    </xf>
    <xf numFmtId="0" fontId="28" fillId="7" borderId="41" xfId="3" applyFont="1" applyFill="1" applyBorder="1" applyAlignment="1">
      <alignment horizontal="center"/>
    </xf>
    <xf numFmtId="0" fontId="31" fillId="0" borderId="24" xfId="0" applyFont="1" applyFill="1" applyBorder="1" applyAlignment="1">
      <alignment horizontal="center"/>
    </xf>
    <xf numFmtId="0" fontId="30" fillId="16" borderId="24" xfId="0" applyFont="1" applyFill="1" applyBorder="1" applyAlignment="1">
      <alignment horizontal="center"/>
    </xf>
    <xf numFmtId="0" fontId="31" fillId="16" borderId="24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 vertical="center" wrapText="1"/>
    </xf>
    <xf numFmtId="0" fontId="25" fillId="4" borderId="18" xfId="0" applyFont="1" applyFill="1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27" fillId="7" borderId="41" xfId="4" applyFont="1" applyFill="1" applyBorder="1" applyAlignment="1">
      <alignment horizontal="center" wrapText="1"/>
    </xf>
    <xf numFmtId="0" fontId="0" fillId="0" borderId="13" xfId="0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 wrapText="1"/>
    </xf>
    <xf numFmtId="0" fontId="0" fillId="17" borderId="24" xfId="0" applyFill="1" applyBorder="1" applyAlignment="1">
      <alignment horizontal="center" vertical="center"/>
    </xf>
    <xf numFmtId="3" fontId="34" fillId="4" borderId="24" xfId="0" applyNumberFormat="1" applyFont="1" applyFill="1" applyBorder="1" applyAlignment="1">
      <alignment horizontal="center" wrapText="1"/>
    </xf>
    <xf numFmtId="0" fontId="0" fillId="0" borderId="24" xfId="0" applyBorder="1" applyAlignment="1">
      <alignment horizontal="left"/>
    </xf>
    <xf numFmtId="0" fontId="27" fillId="7" borderId="44" xfId="4" applyFont="1" applyFill="1" applyBorder="1" applyAlignment="1">
      <alignment horizontal="center" wrapText="1"/>
    </xf>
    <xf numFmtId="3" fontId="21" fillId="14" borderId="40" xfId="0" applyNumberFormat="1" applyFont="1" applyFill="1" applyBorder="1" applyAlignment="1">
      <alignment horizont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4" borderId="42" xfId="0" applyFont="1" applyFill="1" applyBorder="1" applyAlignment="1">
      <alignment vertical="center"/>
    </xf>
    <xf numFmtId="0" fontId="2" fillId="4" borderId="13" xfId="0" applyFont="1" applyFill="1" applyBorder="1" applyAlignment="1">
      <alignment vertical="center"/>
    </xf>
    <xf numFmtId="0" fontId="35" fillId="0" borderId="24" xfId="0" applyFont="1" applyBorder="1" applyAlignment="1">
      <alignment horizontal="center" vertical="center"/>
    </xf>
    <xf numFmtId="164" fontId="20" fillId="11" borderId="0" xfId="2" applyNumberFormat="1" applyFont="1" applyFill="1" applyBorder="1" applyAlignment="1">
      <alignment horizontal="center"/>
    </xf>
    <xf numFmtId="164" fontId="20" fillId="12" borderId="0" xfId="2" applyNumberFormat="1" applyFont="1" applyFill="1" applyBorder="1" applyAlignment="1">
      <alignment horizontal="center"/>
    </xf>
    <xf numFmtId="164" fontId="20" fillId="4" borderId="0" xfId="2" applyNumberFormat="1" applyFont="1" applyFill="1" applyBorder="1" applyAlignment="1">
      <alignment horizontal="center"/>
    </xf>
    <xf numFmtId="164" fontId="20" fillId="9" borderId="0" xfId="2" applyNumberFormat="1" applyFont="1" applyFill="1" applyBorder="1" applyAlignment="1">
      <alignment horizontal="center"/>
    </xf>
    <xf numFmtId="164" fontId="22" fillId="10" borderId="0" xfId="2" applyNumberFormat="1" applyFont="1" applyFill="1" applyBorder="1" applyAlignment="1">
      <alignment horizontal="center"/>
    </xf>
    <xf numFmtId="164" fontId="22" fillId="13" borderId="3" xfId="2" applyNumberFormat="1" applyFont="1" applyFill="1" applyBorder="1" applyAlignment="1">
      <alignment horizontal="center"/>
    </xf>
    <xf numFmtId="0" fontId="19" fillId="0" borderId="24" xfId="0" applyFont="1" applyBorder="1" applyAlignment="1">
      <alignment horizontal="left" vertical="center"/>
    </xf>
    <xf numFmtId="0" fontId="19" fillId="0" borderId="24" xfId="0" applyFont="1" applyBorder="1" applyAlignment="1">
      <alignment vertical="center"/>
    </xf>
    <xf numFmtId="0" fontId="19" fillId="0" borderId="24" xfId="0" applyFont="1" applyBorder="1" applyAlignment="1">
      <alignment horizontal="center" vertical="center"/>
    </xf>
    <xf numFmtId="0" fontId="19" fillId="0" borderId="24" xfId="0" applyFont="1" applyBorder="1"/>
    <xf numFmtId="0" fontId="19" fillId="0" borderId="0" xfId="0" applyFont="1"/>
    <xf numFmtId="0" fontId="19" fillId="0" borderId="24" xfId="0" applyFont="1" applyBorder="1" applyAlignment="1">
      <alignment horizontal="left"/>
    </xf>
    <xf numFmtId="0" fontId="19" fillId="0" borderId="25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2" fillId="3" borderId="45" xfId="0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/>
    <xf numFmtId="0" fontId="0" fillId="0" borderId="24" xfId="0" applyBorder="1" applyAlignment="1"/>
    <xf numFmtId="0" fontId="36" fillId="7" borderId="24" xfId="7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 vertical="center" wrapText="1"/>
    </xf>
    <xf numFmtId="0" fontId="0" fillId="0" borderId="24" xfId="0" applyFont="1" applyBorder="1" applyAlignment="1">
      <alignment horizontal="center"/>
    </xf>
    <xf numFmtId="164" fontId="0" fillId="0" borderId="24" xfId="0" applyNumberFormat="1" applyFont="1" applyBorder="1" applyAlignment="1">
      <alignment horizontal="center"/>
    </xf>
    <xf numFmtId="0" fontId="36" fillId="7" borderId="24" xfId="22" applyFont="1" applyFill="1" applyBorder="1" applyAlignment="1">
      <alignment horizontal="center"/>
    </xf>
    <xf numFmtId="0" fontId="36" fillId="0" borderId="24" xfId="22" applyFont="1" applyFill="1" applyBorder="1" applyAlignment="1">
      <alignment wrapText="1"/>
    </xf>
    <xf numFmtId="0" fontId="36" fillId="0" borderId="24" xfId="22" applyFont="1" applyFill="1" applyBorder="1" applyAlignment="1">
      <alignment horizontal="right" wrapText="1"/>
    </xf>
    <xf numFmtId="0" fontId="2" fillId="3" borderId="13" xfId="0" applyFont="1" applyFill="1" applyBorder="1" applyAlignment="1">
      <alignment horizontal="center" vertical="center" wrapText="1"/>
    </xf>
    <xf numFmtId="10" fontId="0" fillId="0" borderId="0" xfId="23" applyNumberFormat="1" applyFont="1"/>
    <xf numFmtId="0" fontId="0" fillId="0" borderId="0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24" xfId="0" applyFont="1" applyBorder="1" applyAlignment="1">
      <alignment horizontal="left"/>
    </xf>
    <xf numFmtId="0" fontId="27" fillId="0" borderId="24" xfId="4" applyFont="1" applyBorder="1" applyAlignment="1">
      <alignment horizontal="center" wrapText="1"/>
    </xf>
    <xf numFmtId="0" fontId="38" fillId="0" borderId="24" xfId="0" applyFont="1" applyFill="1" applyBorder="1" applyAlignment="1">
      <alignment horizontal="center" wrapText="1"/>
    </xf>
    <xf numFmtId="0" fontId="0" fillId="18" borderId="24" xfId="0" applyFill="1" applyBorder="1" applyAlignment="1">
      <alignment horizontal="center"/>
    </xf>
    <xf numFmtId="0" fontId="0" fillId="18" borderId="24" xfId="0" applyFont="1" applyFill="1" applyBorder="1" applyAlignment="1">
      <alignment horizontal="center"/>
    </xf>
    <xf numFmtId="0" fontId="0" fillId="18" borderId="24" xfId="0" applyFont="1" applyFill="1" applyBorder="1" applyAlignment="1"/>
    <xf numFmtId="0" fontId="0" fillId="0" borderId="24" xfId="0" applyFont="1" applyBorder="1" applyAlignment="1"/>
    <xf numFmtId="0" fontId="38" fillId="0" borderId="24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164" fontId="10" fillId="0" borderId="19" xfId="0" applyNumberFormat="1" applyFont="1" applyBorder="1" applyAlignment="1">
      <alignment horizontal="center"/>
    </xf>
    <xf numFmtId="0" fontId="10" fillId="0" borderId="19" xfId="0" applyFont="1" applyBorder="1" applyAlignment="1">
      <alignment horizontal="center" wrapText="1"/>
    </xf>
    <xf numFmtId="0" fontId="10" fillId="0" borderId="12" xfId="0" applyFont="1" applyBorder="1" applyAlignment="1">
      <alignment horizontal="center"/>
    </xf>
    <xf numFmtId="164" fontId="8" fillId="3" borderId="36" xfId="0" applyNumberFormat="1" applyFont="1" applyFill="1" applyBorder="1" applyAlignment="1">
      <alignment horizontal="center"/>
    </xf>
    <xf numFmtId="164" fontId="8" fillId="3" borderId="34" xfId="0" applyNumberFormat="1" applyFont="1" applyFill="1" applyBorder="1" applyAlignment="1">
      <alignment horizontal="center"/>
    </xf>
    <xf numFmtId="0" fontId="10" fillId="0" borderId="6" xfId="0" applyFont="1" applyBorder="1" applyAlignment="1">
      <alignment horizontal="center"/>
    </xf>
    <xf numFmtId="164" fontId="10" fillId="0" borderId="6" xfId="0" applyNumberFormat="1" applyFont="1" applyBorder="1" applyAlignment="1">
      <alignment horizontal="center"/>
    </xf>
    <xf numFmtId="0" fontId="10" fillId="0" borderId="6" xfId="0" applyFont="1" applyBorder="1" applyAlignment="1">
      <alignment horizontal="center" wrapText="1"/>
    </xf>
    <xf numFmtId="164" fontId="10" fillId="0" borderId="7" xfId="0" applyNumberFormat="1" applyFont="1" applyBorder="1" applyAlignment="1">
      <alignment horizontal="center"/>
    </xf>
    <xf numFmtId="1" fontId="8" fillId="3" borderId="21" xfId="0" applyNumberFormat="1" applyFont="1" applyFill="1" applyBorder="1" applyAlignment="1">
      <alignment horizontal="center"/>
    </xf>
    <xf numFmtId="1" fontId="8" fillId="0" borderId="22" xfId="0" applyNumberFormat="1" applyFont="1" applyBorder="1" applyAlignment="1">
      <alignment horizontal="center"/>
    </xf>
    <xf numFmtId="1" fontId="8" fillId="3" borderId="22" xfId="0" applyNumberFormat="1" applyFont="1" applyFill="1" applyBorder="1" applyAlignment="1">
      <alignment horizontal="center"/>
    </xf>
    <xf numFmtId="1" fontId="8" fillId="3" borderId="23" xfId="0" applyNumberFormat="1" applyFont="1" applyFill="1" applyBorder="1" applyAlignment="1">
      <alignment horizontal="center"/>
    </xf>
    <xf numFmtId="164" fontId="19" fillId="11" borderId="0" xfId="0" applyNumberFormat="1" applyFont="1" applyFill="1" applyAlignment="1">
      <alignment horizontal="center"/>
    </xf>
    <xf numFmtId="168" fontId="20" fillId="11" borderId="0" xfId="2" applyNumberFormat="1" applyFont="1" applyFill="1" applyAlignment="1">
      <alignment horizontal="center"/>
    </xf>
    <xf numFmtId="1" fontId="7" fillId="11" borderId="0" xfId="0" applyNumberFormat="1" applyFont="1" applyFill="1" applyAlignment="1">
      <alignment horizontal="center"/>
    </xf>
    <xf numFmtId="164" fontId="0" fillId="12" borderId="0" xfId="0" applyNumberFormat="1" applyFont="1" applyFill="1" applyAlignment="1">
      <alignment horizontal="center"/>
    </xf>
    <xf numFmtId="168" fontId="20" fillId="12" borderId="0" xfId="2" applyNumberFormat="1" applyFont="1" applyFill="1" applyAlignment="1">
      <alignment horizontal="center"/>
    </xf>
    <xf numFmtId="1" fontId="8" fillId="12" borderId="0" xfId="0" applyNumberFormat="1" applyFont="1" applyFill="1" applyAlignment="1">
      <alignment horizontal="center"/>
    </xf>
    <xf numFmtId="164" fontId="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" fontId="8" fillId="4" borderId="0" xfId="0" applyNumberFormat="1" applyFont="1" applyFill="1" applyAlignment="1">
      <alignment horizontal="center"/>
    </xf>
    <xf numFmtId="164" fontId="0" fillId="9" borderId="0" xfId="0" applyNumberFormat="1" applyFont="1" applyFill="1" applyAlignment="1">
      <alignment horizontal="center"/>
    </xf>
    <xf numFmtId="168" fontId="20" fillId="9" borderId="0" xfId="2" applyNumberFormat="1" applyFont="1" applyFill="1" applyAlignment="1">
      <alignment horizontal="center"/>
    </xf>
    <xf numFmtId="1" fontId="8" fillId="9" borderId="0" xfId="0" applyNumberFormat="1" applyFont="1" applyFill="1" applyAlignment="1">
      <alignment horizontal="center"/>
    </xf>
    <xf numFmtId="164" fontId="16" fillId="10" borderId="0" xfId="0" applyNumberFormat="1" applyFont="1" applyFill="1" applyAlignment="1">
      <alignment horizontal="center"/>
    </xf>
    <xf numFmtId="168" fontId="22" fillId="10" borderId="0" xfId="2" applyNumberFormat="1" applyFont="1" applyFill="1" applyAlignment="1">
      <alignment horizontal="center"/>
    </xf>
    <xf numFmtId="1" fontId="39" fillId="10" borderId="0" xfId="0" applyNumberFormat="1" applyFont="1" applyFill="1" applyAlignment="1">
      <alignment horizontal="center"/>
    </xf>
    <xf numFmtId="164" fontId="16" fillId="13" borderId="3" xfId="0" applyNumberFormat="1" applyFont="1" applyFill="1" applyBorder="1" applyAlignment="1">
      <alignment horizontal="center"/>
    </xf>
    <xf numFmtId="168" fontId="22" fillId="13" borderId="3" xfId="2" applyNumberFormat="1" applyFont="1" applyFill="1" applyBorder="1" applyAlignment="1">
      <alignment horizontal="center"/>
    </xf>
    <xf numFmtId="1" fontId="39" fillId="13" borderId="3" xfId="0" applyNumberFormat="1" applyFont="1" applyFill="1" applyBorder="1" applyAlignment="1">
      <alignment horizontal="center"/>
    </xf>
    <xf numFmtId="1" fontId="8" fillId="0" borderId="23" xfId="0" applyNumberFormat="1" applyFont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wrapText="1"/>
    </xf>
    <xf numFmtId="0" fontId="8" fillId="0" borderId="0" xfId="0" applyFont="1" applyFill="1" applyAlignment="1">
      <alignment horizontal="center" wrapText="1"/>
    </xf>
    <xf numFmtId="0" fontId="8" fillId="0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pivotButton="1" applyFont="1" applyAlignment="1">
      <alignment horizontal="center" wrapText="1"/>
    </xf>
    <xf numFmtId="0" fontId="8" fillId="0" borderId="0" xfId="0" pivotButton="1" applyFont="1" applyAlignment="1">
      <alignment horizontal="center"/>
    </xf>
    <xf numFmtId="0" fontId="35" fillId="4" borderId="0" xfId="0" applyFont="1" applyFill="1"/>
    <xf numFmtId="0" fontId="32" fillId="0" borderId="0" xfId="5" applyFont="1" applyFill="1" applyBorder="1" applyAlignment="1" applyProtection="1">
      <alignment horizontal="center"/>
    </xf>
    <xf numFmtId="0" fontId="32" fillId="0" borderId="0" xfId="5" applyFill="1" applyBorder="1" applyAlignment="1" applyProtection="1">
      <alignment horizontal="center"/>
    </xf>
    <xf numFmtId="1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166" fontId="1" fillId="0" borderId="0" xfId="2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32" fillId="0" borderId="40" xfId="5" applyFont="1" applyBorder="1" applyAlignment="1" applyProtection="1">
      <alignment horizontal="center"/>
    </xf>
    <xf numFmtId="0" fontId="0" fillId="0" borderId="40" xfId="0" applyFont="1" applyBorder="1" applyAlignment="1">
      <alignment horizontal="center"/>
    </xf>
    <xf numFmtId="0" fontId="32" fillId="0" borderId="40" xfId="5" applyBorder="1" applyAlignment="1" applyProtection="1">
      <alignment horizontal="center"/>
    </xf>
    <xf numFmtId="1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167" fontId="0" fillId="0" borderId="40" xfId="0" applyNumberFormat="1" applyFont="1" applyBorder="1" applyAlignment="1">
      <alignment horizontal="center"/>
    </xf>
    <xf numFmtId="0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166" fontId="1" fillId="0" borderId="40" xfId="2" applyNumberFormat="1" applyFont="1" applyBorder="1" applyAlignment="1">
      <alignment horizontal="center"/>
    </xf>
    <xf numFmtId="165" fontId="0" fillId="0" borderId="40" xfId="0" applyNumberFormat="1" applyFont="1" applyBorder="1" applyAlignment="1">
      <alignment horizontal="center"/>
    </xf>
    <xf numFmtId="0" fontId="23" fillId="0" borderId="28" xfId="0" applyFont="1" applyBorder="1" applyAlignment="1">
      <alignment horizontal="left" wrapText="1"/>
    </xf>
    <xf numFmtId="0" fontId="23" fillId="0" borderId="29" xfId="0" applyFont="1" applyBorder="1" applyAlignment="1">
      <alignment horizontal="left" wrapText="1"/>
    </xf>
    <xf numFmtId="0" fontId="23" fillId="3" borderId="26" xfId="0" applyFont="1" applyFill="1" applyBorder="1" applyAlignment="1">
      <alignment horizontal="left" wrapText="1"/>
    </xf>
    <xf numFmtId="0" fontId="23" fillId="3" borderId="20" xfId="0" applyFont="1" applyFill="1" applyBorder="1" applyAlignment="1">
      <alignment horizontal="left" wrapText="1"/>
    </xf>
    <xf numFmtId="0" fontId="23" fillId="0" borderId="27" xfId="0" applyFont="1" applyBorder="1" applyAlignment="1">
      <alignment horizontal="left" wrapText="1"/>
    </xf>
    <xf numFmtId="0" fontId="23" fillId="0" borderId="25" xfId="0" applyFont="1" applyBorder="1" applyAlignment="1">
      <alignment horizontal="left" wrapText="1"/>
    </xf>
    <xf numFmtId="0" fontId="23" fillId="3" borderId="27" xfId="0" applyFont="1" applyFill="1" applyBorder="1" applyAlignment="1">
      <alignment horizontal="left" wrapText="1"/>
    </xf>
    <xf numFmtId="0" fontId="23" fillId="3" borderId="25" xfId="0" applyFont="1" applyFill="1" applyBorder="1" applyAlignment="1">
      <alignment horizontal="left" wrapText="1"/>
    </xf>
    <xf numFmtId="0" fontId="4" fillId="2" borderId="0" xfId="0" applyFont="1" applyFill="1"/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5" xfId="0" applyFont="1" applyBorder="1" applyAlignment="1">
      <alignment horizontal="center" wrapText="1"/>
    </xf>
    <xf numFmtId="0" fontId="10" fillId="0" borderId="6" xfId="0" applyFont="1" applyBorder="1" applyAlignment="1">
      <alignment horizontal="center" wrapText="1"/>
    </xf>
    <xf numFmtId="0" fontId="33" fillId="2" borderId="3" xfId="0" applyFont="1" applyFill="1" applyBorder="1" applyAlignment="1">
      <alignment horizontal="left" shrinkToFit="1"/>
    </xf>
    <xf numFmtId="0" fontId="15" fillId="8" borderId="8" xfId="0" applyFont="1" applyFill="1" applyBorder="1" applyAlignment="1">
      <alignment horizontal="left" wrapText="1" indent="2"/>
    </xf>
    <xf numFmtId="0" fontId="15" fillId="8" borderId="9" xfId="0" applyFont="1" applyFill="1" applyBorder="1" applyAlignment="1">
      <alignment horizontal="left" wrapText="1" indent="2"/>
    </xf>
    <xf numFmtId="0" fontId="14" fillId="8" borderId="16" xfId="0" applyFont="1" applyFill="1" applyBorder="1" applyAlignment="1">
      <alignment horizontal="center" wrapText="1"/>
    </xf>
    <xf numFmtId="0" fontId="14" fillId="8" borderId="17" xfId="0" applyFont="1" applyFill="1" applyBorder="1" applyAlignment="1">
      <alignment horizontal="center" wrapText="1"/>
    </xf>
    <xf numFmtId="0" fontId="14" fillId="8" borderId="15" xfId="0" applyFont="1" applyFill="1" applyBorder="1" applyAlignment="1">
      <alignment horizontal="center" wrapText="1"/>
    </xf>
    <xf numFmtId="0" fontId="15" fillId="8" borderId="5" xfId="0" applyFont="1" applyFill="1" applyBorder="1" applyAlignment="1">
      <alignment horizontal="left" wrapText="1" indent="2"/>
    </xf>
    <xf numFmtId="0" fontId="15" fillId="8" borderId="7" xfId="0" applyFont="1" applyFill="1" applyBorder="1" applyAlignment="1">
      <alignment horizontal="left" wrapText="1" indent="2"/>
    </xf>
    <xf numFmtId="0" fontId="15" fillId="8" borderId="6" xfId="0" applyFont="1" applyFill="1" applyBorder="1" applyAlignment="1">
      <alignment horizontal="left" wrapText="1" indent="2"/>
    </xf>
    <xf numFmtId="0" fontId="15" fillId="8" borderId="10" xfId="0" applyFont="1" applyFill="1" applyBorder="1" applyAlignment="1">
      <alignment horizontal="left" wrapText="1" indent="2"/>
    </xf>
    <xf numFmtId="0" fontId="15" fillId="8" borderId="3" xfId="0" applyFont="1" applyFill="1" applyBorder="1" applyAlignment="1">
      <alignment horizontal="left" wrapText="1" indent="2"/>
    </xf>
    <xf numFmtId="0" fontId="15" fillId="8" borderId="11" xfId="0" applyFont="1" applyFill="1" applyBorder="1" applyAlignment="1">
      <alignment horizontal="left" wrapText="1" indent="2"/>
    </xf>
    <xf numFmtId="0" fontId="15" fillId="8" borderId="0" xfId="0" applyFont="1" applyFill="1" applyAlignment="1">
      <alignment horizontal="left" wrapText="1" indent="2"/>
    </xf>
    <xf numFmtId="0" fontId="12" fillId="0" borderId="12" xfId="0" applyFont="1" applyBorder="1" applyAlignment="1">
      <alignment horizontal="center" wrapText="1"/>
    </xf>
    <xf numFmtId="0" fontId="12" fillId="0" borderId="13" xfId="0" applyFont="1" applyBorder="1" applyAlignment="1">
      <alignment horizontal="center" wrapText="1"/>
    </xf>
    <xf numFmtId="0" fontId="12" fillId="0" borderId="14" xfId="0" applyFont="1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4" xfId="0" applyFont="1" applyBorder="1" applyAlignment="1">
      <alignment horizontal="center" wrapText="1"/>
    </xf>
    <xf numFmtId="0" fontId="13" fillId="8" borderId="16" xfId="0" applyFont="1" applyFill="1" applyBorder="1" applyAlignment="1">
      <alignment horizontal="center" wrapText="1"/>
    </xf>
    <xf numFmtId="0" fontId="13" fillId="8" borderId="15" xfId="0" applyFont="1" applyFill="1" applyBorder="1" applyAlignment="1">
      <alignment horizontal="center" wrapText="1"/>
    </xf>
    <xf numFmtId="0" fontId="13" fillId="8" borderId="17" xfId="0" applyFont="1" applyFill="1" applyBorder="1" applyAlignment="1">
      <alignment horizontal="center" wrapText="1"/>
    </xf>
    <xf numFmtId="0" fontId="14" fillId="4" borderId="16" xfId="0" applyFont="1" applyFill="1" applyBorder="1" applyAlignment="1">
      <alignment horizontal="center" wrapText="1"/>
    </xf>
    <xf numFmtId="0" fontId="14" fillId="4" borderId="17" xfId="0" applyFont="1" applyFill="1" applyBorder="1" applyAlignment="1">
      <alignment horizontal="center" wrapText="1"/>
    </xf>
    <xf numFmtId="0" fontId="14" fillId="4" borderId="15" xfId="0" applyFont="1" applyFill="1" applyBorder="1" applyAlignment="1">
      <alignment horizontal="center" wrapText="1"/>
    </xf>
    <xf numFmtId="0" fontId="15" fillId="8" borderId="12" xfId="0" applyFont="1" applyFill="1" applyBorder="1" applyAlignment="1">
      <alignment horizontal="left" wrapText="1" indent="2"/>
    </xf>
    <xf numFmtId="0" fontId="15" fillId="8" borderId="13" xfId="0" applyFont="1" applyFill="1" applyBorder="1" applyAlignment="1">
      <alignment horizontal="left" wrapText="1" indent="2"/>
    </xf>
    <xf numFmtId="0" fontId="15" fillId="8" borderId="14" xfId="0" applyFont="1" applyFill="1" applyBorder="1" applyAlignment="1">
      <alignment horizontal="left" wrapText="1" indent="2"/>
    </xf>
    <xf numFmtId="0" fontId="14" fillId="8" borderId="16" xfId="0" applyFont="1" applyFill="1" applyBorder="1" applyAlignment="1">
      <alignment wrapText="1"/>
    </xf>
    <xf numFmtId="0" fontId="14" fillId="8" borderId="17" xfId="0" applyFont="1" applyFill="1" applyBorder="1" applyAlignment="1">
      <alignment wrapText="1"/>
    </xf>
    <xf numFmtId="0" fontId="14" fillId="8" borderId="15" xfId="0" applyFont="1" applyFill="1" applyBorder="1" applyAlignment="1">
      <alignment wrapText="1"/>
    </xf>
    <xf numFmtId="0" fontId="14" fillId="0" borderId="0" xfId="0" applyFont="1" applyAlignment="1">
      <alignment horizontal="left" wrapText="1"/>
    </xf>
  </cellXfs>
  <cellStyles count="24">
    <cellStyle name="Comma" xfId="1" builtinId="3"/>
    <cellStyle name="Currency" xfId="2" builtinId="4"/>
    <cellStyle name="Currency 2" xfId="6"/>
    <cellStyle name="Hyperlink" xfId="5" builtinId="8"/>
    <cellStyle name="Normal" xfId="0" builtinId="0"/>
    <cellStyle name="Normal 2" xfId="8"/>
    <cellStyle name="Normal 2 2" xfId="9"/>
    <cellStyle name="Normal 3" xfId="10"/>
    <cellStyle name="Normal 3 2" xfId="11"/>
    <cellStyle name="Normal 4" xfId="12"/>
    <cellStyle name="Normal 5" xfId="13"/>
    <cellStyle name="Normal 6" xfId="14"/>
    <cellStyle name="Normal 7" xfId="15"/>
    <cellStyle name="Normal 8" xfId="16"/>
    <cellStyle name="Normal 9" xfId="17"/>
    <cellStyle name="Normal_Detail" xfId="3"/>
    <cellStyle name="Normal_DIV_UNDIV" xfId="22"/>
    <cellStyle name="Normal_Sheet1" xfId="4"/>
    <cellStyle name="Normal_Sheet5" xfId="7"/>
    <cellStyle name="Percent" xfId="23" builtinId="5"/>
    <cellStyle name="Percent 2" xfId="18"/>
    <cellStyle name="Percent 2 2" xfId="19"/>
    <cellStyle name="Percent 3" xfId="20"/>
    <cellStyle name="Percent 4" xfId="21"/>
  </cellStyles>
  <dxfs count="55">
    <dxf>
      <font>
        <color rgb="FFFFFFFF"/>
      </font>
      <fill>
        <patternFill>
          <bgColor rgb="FFC0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00B050"/>
        </patternFill>
      </fill>
    </dxf>
    <dxf>
      <font>
        <color rgb="FF000000"/>
      </font>
      <fill>
        <patternFill>
          <bgColor rgb="FF00B0F0"/>
        </patternFill>
      </fill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numFmt numFmtId="164" formatCode="&quot;$&quot;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font>
        <sz val="14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sz val="14"/>
      </font>
    </dxf>
    <dxf>
      <font>
        <sz val="14"/>
      </font>
    </dxf>
    <dxf>
      <alignment horizontal="center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b val="0"/>
      </font>
    </dxf>
    <dxf>
      <numFmt numFmtId="164" formatCode="&quot;$&quot;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font>
        <sz val="14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1" tint="0.499984740745262"/>
        </top>
        <bottom style="thin">
          <color theme="1"/>
        </bottom>
        <vertical style="medium">
          <color theme="1"/>
        </vertical>
        <horizontal style="thin">
          <color theme="1"/>
        </horizontal>
      </border>
    </dxf>
    <dxf>
      <font>
        <b/>
        <color theme="1"/>
      </font>
      <border>
        <bottom style="medium">
          <color theme="1"/>
        </bottom>
        <vertical style="medium">
          <color theme="1"/>
        </vertical>
        <horizontal style="medium">
          <color theme="1"/>
        </horizontal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1" tint="0.499984740745262"/>
        </vertical>
      </border>
    </dxf>
  </dxfs>
  <tableStyles count="1" defaultTableStyle="TableStyleMedium9" defaultPivotStyle="PivotStyleLight16">
    <tableStyle name="PivotStyleLight22 2" table="0" count="5">
      <tableStyleElement type="wholeTable" dxfId="54"/>
      <tableStyleElement type="headerRow" dxfId="53"/>
      <tableStyleElement type="firstRowStripe" dxfId="52"/>
      <tableStyleElement type="secondRowStripe" dxfId="51"/>
      <tableStyleElement type="firstColumnStripe" dxfId="50"/>
    </tableStyle>
  </tableStyles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</xdr:col>
      <xdr:colOff>6138</xdr:colOff>
      <xdr:row>2</xdr:row>
      <xdr:rowOff>376238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618119" cy="90011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885.448243634259" createdVersion="3" refreshedVersion="3" minRefreshableVersion="3" recordCount="435">
  <cacheSource type="worksheet">
    <worksheetSource name="Suggested_Projects_Range"/>
  </cacheSource>
  <cacheFields count="81">
    <cacheField name="eGIS" numFmtId="0">
      <sharedItems/>
    </cacheField>
    <cacheField name="COMMIT ORDER" numFmtId="0">
      <sharedItems containsSemiMixedTypes="0" containsString="0" containsNumber="1" containsInteger="1" minValue="1" maxValue="435"/>
    </cacheField>
    <cacheField name="VISIDATA" numFmtId="0">
      <sharedItems/>
    </cacheField>
    <cacheField name="GLOBAL ROUTE ID" numFmtId="0">
      <sharedItems/>
    </cacheField>
    <cacheField name="FISCAL YEAR" numFmtId="0">
      <sharedItems containsSemiMixedTypes="0" containsString="0" containsNumber="1" containsInteger="1" minValue="2017" maxValue="2017"/>
    </cacheField>
    <cacheField name="DISTRICT" numFmtId="0">
      <sharedItems containsSemiMixedTypes="0" containsString="0" containsNumber="1" containsInteger="1" minValue="1" maxValue="7"/>
    </cacheField>
    <cacheField name="SHOP" numFmtId="0">
      <sharedItems count="29">
        <s v="Cambridge"/>
        <s v="Princess Anne"/>
        <s v="Salisbury"/>
        <s v="Snow Hill"/>
        <s v=""/>
        <s v="Centreville"/>
        <s v="Chestertown"/>
        <s v="Denton"/>
        <s v="Easton"/>
        <s v="Elkton"/>
        <s v="Fairland"/>
        <s v="Gaithersburg"/>
        <s v="Laurel"/>
        <s v="Marlboro"/>
        <s v="Churchville"/>
        <s v="Golden Ring"/>
        <s v="Hereford"/>
        <s v="Owings Mills"/>
        <s v="Annapolis"/>
        <s v="Glen Burnie"/>
        <s v="LaPlata"/>
        <s v="Leonardtown"/>
        <s v="Prince Frederick"/>
        <s v="Hagerstown"/>
        <s v="Keysers Ridge"/>
        <s v="LaVale"/>
        <s v="Dayton"/>
        <s v="Frederick"/>
        <s v="Westminster"/>
      </sharedItems>
    </cacheField>
    <cacheField name="COUNTY" numFmtId="0">
      <sharedItems/>
    </cacheField>
    <cacheField name="FACILITY" numFmtId="0">
      <sharedItems/>
    </cacheField>
    <cacheField name="SECTION" numFmtId="0">
      <sharedItems/>
    </cacheField>
    <cacheField name="PREFIX" numFmtId="0">
      <sharedItems/>
    </cacheField>
    <cacheField name="ROUTE #" numFmtId="0">
      <sharedItems/>
    </cacheField>
    <cacheField name="SUFFIX" numFmtId="0">
      <sharedItems/>
    </cacheField>
    <cacheField name="BEGIN MP" numFmtId="0">
      <sharedItems containsSemiMixedTypes="0" containsString="0" containsNumber="1" minValue="0" maxValue="42.76"/>
    </cacheField>
    <cacheField name="END MP" numFmtId="0">
      <sharedItems containsSemiMixedTypes="0" containsString="0" containsNumber="1" minValue="0.01" maxValue="45.23"/>
    </cacheField>
    <cacheField name="DIRECTION" numFmtId="0">
      <sharedItems/>
    </cacheField>
    <cacheField name="BEGIN LIMIT" numFmtId="0">
      <sharedItems/>
    </cacheField>
    <cacheField name="END LIMIT" numFmtId="0">
      <sharedItems/>
    </cacheField>
    <cacheField name="NO. OF LANES" numFmtId="1">
      <sharedItems containsMixedTypes="1" containsNumber="1" minValue="1" maxValue="5.6"/>
    </cacheField>
    <cacheField name="TOTAL LANE MILES" numFmtId="2">
      <sharedItems containsSemiMixedTypes="0" containsString="0" containsNumber="1" minValue="0.01" maxValue="28.01"/>
    </cacheField>
    <cacheField name="DIVIDED" numFmtId="2">
      <sharedItems/>
    </cacheField>
    <cacheField name="ROAD_CLASS" numFmtId="2">
      <sharedItems/>
    </cacheField>
    <cacheField name="ROAD_TYPE" numFmtId="2">
      <sharedItems/>
    </cacheField>
    <cacheField name="FUNCTIONAL CLASS" numFmtId="1">
      <sharedItems containsMixedTypes="1" containsNumber="1" containsInteger="1" minValue="1" maxValue="19"/>
    </cacheField>
    <cacheField name="PAVEMENT TYPE" numFmtId="1">
      <sharedItems/>
    </cacheField>
    <cacheField name="AVG_IRI_2013" numFmtId="2">
      <sharedItems containsMixedTypes="1" containsNumber="1" minValue="46.68" maxValue="834.09"/>
    </cacheField>
    <cacheField name="R_IRI_2013" numFmtId="167">
      <sharedItems containsMixedTypes="1" containsNumber="1" minValue="44.93" maxValue="467.97"/>
    </cacheField>
    <cacheField name="CI_2013" numFmtId="0">
      <sharedItems containsMixedTypes="1" containsNumber="1" minValue="45.8" maxValue="100"/>
    </cacheField>
    <cacheField name="CI_FUNCTIONAL_2013" numFmtId="0">
      <sharedItems containsMixedTypes="1" containsNumber="1" minValue="54.3" maxValue="100"/>
    </cacheField>
    <cacheField name="CI_STRUCTURAL_2013" numFmtId="0">
      <sharedItems containsMixedTypes="1" containsNumber="1" minValue="39.299999999999997" maxValue="100"/>
    </cacheField>
    <cacheField name="AVG_RUT_2013" numFmtId="0">
      <sharedItems containsMixedTypes="1" containsNumber="1" minValue="0.08" maxValue="0.35"/>
    </cacheField>
    <cacheField name="SPAD_SKID_NUMBER_2013" numFmtId="0">
      <sharedItems containsMixedTypes="1" containsNumber="1" containsInteger="1" minValue="20" maxValue="65"/>
    </cacheField>
    <cacheField name="AVG_IRI_2016" numFmtId="0">
      <sharedItems containsSemiMixedTypes="0" containsString="0" containsNumber="1" minValue="45.01" maxValue="322.11"/>
    </cacheField>
    <cacheField name="R_IRI_2016" numFmtId="167">
      <sharedItems containsSemiMixedTypes="0" containsString="0" containsNumber="1" minValue="45.01" maxValue="322.11"/>
    </cacheField>
    <cacheField name="CI_2016" numFmtId="0">
      <sharedItems containsSemiMixedTypes="0" containsString="0" containsNumber="1" minValue="18.324999999999999" maxValue="100"/>
    </cacheField>
    <cacheField name="CI_FUNCTIONAL_2016" numFmtId="0">
      <sharedItems containsSemiMixedTypes="0" containsString="0" containsNumber="1" minValue="40.299999999999997" maxValue="100"/>
    </cacheField>
    <cacheField name="CI_STRUCTURAL_2016" numFmtId="0">
      <sharedItems containsSemiMixedTypes="0" containsString="0" containsNumber="1" minValue="11" maxValue="100"/>
    </cacheField>
    <cacheField name="AVG_RUT_2016" numFmtId="0">
      <sharedItems containsSemiMixedTypes="0" containsString="0" containsNumber="1" minValue="7.0000000000000007E-2" maxValue="0.34"/>
    </cacheField>
    <cacheField name="SPADJ_SKID_NUMBER_2016" numFmtId="0">
      <sharedItems containsSemiMixedTypes="0" containsString="0" containsNumber="1" containsInteger="1" minValue="23" maxValue="66"/>
    </cacheField>
    <cacheField name="AVG_IRI_2017" numFmtId="0">
      <sharedItems containsSemiMixedTypes="0" containsString="0" containsNumber="1" minValue="42.59" maxValue="163.24"/>
    </cacheField>
    <cacheField name="R_IRI_2017" numFmtId="167">
      <sharedItems containsSemiMixedTypes="0" containsString="0" containsNumber="1" minValue="42.59" maxValue="163.24"/>
    </cacheField>
    <cacheField name="CI_2017" numFmtId="0">
      <sharedItems containsSemiMixedTypes="0" containsString="0" containsNumber="1" minValue="74.775000000000006" maxValue="100"/>
    </cacheField>
    <cacheField name="CI_FUNCTIONAL_2017" numFmtId="0">
      <sharedItems containsSemiMixedTypes="0" containsString="0" containsNumber="1" minValue="61.5" maxValue="100"/>
    </cacheField>
    <cacheField name="CI_STRUCTURAL_2017" numFmtId="0">
      <sharedItems containsSemiMixedTypes="0" containsString="0" containsNumber="1" minValue="76" maxValue="100"/>
    </cacheField>
    <cacheField name="AVG_RUT_2017" numFmtId="0">
      <sharedItems containsSemiMixedTypes="0" containsString="0" containsNumber="1" minValue="7.0000000000000007E-2" maxValue="0.28999999999999998"/>
    </cacheField>
    <cacheField name="SPADJ_SKID_NUMBER_2017" numFmtId="0">
      <sharedItems containsSemiMixedTypes="0" containsString="0" containsNumber="1" containsInteger="1" minValue="31" maxValue="64"/>
    </cacheField>
    <cacheField name="TREATMENT" numFmtId="0">
      <sharedItems count="12">
        <s v="CRACK SEAL"/>
        <s v="GRIND-OVERLAY &lt;=1.5IN GRADE INCREASE"/>
        <s v="GRIND-OVERLAY &gt;1.5IN GRADE INCREASE"/>
        <s v="CONCRETE PAVEMENT RESTORATION WITH DIAMOND GRIND"/>
        <s v="MICROSURFACE"/>
        <s v="THIN OVERLAY &lt;=1IN ASPHALT"/>
        <s v="ASPHALT PATCH ONLY"/>
        <s v="GRIND-OVERLAY &lt;=1.5IN GRADE INCREASE - GAP"/>
        <s v="OVERLAY &lt;=1.5IN ASPHALT"/>
        <s v="OVERLAY &gt;1.5IN ASPHALT"/>
        <s v="BONDED PORTLAND CEMENT CONCRETE OVERLAY" u="1"/>
        <s v="SURFACE ABRASION" u="1"/>
      </sharedItems>
    </cacheField>
    <cacheField name="Intentionally omitted" numFmtId="0">
      <sharedItems containsNonDate="0" containsString="0" containsBlank="1"/>
    </cacheField>
    <cacheField name="TREATMENT TYPE" numFmtId="0">
      <sharedItems/>
    </cacheField>
    <cacheField name="PAVING BUDGET" numFmtId="164">
      <sharedItems containsSemiMixedTypes="0" containsString="0" containsNumber="1" minValue="1270.1353950838907" maxValue="2485087.5987555548"/>
    </cacheField>
    <cacheField name="NON-PAVING BUDGET" numFmtId="164">
      <sharedItems containsSemiMixedTypes="0" containsString="0" containsNumber="1" minValue="135.41863781001985" maxValue="1811281.4012444452"/>
    </cacheField>
    <cacheField name="TOTAL CONSTRUCTION BUDGET" numFmtId="164">
      <sharedItems containsSemiMixedTypes="0" containsString="0" containsNumber="1" containsInteger="1" minValue="1887" maxValue="4296369"/>
    </cacheField>
    <cacheField name="Pre Treatment RSL - IRI" numFmtId="2">
      <sharedItems containsMixedTypes="1" containsNumber="1" minValue="0" maxValue="50"/>
    </cacheField>
    <cacheField name="Pre Treatment RSL - FCI" numFmtId="2">
      <sharedItems containsSemiMixedTypes="0" containsString="0" containsNumber="1" minValue="0" maxValue="50"/>
    </cacheField>
    <cacheField name="Pre Treatment RSL - SCI" numFmtId="2">
      <sharedItems containsSemiMixedTypes="0" containsString="0" containsNumber="1" minValue="0" maxValue="50"/>
    </cacheField>
    <cacheField name="Pre Treatment RSL - Rut" numFmtId="2">
      <sharedItems containsMixedTypes="1" containsNumber="1" containsInteger="1" minValue="0" maxValue="0"/>
    </cacheField>
    <cacheField name="Pre Treatment RSL - FN" numFmtId="2">
      <sharedItems containsMixedTypes="1" containsNumber="1" containsInteger="1" minValue="0" maxValue="0"/>
    </cacheField>
    <cacheField name="Pre Treatment RSL - Overall" numFmtId="2">
      <sharedItems containsSemiMixedTypes="0" containsString="0" containsNumber="1" minValue="0" maxValue="43.5"/>
    </cacheField>
    <cacheField name="Pre Treatment RSL Category" numFmtId="2">
      <sharedItems/>
    </cacheField>
    <cacheField name="Post Treatment RSL - IRI" numFmtId="2">
      <sharedItems containsMixedTypes="1" containsNumber="1" minValue="0" maxValue="50"/>
    </cacheField>
    <cacheField name="Post Treatment RSL - FCI" numFmtId="2">
      <sharedItems containsSemiMixedTypes="0" containsString="0" containsNumber="1" minValue="0" maxValue="50"/>
    </cacheField>
    <cacheField name="Post Treatment RSL - SCI" numFmtId="2">
      <sharedItems containsSemiMixedTypes="0" containsString="0" containsNumber="1" minValue="0" maxValue="50"/>
    </cacheField>
    <cacheField name="Post Treatment RSL - Rut" numFmtId="2">
      <sharedItems containsMixedTypes="1" containsNumber="1" containsInteger="1" minValue="0" maxValue="0"/>
    </cacheField>
    <cacheField name="Post Treatment RSL - FN" numFmtId="2">
      <sharedItems containsMixedTypes="1" containsNumber="1" containsInteger="1" minValue="0" maxValue="0"/>
    </cacheField>
    <cacheField name="Post Treatment RSL - Overall" numFmtId="2">
      <sharedItems containsSemiMixedTypes="0" containsString="0" containsNumber="1" minValue="0" maxValue="50"/>
    </cacheField>
    <cacheField name="RSL Improvement" numFmtId="2">
      <sharedItems containsSemiMixedTypes="0" containsString="0" containsNumber="1" minValue="1" maxValue="47.2"/>
    </cacheField>
    <cacheField name="Minimum RSL for the Treatment" numFmtId="2">
      <sharedItems containsSemiMixedTypes="0" containsString="0" containsNumber="1" containsInteger="1" minValue="1" maxValue="6"/>
    </cacheField>
    <cacheField name="LMY based on Original RSL" numFmtId="2">
      <sharedItems containsSemiMixedTypes="0" containsString="0" containsNumber="1" minValue="0.04" maxValue="557.399"/>
    </cacheField>
    <cacheField name="Predicted Life Extension" numFmtId="2">
      <sharedItems containsSemiMixedTypes="0" containsString="0" containsNumber="1" minValue="1.4914809455496492" maxValue="35.198950314971725"/>
    </cacheField>
    <cacheField name="Added LMY" numFmtId="167">
      <sharedItems containsSemiMixedTypes="0" containsString="0" containsNumber="1" minValue="2.9829618910992985E-2" maxValue="415.67499378421445"/>
    </cacheField>
    <cacheField name="$/LMY" numFmtId="166">
      <sharedItems containsSemiMixedTypes="0" containsString="0" containsNumber="1" minValue="347.67689166045403" maxValue="24005050.21993804"/>
    </cacheField>
    <cacheField name="$/LM" numFmtId="165">
      <sharedItems containsSemiMixedTypes="0" containsString="0" containsNumber="1" minValue="518.55345911949689" maxValue="214818450"/>
    </cacheField>
    <cacheField name="RSL output from RC" numFmtId="0">
      <sharedItems containsSemiMixedTypes="0" containsString="0" containsNumber="1" minValue="-0.2" maxValue="100"/>
    </cacheField>
    <cacheField name="ADJUSTED CONS BUDGET+ DIFFERENCE" numFmtId="164">
      <sharedItems containsSemiMixedTypes="0" containsString="0" containsNumber="1" containsInteger="1" minValue="1887" maxValue="4296369"/>
    </cacheField>
    <cacheField name="CONSTRUCTION BUDGET from RC" numFmtId="164">
      <sharedItems containsSemiMixedTypes="0" containsString="0" containsNumber="1" containsInteger="1" minValue="1887" maxValue="4296369"/>
    </cacheField>
    <cacheField name="Weighted Budget dn" numFmtId="165">
      <sharedItems containsSemiMixedTypes="0" containsString="0" containsNumber="1" containsInteger="1" minValue="0" maxValue="0"/>
    </cacheField>
    <cacheField name="Low Skid or High Rut Location" numFmtId="0">
      <sharedItems/>
    </cacheField>
    <cacheField name="LAST_YEAR" numFmtId="0">
      <sharedItems/>
    </cacheField>
    <cacheField name="FACILITYBEGIN_STATIONEND_STATIONDIRECTION" numFmtId="0">
      <sharedItems/>
    </cacheField>
    <cacheField name="$ per LMY" numFmtId="0" formula="'ADJUSTED CONS BUDGET+ DIFFERENCE'/'Added LMY'" databaseField="0"/>
    <cacheField name="$ per LM" numFmtId="0" formula="('ADJUSTED CONS BUDGET+ DIFFERENCE')/('TOTAL LANE MILES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1885.448243981482" createdVersion="3" refreshedVersion="3" minRefreshableVersion="3" recordCount="435">
  <cacheSource type="worksheet">
    <worksheetSource name="Suggested_Projects_Range"/>
  </cacheSource>
  <cacheFields count="81">
    <cacheField name="eGIS" numFmtId="0">
      <sharedItems/>
    </cacheField>
    <cacheField name="COMMIT ORDER" numFmtId="0">
      <sharedItems containsSemiMixedTypes="0" containsString="0" containsNumber="1" containsInteger="1" minValue="1" maxValue="435"/>
    </cacheField>
    <cacheField name="VISIDATA" numFmtId="0">
      <sharedItems/>
    </cacheField>
    <cacheField name="GLOBAL ROUTE ID" numFmtId="0">
      <sharedItems/>
    </cacheField>
    <cacheField name="FISCAL YEAR" numFmtId="0">
      <sharedItems containsSemiMixedTypes="0" containsString="0" containsNumber="1" containsInteger="1" minValue="2017" maxValue="2017"/>
    </cacheField>
    <cacheField name="DISTRICT" numFmtId="0">
      <sharedItems containsSemiMixedTypes="0" containsString="0" containsNumber="1" containsInteger="1" minValue="1" maxValue="7"/>
    </cacheField>
    <cacheField name="SHOP" numFmtId="0">
      <sharedItems count="29">
        <s v="Cambridge"/>
        <s v="Princess Anne"/>
        <s v="Salisbury"/>
        <s v="Snow Hill"/>
        <s v=""/>
        <s v="Centreville"/>
        <s v="Chestertown"/>
        <s v="Denton"/>
        <s v="Easton"/>
        <s v="Elkton"/>
        <s v="Fairland"/>
        <s v="Gaithersburg"/>
        <s v="Laurel"/>
        <s v="Marlboro"/>
        <s v="Churchville"/>
        <s v="Golden Ring"/>
        <s v="Hereford"/>
        <s v="Owings Mills"/>
        <s v="Annapolis"/>
        <s v="Glen Burnie"/>
        <s v="LaPlata"/>
        <s v="Leonardtown"/>
        <s v="Prince Frederick"/>
        <s v="Hagerstown"/>
        <s v="Keysers Ridge"/>
        <s v="LaVale"/>
        <s v="Dayton"/>
        <s v="Frederick"/>
        <s v="Westminster"/>
      </sharedItems>
    </cacheField>
    <cacheField name="COUNTY" numFmtId="0">
      <sharedItems/>
    </cacheField>
    <cacheField name="FACILITY" numFmtId="0">
      <sharedItems/>
    </cacheField>
    <cacheField name="SECTION" numFmtId="0">
      <sharedItems/>
    </cacheField>
    <cacheField name="PREFIX" numFmtId="0">
      <sharedItems/>
    </cacheField>
    <cacheField name="ROUTE #" numFmtId="0">
      <sharedItems/>
    </cacheField>
    <cacheField name="SUFFIX" numFmtId="0">
      <sharedItems/>
    </cacheField>
    <cacheField name="BEGIN MP" numFmtId="0">
      <sharedItems containsSemiMixedTypes="0" containsString="0" containsNumber="1" minValue="0" maxValue="42.76"/>
    </cacheField>
    <cacheField name="END MP" numFmtId="0">
      <sharedItems containsSemiMixedTypes="0" containsString="0" containsNumber="1" minValue="0.01" maxValue="45.23"/>
    </cacheField>
    <cacheField name="DIRECTION" numFmtId="0">
      <sharedItems/>
    </cacheField>
    <cacheField name="BEGIN LIMIT" numFmtId="0">
      <sharedItems/>
    </cacheField>
    <cacheField name="END LIMIT" numFmtId="0">
      <sharedItems/>
    </cacheField>
    <cacheField name="NO. OF LANES" numFmtId="1">
      <sharedItems containsMixedTypes="1" containsNumber="1" minValue="1" maxValue="5.6"/>
    </cacheField>
    <cacheField name="TOTAL LANE MILES" numFmtId="2">
      <sharedItems containsSemiMixedTypes="0" containsString="0" containsNumber="1" minValue="0.01" maxValue="28.01"/>
    </cacheField>
    <cacheField name="DIVIDED" numFmtId="2">
      <sharedItems/>
    </cacheField>
    <cacheField name="ROAD_CLASS" numFmtId="2">
      <sharedItems/>
    </cacheField>
    <cacheField name="ROAD_TYPE" numFmtId="2">
      <sharedItems/>
    </cacheField>
    <cacheField name="FUNCTIONAL CLASS" numFmtId="1">
      <sharedItems containsMixedTypes="1" containsNumber="1" containsInteger="1" minValue="1" maxValue="19"/>
    </cacheField>
    <cacheField name="PAVEMENT TYPE" numFmtId="1">
      <sharedItems/>
    </cacheField>
    <cacheField name="AVG_IRI_2013" numFmtId="2">
      <sharedItems containsMixedTypes="1" containsNumber="1" minValue="46.68" maxValue="834.09"/>
    </cacheField>
    <cacheField name="R_IRI_2013" numFmtId="167">
      <sharedItems containsMixedTypes="1" containsNumber="1" minValue="44.93" maxValue="467.97"/>
    </cacheField>
    <cacheField name="CI_2013" numFmtId="0">
      <sharedItems containsMixedTypes="1" containsNumber="1" minValue="45.8" maxValue="100"/>
    </cacheField>
    <cacheField name="CI_FUNCTIONAL_2013" numFmtId="0">
      <sharedItems containsMixedTypes="1" containsNumber="1" minValue="54.3" maxValue="100"/>
    </cacheField>
    <cacheField name="CI_STRUCTURAL_2013" numFmtId="0">
      <sharedItems containsMixedTypes="1" containsNumber="1" minValue="39.299999999999997" maxValue="100"/>
    </cacheField>
    <cacheField name="AVG_RUT_2013" numFmtId="0">
      <sharedItems containsMixedTypes="1" containsNumber="1" minValue="0.08" maxValue="0.35"/>
    </cacheField>
    <cacheField name="SPAD_SKID_NUMBER_2013" numFmtId="0">
      <sharedItems containsMixedTypes="1" containsNumber="1" containsInteger="1" minValue="20" maxValue="65"/>
    </cacheField>
    <cacheField name="AVG_IRI_2016" numFmtId="0">
      <sharedItems containsSemiMixedTypes="0" containsString="0" containsNumber="1" minValue="45.01" maxValue="322.11"/>
    </cacheField>
    <cacheField name="R_IRI_2016" numFmtId="167">
      <sharedItems containsSemiMixedTypes="0" containsString="0" containsNumber="1" minValue="45.01" maxValue="322.11"/>
    </cacheField>
    <cacheField name="CI_2016" numFmtId="0">
      <sharedItems containsSemiMixedTypes="0" containsString="0" containsNumber="1" minValue="18.324999999999999" maxValue="100"/>
    </cacheField>
    <cacheField name="CI_FUNCTIONAL_2016" numFmtId="0">
      <sharedItems containsSemiMixedTypes="0" containsString="0" containsNumber="1" minValue="40.299999999999997" maxValue="100"/>
    </cacheField>
    <cacheField name="CI_STRUCTURAL_2016" numFmtId="0">
      <sharedItems containsSemiMixedTypes="0" containsString="0" containsNumber="1" minValue="11" maxValue="100"/>
    </cacheField>
    <cacheField name="AVG_RUT_2016" numFmtId="0">
      <sharedItems containsSemiMixedTypes="0" containsString="0" containsNumber="1" minValue="7.0000000000000007E-2" maxValue="0.34"/>
    </cacheField>
    <cacheField name="SPADJ_SKID_NUMBER_2016" numFmtId="0">
      <sharedItems containsSemiMixedTypes="0" containsString="0" containsNumber="1" containsInteger="1" minValue="23" maxValue="66"/>
    </cacheField>
    <cacheField name="AVG_IRI_2017" numFmtId="0">
      <sharedItems containsSemiMixedTypes="0" containsString="0" containsNumber="1" minValue="42.59" maxValue="163.24"/>
    </cacheField>
    <cacheField name="R_IRI_2017" numFmtId="167">
      <sharedItems containsSemiMixedTypes="0" containsString="0" containsNumber="1" minValue="42.59" maxValue="163.24"/>
    </cacheField>
    <cacheField name="CI_2017" numFmtId="0">
      <sharedItems containsSemiMixedTypes="0" containsString="0" containsNumber="1" minValue="74.775000000000006" maxValue="100"/>
    </cacheField>
    <cacheField name="CI_FUNCTIONAL_2017" numFmtId="0">
      <sharedItems containsSemiMixedTypes="0" containsString="0" containsNumber="1" minValue="61.5" maxValue="100"/>
    </cacheField>
    <cacheField name="CI_STRUCTURAL_2017" numFmtId="0">
      <sharedItems containsSemiMixedTypes="0" containsString="0" containsNumber="1" minValue="76" maxValue="100"/>
    </cacheField>
    <cacheField name="AVG_RUT_2017" numFmtId="0">
      <sharedItems containsSemiMixedTypes="0" containsString="0" containsNumber="1" minValue="7.0000000000000007E-2" maxValue="0.28999999999999998"/>
    </cacheField>
    <cacheField name="SPADJ_SKID_NUMBER_2017" numFmtId="0">
      <sharedItems containsSemiMixedTypes="0" containsString="0" containsNumber="1" containsInteger="1" minValue="31" maxValue="64"/>
    </cacheField>
    <cacheField name="TREATMENT" numFmtId="0">
      <sharedItems count="12">
        <s v="CRACK SEAL"/>
        <s v="GRIND-OVERLAY &lt;=1.5IN GRADE INCREASE"/>
        <s v="GRIND-OVERLAY &gt;1.5IN GRADE INCREASE"/>
        <s v="CONCRETE PAVEMENT RESTORATION WITH DIAMOND GRIND"/>
        <s v="MICROSURFACE"/>
        <s v="THIN OVERLAY &lt;=1IN ASPHALT"/>
        <s v="ASPHALT PATCH ONLY"/>
        <s v="GRIND-OVERLAY &lt;=1.5IN GRADE INCREASE - GAP"/>
        <s v="OVERLAY &lt;=1.5IN ASPHALT"/>
        <s v="OVERLAY &gt;1.5IN ASPHALT"/>
        <s v="BONDED PORTLAND CEMENT CONCRETE OVERLAY" u="1"/>
        <s v="SURFACE ABRASION" u="1"/>
      </sharedItems>
    </cacheField>
    <cacheField name="Intentionally omitted" numFmtId="0">
      <sharedItems containsNonDate="0" containsString="0" containsBlank="1"/>
    </cacheField>
    <cacheField name="TREATMENT TYPE" numFmtId="0">
      <sharedItems/>
    </cacheField>
    <cacheField name="PAVING BUDGET" numFmtId="164">
      <sharedItems containsSemiMixedTypes="0" containsString="0" containsNumber="1" minValue="1270.1353950838907" maxValue="2485087.5987555548"/>
    </cacheField>
    <cacheField name="NON-PAVING BUDGET" numFmtId="164">
      <sharedItems containsSemiMixedTypes="0" containsString="0" containsNumber="1" minValue="135.41863781001985" maxValue="1811281.4012444452"/>
    </cacheField>
    <cacheField name="TOTAL CONSTRUCTION BUDGET" numFmtId="164">
      <sharedItems containsSemiMixedTypes="0" containsString="0" containsNumber="1" containsInteger="1" minValue="1887" maxValue="4296369"/>
    </cacheField>
    <cacheField name="Pre Treatment RSL - IRI" numFmtId="2">
      <sharedItems containsMixedTypes="1" containsNumber="1" minValue="0" maxValue="50"/>
    </cacheField>
    <cacheField name="Pre Treatment RSL - FCI" numFmtId="2">
      <sharedItems containsSemiMixedTypes="0" containsString="0" containsNumber="1" minValue="0" maxValue="50"/>
    </cacheField>
    <cacheField name="Pre Treatment RSL - SCI" numFmtId="2">
      <sharedItems containsSemiMixedTypes="0" containsString="0" containsNumber="1" minValue="0" maxValue="50"/>
    </cacheField>
    <cacheField name="Pre Treatment RSL - Rut" numFmtId="2">
      <sharedItems containsMixedTypes="1" containsNumber="1" containsInteger="1" minValue="0" maxValue="0"/>
    </cacheField>
    <cacheField name="Pre Treatment RSL - FN" numFmtId="2">
      <sharedItems containsMixedTypes="1" containsNumber="1" containsInteger="1" minValue="0" maxValue="0"/>
    </cacheField>
    <cacheField name="Pre Treatment RSL - Overall" numFmtId="2">
      <sharedItems containsSemiMixedTypes="0" containsString="0" containsNumber="1" minValue="0" maxValue="43.5"/>
    </cacheField>
    <cacheField name="Pre Treatment RSL Category" numFmtId="2">
      <sharedItems/>
    </cacheField>
    <cacheField name="Post Treatment RSL - IRI" numFmtId="2">
      <sharedItems containsMixedTypes="1" containsNumber="1" minValue="0" maxValue="50"/>
    </cacheField>
    <cacheField name="Post Treatment RSL - FCI" numFmtId="2">
      <sharedItems containsSemiMixedTypes="0" containsString="0" containsNumber="1" minValue="0" maxValue="50"/>
    </cacheField>
    <cacheField name="Post Treatment RSL - SCI" numFmtId="2">
      <sharedItems containsSemiMixedTypes="0" containsString="0" containsNumber="1" minValue="0" maxValue="50"/>
    </cacheField>
    <cacheField name="Post Treatment RSL - Rut" numFmtId="2">
      <sharedItems containsMixedTypes="1" containsNumber="1" containsInteger="1" minValue="0" maxValue="0"/>
    </cacheField>
    <cacheField name="Post Treatment RSL - FN" numFmtId="2">
      <sharedItems containsMixedTypes="1" containsNumber="1" containsInteger="1" minValue="0" maxValue="0"/>
    </cacheField>
    <cacheField name="Post Treatment RSL - Overall" numFmtId="2">
      <sharedItems containsSemiMixedTypes="0" containsString="0" containsNumber="1" minValue="0" maxValue="50"/>
    </cacheField>
    <cacheField name="RSL Improvement" numFmtId="2">
      <sharedItems containsSemiMixedTypes="0" containsString="0" containsNumber="1" minValue="1" maxValue="47.2"/>
    </cacheField>
    <cacheField name="Minimum RSL for the Treatment" numFmtId="2">
      <sharedItems containsSemiMixedTypes="0" containsString="0" containsNumber="1" containsInteger="1" minValue="1" maxValue="6"/>
    </cacheField>
    <cacheField name="LMY based on Original RSL" numFmtId="2">
      <sharedItems containsSemiMixedTypes="0" containsString="0" containsNumber="1" minValue="0.04" maxValue="557.399"/>
    </cacheField>
    <cacheField name="Predicted Life Extension" numFmtId="2">
      <sharedItems containsSemiMixedTypes="0" containsString="0" containsNumber="1" minValue="1.4914809455496492" maxValue="35.198950314971725"/>
    </cacheField>
    <cacheField name="Added LMY" numFmtId="167">
      <sharedItems containsSemiMixedTypes="0" containsString="0" containsNumber="1" minValue="2.9829618910992985E-2" maxValue="415.67499378421445"/>
    </cacheField>
    <cacheField name="$/LMY" numFmtId="166">
      <sharedItems containsSemiMixedTypes="0" containsString="0" containsNumber="1" minValue="347.67689166045403" maxValue="24005050.21993804"/>
    </cacheField>
    <cacheField name="$/LM" numFmtId="165">
      <sharedItems containsSemiMixedTypes="0" containsString="0" containsNumber="1" minValue="518.55345911949689" maxValue="214818450"/>
    </cacheField>
    <cacheField name="RSL output from RC" numFmtId="0">
      <sharedItems containsSemiMixedTypes="0" containsString="0" containsNumber="1" minValue="-0.2" maxValue="100"/>
    </cacheField>
    <cacheField name="ADJUSTED CONS BUDGET+ DIFFERENCE" numFmtId="164">
      <sharedItems containsSemiMixedTypes="0" containsString="0" containsNumber="1" containsInteger="1" minValue="1887" maxValue="4296369"/>
    </cacheField>
    <cacheField name="CONSTRUCTION BUDGET from RC" numFmtId="164">
      <sharedItems containsSemiMixedTypes="0" containsString="0" containsNumber="1" containsInteger="1" minValue="1887" maxValue="4296369"/>
    </cacheField>
    <cacheField name="Weighted Budget dn" numFmtId="165">
      <sharedItems containsSemiMixedTypes="0" containsString="0" containsNumber="1" containsInteger="1" minValue="0" maxValue="0"/>
    </cacheField>
    <cacheField name="Low Skid or High Rut Location" numFmtId="0">
      <sharedItems/>
    </cacheField>
    <cacheField name="LAST_YEAR" numFmtId="0">
      <sharedItems/>
    </cacheField>
    <cacheField name="FACILITYBEGIN_STATIONEND_STATIONDIRECTION" numFmtId="0">
      <sharedItems/>
    </cacheField>
    <cacheField name="$ per LMY" numFmtId="0" formula="'ADJUSTED CONS BUDGET+ DIFFERENCE'/'Added LMY'" databaseField="0"/>
    <cacheField name="$ per LM" numFmtId="0" formula="('ADJUSTED CONS BUDGET+ DIFFERENCE')/('TOTAL LANE MILES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5">
  <r>
    <s v="eGIS Link"/>
    <n v="10"/>
    <s v="NorthBound Visi-Data"/>
    <s v="31990"/>
    <n v="2017"/>
    <n v="1"/>
    <x v="0"/>
    <s v="DO"/>
    <s v="DO-MD 313"/>
    <s v="9.49-11.62(N)"/>
    <s v="MD"/>
    <s v="313"/>
    <s v=""/>
    <n v="9.49"/>
    <n v="11.62"/>
    <s v="N"/>
    <s v="MAPLE DR"/>
    <s v="CAROLINE CO/L"/>
    <n v="2"/>
    <n v="4.26"/>
    <s v="UNDIVIDED"/>
    <s v="RURAL"/>
    <s v="NON-IS"/>
    <n v="7"/>
    <s v="FCJ"/>
    <n v="65.64"/>
    <n v="58.47"/>
    <n v="97.5"/>
    <n v="90.4"/>
    <n v="99.9"/>
    <n v="0.14000000000000001"/>
    <n v="41"/>
    <n v="62.87"/>
    <n v="62.87"/>
    <n v="88.4"/>
    <n v="87.2"/>
    <n v="88.8"/>
    <n v="0.24"/>
    <n v="50"/>
    <n v="66.47"/>
    <n v="66.47"/>
    <n v="86.35"/>
    <n v="87.7"/>
    <n v="85.9"/>
    <n v="0.24"/>
    <n v="48"/>
    <x v="0"/>
    <m/>
    <s v="Preventive Maintenance"/>
    <n v="4499.83281407512"/>
    <n v="197.16718592487996"/>
    <n v="4697"/>
    <n v="32.200000000000003"/>
    <n v="24.1"/>
    <n v="25.3"/>
    <s v=""/>
    <s v=""/>
    <n v="24.1"/>
    <s v="C"/>
    <n v="31.9"/>
    <n v="25.3"/>
    <n v="25.3"/>
    <s v=""/>
    <s v=""/>
    <n v="25.3"/>
    <n v="1.1999999999999993"/>
    <n v="1"/>
    <n v="8.52"/>
    <n v="1.4914809455496492"/>
    <n v="6.3537088280415048"/>
    <n v="739.25326563128385"/>
    <n v="1102.5821596244132"/>
    <n v="1.1000000000000001"/>
    <n v="4697"/>
    <n v="4697"/>
    <n v="0"/>
    <s v=""/>
    <s v="2005"/>
    <s v="DO-MD 3139.4911.62N"/>
  </r>
  <r>
    <s v="eGIS Link"/>
    <n v="7"/>
    <s v="SouthBound Visi-Data"/>
    <s v="31992"/>
    <n v="2017"/>
    <n v="1"/>
    <x v="0"/>
    <s v="DO"/>
    <s v="DO-MD 331"/>
    <s v="7.83-10.15(S)"/>
    <s v="MD"/>
    <s v="331"/>
    <s v=""/>
    <n v="7.83"/>
    <n v="10.15"/>
    <s v="S"/>
    <s v="EAST NEW MARKET RHODESDALE RD"/>
    <s v="OSBORNE RD"/>
    <n v="2"/>
    <n v="4.6399999999999997"/>
    <s v="UNDIVIDED"/>
    <s v="RURAL"/>
    <s v="NON-IS"/>
    <n v="6"/>
    <s v="F"/>
    <n v="81.39"/>
    <n v="69.16"/>
    <s v=""/>
    <s v=""/>
    <s v=""/>
    <n v="0.12"/>
    <n v="42"/>
    <n v="71.73"/>
    <n v="71.73"/>
    <n v="91.674999999999997"/>
    <n v="87.7"/>
    <n v="93"/>
    <n v="0.16"/>
    <n v="52"/>
    <n v="75.47"/>
    <n v="75.47"/>
    <n v="89.75"/>
    <n v="88.1"/>
    <n v="90.3"/>
    <n v="0.16"/>
    <n v="50"/>
    <x v="0"/>
    <m/>
    <s v="Preventive Maintenance"/>
    <n v="3717.1282347480233"/>
    <n v="162.87176525197674"/>
    <n v="3880"/>
    <n v="30.6"/>
    <n v="24.3"/>
    <n v="26.8"/>
    <s v=""/>
    <s v=""/>
    <n v="24.3"/>
    <s v="C"/>
    <n v="30.4"/>
    <n v="25.5"/>
    <n v="26.8"/>
    <s v=""/>
    <s v=""/>
    <n v="25.5"/>
    <n v="1.1999999999999993"/>
    <n v="1"/>
    <n v="9.2799999999999994"/>
    <n v="1.4914809455496492"/>
    <n v="6.9204715873503719"/>
    <n v="560.65543381351097"/>
    <n v="836.20689655172418"/>
    <n v="1.2"/>
    <n v="3880"/>
    <n v="3880"/>
    <n v="0"/>
    <s v=""/>
    <s v="1994"/>
    <s v="DO-MD 3317.8310.15S"/>
  </r>
  <r>
    <s v="eGIS Link"/>
    <n v="34"/>
    <s v="SouthBound Visi-Data"/>
    <s v="31992"/>
    <n v="2017"/>
    <n v="1"/>
    <x v="0"/>
    <s v="DO"/>
    <s v="DO-MD 331"/>
    <s v="10.15-10.9(S)"/>
    <s v="MD"/>
    <s v="331"/>
    <s v=""/>
    <n v="10.15"/>
    <n v="10.9"/>
    <s v="S"/>
    <s v="OSBORNE RD"/>
    <s v="SPUR FR MD 392"/>
    <n v="2"/>
    <n v="1.5"/>
    <s v="UNDIVIDED"/>
    <s v="RURAL"/>
    <s v="NON-IS"/>
    <n v="6"/>
    <s v="F"/>
    <n v="92.2"/>
    <n v="84.72"/>
    <s v=""/>
    <s v=""/>
    <s v=""/>
    <n v="0.12"/>
    <n v="38"/>
    <n v="61.16"/>
    <n v="61.16"/>
    <n v="90.224999999999994"/>
    <n v="88.5"/>
    <n v="90.8"/>
    <n v="0.17"/>
    <n v="42"/>
    <n v="64.709999999999994"/>
    <n v="64.709999999999994"/>
    <n v="88.2"/>
    <n v="88.8"/>
    <n v="88"/>
    <n v="0.17"/>
    <n v="40"/>
    <x v="0"/>
    <m/>
    <s v="Preventive Maintenance"/>
    <n v="4068.722580663622"/>
    <n v="178.27741933637799"/>
    <n v="4247"/>
    <n v="32.799999999999997"/>
    <n v="24.7"/>
    <n v="26"/>
    <s v=""/>
    <s v=""/>
    <n v="24.7"/>
    <s v="C"/>
    <n v="32.5"/>
    <n v="25.8"/>
    <n v="26"/>
    <s v=""/>
    <s v=""/>
    <n v="25.8"/>
    <n v="1.1000000000000014"/>
    <n v="1"/>
    <n v="3"/>
    <n v="1.4914809455496492"/>
    <n v="2.2372214183244736"/>
    <n v="1898.3369125710917"/>
    <n v="2831.3333333333335"/>
    <n v="1.1000000000000001"/>
    <n v="4247"/>
    <n v="4247"/>
    <n v="0"/>
    <s v=""/>
    <s v="2003"/>
    <s v="DO-MD 33110.1510.9S"/>
  </r>
  <r>
    <s v="eGIS Link"/>
    <n v="426"/>
    <s v="NorthBound Visi-Data"/>
    <s v="32059"/>
    <n v="2017"/>
    <n v="1"/>
    <x v="0"/>
    <s v="DO"/>
    <s v="DO-US 50 RP1-95"/>
    <s v="0-0.04(N)"/>
    <s v="US"/>
    <s v="50"/>
    <s v=""/>
    <n v="0"/>
    <n v="0.04"/>
    <s v="N"/>
    <s v=""/>
    <s v=""/>
    <n v="1"/>
    <n v="0.04"/>
    <s v="UNDIVIDED"/>
    <s v="URBAN"/>
    <s v="NON-IS"/>
    <n v="2"/>
    <s v=""/>
    <s v=""/>
    <s v=""/>
    <s v=""/>
    <s v=""/>
    <s v=""/>
    <s v=""/>
    <s v=""/>
    <n v="107.61"/>
    <n v="107.61"/>
    <n v="86.9"/>
    <n v="95.3"/>
    <n v="84.1"/>
    <n v="0.15"/>
    <n v="42"/>
    <n v="60.54"/>
    <n v="60.54"/>
    <n v="100"/>
    <n v="100"/>
    <n v="100"/>
    <n v="0.08"/>
    <n v="49"/>
    <x v="1"/>
    <m/>
    <s v="Minor Rehabilitation"/>
    <n v="374247.38274028432"/>
    <n v="39920.617259715684"/>
    <n v="414168"/>
    <n v="28.9"/>
    <n v="26.1"/>
    <n v="16.3"/>
    <s v=""/>
    <s v=""/>
    <n v="16.3"/>
    <s v="D"/>
    <n v="50"/>
    <n v="32.1"/>
    <n v="28.3"/>
    <s v=""/>
    <s v=""/>
    <n v="28.3"/>
    <n v="12"/>
    <n v="6"/>
    <n v="0.48"/>
    <n v="8.9488856732978945"/>
    <n v="0.35795542693191579"/>
    <n v="1157037.9126526723"/>
    <n v="10354200"/>
    <n v="11.9"/>
    <n v="414168"/>
    <n v="414168"/>
    <n v="0"/>
    <s v=""/>
    <s v=""/>
    <s v="DO-US 50 RP1-9500.04N"/>
  </r>
  <r>
    <s v="eGIS Link"/>
    <n v="385"/>
    <s v="West Bound Visi-Data"/>
    <s v="32064"/>
    <n v="2017"/>
    <n v="1"/>
    <x v="0"/>
    <s v="DO"/>
    <s v="DO-US 50 RP7-95"/>
    <s v="0-0.27(W)"/>
    <s v="US"/>
    <s v="50"/>
    <s v=""/>
    <n v="0"/>
    <n v="0.27"/>
    <s v="W"/>
    <s v=""/>
    <s v=""/>
    <n v="1"/>
    <n v="0.27"/>
    <s v="UNDIVIDED"/>
    <s v="URBAN"/>
    <s v="NON-IS"/>
    <n v="2"/>
    <s v=""/>
    <s v=""/>
    <s v=""/>
    <s v=""/>
    <s v=""/>
    <s v=""/>
    <s v=""/>
    <s v=""/>
    <n v="110.17"/>
    <n v="110.17"/>
    <n v="86.7"/>
    <n v="88.8"/>
    <n v="86"/>
    <n v="0.13"/>
    <n v="44"/>
    <n v="61.38"/>
    <n v="61.38"/>
    <n v="100"/>
    <n v="100"/>
    <n v="100"/>
    <n v="0.08"/>
    <n v="49"/>
    <x v="1"/>
    <m/>
    <s v="Minor Rehabilitation"/>
    <n v="363240.47885307093"/>
    <n v="38746.521146929066"/>
    <n v="401987"/>
    <n v="28.1"/>
    <n v="19.7"/>
    <n v="17.399999999999999"/>
    <s v=""/>
    <s v=""/>
    <n v="17.399999999999999"/>
    <s v="D"/>
    <n v="49.9"/>
    <n v="32.1"/>
    <n v="28.3"/>
    <s v=""/>
    <s v=""/>
    <n v="28.3"/>
    <n v="10.900000000000002"/>
    <n v="6"/>
    <n v="3.24"/>
    <n v="8.9488856732978945"/>
    <n v="2.4161991317904317"/>
    <n v="166371.63498280168"/>
    <n v="1488840.7407407407"/>
    <n v="10.9"/>
    <n v="401987"/>
    <n v="401987"/>
    <n v="0"/>
    <s v=""/>
    <s v=""/>
    <s v="DO-US 50 RP7-9500.27W"/>
  </r>
  <r>
    <s v="eGIS Link"/>
    <n v="122"/>
    <s v="EastBound Visi-Data"/>
    <s v="31987"/>
    <n v="2017"/>
    <n v="1"/>
    <x v="0"/>
    <s v="DO"/>
    <s v="DO-MD 14"/>
    <s v="8.41-10.6(E)"/>
    <s v="MD"/>
    <s v="14"/>
    <s v=""/>
    <n v="8.41"/>
    <n v="10.6"/>
    <s v="E"/>
    <s v="E NEW MARKET RHODESDALE RD (BACK)"/>
    <s v="KELLY RD"/>
    <n v="2"/>
    <n v="4.38"/>
    <s v="UNDIVIDED"/>
    <s v="RURAL"/>
    <s v="NON-IS"/>
    <n v="7"/>
    <s v="F"/>
    <n v="72.650000000000006"/>
    <n v="75.52"/>
    <n v="91.2"/>
    <n v="91.3"/>
    <n v="91.1"/>
    <n v="0.2"/>
    <n v="44"/>
    <n v="230.32"/>
    <n v="230.32"/>
    <n v="58.975000000000001"/>
    <n v="64"/>
    <n v="57.3"/>
    <n v="0.14000000000000001"/>
    <n v="45"/>
    <n v="76.34"/>
    <n v="76.34"/>
    <n v="100"/>
    <n v="100"/>
    <n v="100"/>
    <n v="0.08"/>
    <n v="49"/>
    <x v="2"/>
    <m/>
    <s v="Structural Overlay"/>
    <n v="693127.53700611473"/>
    <n v="30370.462993885274"/>
    <n v="723498"/>
    <n v="2.5"/>
    <n v="14.4"/>
    <n v="12.1"/>
    <s v=""/>
    <s v=""/>
    <n v="2.5"/>
    <s v="E"/>
    <n v="36"/>
    <n v="38"/>
    <n v="44"/>
    <s v=""/>
    <s v=""/>
    <n v="36"/>
    <n v="33.5"/>
    <n v="6"/>
    <n v="146.72999999999999"/>
    <n v="24.982305837956623"/>
    <n v="109.42249957025001"/>
    <n v="6611.9674001370186"/>
    <n v="165182.19178082192"/>
    <n v="33.4"/>
    <n v="723498"/>
    <n v="723498"/>
    <n v="0"/>
    <s v=""/>
    <s v="2003"/>
    <s v="DO-MD 148.4110.6E"/>
  </r>
  <r>
    <s v="eGIS Link"/>
    <n v="248"/>
    <s v="EastBound Visi-Data"/>
    <s v="32066"/>
    <n v="2017"/>
    <n v="1"/>
    <x v="0"/>
    <s v="DO"/>
    <s v="DO-US 50"/>
    <s v="1.75-2.7(E)"/>
    <s v="US"/>
    <s v="50"/>
    <s v=""/>
    <n v="1.75"/>
    <n v="2.7"/>
    <s v="E"/>
    <s v="WESTERN SHORE DR"/>
    <s v="BUCKTOWN RD"/>
    <n v="3.2"/>
    <n v="3.04"/>
    <s v="DIVIDED"/>
    <s v="RURAL"/>
    <s v="NON-IS"/>
    <n v="14"/>
    <s v="F"/>
    <n v="92.97"/>
    <n v="100.69"/>
    <n v="71.900000000000006"/>
    <n v="82.4"/>
    <n v="68.5"/>
    <n v="0.17"/>
    <n v="46"/>
    <n v="75.58"/>
    <n v="75.58"/>
    <n v="67.474999999999994"/>
    <n v="68"/>
    <n v="67.3"/>
    <n v="0.14000000000000001"/>
    <n v="44"/>
    <n v="44.18"/>
    <n v="44.18"/>
    <n v="100"/>
    <n v="100"/>
    <n v="100"/>
    <n v="0.08"/>
    <n v="49"/>
    <x v="2"/>
    <m/>
    <s v="Structural Overlay"/>
    <n v="912871.1291351415"/>
    <n v="39998.870864858502"/>
    <n v="952870"/>
    <n v="35"/>
    <n v="22.6"/>
    <n v="33.5"/>
    <s v=""/>
    <s v=""/>
    <n v="22.6"/>
    <s v="C"/>
    <n v="50"/>
    <n v="50"/>
    <n v="50"/>
    <s v=""/>
    <s v=""/>
    <n v="50"/>
    <n v="27.4"/>
    <n v="6"/>
    <n v="83.295999999999992"/>
    <n v="20.433288954030193"/>
    <n v="62.117198420251789"/>
    <n v="15339.874048301253"/>
    <n v="313444.07894736843"/>
    <n v="31.1"/>
    <n v="952870"/>
    <n v="952870"/>
    <n v="0"/>
    <s v=""/>
    <s v="2001"/>
    <s v="DO-US 501.752.7E"/>
  </r>
  <r>
    <s v="eGIS Link"/>
    <n v="54"/>
    <s v="SouthBound Visi-Data"/>
    <s v="69959"/>
    <n v="2017"/>
    <n v="1"/>
    <x v="1"/>
    <s v="SO"/>
    <s v="SO-MD 380"/>
    <s v="0.8-1.56(S)"/>
    <s v="MD"/>
    <s v="380"/>
    <s v=""/>
    <n v="0.8"/>
    <n v="1.56"/>
    <s v="S"/>
    <s v="ASBURY AVE"/>
    <s v="CORP LIMITS CRISFIELD"/>
    <n v="2"/>
    <n v="1.52"/>
    <s v="UNDIVIDED"/>
    <s v="RURAL"/>
    <s v="NON-IS"/>
    <n v="8"/>
    <s v="FCJ"/>
    <n v="120.91"/>
    <n v="122.72"/>
    <s v=""/>
    <s v=""/>
    <s v=""/>
    <n v="0.14000000000000001"/>
    <n v="46"/>
    <n v="81.05"/>
    <n v="81.05"/>
    <n v="82.15"/>
    <n v="72.099999999999994"/>
    <n v="85.5"/>
    <n v="0.28999999999999998"/>
    <n v="48"/>
    <n v="85.75"/>
    <n v="85.75"/>
    <n v="80.900000000000006"/>
    <n v="75.8"/>
    <n v="82.6"/>
    <n v="0.28999999999999998"/>
    <n v="46"/>
    <x v="0"/>
    <m/>
    <s v="Preventive Maintenance"/>
    <n v="9037.9865377868173"/>
    <n v="396.01346221318272"/>
    <n v="9434"/>
    <n v="27.2"/>
    <n v="20.399999999999999"/>
    <n v="29.3"/>
    <s v=""/>
    <s v=""/>
    <n v="20.399999999999999"/>
    <s v="C"/>
    <n v="27.1"/>
    <n v="22.9"/>
    <n v="29.3"/>
    <s v=""/>
    <s v=""/>
    <n v="22.9"/>
    <n v="2.5"/>
    <n v="1"/>
    <n v="3.8"/>
    <n v="1.8643511819370615"/>
    <n v="2.8338137965443337"/>
    <n v="3329.0825288183005"/>
    <n v="6206.5789473684208"/>
    <n v="2.5"/>
    <n v="9434"/>
    <n v="9434"/>
    <n v="0"/>
    <s v=""/>
    <s v="1998"/>
    <s v="SO-MD 3800.81.56S"/>
  </r>
  <r>
    <s v="eGIS Link"/>
    <n v="29"/>
    <s v="West Bound Visi-Data"/>
    <s v="69966"/>
    <n v="2017"/>
    <n v="1"/>
    <x v="1"/>
    <s v="SO"/>
    <s v="SO-MD 627"/>
    <s v="0-2.48(W)"/>
    <s v="MD"/>
    <s v="627"/>
    <s v=""/>
    <n v="0"/>
    <n v="2.48"/>
    <s v="W"/>
    <s v="ORIOLE BACK RD"/>
    <s v="DRAWBRIDGE RD (AHEAD)"/>
    <n v="2"/>
    <n v="4.96"/>
    <s v="UNDIVIDED"/>
    <s v="RURAL"/>
    <s v="NON-IS"/>
    <n v="8"/>
    <s v="F"/>
    <n v="124.9"/>
    <n v="108.02"/>
    <s v=""/>
    <s v=""/>
    <s v=""/>
    <n v="0.11"/>
    <n v="53"/>
    <n v="61.4"/>
    <n v="61.4"/>
    <n v="84.95"/>
    <n v="83.3"/>
    <n v="85.5"/>
    <n v="0.18"/>
    <n v="50"/>
    <n v="64.849999999999994"/>
    <n v="64.849999999999994"/>
    <n v="83.1"/>
    <n v="84.6"/>
    <n v="82.6"/>
    <n v="0.18"/>
    <n v="48"/>
    <x v="0"/>
    <m/>
    <s v="Preventive Maintenance"/>
    <n v="10603.39569644101"/>
    <n v="464.60430355899007"/>
    <n v="11068"/>
    <n v="34.1"/>
    <n v="22.6"/>
    <n v="24.1"/>
    <s v=""/>
    <s v=""/>
    <n v="22.6"/>
    <s v="C"/>
    <n v="33.799999999999997"/>
    <n v="24.1"/>
    <n v="24.1"/>
    <s v=""/>
    <s v=""/>
    <n v="24.1"/>
    <n v="1.5"/>
    <n v="1"/>
    <n v="9.92"/>
    <n v="1.4914809455496492"/>
    <n v="7.39774548992626"/>
    <n v="1496.1314923677273"/>
    <n v="2231.4516129032259"/>
    <n v="1.5"/>
    <n v="11068"/>
    <n v="11068"/>
    <n v="0"/>
    <s v=""/>
    <s v="2008"/>
    <s v="SO-MD 62702.48W"/>
  </r>
  <r>
    <s v="eGIS Link"/>
    <n v="169"/>
    <s v="EastBound Visi-Data"/>
    <s v="69978"/>
    <n v="2017"/>
    <n v="1"/>
    <x v="1"/>
    <s v="SO"/>
    <s v="SO-MD 920D"/>
    <s v="0-0.42(E)"/>
    <s v="MD"/>
    <s v="920"/>
    <s v="D"/>
    <n v="0"/>
    <n v="0.42"/>
    <s v="E"/>
    <s v="ROAD END"/>
    <s v="ROAD END"/>
    <n v="2"/>
    <n v="0.84"/>
    <s v="UNDIVIDED"/>
    <s v="URBAN"/>
    <s v="NON-IS"/>
    <n v="9"/>
    <s v="F"/>
    <s v=""/>
    <s v=""/>
    <s v=""/>
    <s v=""/>
    <s v=""/>
    <s v=""/>
    <s v=""/>
    <n v="218.32"/>
    <n v="218.32"/>
    <n v="81.325000000000003"/>
    <n v="87.1"/>
    <n v="79.400000000000006"/>
    <n v="0.22"/>
    <n v="34"/>
    <n v="99.56"/>
    <n v="99.56"/>
    <n v="100"/>
    <n v="100"/>
    <n v="100"/>
    <n v="0.12"/>
    <n v="49"/>
    <x v="1"/>
    <m/>
    <s v="Minor Rehabilitation"/>
    <n v="128408.75821331162"/>
    <n v="13697.241786688377"/>
    <n v="142106"/>
    <n v="4.8"/>
    <n v="18.899999999999999"/>
    <n v="15.3"/>
    <s v=""/>
    <s v=""/>
    <n v="4.8"/>
    <s v="E"/>
    <n v="30"/>
    <n v="33"/>
    <n v="29.7"/>
    <s v=""/>
    <s v=""/>
    <n v="29.7"/>
    <n v="24.9"/>
    <n v="6"/>
    <n v="20.915999999999997"/>
    <n v="18.568937772093129"/>
    <n v="15.597907728558228"/>
    <n v="9110.5808851412785"/>
    <n v="169173.80952380953"/>
    <n v="24.9"/>
    <n v="142106"/>
    <n v="142106"/>
    <n v="0"/>
    <s v=""/>
    <s v="1967"/>
    <s v="SO-MD 920D00.42E"/>
  </r>
  <r>
    <s v="eGIS Link"/>
    <n v="327"/>
    <s v="EastBound Visi-Data"/>
    <s v="75569"/>
    <n v="2017"/>
    <n v="1"/>
    <x v="2"/>
    <s v="WI"/>
    <s v="WI-US 50BU"/>
    <s v="6.11-6.878(E)"/>
    <s v="US"/>
    <s v="50"/>
    <s v="BU"/>
    <n v="6.11"/>
    <n v="6.8780000000000001"/>
    <s v="E"/>
    <s v=""/>
    <s v=""/>
    <n v="2.9"/>
    <n v="2.2200000000000002"/>
    <s v="DIVIDED"/>
    <s v="URBAN"/>
    <s v="NON-IS"/>
    <n v="12"/>
    <s v="F"/>
    <n v="76.53"/>
    <n v="61.39"/>
    <n v="97.5"/>
    <n v="97"/>
    <n v="97.6"/>
    <n v="0.15"/>
    <n v="41"/>
    <n v="113.52"/>
    <n v="113.52"/>
    <n v="88.525000000000006"/>
    <n v="87.1"/>
    <n v="89"/>
    <n v="0.2"/>
    <n v="60"/>
    <n v="65.72"/>
    <n v="65.72"/>
    <n v="87.825000000000003"/>
    <n v="86.4"/>
    <n v="88.3"/>
    <n v="0.2"/>
    <n v="60"/>
    <x v="3"/>
    <m/>
    <s v="Preventive Maintenance"/>
    <n v="938627.48648246692"/>
    <n v="100122.51351753308"/>
    <n v="1038750"/>
    <n v="12.4"/>
    <n v="50"/>
    <n v="35.200000000000003"/>
    <s v=""/>
    <s v=""/>
    <n v="12.4"/>
    <s v="D"/>
    <n v="29.3"/>
    <n v="50"/>
    <n v="35.200000000000003"/>
    <s v=""/>
    <s v=""/>
    <n v="29.3"/>
    <n v="16.899999999999999"/>
    <n v="5"/>
    <n v="37.518000000000001"/>
    <n v="12.603013989894535"/>
    <n v="27.978691057565872"/>
    <n v="37126.468778070514"/>
    <n v="467905.40540540538"/>
    <n v="16.899999999999999"/>
    <n v="1038750"/>
    <n v="1038750"/>
    <n v="0"/>
    <s v=""/>
    <s v="2005"/>
    <s v="WI-US 50BU6.116.878E"/>
  </r>
  <r>
    <s v="eGIS Link"/>
    <n v="307"/>
    <s v="West Bound Visi-Data"/>
    <s v="75553"/>
    <n v="2017"/>
    <n v="1"/>
    <x v="2"/>
    <s v="WI"/>
    <s v="WI-US 50 RP8-111"/>
    <s v="0-0.276(W)"/>
    <s v="US"/>
    <s v="50"/>
    <s v=""/>
    <n v="0"/>
    <n v="0.27600000000000002"/>
    <s v="W"/>
    <s v=""/>
    <s v=""/>
    <n v="1"/>
    <n v="0.28000000000000003"/>
    <s v="UNDIVIDED"/>
    <s v="RURAL"/>
    <s v="NON-IS"/>
    <n v="12"/>
    <s v=""/>
    <s v=""/>
    <s v=""/>
    <s v=""/>
    <s v=""/>
    <s v=""/>
    <s v=""/>
    <s v=""/>
    <n v="66.3"/>
    <n v="66.3"/>
    <n v="77.7"/>
    <n v="77.099999999999994"/>
    <n v="77.900000000000006"/>
    <n v="0.11"/>
    <n v="49"/>
    <n v="69.239999999999995"/>
    <n v="69.239999999999995"/>
    <n v="77.099999999999994"/>
    <n v="80.400000000000006"/>
    <n v="76"/>
    <n v="0.11"/>
    <n v="47"/>
    <x v="0"/>
    <m/>
    <s v="Preventive Maintenance"/>
    <n v="10843.859404410534"/>
    <n v="475.1405955894661"/>
    <n v="11319"/>
    <n v="30.3"/>
    <n v="7.9"/>
    <n v="9.4"/>
    <s v=""/>
    <s v=""/>
    <n v="7.9"/>
    <s v="E"/>
    <n v="29.9"/>
    <n v="11.2"/>
    <n v="9.4"/>
    <s v=""/>
    <s v=""/>
    <n v="9.4"/>
    <n v="1.5"/>
    <n v="1"/>
    <n v="0.56000000000000005"/>
    <n v="1.4914809455496492"/>
    <n v="0.4176146647539018"/>
    <n v="27103.933255481414"/>
    <n v="40424.999999999993"/>
    <n v="1.4"/>
    <n v="11319"/>
    <n v="11319"/>
    <n v="0"/>
    <s v=""/>
    <s v=""/>
    <s v="WI-US 50 RP8-11100.276W"/>
  </r>
  <r>
    <s v="eGIS Link"/>
    <n v="44"/>
    <s v="EastBound Visi-Data"/>
    <s v="75309"/>
    <n v="2017"/>
    <n v="1"/>
    <x v="2"/>
    <s v="WI"/>
    <s v="WI-MD 346"/>
    <s v="4.61-7.8(E)"/>
    <s v="MD"/>
    <s v="346"/>
    <s v=""/>
    <n v="4.6100000000000003"/>
    <n v="7.8"/>
    <s v="E"/>
    <s v="ARCHIE DENNIS RD"/>
    <s v="ROUNDS RD"/>
    <n v="2"/>
    <n v="6.38"/>
    <s v="UNDIVIDED"/>
    <s v="RURAL"/>
    <s v="NON-IS"/>
    <n v="7"/>
    <s v="FCJ"/>
    <n v="65.02"/>
    <n v="65.489999999999995"/>
    <n v="99.2"/>
    <n v="97.2"/>
    <n v="99.8"/>
    <n v="0.18"/>
    <n v="43"/>
    <n v="72.2"/>
    <n v="72.2"/>
    <n v="53.575000000000003"/>
    <n v="69.099999999999994"/>
    <n v="48.4"/>
    <n v="0.09"/>
    <n v="47"/>
    <n v="49.46"/>
    <n v="49.46"/>
    <n v="100"/>
    <n v="100"/>
    <n v="100"/>
    <n v="0.08"/>
    <n v="49"/>
    <x v="1"/>
    <m/>
    <s v="Minor Rehabilitation"/>
    <n v="291565.59899264126"/>
    <n v="12775.401007358741"/>
    <n v="304341"/>
    <n v="28.4"/>
    <n v="18.899999999999999"/>
    <n v="0"/>
    <s v=""/>
    <s v=""/>
    <n v="0"/>
    <s v="F"/>
    <n v="39.799999999999997"/>
    <n v="34.700000000000003"/>
    <n v="24.3"/>
    <s v=""/>
    <s v=""/>
    <n v="24.3"/>
    <n v="24.3"/>
    <n v="6"/>
    <n v="155.03399999999999"/>
    <n v="18.121493488428239"/>
    <n v="115.61512845617216"/>
    <n v="2632.3631177330813"/>
    <n v="47702.351097178682"/>
    <n v="24.3"/>
    <n v="304341"/>
    <n v="304341"/>
    <n v="0"/>
    <s v=""/>
    <s v="2005"/>
    <s v="WI-MD 3464.617.8E"/>
  </r>
  <r>
    <s v="eGIS Link"/>
    <n v="184"/>
    <s v="EastBound Visi-Data"/>
    <s v="75309"/>
    <n v="2017"/>
    <n v="1"/>
    <x v="2"/>
    <s v="WI"/>
    <s v="WI-MD 346"/>
    <s v="12.94-14.46(E)"/>
    <s v="MD"/>
    <s v="346"/>
    <s v=""/>
    <n v="12.94"/>
    <n v="14.46"/>
    <s v="E"/>
    <s v="POWELLVILLE RD"/>
    <s v="WORCESTER CO/L"/>
    <n v="2"/>
    <n v="3.04"/>
    <s v="UNDIVIDED"/>
    <s v="URBAN"/>
    <s v="NON-IS"/>
    <n v="8"/>
    <s v="FCJ"/>
    <n v="80.56"/>
    <n v="83.86"/>
    <n v="68"/>
    <n v="81.8"/>
    <n v="63.4"/>
    <n v="0.12"/>
    <n v="45"/>
    <n v="129.05000000000001"/>
    <n v="129.05000000000001"/>
    <n v="89.724999999999994"/>
    <n v="82"/>
    <n v="92.3"/>
    <n v="0.14000000000000001"/>
    <n v="40"/>
    <n v="68.2"/>
    <n v="68.2"/>
    <n v="100"/>
    <n v="100"/>
    <n v="100"/>
    <n v="0.08"/>
    <n v="49"/>
    <x v="1"/>
    <m/>
    <s v="Minor Rehabilitation"/>
    <n v="350205.86851130478"/>
    <n v="37356.131488695217"/>
    <n v="387562"/>
    <n v="15.6"/>
    <n v="39.5"/>
    <n v="25.1"/>
    <s v=""/>
    <s v=""/>
    <n v="15.6"/>
    <s v="D"/>
    <n v="32.6"/>
    <n v="50"/>
    <n v="32.9"/>
    <s v=""/>
    <s v=""/>
    <n v="32.6"/>
    <n v="17"/>
    <n v="6"/>
    <n v="51.68"/>
    <n v="12.677588037172018"/>
    <n v="38.539867633002935"/>
    <n v="10056.132099118009"/>
    <n v="127487.5"/>
    <n v="17"/>
    <n v="387562"/>
    <n v="387562"/>
    <n v="0"/>
    <s v=""/>
    <s v="2000"/>
    <s v="WI-MD 34612.9414.46E"/>
  </r>
  <r>
    <s v="eGIS Link"/>
    <n v="40"/>
    <s v="SouthBound Visi-Data"/>
    <s v="75316"/>
    <n v="2017"/>
    <n v="1"/>
    <x v="2"/>
    <s v="WI"/>
    <s v="WI-MD 354"/>
    <s v="0-3.05(S)"/>
    <s v="MD"/>
    <s v="354"/>
    <s v=""/>
    <n v="0"/>
    <n v="3.05"/>
    <s v="S"/>
    <s v="WORCESTER CO/L"/>
    <s v="STRUC #22020 ADKINS MILL POND"/>
    <n v="2"/>
    <n v="6.1"/>
    <s v="UNDIVIDED"/>
    <s v="URBAN"/>
    <s v="NON-IS"/>
    <n v="7"/>
    <s v="FCJ"/>
    <n v="55.22"/>
    <n v="53.88"/>
    <s v=""/>
    <s v=""/>
    <s v=""/>
    <n v="0.08"/>
    <n v="58"/>
    <n v="95.5"/>
    <n v="95.5"/>
    <n v="45.625"/>
    <n v="47.8"/>
    <n v="44.9"/>
    <n v="0.13"/>
    <n v="41"/>
    <n v="56.72"/>
    <n v="56.72"/>
    <n v="100"/>
    <n v="100"/>
    <n v="100"/>
    <n v="0.08"/>
    <n v="49"/>
    <x v="1"/>
    <m/>
    <s v="Minor Rehabilitation"/>
    <n v="292561.71616937843"/>
    <n v="31207.283830621571"/>
    <n v="323769"/>
    <n v="30.3"/>
    <n v="0"/>
    <n v="0"/>
    <s v=""/>
    <s v=""/>
    <n v="0"/>
    <s v="F"/>
    <n v="47.3"/>
    <n v="33"/>
    <n v="29.7"/>
    <s v=""/>
    <s v=""/>
    <n v="29.7"/>
    <n v="29.7"/>
    <n v="6"/>
    <n v="181.17"/>
    <n v="22.14849204141229"/>
    <n v="135.10580145261497"/>
    <n v="2396.4107870938024"/>
    <n v="53076.885245901642"/>
    <n v="29.7"/>
    <n v="323769"/>
    <n v="323769"/>
    <n v="0"/>
    <s v=""/>
    <s v="2009"/>
    <s v="WI-MD 35403.05S"/>
  </r>
  <r>
    <s v="eGIS Link"/>
    <n v="349"/>
    <s v="SouthBound Visi-Data"/>
    <s v="75323"/>
    <n v="2017"/>
    <n v="1"/>
    <x v="2"/>
    <s v="WI"/>
    <s v="WI-MD 813F"/>
    <s v="0-0.12(S)"/>
    <s v="MD"/>
    <s v="813"/>
    <s v="F"/>
    <n v="0"/>
    <n v="0.12"/>
    <s v="S"/>
    <s v="STATE ST"/>
    <s v="TWIFORD RD (AHEAD)"/>
    <n v="2"/>
    <n v="0.24"/>
    <s v="UNDIVIDED"/>
    <s v="RURAL"/>
    <s v="NON-IS"/>
    <n v="9"/>
    <s v="F"/>
    <s v=""/>
    <s v=""/>
    <s v=""/>
    <s v=""/>
    <s v=""/>
    <s v=""/>
    <s v=""/>
    <n v="64.12"/>
    <n v="64.12"/>
    <n v="86.35"/>
    <n v="90.7"/>
    <n v="84.9"/>
    <n v="0.1"/>
    <n v="46"/>
    <n v="69.97"/>
    <n v="69.97"/>
    <n v="97.15"/>
    <n v="99.4"/>
    <n v="96.4"/>
    <n v="0.1"/>
    <n v="55"/>
    <x v="4"/>
    <m/>
    <s v="Preventive Maintenance"/>
    <n v="79354.939675424801"/>
    <n v="3477.060324575199"/>
    <n v="82832"/>
    <n v="33.1"/>
    <n v="25.5"/>
    <n v="23.9"/>
    <s v=""/>
    <s v=""/>
    <n v="23.9"/>
    <s v="C"/>
    <n v="36.299999999999997"/>
    <n v="31.2"/>
    <n v="29.2"/>
    <s v=""/>
    <s v=""/>
    <n v="29.2"/>
    <n v="5.3000000000000007"/>
    <n v="4"/>
    <n v="1.92"/>
    <n v="5.9659237821985966"/>
    <n v="1.4318217077276632"/>
    <n v="57850.778175067935"/>
    <n v="345133.33333333337"/>
    <n v="5.3"/>
    <n v="82832"/>
    <n v="82832"/>
    <n v="0"/>
    <s v=""/>
    <s v="1987"/>
    <s v="WI-MD 813F00.12S"/>
  </r>
  <r>
    <s v="eGIS Link"/>
    <n v="326"/>
    <s v="NorthBound Visi-Data"/>
    <s v="75323"/>
    <n v="2017"/>
    <n v="1"/>
    <x v="2"/>
    <s v="WI"/>
    <s v="WI-MD 813F"/>
    <s v="0-0.12(N)"/>
    <s v="MD"/>
    <s v="813"/>
    <s v="F"/>
    <n v="0"/>
    <n v="0.12"/>
    <s v="N"/>
    <s v="STATE ST"/>
    <s v="TWIFORD RD (AHEAD)"/>
    <n v="2"/>
    <n v="0.24"/>
    <s v="UNDIVIDED"/>
    <s v="RURAL"/>
    <s v="NON-IS"/>
    <n v="9"/>
    <s v="F"/>
    <s v=""/>
    <s v=""/>
    <s v=""/>
    <s v=""/>
    <s v=""/>
    <s v=""/>
    <s v=""/>
    <n v="71.94"/>
    <n v="71.94"/>
    <n v="89.75"/>
    <n v="91.1"/>
    <n v="89.3"/>
    <n v="0.08"/>
    <n v="45"/>
    <n v="78.69"/>
    <n v="78.69"/>
    <n v="97.825000000000003"/>
    <n v="99.4"/>
    <n v="97.3"/>
    <n v="0.08"/>
    <n v="55"/>
    <x v="4"/>
    <m/>
    <s v="Preventive Maintenance"/>
    <n v="50631.501857328098"/>
    <n v="2218.4981426719023"/>
    <n v="52850"/>
    <n v="30.3"/>
    <n v="25.7"/>
    <n v="25.4"/>
    <s v=""/>
    <s v=""/>
    <n v="25.4"/>
    <s v="C"/>
    <n v="33.1"/>
    <n v="31.2"/>
    <n v="29.7"/>
    <s v=""/>
    <s v=""/>
    <n v="29.7"/>
    <n v="4.3000000000000007"/>
    <n v="4"/>
    <n v="1.92"/>
    <n v="5.9659237821985966"/>
    <n v="1.4318217077276632"/>
    <n v="36911.020216249039"/>
    <n v="220208.33333333334"/>
    <n v="4.2"/>
    <n v="52850"/>
    <n v="52850"/>
    <n v="0"/>
    <s v=""/>
    <s v="1987"/>
    <s v="WI-MD 813F00.12N"/>
  </r>
  <r>
    <s v="eGIS Link"/>
    <n v="214"/>
    <s v="West Bound Visi-Data"/>
    <s v="75568"/>
    <n v="2017"/>
    <n v="1"/>
    <x v="2"/>
    <s v="WI"/>
    <s v="WI-US 50"/>
    <s v="10.15-11.55(W)"/>
    <s v="US"/>
    <s v="50"/>
    <s v=""/>
    <n v="10.15"/>
    <n v="11.55"/>
    <s v="W"/>
    <s v="SPUR TO MD 670"/>
    <s v="BOYLSTON BEND"/>
    <n v="2.2000000000000002"/>
    <n v="3.08"/>
    <s v="DIVIDED"/>
    <s v="URBAN"/>
    <s v="NON-IS"/>
    <n v="2"/>
    <s v="F"/>
    <n v="48.95"/>
    <n v="48.41"/>
    <n v="80.900000000000006"/>
    <n v="69.3"/>
    <n v="84.7"/>
    <n v="0.09"/>
    <n v="52"/>
    <n v="125.94"/>
    <n v="125.94"/>
    <n v="88.5"/>
    <n v="80.400000000000006"/>
    <n v="91.2"/>
    <n v="0.1"/>
    <n v="43"/>
    <n v="85.67"/>
    <n v="85.67"/>
    <n v="100"/>
    <n v="100"/>
    <n v="100"/>
    <n v="0.09"/>
    <n v="49"/>
    <x v="5"/>
    <m/>
    <s v="Preventive Maintenance"/>
    <n v="222385.36203681395"/>
    <n v="23721.637963186047"/>
    <n v="246107"/>
    <n v="16.2"/>
    <n v="38.6"/>
    <n v="24.1"/>
    <s v=""/>
    <s v=""/>
    <n v="16.2"/>
    <s v="D"/>
    <n v="24.7"/>
    <n v="50"/>
    <n v="32.9"/>
    <s v=""/>
    <s v=""/>
    <n v="24.7"/>
    <n v="8.5"/>
    <n v="4"/>
    <n v="26.18"/>
    <n v="6.3387940185860092"/>
    <n v="19.523485577244909"/>
    <n v="12605.689646260891"/>
    <n v="79904.870129870134"/>
    <n v="8.5"/>
    <n v="246107"/>
    <n v="246107"/>
    <n v="0"/>
    <s v=""/>
    <s v="2000"/>
    <s v="WI-US 5010.1511.55W"/>
  </r>
  <r>
    <s v="eGIS Link"/>
    <n v="428"/>
    <s v="EastBound Visi-Data"/>
    <s v="75516"/>
    <n v="2017"/>
    <n v="1"/>
    <x v="2"/>
    <s v="WI"/>
    <s v="WI-US 13 RP3-29"/>
    <s v="0-0.05(E)"/>
    <s v="US"/>
    <s v="13"/>
    <s v=""/>
    <n v="0"/>
    <n v="0.05"/>
    <s v="E"/>
    <s v=""/>
    <s v=""/>
    <n v="1"/>
    <n v="0.05"/>
    <s v="UNDIVIDED"/>
    <s v="URBAN"/>
    <s v="NON-IS"/>
    <n v="2"/>
    <s v=""/>
    <s v=""/>
    <s v=""/>
    <s v=""/>
    <s v=""/>
    <s v=""/>
    <s v=""/>
    <s v=""/>
    <n v="61.99"/>
    <n v="61.99"/>
    <n v="93.924999999999997"/>
    <n v="88.6"/>
    <n v="95.7"/>
    <n v="0.09"/>
    <n v="48"/>
    <n v="51.93"/>
    <n v="51.93"/>
    <n v="100"/>
    <n v="100"/>
    <n v="100"/>
    <n v="0.08"/>
    <n v="49"/>
    <x v="5"/>
    <m/>
    <s v="Preventive Maintenance"/>
    <n v="365654.02784598997"/>
    <n v="39003.972154010029"/>
    <n v="404658"/>
    <n v="32.700000000000003"/>
    <n v="42.8"/>
    <n v="27.5"/>
    <s v=""/>
    <s v=""/>
    <n v="27.5"/>
    <s v="C"/>
    <n v="36.200000000000003"/>
    <n v="50"/>
    <n v="32.9"/>
    <s v=""/>
    <s v=""/>
    <n v="32.9"/>
    <n v="5.3999999999999986"/>
    <n v="4"/>
    <n v="0.4"/>
    <n v="5.9659237821985966"/>
    <n v="0.29829618910992983"/>
    <n v="1356564.4308344587"/>
    <n v="8093160"/>
    <n v="5.4"/>
    <n v="404658"/>
    <n v="404658"/>
    <n v="0"/>
    <s v=""/>
    <s v=""/>
    <s v="WI-US 13 RP3-2900.05E"/>
  </r>
  <r>
    <s v="eGIS Link"/>
    <n v="305"/>
    <s v="West Bound Visi-Data"/>
    <s v="75313"/>
    <n v="2017"/>
    <n v="1"/>
    <x v="2"/>
    <s v="WI"/>
    <s v="WI-MD 350"/>
    <s v="1.56-2.9(W)"/>
    <s v="MD"/>
    <s v="350"/>
    <s v=""/>
    <n v="1.56"/>
    <n v="2.9"/>
    <s v="W"/>
    <s v="PHILLIP MORRIS DR"/>
    <s v="WILTON AVE"/>
    <n v="2.1"/>
    <n v="2.81"/>
    <s v="UNDIVIDED"/>
    <s v="URBAN"/>
    <s v="NON-IS"/>
    <n v="16"/>
    <s v="F"/>
    <n v="74.260000000000005"/>
    <n v="83.51"/>
    <s v=""/>
    <s v=""/>
    <s v=""/>
    <n v="0.08"/>
    <n v="47"/>
    <n v="68.8"/>
    <n v="68.8"/>
    <n v="88.65"/>
    <n v="93.3"/>
    <n v="87.1"/>
    <n v="0.25"/>
    <n v="50"/>
    <n v="55.03"/>
    <n v="55.03"/>
    <n v="100"/>
    <n v="100"/>
    <n v="100"/>
    <n v="0.21"/>
    <n v="49"/>
    <x v="5"/>
    <m/>
    <s v="Preventive Maintenance"/>
    <n v="489248.33864849189"/>
    <n v="52187.661351508112"/>
    <n v="541436"/>
    <n v="43.1"/>
    <n v="24.2"/>
    <n v="17.899999999999999"/>
    <s v=""/>
    <s v=""/>
    <n v="17.899999999999999"/>
    <s v="D"/>
    <n v="49.3"/>
    <n v="32.1"/>
    <n v="28.3"/>
    <s v=""/>
    <s v=""/>
    <n v="28.3"/>
    <n v="10.400000000000002"/>
    <n v="4"/>
    <n v="29.224000000000007"/>
    <n v="7.755700916858177"/>
    <n v="21.793519576371477"/>
    <n v="24843.89903625409"/>
    <n v="192681.85053380782"/>
    <n v="10.3"/>
    <n v="541436"/>
    <n v="541436"/>
    <n v="0"/>
    <s v=""/>
    <s v="2011"/>
    <s v="WI-MD 3501.562.9W"/>
  </r>
  <r>
    <s v="eGIS Link"/>
    <n v="298"/>
    <s v="EastBound Visi-Data"/>
    <s v="75312"/>
    <n v="2017"/>
    <n v="1"/>
    <x v="2"/>
    <s v="WI"/>
    <s v="WI-MD 349"/>
    <s v="0-1.29(E)"/>
    <s v="MD"/>
    <s v="349"/>
    <s v=""/>
    <n v="0"/>
    <n v="1.29"/>
    <s v="E"/>
    <s v="CUL DE SAC"/>
    <s v="HICKMAN LA"/>
    <n v="2"/>
    <n v="2.58"/>
    <s v="UNDIVIDED"/>
    <s v="URBAN"/>
    <s v="NON-IS"/>
    <n v="9"/>
    <s v="FCJ"/>
    <n v="106.02"/>
    <n v="104.72"/>
    <n v="86.6"/>
    <n v="96.7"/>
    <n v="83.3"/>
    <n v="0.13"/>
    <n v="57"/>
    <n v="85.64"/>
    <n v="85.64"/>
    <n v="87.075000000000003"/>
    <n v="82.2"/>
    <n v="88.7"/>
    <n v="0.16"/>
    <n v="39"/>
    <n v="63.84"/>
    <n v="63.84"/>
    <n v="100"/>
    <n v="100"/>
    <n v="100"/>
    <n v="0.14000000000000001"/>
    <n v="49"/>
    <x v="5"/>
    <m/>
    <s v="Preventive Maintenance"/>
    <n v="463375.20187789988"/>
    <n v="49427.798122100125"/>
    <n v="512803"/>
    <n v="34.9"/>
    <n v="41.9"/>
    <n v="23.6"/>
    <s v=""/>
    <s v=""/>
    <n v="23.6"/>
    <s v="C"/>
    <n v="43.4"/>
    <n v="50"/>
    <n v="35"/>
    <s v=""/>
    <s v=""/>
    <n v="35"/>
    <n v="11.399999999999999"/>
    <n v="4"/>
    <n v="29.411999999999995"/>
    <n v="8.5014413896329994"/>
    <n v="21.933718785253138"/>
    <n v="23379.665118382785"/>
    <n v="198760.85271317829"/>
    <n v="11.4"/>
    <n v="512803"/>
    <n v="512803"/>
    <n v="0"/>
    <s v=""/>
    <s v="2002"/>
    <s v="WI-MD 34901.29E"/>
  </r>
  <r>
    <s v="eGIS Link"/>
    <n v="281"/>
    <s v="EastBound Visi-Data"/>
    <s v="77124"/>
    <n v="2017"/>
    <n v="1"/>
    <x v="3"/>
    <s v="WO"/>
    <s v="WO-MD 575J"/>
    <s v="0-0.127(E)"/>
    <s v="MD"/>
    <s v="575"/>
    <s v="J"/>
    <n v="0"/>
    <n v="0.127"/>
    <s v="E"/>
    <s v=""/>
    <s v=""/>
    <n v="2"/>
    <n v="0.25"/>
    <s v="UNDIVIDED"/>
    <s v="RURAL"/>
    <s v="NON-IS"/>
    <n v="9"/>
    <s v="F"/>
    <s v=""/>
    <s v=""/>
    <s v=""/>
    <s v=""/>
    <s v=""/>
    <s v=""/>
    <s v=""/>
    <n v="74.790000000000006"/>
    <n v="74.790000000000006"/>
    <n v="88.174999999999997"/>
    <n v="88.7"/>
    <n v="88"/>
    <n v="0.14000000000000001"/>
    <n v="53"/>
    <n v="79.08"/>
    <n v="79.08"/>
    <n v="86.05"/>
    <n v="88.9"/>
    <n v="85.1"/>
    <n v="0.14000000000000001"/>
    <n v="51"/>
    <x v="0"/>
    <m/>
    <s v="Preventive Maintenance"/>
    <n v="7355.6986047410619"/>
    <n v="322.3013952589381"/>
    <n v="7678"/>
    <n v="30.1"/>
    <n v="26.9"/>
    <n v="30.2"/>
    <s v=""/>
    <s v=""/>
    <n v="26.9"/>
    <s v="C"/>
    <n v="29.9"/>
    <n v="28"/>
    <n v="30.2"/>
    <s v=""/>
    <s v=""/>
    <n v="28"/>
    <n v="1.1000000000000014"/>
    <n v="1"/>
    <n v="0.5"/>
    <n v="1.4914809455496492"/>
    <n v="0.37287023638741229"/>
    <n v="20591.61405423241"/>
    <n v="30712"/>
    <n v="1.1000000000000001"/>
    <n v="7678"/>
    <n v="7678"/>
    <n v="0"/>
    <s v=""/>
    <s v="2003"/>
    <s v="WO-MD 575J00.127E"/>
  </r>
  <r>
    <s v="eGIS Link"/>
    <n v="65"/>
    <s v="SouthBound Visi-Data"/>
    <s v="77102"/>
    <n v="2017"/>
    <n v="1"/>
    <x v="3"/>
    <s v="WO"/>
    <s v="WO-MD 368"/>
    <s v="0-0.28(S)"/>
    <s v="MD"/>
    <s v="368"/>
    <s v=""/>
    <n v="0"/>
    <n v="0.28000000000000003"/>
    <s v="S"/>
    <s v="ST MARTINS NECK RD (BACK)"/>
    <s v="BISHOPVILLE RD"/>
    <n v="2"/>
    <n v="0.56000000000000005"/>
    <s v="UNDIVIDED"/>
    <s v="RURAL"/>
    <s v="NON-IS"/>
    <n v="8"/>
    <s v="F"/>
    <s v=""/>
    <s v=""/>
    <s v=""/>
    <s v=""/>
    <s v=""/>
    <s v=""/>
    <s v=""/>
    <n v="56.86"/>
    <n v="56.86"/>
    <n v="90.825000000000003"/>
    <n v="84.3"/>
    <n v="93"/>
    <n v="0.2"/>
    <n v="57"/>
    <n v="59.96"/>
    <n v="59.96"/>
    <n v="89.075000000000003"/>
    <n v="85.4"/>
    <n v="90.3"/>
    <n v="0.2"/>
    <n v="55"/>
    <x v="0"/>
    <m/>
    <s v="Preventive Maintenance"/>
    <n v="3090.5813621899802"/>
    <n v="135.41863781001985"/>
    <n v="3226"/>
    <n v="41"/>
    <n v="23"/>
    <n v="26.8"/>
    <s v=""/>
    <s v=""/>
    <n v="23"/>
    <s v="C"/>
    <n v="40.6"/>
    <n v="24.4"/>
    <n v="26.8"/>
    <s v=""/>
    <s v=""/>
    <n v="24.4"/>
    <n v="1.3999999999999986"/>
    <n v="1"/>
    <n v="1.1200000000000001"/>
    <n v="1.4914809455496492"/>
    <n v="0.8352293295078036"/>
    <n v="3862.4122573629752"/>
    <n v="5760.7142857142853"/>
    <n v="1.4"/>
    <n v="3226"/>
    <n v="3226"/>
    <n v="0"/>
    <s v=""/>
    <s v="2008"/>
    <s v="WO-MD 36800.28S"/>
  </r>
  <r>
    <s v="eGIS Link"/>
    <n v="91"/>
    <s v="EastBound Visi-Data"/>
    <s v="77100"/>
    <n v="2017"/>
    <n v="1"/>
    <x v="3"/>
    <s v="WO"/>
    <s v="WO-MD 366"/>
    <s v="6.3-8.1(E)"/>
    <s v="MD"/>
    <s v="366"/>
    <s v=""/>
    <n v="6.3"/>
    <n v="8.1"/>
    <s v="E"/>
    <s v="BIRD HILL RD"/>
    <s v="GRANT RD"/>
    <n v="2.2000000000000002"/>
    <n v="3.96"/>
    <s v="UNDIVIDED"/>
    <s v="RURAL"/>
    <s v="NON-IS"/>
    <n v="7"/>
    <s v="FCJ"/>
    <n v="92.16"/>
    <n v="89.59"/>
    <n v="64.599999999999994"/>
    <n v="64.2"/>
    <n v="64.7"/>
    <n v="0.2"/>
    <n v="53"/>
    <n v="70.83"/>
    <n v="70.83"/>
    <n v="89.275000000000006"/>
    <n v="86.2"/>
    <n v="90.3"/>
    <n v="0.12"/>
    <n v="49"/>
    <n v="74.56"/>
    <n v="74.56"/>
    <n v="87.25"/>
    <n v="86.8"/>
    <n v="87.4"/>
    <n v="0.12"/>
    <n v="47"/>
    <x v="0"/>
    <m/>
    <s v="Preventive Maintenance"/>
    <n v="29893.183584753238"/>
    <n v="1309.8164152467616"/>
    <n v="31203"/>
    <n v="30.7"/>
    <n v="23.7"/>
    <n v="25.8"/>
    <s v=""/>
    <s v=""/>
    <n v="23.7"/>
    <s v="C"/>
    <n v="30.4"/>
    <n v="25"/>
    <n v="25.8"/>
    <s v=""/>
    <s v=""/>
    <n v="25"/>
    <n v="1.3000000000000007"/>
    <n v="1"/>
    <n v="7.92"/>
    <n v="1.4914809455496492"/>
    <n v="5.9062645443766106"/>
    <n v="5283.0346093638082"/>
    <n v="7879.545454545455"/>
    <n v="1.3"/>
    <n v="31203"/>
    <n v="31203"/>
    <n v="0"/>
    <s v=""/>
    <s v="1995"/>
    <s v="WO-MD 3666.38.1E"/>
  </r>
  <r>
    <s v="eGIS Link"/>
    <n v="407"/>
    <s v="EastBound Visi-Data"/>
    <s v="77251"/>
    <n v="2017"/>
    <n v="1"/>
    <x v="3"/>
    <s v="WO"/>
    <s v="WO-MD 90 RP5-5"/>
    <s v="0-0.04(E)"/>
    <s v="MD"/>
    <s v="90"/>
    <s v=""/>
    <n v="0"/>
    <n v="0.04"/>
    <s v="E"/>
    <s v=""/>
    <s v=""/>
    <n v="1"/>
    <n v="0.04"/>
    <s v="UNDIVIDED"/>
    <s v="URBAN"/>
    <s v="NON-IS"/>
    <n v="12"/>
    <s v=""/>
    <s v=""/>
    <s v=""/>
    <s v=""/>
    <s v=""/>
    <s v=""/>
    <s v=""/>
    <s v=""/>
    <n v="87.52"/>
    <n v="87.52"/>
    <n v="89.1"/>
    <n v="93.6"/>
    <n v="87.6"/>
    <n v="0.11"/>
    <n v="34"/>
    <n v="54.03"/>
    <n v="54.03"/>
    <n v="100"/>
    <n v="100"/>
    <n v="100"/>
    <n v="0.08"/>
    <n v="49"/>
    <x v="1"/>
    <m/>
    <s v="Minor Rehabilitation"/>
    <n v="110004.88238449005"/>
    <n v="11734.117615509953"/>
    <n v="121739"/>
    <n v="34.9"/>
    <n v="24.4"/>
    <n v="18.2"/>
    <s v=""/>
    <s v=""/>
    <n v="18.2"/>
    <s v="D"/>
    <n v="50"/>
    <n v="32.1"/>
    <n v="28.3"/>
    <s v=""/>
    <s v=""/>
    <n v="28.3"/>
    <n v="10.100000000000001"/>
    <n v="6"/>
    <n v="0.48"/>
    <n v="8.9488856732978945"/>
    <n v="0.35795542693191579"/>
    <n v="340095.41646970232"/>
    <n v="3043475"/>
    <n v="10.1"/>
    <n v="121739"/>
    <n v="121739"/>
    <n v="0"/>
    <s v=""/>
    <s v=""/>
    <s v="WO-MD 90 RP5-500.04E"/>
  </r>
  <r>
    <s v="eGIS Link"/>
    <n v="408"/>
    <s v="NorthBound Visi-Data"/>
    <s v="77119"/>
    <n v="2017"/>
    <n v="1"/>
    <x v="3"/>
    <s v="WO"/>
    <s v="WO-MD 575E"/>
    <s v="0.07-0.21(N)"/>
    <s v="MD"/>
    <s v="575"/>
    <s v="E"/>
    <n v="7.0000000000000007E-2"/>
    <n v="0.21"/>
    <s v="N"/>
    <s v=""/>
    <s v=""/>
    <n v="2"/>
    <n v="0.28000000000000003"/>
    <s v="UNDIVIDED"/>
    <s v="URBAN"/>
    <s v="NON-IS"/>
    <n v="9"/>
    <s v=""/>
    <s v=""/>
    <s v=""/>
    <s v=""/>
    <s v=""/>
    <s v=""/>
    <s v=""/>
    <s v=""/>
    <n v="156.94999999999999"/>
    <n v="156.94999999999999"/>
    <n v="88.1"/>
    <n v="95"/>
    <n v="85.8"/>
    <n v="0.22"/>
    <n v="43"/>
    <n v="77.239999999999995"/>
    <n v="77.239999999999995"/>
    <n v="100"/>
    <n v="100"/>
    <n v="100"/>
    <n v="0.12"/>
    <n v="49"/>
    <x v="1"/>
    <m/>
    <s v="Minor Rehabilitation"/>
    <n v="822070.50984576566"/>
    <n v="87689.490154234343"/>
    <n v="909760"/>
    <n v="15.5"/>
    <n v="25.8"/>
    <n v="17.2"/>
    <s v=""/>
    <s v=""/>
    <n v="15.5"/>
    <s v="D"/>
    <n v="41.7"/>
    <n v="32.1"/>
    <n v="28.3"/>
    <s v=""/>
    <s v=""/>
    <n v="28.3"/>
    <n v="12.8"/>
    <n v="6"/>
    <n v="3.5840000000000005"/>
    <n v="9.5454780515177546"/>
    <n v="2.6727338544249717"/>
    <n v="340385.55634479038"/>
    <n v="3249142.8571428568"/>
    <n v="12.7"/>
    <n v="909760"/>
    <n v="909760"/>
    <n v="0"/>
    <s v=""/>
    <s v=""/>
    <s v="WO-MD 575E0.070.21N"/>
  </r>
  <r>
    <s v="eGIS Link"/>
    <n v="64"/>
    <s v="SouthBound Visi-Data"/>
    <s v="77131"/>
    <n v="2017"/>
    <n v="1"/>
    <x v="3"/>
    <s v="WO"/>
    <s v="WO-MD 611"/>
    <s v="7.01-8.51(S)"/>
    <s v="MD"/>
    <s v="611"/>
    <s v=""/>
    <n v="7.01"/>
    <n v="8.51"/>
    <s v="S"/>
    <s v="AIRPORT RD"/>
    <s v="OCEAN GATEWAY"/>
    <n v="2.8"/>
    <n v="4.2"/>
    <s v="UNDIVIDED"/>
    <s v="URBAN"/>
    <s v="NON-IS"/>
    <n v="14"/>
    <s v="F"/>
    <n v="98.6"/>
    <n v="103.63"/>
    <n v="92"/>
    <n v="95"/>
    <n v="91.1"/>
    <n v="0.11"/>
    <n v="40"/>
    <n v="170.55"/>
    <n v="170.55"/>
    <n v="69.974999999999994"/>
    <n v="80.7"/>
    <n v="66.400000000000006"/>
    <n v="0.2"/>
    <n v="39"/>
    <n v="82.27"/>
    <n v="82.27"/>
    <n v="100"/>
    <n v="100"/>
    <n v="100"/>
    <n v="0.08"/>
    <n v="49"/>
    <x v="1"/>
    <m/>
    <s v="Minor Rehabilitation"/>
    <n v="235752.5017793267"/>
    <n v="25147.498220673297"/>
    <n v="260900"/>
    <n v="12.5"/>
    <n v="12.5"/>
    <n v="7.8"/>
    <s v=""/>
    <s v=""/>
    <n v="7.8"/>
    <s v="E"/>
    <n v="35.9"/>
    <n v="33"/>
    <n v="29.7"/>
    <s v=""/>
    <s v=""/>
    <n v="29.7"/>
    <n v="21.9"/>
    <n v="6"/>
    <n v="91.98"/>
    <n v="16.331716353768659"/>
    <n v="68.593208685828372"/>
    <n v="3803.5835470968859"/>
    <n v="62119.047619047618"/>
    <n v="21.9"/>
    <n v="260900"/>
    <n v="260900"/>
    <n v="0"/>
    <s v=""/>
    <s v="2006"/>
    <s v="WO-MD 6117.018.51S"/>
  </r>
  <r>
    <s v="eGIS Link"/>
    <n v="137"/>
    <s v="SouthBound Visi-Data"/>
    <s v="77281"/>
    <n v="2017"/>
    <n v="1"/>
    <x v="3"/>
    <s v="WO"/>
    <s v="WO-US 13BU"/>
    <s v="0-2.06(S)"/>
    <s v="US"/>
    <s v="13"/>
    <s v="BU"/>
    <n v="0"/>
    <n v="2.06"/>
    <s v="S"/>
    <s v="OCEAN HWY"/>
    <s v="SOMERSET CO/L"/>
    <n v="1.9"/>
    <n v="3.91"/>
    <s v="UNDIVIDED"/>
    <s v="RURAL"/>
    <s v="NON-IS"/>
    <n v="7"/>
    <s v="FCJ"/>
    <n v="143.87"/>
    <n v="117.76"/>
    <s v=""/>
    <s v=""/>
    <s v=""/>
    <n v="0.09"/>
    <n v="39"/>
    <n v="90.44"/>
    <n v="90.44"/>
    <n v="65.95"/>
    <n v="78.099999999999994"/>
    <n v="61.9"/>
    <n v="0.09"/>
    <n v="44"/>
    <n v="46.97"/>
    <n v="46.97"/>
    <n v="100"/>
    <n v="100"/>
    <n v="100"/>
    <n v="0.08"/>
    <n v="49"/>
    <x v="2"/>
    <m/>
    <s v="Structural Overlay"/>
    <n v="432290.51742830413"/>
    <n v="18941.482571695873"/>
    <n v="451232"/>
    <n v="15.3"/>
    <n v="21.1"/>
    <n v="3.6"/>
    <s v=""/>
    <s v=""/>
    <n v="3.6"/>
    <s v="E"/>
    <n v="38"/>
    <n v="32.700000000000003"/>
    <n v="24.8"/>
    <s v=""/>
    <s v=""/>
    <n v="24.8"/>
    <n v="21.2"/>
    <n v="6"/>
    <n v="82.891999999999996"/>
    <n v="15.80969802282628"/>
    <n v="61.815919269250756"/>
    <n v="7299.6083425464394"/>
    <n v="115404.60358056266"/>
    <n v="21.3"/>
    <n v="451232"/>
    <n v="451232"/>
    <n v="0"/>
    <s v=""/>
    <s v="2006"/>
    <s v="WO-US 13BU02.06S"/>
  </r>
  <r>
    <s v="eGIS Link"/>
    <n v="189"/>
    <s v="SouthBound Visi-Data"/>
    <s v="77286"/>
    <n v="2017"/>
    <n v="1"/>
    <x v="3"/>
    <s v="WO"/>
    <s v="WO-US 113"/>
    <s v="13.57-16.1(S)"/>
    <s v="US"/>
    <s v="113"/>
    <s v=""/>
    <n v="13.57"/>
    <n v="16.100000000000001"/>
    <s v="S"/>
    <s v="STRUC #23029 PURNELL BRANCH"/>
    <s v="MILE MARKER 16.0"/>
    <n v="2.2000000000000002"/>
    <n v="5.57"/>
    <s v="UNDIVIDED"/>
    <s v="RURAL"/>
    <s v="NON-IS"/>
    <n v="2"/>
    <s v="FCJ"/>
    <n v="60.8"/>
    <n v="72.48"/>
    <n v="87.6"/>
    <n v="93.1"/>
    <n v="85.8"/>
    <n v="0.09"/>
    <n v="47"/>
    <n v="71.55"/>
    <n v="71.55"/>
    <n v="68.45"/>
    <n v="72.2"/>
    <n v="67.2"/>
    <n v="0.1"/>
    <n v="48"/>
    <n v="43.62"/>
    <n v="43.62"/>
    <n v="100"/>
    <n v="100"/>
    <n v="100"/>
    <n v="0.08"/>
    <n v="49"/>
    <x v="2"/>
    <m/>
    <s v="Structural Overlay"/>
    <n v="804726.64807249687"/>
    <n v="35260.351927503129"/>
    <n v="839987"/>
    <n v="19.8"/>
    <n v="18.5"/>
    <n v="5.5"/>
    <s v=""/>
    <s v=""/>
    <n v="5.5"/>
    <s v="E"/>
    <n v="40"/>
    <n v="32.700000000000003"/>
    <n v="24.8"/>
    <s v=""/>
    <s v=""/>
    <n v="24.8"/>
    <n v="19.3"/>
    <n v="6"/>
    <n v="107.501"/>
    <n v="14.392791124554115"/>
    <n v="80.167846563766432"/>
    <n v="10477.854102415793"/>
    <n v="150805.56552962298"/>
    <n v="19.3"/>
    <n v="839987"/>
    <n v="839987"/>
    <n v="0"/>
    <s v=""/>
    <s v="2004"/>
    <s v="WO-US 11313.5716.1S"/>
  </r>
  <r>
    <s v="eGIS Link"/>
    <n v="79"/>
    <s v="SouthBound Visi-Data"/>
    <s v="77286"/>
    <n v="2017"/>
    <n v="1"/>
    <x v="3"/>
    <s v="WO"/>
    <s v="WO-US 113"/>
    <s v="32.18-34.75(S)"/>
    <s v="US"/>
    <s v="113"/>
    <s v=""/>
    <n v="32.18"/>
    <n v="34.75"/>
    <s v="S"/>
    <s v="RAMP 2 FR MD 90 TO US 113"/>
    <s v="JARVIS RD"/>
    <n v="2.6"/>
    <n v="6.68"/>
    <s v="DIVIDED"/>
    <s v="RURAL"/>
    <s v="NON-IS"/>
    <n v="2"/>
    <s v="F"/>
    <n v="101.8"/>
    <n v="99.51"/>
    <n v="67.2"/>
    <n v="85.5"/>
    <n v="61.1"/>
    <n v="0.11"/>
    <n v="46"/>
    <n v="66.36"/>
    <n v="66.36"/>
    <n v="68.875"/>
    <n v="80.2"/>
    <n v="65.099999999999994"/>
    <n v="0.17"/>
    <n v="49"/>
    <n v="42.59"/>
    <n v="42.59"/>
    <n v="100"/>
    <n v="100"/>
    <n v="100"/>
    <n v="0.08"/>
    <n v="49"/>
    <x v="2"/>
    <m/>
    <s v="Structural Overlay"/>
    <n v="632532.59864327649"/>
    <n v="27715.401356723509"/>
    <n v="660248"/>
    <n v="29.5"/>
    <n v="31.5"/>
    <n v="22.1"/>
    <s v=""/>
    <s v=""/>
    <n v="22.1"/>
    <s v="C"/>
    <n v="50"/>
    <n v="49.8"/>
    <n v="50"/>
    <s v=""/>
    <s v=""/>
    <n v="49.8"/>
    <n v="27.699999999999996"/>
    <n v="6"/>
    <n v="185.03599999999997"/>
    <n v="20.657011095862639"/>
    <n v="137.98883412036241"/>
    <n v="4784.7929450877946"/>
    <n v="98839.520958083842"/>
    <n v="27.7"/>
    <n v="660248"/>
    <n v="660248"/>
    <n v="0"/>
    <s v=""/>
    <s v="2002"/>
    <s v="WO-US 11332.1834.75S"/>
  </r>
  <r>
    <s v="eGIS Link"/>
    <n v="312"/>
    <s v="EastBound Visi-Data"/>
    <s v="77090"/>
    <n v="2017"/>
    <n v="1"/>
    <x v="3"/>
    <s v="WO"/>
    <s v="WO-MD 90"/>
    <s v="0-1.48(E)"/>
    <s v="MD"/>
    <s v="90"/>
    <s v=""/>
    <n v="0"/>
    <n v="1.48"/>
    <s v="E"/>
    <s v="OCEAN GATEWAY"/>
    <s v="STRUC #23025"/>
    <n v="1.6"/>
    <n v="2.37"/>
    <s v="UNDIVIDED"/>
    <s v="RURAL"/>
    <s v="NON-IS"/>
    <n v="2"/>
    <s v="F"/>
    <n v="95.82"/>
    <n v="94.82"/>
    <n v="84.4"/>
    <n v="90.4"/>
    <n v="82.3"/>
    <n v="0.17"/>
    <n v="50"/>
    <n v="93.57"/>
    <n v="93.57"/>
    <n v="74.8"/>
    <n v="83.8"/>
    <n v="71.8"/>
    <n v="0.13"/>
    <n v="45"/>
    <n v="47.39"/>
    <n v="47.39"/>
    <n v="100"/>
    <n v="100"/>
    <n v="100"/>
    <n v="0.08"/>
    <n v="49"/>
    <x v="2"/>
    <m/>
    <s v="Structural Overlay"/>
    <n v="1071907.6942406429"/>
    <n v="46967.305759357056"/>
    <n v="1118875"/>
    <n v="28.6"/>
    <n v="38.4"/>
    <n v="39.700000000000003"/>
    <s v=""/>
    <s v=""/>
    <n v="28.6"/>
    <s v="C"/>
    <n v="50"/>
    <n v="50"/>
    <n v="50"/>
    <s v=""/>
    <s v=""/>
    <n v="50"/>
    <n v="21.4"/>
    <n v="6"/>
    <n v="50.717999999999996"/>
    <n v="15.958846117381245"/>
    <n v="37.822465298193556"/>
    <n v="29582.286378710451"/>
    <n v="472099.15611814347"/>
    <n v="25.1"/>
    <n v="1118875"/>
    <n v="1118875"/>
    <n v="0"/>
    <s v=""/>
    <s v="1998"/>
    <s v="WO-MD 9001.48E"/>
  </r>
  <r>
    <s v="eGIS Link"/>
    <n v="331"/>
    <s v="West Bound Visi-Data"/>
    <s v="77282"/>
    <n v="2017"/>
    <n v="1"/>
    <x v="3"/>
    <s v="WO"/>
    <s v="WO-US 50"/>
    <s v="14.23-14.4(W)"/>
    <s v="US"/>
    <s v="50"/>
    <s v=""/>
    <n v="14.23"/>
    <n v="14.4"/>
    <s v="W"/>
    <s v="N DIVISION ST"/>
    <s v="BALTIMORE AVE"/>
    <n v="3.6"/>
    <n v="0.61"/>
    <s v="UNDIVIDED"/>
    <s v="RURAL"/>
    <s v="NON-IS"/>
    <n v="14"/>
    <s v="FCJ"/>
    <n v="231.27"/>
    <n v="163.59"/>
    <n v="90.5"/>
    <n v="87.8"/>
    <n v="91.4"/>
    <n v="0.18"/>
    <n v="50"/>
    <n v="77.75"/>
    <n v="77.75"/>
    <n v="94.35"/>
    <n v="92.1"/>
    <n v="95.1"/>
    <n v="0.2"/>
    <n v="46"/>
    <n v="85.2"/>
    <n v="85.2"/>
    <n v="98.75"/>
    <n v="99.5"/>
    <n v="98.5"/>
    <n v="0.2"/>
    <n v="55"/>
    <x v="4"/>
    <m/>
    <s v="Preventive Maintenance"/>
    <n v="139334.827438596"/>
    <n v="6105.1725614040042"/>
    <n v="145440"/>
    <n v="18.8"/>
    <n v="26.6"/>
    <n v="14.6"/>
    <s v=""/>
    <s v=""/>
    <n v="14.6"/>
    <s v="D"/>
    <n v="20"/>
    <n v="32"/>
    <n v="17.5"/>
    <s v=""/>
    <s v=""/>
    <n v="17.5"/>
    <n v="4"/>
    <n v="4"/>
    <n v="4.88"/>
    <n v="5.9659237821985966"/>
    <n v="3.639213507141144"/>
    <n v="39964.679102945316"/>
    <n v="238426.22950819673"/>
    <n v="2.9"/>
    <n v="145440"/>
    <n v="145440"/>
    <n v="0"/>
    <s v=""/>
    <s v="2003"/>
    <s v="WO-US 5014.2314.4W"/>
  </r>
  <r>
    <s v="eGIS Link"/>
    <n v="288"/>
    <s v="West Bound Visi-Data"/>
    <s v="77093"/>
    <n v="2017"/>
    <n v="1"/>
    <x v="3"/>
    <s v="WO"/>
    <s v="WO-MD 346"/>
    <s v="8.35-9.26(W)"/>
    <s v="MD"/>
    <s v="346"/>
    <s v=""/>
    <n v="8.35"/>
    <n v="9.26"/>
    <s v="W"/>
    <s v="WILLIAMS ST"/>
    <s v="OCEAN GATEWAY"/>
    <n v="2.6"/>
    <n v="2.36"/>
    <s v="UNDIVIDED"/>
    <s v="RURAL"/>
    <s v="NON-IS"/>
    <n v="16"/>
    <s v="FCJ"/>
    <n v="185.94"/>
    <n v="143.91"/>
    <s v=""/>
    <s v=""/>
    <s v=""/>
    <n v="0.14000000000000001"/>
    <n v="39"/>
    <n v="86.02"/>
    <n v="86.02"/>
    <n v="78.25"/>
    <n v="77.2"/>
    <n v="78.599999999999994"/>
    <n v="0.12"/>
    <n v="41"/>
    <n v="94.35"/>
    <n v="94.35"/>
    <n v="96.075000000000003"/>
    <n v="98.7"/>
    <n v="95.2"/>
    <n v="0.12"/>
    <n v="55"/>
    <x v="4"/>
    <m/>
    <s v="Preventive Maintenance"/>
    <n v="296145.90571695322"/>
    <n v="12976.094283046783"/>
    <n v="309122"/>
    <n v="24.2"/>
    <n v="22.7"/>
    <n v="15"/>
    <s v=""/>
    <s v=""/>
    <n v="15"/>
    <s v="D"/>
    <n v="26"/>
    <n v="33.299999999999997"/>
    <n v="20.399999999999999"/>
    <s v=""/>
    <s v=""/>
    <n v="20.399999999999999"/>
    <n v="5.3999999999999986"/>
    <n v="4"/>
    <n v="18.88"/>
    <n v="5.9659237821985966"/>
    <n v="14.079580125988688"/>
    <n v="21955.34222142104"/>
    <n v="130983.89830508475"/>
    <n v="5.3"/>
    <n v="309122"/>
    <n v="309122"/>
    <n v="0"/>
    <s v=""/>
    <s v="1998"/>
    <s v="WO-MD 3468.359.26W"/>
  </r>
  <r>
    <s v="eGIS Link"/>
    <n v="31"/>
    <s v="SouthBound Visi-Data"/>
    <s v="77286"/>
    <n v="2017"/>
    <n v="1"/>
    <x v="3"/>
    <s v="WO"/>
    <s v="WO-US 113"/>
    <s v="27.24-29.15(S)"/>
    <s v="US"/>
    <s v="113"/>
    <s v=""/>
    <n v="27.24"/>
    <n v="29.15"/>
    <s v="S"/>
    <s v="S MAIN ST"/>
    <s v="RAMP 6 FR US 50 TO US 113"/>
    <n v="2.9"/>
    <n v="5.54"/>
    <s v="DIVIDED"/>
    <s v="RURAL"/>
    <s v="NON-IS"/>
    <n v="12"/>
    <s v="FCJ"/>
    <n v="57.88"/>
    <n v="55.28"/>
    <n v="98"/>
    <n v="96.1"/>
    <n v="98.6"/>
    <n v="0.08"/>
    <n v="43"/>
    <n v="70.2"/>
    <n v="70.2"/>
    <n v="85.55"/>
    <n v="73.400000000000006"/>
    <n v="89.6"/>
    <n v="0.12"/>
    <n v="47"/>
    <n v="76.8"/>
    <n v="76.8"/>
    <n v="97.625"/>
    <n v="98.6"/>
    <n v="97.3"/>
    <n v="0.12"/>
    <n v="55"/>
    <x v="4"/>
    <m/>
    <s v="Preventive Maintenance"/>
    <n v="54307.435114216802"/>
    <n v="2379.5648857831984"/>
    <n v="56687"/>
    <n v="21.3"/>
    <n v="19"/>
    <n v="12.5"/>
    <s v=""/>
    <s v=""/>
    <n v="12.5"/>
    <s v="D"/>
    <n v="22.7"/>
    <n v="31.1"/>
    <n v="16.7"/>
    <s v=""/>
    <s v=""/>
    <n v="16.7"/>
    <n v="4.1999999999999993"/>
    <n v="4"/>
    <n v="44.32"/>
    <n v="5.9659237821985966"/>
    <n v="33.051217753380229"/>
    <n v="1715.1259122427489"/>
    <n v="10232.310469314079"/>
    <n v="4.2"/>
    <n v="56687"/>
    <n v="56687"/>
    <n v="0"/>
    <s v=""/>
    <s v="2005"/>
    <s v="WO-US 11327.2429.15S"/>
  </r>
  <r>
    <s v="eGIS Link"/>
    <n v="254"/>
    <s v="EastBound Visi-Data"/>
    <s v="75551"/>
    <n v="2017"/>
    <n v="1"/>
    <x v="4"/>
    <s v="WI"/>
    <s v="WI-US 50 RP2-109"/>
    <s v="0-0.233(E)"/>
    <s v="US"/>
    <s v="50"/>
    <s v=""/>
    <n v="0"/>
    <n v="0.23300000000000001"/>
    <s v="E"/>
    <s v=""/>
    <s v=""/>
    <s v=""/>
    <n v="0.46"/>
    <s v="UNDIVIDED"/>
    <s v="RURAL"/>
    <s v="NON-IS"/>
    <n v="12"/>
    <s v=""/>
    <s v=""/>
    <s v=""/>
    <s v=""/>
    <s v=""/>
    <s v=""/>
    <s v=""/>
    <s v=""/>
    <n v="52.82"/>
    <n v="52.82"/>
    <n v="74.75"/>
    <n v="56"/>
    <n v="81"/>
    <n v="0.13"/>
    <n v="47"/>
    <n v="55.5"/>
    <n v="55.5"/>
    <n v="74.775000000000006"/>
    <n v="61.5"/>
    <n v="79.2"/>
    <n v="0.13"/>
    <n v="45"/>
    <x v="0"/>
    <m/>
    <s v="Preventive Maintenance"/>
    <n v="10843.859404410534"/>
    <n v="475.1405955894661"/>
    <n v="11319"/>
    <n v="37.4"/>
    <n v="0"/>
    <n v="11.1"/>
    <s v=""/>
    <s v=""/>
    <n v="0"/>
    <s v="F"/>
    <n v="36.799999999999997"/>
    <n v="1.8"/>
    <n v="11.1"/>
    <s v=""/>
    <s v=""/>
    <n v="1.8"/>
    <n v="1.8"/>
    <n v="1"/>
    <n v="0.92"/>
    <n v="1.4914809455496492"/>
    <n v="0.68608123495283868"/>
    <n v="16498.046329423469"/>
    <n v="24606.521739130432"/>
    <n v="1.8"/>
    <n v="11319"/>
    <n v="11319"/>
    <n v="0"/>
    <s v=""/>
    <s v=""/>
    <s v="WI-US 50 RP2-10900.233E"/>
  </r>
  <r>
    <s v="eGIS Link"/>
    <n v="6"/>
    <s v="NorthBound Visi-Data"/>
    <s v="31988"/>
    <n v="2017"/>
    <n v="1"/>
    <x v="4"/>
    <s v="DO"/>
    <s v="DO-MD 16"/>
    <s v="14.6-16.9(N)"/>
    <s v="MD"/>
    <s v="16"/>
    <s v=""/>
    <n v="14.6"/>
    <n v="16.899999999999999"/>
    <s v="N"/>
    <s v="RACE ST"/>
    <s v="OCEAN GATEWAY (AHEAD)"/>
    <n v="2.7"/>
    <n v="6.21"/>
    <s v="UNDIVIDED"/>
    <s v="RURAL"/>
    <s v="NON-IS"/>
    <n v="14"/>
    <s v="FLEXIBLE"/>
    <n v="101.71"/>
    <n v="101.34"/>
    <n v="98.4"/>
    <n v="97.3"/>
    <n v="98.8"/>
    <n v="0.15"/>
    <n v="38"/>
    <n v="60.87"/>
    <n v="60.87"/>
    <n v="89.45"/>
    <n v="86.9"/>
    <n v="90.3"/>
    <n v="0.17"/>
    <n v="46"/>
    <n v="63.96"/>
    <n v="63.96"/>
    <n v="87.4"/>
    <n v="87.4"/>
    <n v="87.4"/>
    <n v="0.17"/>
    <n v="44"/>
    <x v="0"/>
    <m/>
    <s v="Preventive Maintenance"/>
    <n v="4499.83281407512"/>
    <n v="197.16718592487996"/>
    <n v="4697"/>
    <n v="41.2"/>
    <n v="24"/>
    <n v="25.8"/>
    <s v=""/>
    <s v=""/>
    <n v="24"/>
    <s v="C"/>
    <n v="40.799999999999997"/>
    <n v="25.2"/>
    <n v="25.8"/>
    <s v=""/>
    <s v=""/>
    <n v="25.2"/>
    <n v="1.1999999999999993"/>
    <n v="1"/>
    <n v="12.42"/>
    <n v="1.4914809455496492"/>
    <n v="9.262096671863322"/>
    <n v="507.1205976794314"/>
    <n v="756.36070853462161"/>
    <n v="1.2"/>
    <n v="4697"/>
    <n v="4697"/>
    <n v="0"/>
    <s v=""/>
    <s v="2006"/>
    <s v="DO-MD 1614.616.9N"/>
  </r>
  <r>
    <s v="eGIS Link"/>
    <n v="141"/>
    <s v="West Bound Visi-Data"/>
    <s v="75548"/>
    <n v="2017"/>
    <n v="1"/>
    <x v="4"/>
    <s v="WI"/>
    <s v="WI-US 50 RP4-109"/>
    <s v="0-0.297(W)"/>
    <s v="US"/>
    <s v="50"/>
    <s v=""/>
    <n v="0"/>
    <n v="0.29699999999999999"/>
    <s v="W"/>
    <s v=""/>
    <s v=""/>
    <s v=""/>
    <n v="0.59"/>
    <s v="UNDIVIDED"/>
    <s v="RURAL"/>
    <s v="NON-IS"/>
    <n v="12"/>
    <s v=""/>
    <s v=""/>
    <s v=""/>
    <s v=""/>
    <s v=""/>
    <s v=""/>
    <s v=""/>
    <s v=""/>
    <n v="79.540000000000006"/>
    <n v="79.540000000000006"/>
    <n v="77.974999999999994"/>
    <n v="77.599999999999994"/>
    <n v="78.099999999999994"/>
    <n v="0.11"/>
    <n v="45"/>
    <n v="82.86"/>
    <n v="82.86"/>
    <n v="77.349999999999994"/>
    <n v="80.8"/>
    <n v="76.2"/>
    <n v="0.11"/>
    <n v="43"/>
    <x v="0"/>
    <m/>
    <s v="Preventive Maintenance"/>
    <n v="6298.9995215124363"/>
    <n v="276.00047848756367"/>
    <n v="6575"/>
    <n v="23.6"/>
    <n v="8.3000000000000007"/>
    <n v="9.5"/>
    <s v=""/>
    <s v=""/>
    <n v="8.3000000000000007"/>
    <s v="E"/>
    <n v="23.4"/>
    <n v="11.5"/>
    <n v="9.5"/>
    <s v=""/>
    <s v=""/>
    <n v="9.5"/>
    <n v="1.1999999999999993"/>
    <n v="1"/>
    <n v="1.18"/>
    <n v="1.4914809455496492"/>
    <n v="0.87997375787429299"/>
    <n v="7471.8137230397497"/>
    <n v="11144.06779661017"/>
    <n v="1.2"/>
    <n v="6575"/>
    <n v="6575"/>
    <n v="0"/>
    <s v=""/>
    <s v=""/>
    <s v="WI-US 50 RP4-10900.297W"/>
  </r>
  <r>
    <s v="eGIS Link"/>
    <n v="340"/>
    <s v="SouthBound Visi-Data"/>
    <s v="77264"/>
    <n v="2017"/>
    <n v="1"/>
    <x v="4"/>
    <s v="WO"/>
    <s v="WO-US 113 RP2-32"/>
    <s v="0-0.171(S)"/>
    <s v="US"/>
    <s v="113"/>
    <s v=""/>
    <n v="0"/>
    <n v="0.17100000000000001"/>
    <s v="S"/>
    <s v=""/>
    <s v=""/>
    <s v=""/>
    <n v="0.34"/>
    <s v="UNDIVIDED"/>
    <s v="RURAL"/>
    <s v="NON-IS"/>
    <n v="2"/>
    <s v=""/>
    <s v=""/>
    <s v=""/>
    <s v=""/>
    <s v=""/>
    <s v=""/>
    <s v=""/>
    <s v=""/>
    <n v="77.13"/>
    <n v="77.13"/>
    <n v="60.674999999999997"/>
    <n v="77.099999999999994"/>
    <n v="55.2"/>
    <n v="0.16"/>
    <n v="47"/>
    <n v="44.58"/>
    <n v="44.58"/>
    <n v="100"/>
    <n v="100"/>
    <n v="100"/>
    <n v="0.08"/>
    <n v="49"/>
    <x v="2"/>
    <m/>
    <s v="Structural Overlay"/>
    <n v="296965.01516043505"/>
    <n v="13011.984839564946"/>
    <n v="309977"/>
    <n v="19"/>
    <n v="20.7"/>
    <n v="0"/>
    <s v=""/>
    <s v=""/>
    <n v="0"/>
    <s v="F"/>
    <n v="39.4"/>
    <n v="32.700000000000003"/>
    <n v="24.8"/>
    <s v=""/>
    <s v=""/>
    <n v="24.8"/>
    <n v="24.8"/>
    <n v="6"/>
    <n v="8.4320000000000004"/>
    <n v="18.494363724815649"/>
    <n v="6.2880836664373208"/>
    <n v="49295.940773578419"/>
    <n v="911697.0588235294"/>
    <n v="24.8"/>
    <n v="309977"/>
    <n v="309977"/>
    <n v="0"/>
    <s v=""/>
    <s v=""/>
    <s v="WO-US 113 RP2-3200.171S"/>
  </r>
  <r>
    <s v="eGIS Link"/>
    <n v="353"/>
    <s v="NorthBound Visi-Data"/>
    <s v="77245"/>
    <n v="2017"/>
    <n v="1"/>
    <x v="4"/>
    <s v="WO"/>
    <s v="WO-US 50 RP6-134"/>
    <s v="0-0.39(N)"/>
    <s v="US"/>
    <s v="50"/>
    <s v=""/>
    <n v="0"/>
    <n v="0.39"/>
    <s v="N"/>
    <s v=""/>
    <s v=""/>
    <s v=""/>
    <n v="0.78"/>
    <s v="UNDIVIDED"/>
    <s v="URBAN"/>
    <s v="NON-IS"/>
    <n v="12"/>
    <s v=""/>
    <s v=""/>
    <s v=""/>
    <s v=""/>
    <s v=""/>
    <s v=""/>
    <s v=""/>
    <s v=""/>
    <n v="81.599999999999994"/>
    <n v="81.599999999999994"/>
    <n v="83.5"/>
    <n v="83.5"/>
    <n v="83.5"/>
    <n v="0.12"/>
    <n v="44"/>
    <n v="62.08"/>
    <n v="62.08"/>
    <n v="100"/>
    <n v="100"/>
    <n v="100"/>
    <n v="0.1"/>
    <n v="49"/>
    <x v="5"/>
    <m/>
    <s v="Preventive Maintenance"/>
    <n v="528380.18166135321"/>
    <n v="56361.818338646786"/>
    <n v="584742"/>
    <n v="27.1"/>
    <n v="40.4"/>
    <n v="16.2"/>
    <s v=""/>
    <s v=""/>
    <n v="16.2"/>
    <s v="D"/>
    <n v="32.1"/>
    <n v="50"/>
    <n v="32.9"/>
    <s v=""/>
    <s v=""/>
    <n v="32.1"/>
    <n v="15.900000000000002"/>
    <n v="4"/>
    <n v="12.402000000000003"/>
    <n v="11.857273517119713"/>
    <n v="9.2486733433533761"/>
    <n v="63224.419145501437"/>
    <n v="749669.23076923075"/>
    <n v="16"/>
    <n v="584742"/>
    <n v="584742"/>
    <n v="0"/>
    <s v=""/>
    <s v=""/>
    <s v="WO-US 50 RP6-13400.39N"/>
  </r>
  <r>
    <s v="eGIS Link"/>
    <n v="193"/>
    <s v="West Bound Visi-Data"/>
    <s v="67393"/>
    <n v="2017"/>
    <n v="2"/>
    <x v="5"/>
    <s v="QA"/>
    <s v="QA-MD 544"/>
    <s v="0-2.65(W)"/>
    <s v="MD"/>
    <s v="544"/>
    <s v=""/>
    <n v="0"/>
    <n v="2.65"/>
    <s v="W"/>
    <s v="CHURCH HILL RD"/>
    <s v="KIBLER RD"/>
    <n v="2"/>
    <n v="5.3"/>
    <s v="UNDIVIDED"/>
    <s v="RURAL"/>
    <s v="NON-IS"/>
    <n v="7"/>
    <s v="F"/>
    <n v="70.709999999999994"/>
    <n v="68.12"/>
    <s v=""/>
    <s v=""/>
    <s v=""/>
    <n v="0.13"/>
    <n v="58"/>
    <n v="118.69"/>
    <n v="118.69"/>
    <n v="85.45"/>
    <n v="77.2"/>
    <n v="88.2"/>
    <n v="0.16"/>
    <n v="48"/>
    <n v="52.28"/>
    <n v="52.28"/>
    <n v="100"/>
    <n v="100"/>
    <n v="100"/>
    <n v="0.08"/>
    <n v="49"/>
    <x v="2"/>
    <m/>
    <s v="Structural Overlay"/>
    <n v="523224.7311293527"/>
    <n v="140607.2688706473"/>
    <n v="663832"/>
    <n v="9.1999999999999993"/>
    <n v="20.7"/>
    <n v="15.8"/>
    <s v=""/>
    <s v=""/>
    <n v="9.1999999999999993"/>
    <s v="E"/>
    <n v="34.9"/>
    <n v="32.700000000000003"/>
    <n v="24.8"/>
    <s v=""/>
    <s v=""/>
    <n v="24.8"/>
    <n v="15.600000000000001"/>
    <n v="6"/>
    <n v="82.68"/>
    <n v="11.633551375287265"/>
    <n v="61.657822289022505"/>
    <n v="10766.387383717052"/>
    <n v="125251.32075471699"/>
    <n v="15.6"/>
    <n v="663832"/>
    <n v="663832"/>
    <n v="0"/>
    <s v=""/>
    <s v="1996"/>
    <s v="QA-MD 54402.65W"/>
  </r>
  <r>
    <s v="eGIS Link"/>
    <n v="200"/>
    <s v="NorthBound Visi-Data"/>
    <s v="67387"/>
    <n v="2017"/>
    <n v="2"/>
    <x v="5"/>
    <s v="QA"/>
    <s v="QA-MD 313"/>
    <s v="5.7-9.05(N)"/>
    <s v="MD"/>
    <s v="313"/>
    <s v=""/>
    <n v="5.7"/>
    <n v="9.0500000000000007"/>
    <s v="N"/>
    <s v="R/R #MDDE 526 402 M"/>
    <s v="MILLER ST"/>
    <n v="2"/>
    <n v="6.7"/>
    <s v="UNDIVIDED"/>
    <s v="RURAL"/>
    <s v="NON-IS"/>
    <n v="7"/>
    <s v="FCJ"/>
    <n v="87.36"/>
    <n v="87.72"/>
    <n v="68.400000000000006"/>
    <n v="69.8"/>
    <n v="67.900000000000006"/>
    <n v="0.14000000000000001"/>
    <n v="49"/>
    <n v="72.52"/>
    <n v="72.52"/>
    <n v="91.224999999999994"/>
    <n v="92.8"/>
    <n v="90.7"/>
    <n v="0.19"/>
    <n v="40"/>
    <n v="78.36"/>
    <n v="78.36"/>
    <n v="98.174999999999997"/>
    <n v="99.6"/>
    <n v="97.7"/>
    <n v="0.19"/>
    <n v="55"/>
    <x v="4"/>
    <m/>
    <s v="Preventive Maintenance"/>
    <n v="353902.93037233577"/>
    <n v="95105.069627664227"/>
    <n v="449008"/>
    <n v="43"/>
    <n v="40.5"/>
    <n v="38.1"/>
    <s v=""/>
    <s v=""/>
    <n v="38.1"/>
    <s v="B"/>
    <n v="47"/>
    <n v="46.9"/>
    <n v="43.2"/>
    <s v=""/>
    <s v=""/>
    <n v="43.2"/>
    <n v="5.1000000000000014"/>
    <n v="4"/>
    <n v="53.6"/>
    <n v="5.9659237821985966"/>
    <n v="39.971689340730599"/>
    <n v="11233.150447370936"/>
    <n v="67016.119402985074"/>
    <n v="5.0999999999999996"/>
    <n v="449008"/>
    <n v="449008"/>
    <n v="0"/>
    <s v=""/>
    <s v="2007"/>
    <s v="QA-MD 3135.79.05N"/>
  </r>
  <r>
    <s v="eGIS Link"/>
    <n v="291"/>
    <s v="EastBound Visi-Data"/>
    <s v="67405"/>
    <n v="2017"/>
    <n v="2"/>
    <x v="5"/>
    <s v="QA"/>
    <s v="QA-MD 835B"/>
    <s v="0-0.62(E)"/>
    <s v="MD"/>
    <s v="835"/>
    <s v="B"/>
    <n v="0"/>
    <n v="0.62"/>
    <s v="E"/>
    <s v="JACKSON CREEK RD"/>
    <s v="CHESTER RIVER BEACH RD"/>
    <n v="2"/>
    <n v="1.24"/>
    <s v="UNDIVIDED"/>
    <s v="RURAL"/>
    <s v="NON-IS"/>
    <n v="9"/>
    <s v="F"/>
    <s v=""/>
    <s v=""/>
    <s v=""/>
    <s v=""/>
    <s v=""/>
    <s v=""/>
    <s v=""/>
    <n v="67.38"/>
    <n v="67.38"/>
    <n v="93.15"/>
    <n v="95.4"/>
    <n v="92.4"/>
    <n v="0.18"/>
    <n v="39"/>
    <n v="72.7"/>
    <n v="72.7"/>
    <n v="98.5"/>
    <n v="99.7"/>
    <n v="98.1"/>
    <n v="0.18"/>
    <n v="55"/>
    <x v="4"/>
    <m/>
    <s v="Preventive Maintenance"/>
    <n v="129831.98182836807"/>
    <n v="34890.018171631935"/>
    <n v="164722"/>
    <n v="45.5"/>
    <n v="42.2"/>
    <n v="39"/>
    <s v=""/>
    <s v=""/>
    <n v="39"/>
    <s v="B"/>
    <n v="49.9"/>
    <n v="47.1"/>
    <n v="43.4"/>
    <s v=""/>
    <s v=""/>
    <n v="43.4"/>
    <n v="4.3999999999999986"/>
    <n v="4"/>
    <n v="9.92"/>
    <n v="5.9659237821985966"/>
    <n v="7.39774548992626"/>
    <n v="22266.51352419559"/>
    <n v="132840.32258064515"/>
    <n v="4.5"/>
    <n v="164722"/>
    <n v="164722"/>
    <n v="0"/>
    <s v=""/>
    <s v="1992"/>
    <s v="QA-MD 835B00.62E"/>
  </r>
  <r>
    <s v="eGIS Link"/>
    <n v="384"/>
    <s v="NorthBound Visi-Data"/>
    <s v="67533"/>
    <n v="2017"/>
    <n v="2"/>
    <x v="5"/>
    <s v="QA"/>
    <s v="QA-US 50 RP4-37"/>
    <s v="0-0.18(N)"/>
    <s v="US"/>
    <s v="50"/>
    <s v=""/>
    <n v="0"/>
    <n v="0.18"/>
    <s v="N"/>
    <s v=""/>
    <s v=""/>
    <n v="1"/>
    <n v="0.18"/>
    <s v="UNDIVIDED"/>
    <s v="RURAL"/>
    <s v="NON-IS"/>
    <n v="12"/>
    <s v=""/>
    <s v=""/>
    <s v=""/>
    <s v=""/>
    <s v=""/>
    <s v=""/>
    <s v=""/>
    <s v=""/>
    <n v="74.650000000000006"/>
    <n v="74.650000000000006"/>
    <n v="87.25"/>
    <n v="88"/>
    <n v="87"/>
    <n v="0.17"/>
    <n v="54"/>
    <n v="81.08"/>
    <n v="81.08"/>
    <n v="97.5"/>
    <n v="99.3"/>
    <n v="96.9"/>
    <n v="0.17"/>
    <n v="55"/>
    <x v="4"/>
    <m/>
    <s v="Preventive Maintenance"/>
    <n v="139235.85851268625"/>
    <n v="37417.141487313755"/>
    <n v="176653"/>
    <n v="24.8"/>
    <n v="25"/>
    <n v="15.3"/>
    <s v=""/>
    <s v=""/>
    <n v="15.3"/>
    <s v="D"/>
    <n v="21.3"/>
    <n v="31.7"/>
    <n v="16.5"/>
    <s v=""/>
    <s v=""/>
    <n v="16.5"/>
    <n v="4"/>
    <n v="4"/>
    <n v="1.44"/>
    <n v="5.9659237821985966"/>
    <n v="1.0738662807957473"/>
    <n v="164501.85945786294"/>
    <n v="981405.55555555562"/>
    <n v="1.2"/>
    <n v="176653"/>
    <n v="176653"/>
    <n v="0"/>
    <s v=""/>
    <s v=""/>
    <s v="QA-US 50 RP4-3700.18N"/>
  </r>
  <r>
    <s v="eGIS Link"/>
    <n v="3"/>
    <s v="EastBound Visi-Data"/>
    <s v="45358"/>
    <n v="2017"/>
    <n v="2"/>
    <x v="6"/>
    <s v="KE"/>
    <s v="KE-MD 330"/>
    <s v="0-3.72(E)"/>
    <s v="MD"/>
    <s v="330"/>
    <s v=""/>
    <n v="0"/>
    <n v="3.72"/>
    <s v="E"/>
    <s v="MASSEY RD"/>
    <s v="DELAWARE ST/L"/>
    <n v="2"/>
    <n v="7.44"/>
    <s v="UNDIVIDED"/>
    <s v="RURAL"/>
    <s v="NON-IS"/>
    <n v="8"/>
    <s v="F"/>
    <n v="78.38"/>
    <n v="96.76"/>
    <n v="49.2"/>
    <n v="61"/>
    <n v="45.2"/>
    <n v="0.12"/>
    <n v="53"/>
    <n v="58.23"/>
    <n v="58.23"/>
    <n v="79.849999999999994"/>
    <n v="81.2"/>
    <n v="79.400000000000006"/>
    <n v="0.2"/>
    <n v="36"/>
    <n v="61.57"/>
    <n v="61.57"/>
    <n v="78.174999999999997"/>
    <n v="82.9"/>
    <n v="76.599999999999994"/>
    <n v="0.2"/>
    <n v="34"/>
    <x v="0"/>
    <m/>
    <s v="Preventive Maintenance"/>
    <n v="3773.8464139230118"/>
    <n v="1014.1535860769882"/>
    <n v="4788"/>
    <n v="35.6"/>
    <n v="21.8"/>
    <n v="22"/>
    <s v=""/>
    <s v=""/>
    <n v="21.8"/>
    <s v="C"/>
    <n v="35.299999999999997"/>
    <n v="23.5"/>
    <n v="22"/>
    <s v=""/>
    <s v=""/>
    <n v="22"/>
    <n v="1"/>
    <n v="1"/>
    <n v="14.88"/>
    <n v="1.4914809455496492"/>
    <n v="11.096618234889391"/>
    <n v="431.48280842408616"/>
    <n v="643.54838709677415"/>
    <n v="0.2"/>
    <n v="4788"/>
    <n v="4788"/>
    <n v="0"/>
    <s v=""/>
    <s v="2012"/>
    <s v="KE-MD 33003.72E"/>
  </r>
  <r>
    <s v="eGIS Link"/>
    <n v="368"/>
    <s v="West Bound Visi-Data"/>
    <s v="45370"/>
    <n v="2017"/>
    <n v="2"/>
    <x v="6"/>
    <s v="KE"/>
    <s v="KE-MD 855"/>
    <s v="0-0.06(W)"/>
    <s v="MD"/>
    <s v="855"/>
    <s v=""/>
    <n v="0"/>
    <n v="0.06"/>
    <s v="W"/>
    <s v=""/>
    <s v=""/>
    <n v="2"/>
    <n v="0.12"/>
    <s v="UNDIVIDED"/>
    <s v="RURAL"/>
    <s v="NON-IS"/>
    <n v="9"/>
    <s v=""/>
    <s v=""/>
    <s v=""/>
    <s v=""/>
    <s v=""/>
    <s v=""/>
    <s v=""/>
    <s v=""/>
    <n v="65.27"/>
    <n v="65.27"/>
    <n v="90.45"/>
    <n v="90.9"/>
    <n v="90.3"/>
    <n v="0.14000000000000001"/>
    <n v="51"/>
    <n v="68.59"/>
    <n v="68.59"/>
    <n v="88.224999999999994"/>
    <n v="90.7"/>
    <n v="87.4"/>
    <n v="0.14000000000000001"/>
    <n v="49"/>
    <x v="0"/>
    <m/>
    <s v="Preventive Maintenance"/>
    <n v="13542.654361742938"/>
    <n v="3639.3456382570621"/>
    <n v="17182"/>
    <n v="37.4"/>
    <n v="25.6"/>
    <n v="25.8"/>
    <s v=""/>
    <s v=""/>
    <n v="25.6"/>
    <s v="C"/>
    <n v="37.1"/>
    <n v="26.6"/>
    <n v="25.8"/>
    <s v=""/>
    <s v=""/>
    <n v="25.8"/>
    <n v="1"/>
    <n v="1"/>
    <n v="0.24"/>
    <n v="1.4914809455496492"/>
    <n v="0.17897771346595789"/>
    <n v="96000.779467260698"/>
    <n v="143183.33333333334"/>
    <n v="0.2"/>
    <n v="17182"/>
    <n v="17182"/>
    <n v="0"/>
    <s v=""/>
    <s v=""/>
    <s v="KE-MD 85500.06W"/>
  </r>
  <r>
    <s v="eGIS Link"/>
    <n v="52"/>
    <s v="NorthBound Visi-Data"/>
    <s v="45346"/>
    <n v="2017"/>
    <n v="2"/>
    <x v="6"/>
    <s v="KE"/>
    <s v="KE-MD 213"/>
    <s v="11.99-14.21(N)"/>
    <s v="MD"/>
    <s v="213"/>
    <s v=""/>
    <n v="11.99"/>
    <n v="14.21"/>
    <s v="N"/>
    <s v="KENTMORE PARK RD/LOCUST GROVE RD"/>
    <s v="STRUC #14007 WOODLAND CREEK"/>
    <n v="2.1"/>
    <n v="4.66"/>
    <s v="UNDIVIDED"/>
    <s v="RURAL"/>
    <s v="NON-IS"/>
    <n v="6"/>
    <s v="FCJ"/>
    <n v="68.39"/>
    <n v="76.760000000000005"/>
    <n v="80.5"/>
    <n v="87.6"/>
    <n v="78.099999999999994"/>
    <n v="0.14000000000000001"/>
    <n v="54"/>
    <n v="62.01"/>
    <n v="62.01"/>
    <n v="92.474999999999994"/>
    <n v="92.1"/>
    <n v="92.6"/>
    <n v="0.2"/>
    <n v="45"/>
    <n v="67.650000000000006"/>
    <n v="67.650000000000006"/>
    <n v="98.375"/>
    <n v="99.5"/>
    <n v="98"/>
    <n v="0.2"/>
    <n v="55"/>
    <x v="4"/>
    <m/>
    <s v="Preventive Maintenance"/>
    <n v="71134.797974721325"/>
    <n v="19116.202025278675"/>
    <n v="90251"/>
    <n v="32"/>
    <n v="28.7"/>
    <n v="18.3"/>
    <s v=""/>
    <s v=""/>
    <n v="18.3"/>
    <s v="D"/>
    <n v="34.9"/>
    <n v="34"/>
    <n v="21.8"/>
    <s v=""/>
    <s v=""/>
    <n v="21.8"/>
    <n v="4"/>
    <n v="4"/>
    <n v="37.28"/>
    <n v="5.9659237821985966"/>
    <n v="27.80120482504546"/>
    <n v="3246.2981575062881"/>
    <n v="19367.16738197425"/>
    <n v="3.5"/>
    <n v="90251"/>
    <n v="90251"/>
    <n v="0"/>
    <s v=""/>
    <s v="1993"/>
    <s v="KE-MD 21311.9914.21N"/>
  </r>
  <r>
    <s v="eGIS Link"/>
    <n v="406"/>
    <s v="NorthBound Visi-Data"/>
    <s v="45346"/>
    <n v="2017"/>
    <n v="2"/>
    <x v="6"/>
    <s v="KE"/>
    <s v="KE-MD 213"/>
    <s v="0-0.14(N)"/>
    <s v="MD"/>
    <s v="213"/>
    <s v=""/>
    <n v="0"/>
    <n v="0.14000000000000001"/>
    <s v="N"/>
    <s v="STRUC #14027 CHESTER RIVER"/>
    <s v="IN CORP LMTS CHESTERTOWN"/>
    <n v="2"/>
    <n v="0.28000000000000003"/>
    <s v="UNDIVIDED"/>
    <s v="URBAN"/>
    <s v="NON-IS"/>
    <n v="14"/>
    <s v="FCJ"/>
    <n v="396.93"/>
    <n v="467.97"/>
    <s v=""/>
    <s v=""/>
    <s v=""/>
    <n v="0.24"/>
    <n v="30"/>
    <n v="104.18"/>
    <n v="104.18"/>
    <n v="85.325000000000003"/>
    <n v="78.2"/>
    <n v="87.7"/>
    <n v="0.2"/>
    <n v="47"/>
    <n v="74.650000000000006"/>
    <n v="74.650000000000006"/>
    <n v="100"/>
    <n v="100"/>
    <n v="100"/>
    <n v="0.17"/>
    <n v="49"/>
    <x v="5"/>
    <m/>
    <s v="Preventive Maintenance"/>
    <n v="327651.35476297169"/>
    <n v="231932.64523702831"/>
    <n v="559584"/>
    <n v="16.100000000000001"/>
    <n v="32.200000000000003"/>
    <n v="47.1"/>
    <s v=""/>
    <s v=""/>
    <n v="16.100000000000001"/>
    <s v="D"/>
    <n v="21.7"/>
    <n v="47.1"/>
    <n v="50"/>
    <s v=""/>
    <s v=""/>
    <n v="21.7"/>
    <n v="5.5999999999999979"/>
    <n v="4"/>
    <n v="2.2400000000000002"/>
    <n v="5.9659237821985966"/>
    <n v="1.6704586590156072"/>
    <n v="334988.23630257335"/>
    <n v="1998514.2857142854"/>
    <n v="5.6"/>
    <n v="559584"/>
    <n v="559584"/>
    <n v="0"/>
    <s v=""/>
    <s v="2006"/>
    <s v="KE-MD 21300.14N"/>
  </r>
  <r>
    <s v="eGIS Link"/>
    <n v="72"/>
    <s v="SouthBound Visi-Data"/>
    <s v="45352"/>
    <n v="2017"/>
    <n v="2"/>
    <x v="6"/>
    <s v="KE"/>
    <s v="KE-MD 297"/>
    <s v="0.95-3.59(S)"/>
    <s v="MD"/>
    <s v="297"/>
    <s v=""/>
    <n v="0.95"/>
    <n v="3.59"/>
    <s v="S"/>
    <s v="MARY MORRIS RD"/>
    <s v="SMITHVILLE RD (AHEAD)"/>
    <n v="2"/>
    <n v="5.28"/>
    <s v="UNDIVIDED"/>
    <s v="URBAN"/>
    <s v="NON-IS"/>
    <n v="7"/>
    <s v="FCJ"/>
    <n v="68.45"/>
    <n v="52.12"/>
    <s v=""/>
    <s v=""/>
    <s v=""/>
    <n v="0.16"/>
    <n v="42"/>
    <n v="121.41"/>
    <n v="121.41"/>
    <n v="93"/>
    <n v="90.3"/>
    <n v="93.9"/>
    <n v="0.2"/>
    <n v="41"/>
    <n v="82.47"/>
    <n v="82.47"/>
    <n v="100"/>
    <n v="100"/>
    <n v="100"/>
    <n v="0.17"/>
    <n v="49"/>
    <x v="5"/>
    <m/>
    <s v="Preventive Maintenance"/>
    <n v="80837.226202359452"/>
    <n v="57221.773797640548"/>
    <n v="138059"/>
    <n v="24.6"/>
    <n v="21.2"/>
    <n v="21.6"/>
    <s v=""/>
    <s v=""/>
    <n v="21.2"/>
    <s v="C"/>
    <n v="36.200000000000003"/>
    <n v="32.1"/>
    <n v="28.3"/>
    <s v=""/>
    <s v=""/>
    <n v="28.3"/>
    <n v="7.1000000000000014"/>
    <n v="4"/>
    <n v="42.24"/>
    <n v="5.9659237821985966"/>
    <n v="31.500077570008592"/>
    <n v="4382.8146039693174"/>
    <n v="26147.537878787876"/>
    <n v="7"/>
    <n v="138059"/>
    <n v="138059"/>
    <n v="0"/>
    <s v=""/>
    <s v="2005"/>
    <s v="KE-MD 2970.953.59S"/>
  </r>
  <r>
    <s v="eGIS Link"/>
    <n v="296"/>
    <s v="West Bound Visi-Data"/>
    <s v="45344"/>
    <n v="2017"/>
    <n v="2"/>
    <x v="6"/>
    <s v="KE"/>
    <s v="KE-MD 20"/>
    <s v="4.41-6.46(W)"/>
    <s v="MD"/>
    <s v="20"/>
    <s v=""/>
    <n v="4.41"/>
    <n v="6.46"/>
    <s v="W"/>
    <s v="SHIPYARD LA"/>
    <s v="RICAUDS BRANCH RD"/>
    <n v="2"/>
    <n v="4.0999999999999996"/>
    <s v="UNDIVIDED"/>
    <s v="URBAN"/>
    <s v="NON-IS"/>
    <n v="6"/>
    <s v="FCJ"/>
    <n v="61.93"/>
    <n v="94.62"/>
    <s v=""/>
    <s v=""/>
    <s v=""/>
    <n v="0.08"/>
    <n v="57"/>
    <n v="104.43"/>
    <n v="104.43"/>
    <n v="84.6"/>
    <n v="78.599999999999994"/>
    <n v="86.6"/>
    <n v="0.2"/>
    <n v="43"/>
    <n v="74.78"/>
    <n v="74.78"/>
    <n v="100"/>
    <n v="100"/>
    <n v="100"/>
    <n v="0.17"/>
    <n v="49"/>
    <x v="5"/>
    <m/>
    <s v="Preventive Maintenance"/>
    <n v="327651.35476297169"/>
    <n v="231932.64523702831"/>
    <n v="559584"/>
    <n v="16"/>
    <n v="32.799999999999997"/>
    <n v="46.3"/>
    <s v=""/>
    <s v=""/>
    <n v="16"/>
    <s v="D"/>
    <n v="21.6"/>
    <n v="47.1"/>
    <n v="50"/>
    <s v=""/>
    <s v=""/>
    <n v="21.6"/>
    <n v="5.6000000000000014"/>
    <n v="4"/>
    <n v="32.799999999999997"/>
    <n v="5.9659237821985966"/>
    <n v="24.460287507014243"/>
    <n v="22877.245406029404"/>
    <n v="136483.90243902442"/>
    <n v="5.6"/>
    <n v="559584"/>
    <n v="559584"/>
    <n v="0"/>
    <s v=""/>
    <s v="2011"/>
    <s v="KE-MD 204.416.46W"/>
  </r>
  <r>
    <s v="eGIS Link"/>
    <n v="150"/>
    <s v="West Bound Visi-Data"/>
    <s v="24027"/>
    <n v="2017"/>
    <n v="2"/>
    <x v="7"/>
    <s v="CO"/>
    <s v="CO-MD 404AL"/>
    <s v="0-1.74(W)"/>
    <s v="MD"/>
    <s v="404"/>
    <s v="AL"/>
    <n v="0"/>
    <n v="1.74"/>
    <s v="W"/>
    <s v="STRUC #5017 TUCKAHOE CREEK"/>
    <s v="SHORE HWY"/>
    <n v="1.9"/>
    <n v="3.31"/>
    <s v="UNDIVIDED"/>
    <s v="RURAL"/>
    <s v="NON-IS"/>
    <n v="9"/>
    <s v="FCJ"/>
    <n v="111.34"/>
    <n v="148.99"/>
    <s v=""/>
    <s v=""/>
    <s v=""/>
    <n v="0.15"/>
    <n v="57"/>
    <n v="107.64"/>
    <n v="107.64"/>
    <n v="48.3"/>
    <n v="74.7"/>
    <n v="39.5"/>
    <n v="0.13"/>
    <n v="41"/>
    <n v="49.97"/>
    <n v="49.97"/>
    <n v="100"/>
    <n v="100"/>
    <n v="100"/>
    <n v="0.08"/>
    <n v="49"/>
    <x v="2"/>
    <m/>
    <s v="Structural Overlay"/>
    <n v="695853.77072363382"/>
    <n v="186998.22927636618"/>
    <n v="882852"/>
    <n v="15.1"/>
    <n v="6.5"/>
    <n v="0"/>
    <s v=""/>
    <s v=""/>
    <n v="0"/>
    <s v="F"/>
    <n v="46.1"/>
    <n v="49.8"/>
    <n v="50"/>
    <s v=""/>
    <s v=""/>
    <n v="46.1"/>
    <n v="46.1"/>
    <n v="6"/>
    <n v="152.59100000000001"/>
    <n v="34.378635794919411"/>
    <n v="113.79328448118325"/>
    <n v="7758.3840208601023"/>
    <n v="266722.65861027187"/>
    <n v="46.1"/>
    <n v="882852"/>
    <n v="882852"/>
    <n v="0"/>
    <s v=""/>
    <s v="2012"/>
    <s v="CO-MD 404AL01.74W"/>
  </r>
  <r>
    <s v="eGIS Link"/>
    <n v="163"/>
    <s v="EastBound Visi-Data"/>
    <s v="24027"/>
    <n v="2017"/>
    <n v="2"/>
    <x v="7"/>
    <s v="CO"/>
    <s v="CO-MD 404AL"/>
    <s v="0-1.74(E)"/>
    <s v="MD"/>
    <s v="404"/>
    <s v="AL"/>
    <n v="0"/>
    <n v="1.74"/>
    <s v="E"/>
    <s v="STRUC #5017 TUCKAHOE CREEK"/>
    <s v="SHORE HWY"/>
    <n v="1.9"/>
    <n v="3.31"/>
    <s v="UNDIVIDED"/>
    <s v="RURAL"/>
    <s v="NON-IS"/>
    <n v="9"/>
    <s v="FCJ"/>
    <n v="122.37"/>
    <n v="146.69"/>
    <n v="72.900000000000006"/>
    <n v="73.3"/>
    <n v="72.8"/>
    <n v="0.18"/>
    <n v="49"/>
    <n v="117.33"/>
    <n v="117.33"/>
    <n v="71.349999999999994"/>
    <n v="67.3"/>
    <n v="72.7"/>
    <n v="0.14000000000000001"/>
    <n v="54"/>
    <n v="51.81"/>
    <n v="51.81"/>
    <n v="100"/>
    <n v="100"/>
    <n v="100"/>
    <n v="0.08"/>
    <n v="49"/>
    <x v="2"/>
    <m/>
    <s v="Structural Overlay"/>
    <n v="710576.34323108324"/>
    <n v="190954.65676891676"/>
    <n v="901531"/>
    <n v="12.4"/>
    <n v="2.9"/>
    <n v="6.7"/>
    <s v=""/>
    <s v=""/>
    <n v="2.9"/>
    <s v="E"/>
    <n v="44.8"/>
    <n v="49.8"/>
    <n v="50"/>
    <s v=""/>
    <s v=""/>
    <n v="44.8"/>
    <n v="41.9"/>
    <n v="6"/>
    <n v="138.68899999999999"/>
    <n v="31.246525809265147"/>
    <n v="103.42600042866763"/>
    <n v="8716.6766215791267"/>
    <n v="272365.86102719035"/>
    <n v="42"/>
    <n v="901531"/>
    <n v="901531"/>
    <n v="0"/>
    <s v=""/>
    <s v="2012"/>
    <s v="CO-MD 404AL01.74E"/>
  </r>
  <r>
    <s v="eGIS Link"/>
    <n v="144"/>
    <s v="SouthBound Visi-Data"/>
    <s v="24024"/>
    <n v="2017"/>
    <n v="2"/>
    <x v="7"/>
    <s v="CO"/>
    <s v="CO-MD 331"/>
    <s v="1.25-4.45(S)"/>
    <s v="MD"/>
    <s v="331"/>
    <s v=""/>
    <n v="1.25"/>
    <n v="4.45"/>
    <s v="S"/>
    <s v="SPEED LIMIT 30 MPH"/>
    <s v="SPEED LIMIT 30 MPH"/>
    <n v="2"/>
    <n v="6.4"/>
    <s v="UNDIVIDED"/>
    <s v="RURAL"/>
    <s v="NON-IS"/>
    <n v="6"/>
    <s v="F"/>
    <n v="109.74"/>
    <n v="118.13"/>
    <s v=""/>
    <s v=""/>
    <s v=""/>
    <n v="0.1"/>
    <n v="48"/>
    <n v="75.11"/>
    <n v="75.11"/>
    <n v="89.424999999999997"/>
    <n v="85"/>
    <n v="90.9"/>
    <n v="0.13"/>
    <n v="47"/>
    <n v="82.29"/>
    <n v="82.29"/>
    <n v="97.974999999999994"/>
    <n v="99.1"/>
    <n v="97.6"/>
    <n v="0.13"/>
    <n v="55"/>
    <x v="4"/>
    <m/>
    <s v="Preventive Maintenance"/>
    <n v="229657.62844828813"/>
    <n v="61716.371551711869"/>
    <n v="291374"/>
    <n v="27.2"/>
    <n v="25.8"/>
    <n v="17.7"/>
    <s v=""/>
    <s v=""/>
    <n v="17.7"/>
    <s v="D"/>
    <n v="29.7"/>
    <n v="33.6"/>
    <n v="21.6"/>
    <s v=""/>
    <s v=""/>
    <n v="21.6"/>
    <n v="4"/>
    <n v="4"/>
    <n v="51.2"/>
    <n v="5.9659237821985966"/>
    <n v="38.181912206071019"/>
    <n v="7631.2050173765474"/>
    <n v="45527.1875"/>
    <n v="3.9"/>
    <n v="291374"/>
    <n v="291374"/>
    <n v="0"/>
    <s v=""/>
    <s v="1997"/>
    <s v="CO-MD 3311.254.45S"/>
  </r>
  <r>
    <s v="eGIS Link"/>
    <n v="47"/>
    <s v="NorthBound Visi-Data"/>
    <s v="70664"/>
    <n v="2017"/>
    <n v="2"/>
    <x v="8"/>
    <s v="TA"/>
    <s v="TA-MD 309"/>
    <s v="6.05-9.39(N)"/>
    <s v="MD"/>
    <s v="309"/>
    <s v=""/>
    <n v="6.05"/>
    <n v="9.39"/>
    <s v="N"/>
    <s v="DUKES BRIDGE RD"/>
    <s v="QUEEN ANNES CO/L"/>
    <n v="2"/>
    <n v="6.68"/>
    <s v="UNDIVIDED"/>
    <s v="RURAL"/>
    <s v="NON-IS"/>
    <n v="7"/>
    <s v="F"/>
    <n v="57.83"/>
    <n v="56.67"/>
    <n v="99.8"/>
    <n v="99.3"/>
    <n v="100"/>
    <n v="0.19"/>
    <n v="52"/>
    <n v="62.99"/>
    <n v="62.99"/>
    <n v="91.75"/>
    <n v="89.5"/>
    <n v="92.5"/>
    <n v="0.17"/>
    <n v="45"/>
    <n v="68.739999999999995"/>
    <n v="68.739999999999995"/>
    <n v="98.25"/>
    <n v="99.3"/>
    <n v="97.9"/>
    <n v="0.17"/>
    <n v="55"/>
    <x v="4"/>
    <m/>
    <s v="Preventive Maintenance"/>
    <n v="91122.469489064199"/>
    <n v="24487.530510935801"/>
    <n v="115610"/>
    <n v="23.8"/>
    <n v="25.6"/>
    <n v="13.5"/>
    <s v=""/>
    <s v=""/>
    <n v="13.5"/>
    <s v="D"/>
    <n v="25.7"/>
    <n v="31.8"/>
    <n v="17.100000000000001"/>
    <s v=""/>
    <s v=""/>
    <n v="17.100000000000001"/>
    <n v="4"/>
    <n v="4"/>
    <n v="53.44"/>
    <n v="5.9659237821985966"/>
    <n v="39.852370865086627"/>
    <n v="2900.9566429906477"/>
    <n v="17306.88622754491"/>
    <n v="3.6"/>
    <n v="115610"/>
    <n v="115610"/>
    <n v="0"/>
    <s v=""/>
    <s v="2011"/>
    <s v="TA-MD 3096.059.39N"/>
  </r>
  <r>
    <s v="eGIS Link"/>
    <n v="88"/>
    <s v="EastBound Visi-Data"/>
    <s v="70662"/>
    <n v="2017"/>
    <n v="2"/>
    <x v="8"/>
    <s v="TA"/>
    <s v="TA-MD 33"/>
    <s v="22.16-23.17(E)"/>
    <s v="MD"/>
    <s v="33"/>
    <s v=""/>
    <n v="22.16"/>
    <n v="23.17"/>
    <s v="E"/>
    <s v="IN CORP LMTS EASTON"/>
    <s v="N WASHINGTON ST"/>
    <n v="2.6"/>
    <n v="2.63"/>
    <s v="UNDIVIDED"/>
    <s v="RURAL"/>
    <s v="NON-IS"/>
    <n v="14"/>
    <s v="FCJ"/>
    <n v="115.64"/>
    <n v="117.18"/>
    <n v="87.3"/>
    <n v="86.9"/>
    <n v="87.5"/>
    <n v="0.19"/>
    <n v="47"/>
    <n v="69.010000000000005"/>
    <n v="69.010000000000005"/>
    <n v="92.4"/>
    <n v="91.8"/>
    <n v="92.6"/>
    <n v="0.11"/>
    <n v="49"/>
    <n v="75.5"/>
    <n v="75.5"/>
    <n v="98.375"/>
    <n v="99.5"/>
    <n v="98"/>
    <n v="0.11"/>
    <n v="55"/>
    <x v="4"/>
    <m/>
    <s v="Preventive Maintenance"/>
    <n v="63702.180664091837"/>
    <n v="17118.819335908163"/>
    <n v="80821"/>
    <n v="29.2"/>
    <n v="28.5"/>
    <n v="18.3"/>
    <s v=""/>
    <s v=""/>
    <n v="18.3"/>
    <s v="D"/>
    <n v="31.9"/>
    <n v="34"/>
    <n v="21.8"/>
    <s v=""/>
    <s v=""/>
    <n v="21.8"/>
    <n v="4"/>
    <n v="4"/>
    <n v="21.04"/>
    <n v="5.9659237821985966"/>
    <n v="15.690379547182308"/>
    <n v="5150.9907556387889"/>
    <n v="30730.41825095057"/>
    <n v="3.5"/>
    <n v="80821"/>
    <n v="80821"/>
    <n v="0"/>
    <s v=""/>
    <s v="2004"/>
    <s v="TA-MD 3322.1623.17E"/>
  </r>
  <r>
    <s v="eGIS Link"/>
    <n v="390"/>
    <s v="NorthBound Visi-Data"/>
    <s v="28532"/>
    <n v="2017"/>
    <n v="2"/>
    <x v="9"/>
    <s v="CE"/>
    <s v="CE-US 1"/>
    <s v="5.15-5.2(N)"/>
    <s v="US"/>
    <s v="1"/>
    <s v=""/>
    <n v="5.15"/>
    <n v="5.2"/>
    <s v="N"/>
    <s v=""/>
    <s v="TELEGRAPH RD"/>
    <n v="2"/>
    <n v="0.1"/>
    <s v="UNDIVIDED"/>
    <s v="URBAN"/>
    <s v="NON-IS"/>
    <n v="2"/>
    <s v="F"/>
    <n v="78.599999999999994"/>
    <n v="66.14"/>
    <s v=""/>
    <s v=""/>
    <s v=""/>
    <n v="0.17"/>
    <s v=""/>
    <n v="163.13"/>
    <n v="163.13"/>
    <n v="100"/>
    <n v="100"/>
    <n v="100"/>
    <n v="0.14000000000000001"/>
    <n v="52"/>
    <n v="163.24"/>
    <n v="163.24"/>
    <n v="100"/>
    <n v="100"/>
    <n v="100"/>
    <n v="0.13"/>
    <n v="52"/>
    <x v="6"/>
    <m/>
    <s v="Preventive Maintenance"/>
    <n v="34190.658701239146"/>
    <n v="24202.341298760854"/>
    <n v="58393"/>
    <n v="0"/>
    <n v="0"/>
    <n v="0"/>
    <n v="0"/>
    <n v="0"/>
    <n v="0"/>
    <s v="F"/>
    <n v="0"/>
    <n v="0"/>
    <n v="0"/>
    <n v="0"/>
    <n v="0"/>
    <n v="0"/>
    <n v="2"/>
    <n v="2"/>
    <n v="0.4"/>
    <n v="2.9829618910992983"/>
    <n v="0.29829618910992983"/>
    <n v="195755.09889762849"/>
    <n v="583930"/>
    <n v="100"/>
    <n v="58393"/>
    <n v="58393"/>
    <n v="0"/>
    <s v=""/>
    <s v="2009"/>
    <s v="CE-US 15.155.2N"/>
  </r>
  <r>
    <s v="eGIS Link"/>
    <n v="41"/>
    <s v="West Bound Visi-Data"/>
    <s v="28198"/>
    <n v="2017"/>
    <n v="2"/>
    <x v="9"/>
    <s v="CE"/>
    <s v="CE-MD 282"/>
    <s v="7.2-12.43(W)"/>
    <s v="MD"/>
    <s v="282"/>
    <s v=""/>
    <n v="7.2"/>
    <n v="12.43"/>
    <s v="W"/>
    <s v="OUT CORP LMTS CECILTON"/>
    <s v="DELAWARE ST/L"/>
    <n v="2"/>
    <n v="10.46"/>
    <s v="UNDIVIDED"/>
    <s v="URBAN"/>
    <s v="NON-IS"/>
    <n v="7"/>
    <s v="F"/>
    <n v="97.26"/>
    <n v="99.35"/>
    <s v=""/>
    <s v=""/>
    <s v=""/>
    <n v="0.15"/>
    <n v="52"/>
    <n v="80.22"/>
    <n v="80.22"/>
    <n v="59.024999999999999"/>
    <n v="68.099999999999994"/>
    <n v="56"/>
    <n v="0.19"/>
    <n v="43"/>
    <n v="51.8"/>
    <n v="51.8"/>
    <n v="100"/>
    <n v="100"/>
    <n v="100"/>
    <n v="0.08"/>
    <n v="49"/>
    <x v="1"/>
    <m/>
    <s v="Minor Rehabilitation"/>
    <n v="382612.98647069721"/>
    <n v="270838.01352930279"/>
    <n v="653451"/>
    <n v="23.3"/>
    <n v="12.6"/>
    <n v="0"/>
    <s v=""/>
    <s v=""/>
    <n v="0"/>
    <s v="F"/>
    <n v="39"/>
    <n v="37.9"/>
    <n v="34.5"/>
    <s v=""/>
    <s v=""/>
    <n v="34.5"/>
    <n v="34.5"/>
    <n v="6"/>
    <n v="360.87"/>
    <n v="25.72804631073145"/>
    <n v="269.115364410251"/>
    <n v="2428.1445298821782"/>
    <n v="62471.414913957931"/>
    <n v="34.5"/>
    <n v="653451"/>
    <n v="653451"/>
    <n v="0"/>
    <s v=""/>
    <s v="1993"/>
    <s v="CE-MD 2827.212.43W"/>
  </r>
  <r>
    <s v="eGIS Link"/>
    <n v="62"/>
    <s v="NorthBound Visi-Data"/>
    <s v="28173"/>
    <n v="2017"/>
    <n v="2"/>
    <x v="9"/>
    <s v="CE"/>
    <s v="CE-MD 7C"/>
    <s v="5.05-7.4(N)"/>
    <s v="MD"/>
    <s v="7"/>
    <s v="C"/>
    <n v="5.05"/>
    <n v="7.4"/>
    <s v="N"/>
    <s v="OUT CORP LMTS NORTH EAST"/>
    <s v="NO NAME"/>
    <n v="2"/>
    <n v="4.7"/>
    <s v="UNDIVIDED"/>
    <s v="URBAN"/>
    <s v="NON-IS"/>
    <n v="7"/>
    <s v="F"/>
    <n v="160.4"/>
    <n v="167.32"/>
    <n v="92.2"/>
    <n v="90.7"/>
    <n v="92.7"/>
    <n v="0.15"/>
    <n v="41"/>
    <n v="167.7"/>
    <n v="167.7"/>
    <n v="63.75"/>
    <n v="74.099999999999994"/>
    <n v="60.3"/>
    <n v="0.1"/>
    <n v="42"/>
    <n v="81.19"/>
    <n v="81.19"/>
    <n v="100"/>
    <n v="100"/>
    <n v="100"/>
    <n v="0.08"/>
    <n v="49"/>
    <x v="1"/>
    <m/>
    <s v="Minor Rehabilitation"/>
    <n v="219080.65794967956"/>
    <n v="155079.34205032044"/>
    <n v="374160"/>
    <n v="13.5"/>
    <n v="33.700000000000003"/>
    <n v="6.6"/>
    <s v=""/>
    <s v=""/>
    <n v="6.6"/>
    <s v="E"/>
    <n v="39.299999999999997"/>
    <n v="50"/>
    <n v="35"/>
    <s v=""/>
    <s v=""/>
    <n v="35"/>
    <n v="28.4"/>
    <n v="6"/>
    <n v="133.47999999999999"/>
    <n v="21.17902942680502"/>
    <n v="99.54143830598359"/>
    <n v="3758.8365847181922"/>
    <n v="79608.51063829787"/>
    <n v="28.4"/>
    <n v="374160"/>
    <n v="374160"/>
    <n v="0"/>
    <s v=""/>
    <s v="1997"/>
    <s v="CE-MD 7C5.057.4N"/>
  </r>
  <r>
    <s v="eGIS Link"/>
    <n v="89"/>
    <s v="SouthBound Visi-Data"/>
    <s v="28173"/>
    <n v="2017"/>
    <n v="2"/>
    <x v="9"/>
    <s v="CE"/>
    <s v="CE-MD 7C"/>
    <s v="1.23-4.3(S)"/>
    <s v="MD"/>
    <s v="7"/>
    <s v="C"/>
    <n v="1.23"/>
    <n v="4.3"/>
    <s v="S"/>
    <s v="BALTIMORE ST"/>
    <s v="RED TOAD RD"/>
    <n v="2"/>
    <n v="6.14"/>
    <s v="UNDIVIDED"/>
    <s v="URBAN"/>
    <s v="NON-IS"/>
    <n v="16"/>
    <s v="F"/>
    <n v="140.93"/>
    <n v="155.19999999999999"/>
    <s v=""/>
    <s v=""/>
    <s v=""/>
    <n v="0.13"/>
    <n v="53"/>
    <n v="128.63"/>
    <n v="128.63"/>
    <n v="68.7"/>
    <n v="88.5"/>
    <n v="62.1"/>
    <n v="0.11"/>
    <n v="46"/>
    <n v="67.8"/>
    <n v="67.8"/>
    <n v="100"/>
    <n v="100"/>
    <n v="100"/>
    <n v="0.08"/>
    <n v="49"/>
    <x v="1"/>
    <m/>
    <s v="Minor Rehabilitation"/>
    <n v="336334.7152434981"/>
    <n v="238079.2847565019"/>
    <n v="574414"/>
    <n v="20.2"/>
    <n v="20.399999999999999"/>
    <n v="5.5"/>
    <s v=""/>
    <s v=""/>
    <n v="5.5"/>
    <s v="E"/>
    <n v="41.8"/>
    <n v="33"/>
    <n v="29.7"/>
    <s v=""/>
    <s v=""/>
    <n v="29.7"/>
    <n v="24.2"/>
    <n v="6"/>
    <n v="148.58799999999999"/>
    <n v="18.046919441150756"/>
    <n v="110.80808536866563"/>
    <n v="5183.8635970370542"/>
    <n v="93552.768729641699"/>
    <n v="24.3"/>
    <n v="574414"/>
    <n v="574414"/>
    <n v="0"/>
    <s v=""/>
    <s v="1997"/>
    <s v="CE-MD 7C1.234.3S"/>
  </r>
  <r>
    <s v="eGIS Link"/>
    <n v="242"/>
    <s v="West Bound Visi-Data"/>
    <s v="28198"/>
    <n v="2017"/>
    <n v="2"/>
    <x v="9"/>
    <s v="CE"/>
    <s v="CE-MD 282"/>
    <s v="6.2-6.7(W)"/>
    <s v="MD"/>
    <s v="282"/>
    <s v=""/>
    <n v="6.2"/>
    <n v="6.7"/>
    <s v="W"/>
    <s v="SPEED LIMIT 25 MPH"/>
    <s v="BOHEMIA AVE"/>
    <n v="2"/>
    <n v="1"/>
    <s v="UNDIVIDED"/>
    <s v="URBAN"/>
    <s v="NON-IS"/>
    <n v="7"/>
    <s v="F"/>
    <n v="195.84"/>
    <n v="155.02000000000001"/>
    <s v=""/>
    <s v=""/>
    <s v=""/>
    <n v="0.14000000000000001"/>
    <n v="59"/>
    <n v="117.77"/>
    <n v="117.77"/>
    <n v="18.324999999999999"/>
    <n v="40.299999999999997"/>
    <n v="11"/>
    <n v="0.12"/>
    <n v="45"/>
    <n v="63.94"/>
    <n v="63.94"/>
    <n v="100"/>
    <n v="100"/>
    <n v="100"/>
    <n v="0.08"/>
    <n v="49"/>
    <x v="1"/>
    <m/>
    <s v="Minor Rehabilitation"/>
    <n v="182378.67537109871"/>
    <n v="129099.32462890129"/>
    <n v="311478"/>
    <n v="24.7"/>
    <n v="0"/>
    <n v="0"/>
    <s v=""/>
    <s v=""/>
    <n v="0"/>
    <s v="F"/>
    <n v="48.4"/>
    <n v="32.1"/>
    <n v="28.3"/>
    <s v=""/>
    <s v=""/>
    <n v="28.3"/>
    <n v="28.3"/>
    <n v="6"/>
    <n v="28.3"/>
    <n v="21.104455379527536"/>
    <n v="21.104455379527536"/>
    <n v="14758.874104950868"/>
    <n v="311478"/>
    <n v="28.3"/>
    <n v="311478"/>
    <n v="311478"/>
    <n v="0"/>
    <s v=""/>
    <s v="1998"/>
    <s v="CE-MD 2826.26.7W"/>
  </r>
  <r>
    <s v="eGIS Link"/>
    <n v="217"/>
    <s v="EastBound Visi-Data"/>
    <s v="28200"/>
    <n v="2017"/>
    <n v="2"/>
    <x v="9"/>
    <s v="CE"/>
    <s v="CE-MD 285"/>
    <s v="0.76-2.43(E)"/>
    <s v="MD"/>
    <s v="285"/>
    <s v=""/>
    <n v="0.76"/>
    <n v="2.4300000000000002"/>
    <s v="E"/>
    <s v="HEMPHILL ST"/>
    <s v="DELAWARE ST/L"/>
    <n v="2"/>
    <n v="3.34"/>
    <s v="UNDIVIDED"/>
    <s v="URBAN"/>
    <s v="NON-IS"/>
    <n v="7"/>
    <s v="FCJ"/>
    <n v="138.43"/>
    <n v="143.79"/>
    <n v="82.5"/>
    <n v="88.3"/>
    <n v="80.599999999999994"/>
    <n v="0.11"/>
    <n v="52"/>
    <n v="86.22"/>
    <n v="86.22"/>
    <n v="77.7"/>
    <n v="73.5"/>
    <n v="79.099999999999994"/>
    <n v="0.19"/>
    <n v="46"/>
    <n v="53.72"/>
    <n v="53.72"/>
    <n v="100"/>
    <n v="100"/>
    <n v="100"/>
    <n v="0.08"/>
    <n v="49"/>
    <x v="1"/>
    <m/>
    <s v="Minor Rehabilitation"/>
    <n v="382612.98647069721"/>
    <n v="270838.01352930279"/>
    <n v="653451"/>
    <n v="21.2"/>
    <n v="18.899999999999999"/>
    <n v="13.9"/>
    <s v=""/>
    <s v=""/>
    <n v="13.9"/>
    <s v="D"/>
    <n v="37.799999999999997"/>
    <n v="37.9"/>
    <n v="34.5"/>
    <s v=""/>
    <s v=""/>
    <n v="34.5"/>
    <n v="20.6"/>
    <n v="6"/>
    <n v="68.804000000000002"/>
    <n v="15.362253739161387"/>
    <n v="51.309927488799033"/>
    <n v="12735.371729820676"/>
    <n v="195644.01197604791"/>
    <n v="20.5"/>
    <n v="653451"/>
    <n v="653451"/>
    <n v="0"/>
    <s v=""/>
    <s v="2006"/>
    <s v="CE-MD 2850.762.43E"/>
  </r>
  <r>
    <s v="eGIS Link"/>
    <n v="128"/>
    <s v="SouthBound Visi-Data"/>
    <s v="28177"/>
    <n v="2017"/>
    <n v="2"/>
    <x v="9"/>
    <s v="CE"/>
    <s v="CE-MD 213"/>
    <s v="17.03-17.95(S)"/>
    <s v="MD"/>
    <s v="213"/>
    <s v=""/>
    <n v="17.03"/>
    <n v="17.95"/>
    <s v="S"/>
    <s v="FRENCHTOWN RD"/>
    <s v="MANOR RD"/>
    <n v="2.5"/>
    <n v="2.2999999999999998"/>
    <s v="UNDIVIDED"/>
    <s v="RURAL"/>
    <s v="NON-IS"/>
    <n v="14"/>
    <s v="FCJ"/>
    <n v="89.55"/>
    <n v="63.48"/>
    <s v=""/>
    <s v=""/>
    <s v=""/>
    <n v="0.14000000000000001"/>
    <n v="46"/>
    <n v="96.77"/>
    <n v="96.77"/>
    <n v="88.2"/>
    <n v="87"/>
    <n v="88.6"/>
    <n v="0.13"/>
    <n v="47"/>
    <n v="105.99"/>
    <n v="105.99"/>
    <n v="97.625"/>
    <n v="99.2"/>
    <n v="97.1"/>
    <n v="0.13"/>
    <n v="55"/>
    <x v="4"/>
    <m/>
    <s v="Preventive Maintenance"/>
    <n v="73258.177723908593"/>
    <n v="19686.822276091407"/>
    <n v="92945"/>
    <n v="22.3"/>
    <n v="26.6"/>
    <n v="16.899999999999999"/>
    <s v=""/>
    <s v=""/>
    <n v="16.899999999999999"/>
    <s v="D"/>
    <n v="22.9"/>
    <n v="33.700000000000003"/>
    <n v="21.3"/>
    <s v=""/>
    <s v=""/>
    <n v="21.3"/>
    <n v="4.4000000000000021"/>
    <n v="4"/>
    <n v="18.399999999999999"/>
    <n v="5.9659237821985966"/>
    <n v="13.721624699056772"/>
    <n v="6773.6147896822349"/>
    <n v="40410.869565217392"/>
    <n v="4.4000000000000004"/>
    <n v="92945"/>
    <n v="92945"/>
    <n v="0"/>
    <s v=""/>
    <s v="2009"/>
    <s v="CE-MD 21317.0317.95S"/>
  </r>
  <r>
    <s v="eGIS Link"/>
    <n v="419"/>
    <s v="NorthBound Visi-Data"/>
    <s v="24112"/>
    <n v="2017"/>
    <n v="2"/>
    <x v="4"/>
    <s v="CO"/>
    <s v="CO-MD 404 RP6-7"/>
    <s v="0-0.18(N)"/>
    <s v="MD"/>
    <s v="404"/>
    <s v=""/>
    <n v="0"/>
    <n v="0.18"/>
    <s v="N"/>
    <s v=""/>
    <s v=""/>
    <s v=""/>
    <n v="0.36"/>
    <s v="UNDIVIDED"/>
    <s v="RURAL"/>
    <s v="NON-IS"/>
    <n v="2"/>
    <s v=""/>
    <s v=""/>
    <s v=""/>
    <s v=""/>
    <s v=""/>
    <s v=""/>
    <s v=""/>
    <s v=""/>
    <n v="104.5"/>
    <n v="104.5"/>
    <n v="72.575000000000003"/>
    <n v="74.3"/>
    <n v="72"/>
    <n v="0.13"/>
    <n v="54"/>
    <n v="49.58"/>
    <n v="49.58"/>
    <n v="100"/>
    <n v="100"/>
    <n v="100"/>
    <n v="0.08"/>
    <n v="49"/>
    <x v="2"/>
    <m/>
    <s v="Structural Overlay"/>
    <n v="2075911.8865239127"/>
    <n v="557864.11347608734"/>
    <n v="2633776"/>
    <n v="11.9"/>
    <n v="19.399999999999999"/>
    <n v="8.9"/>
    <s v=""/>
    <s v=""/>
    <n v="8.9"/>
    <s v="E"/>
    <n v="36.4"/>
    <n v="32.700000000000003"/>
    <n v="24.8"/>
    <s v=""/>
    <s v=""/>
    <n v="24.8"/>
    <n v="15.9"/>
    <n v="6"/>
    <n v="5.7240000000000002"/>
    <n v="11.857273517119712"/>
    <n v="4.2686184661630957"/>
    <n v="617008.99737881811"/>
    <n v="7316044.444444445"/>
    <n v="15.9"/>
    <n v="2633776"/>
    <n v="2633776"/>
    <n v="0"/>
    <s v=""/>
    <s v=""/>
    <s v="CO-MD 404 RP6-700.18N"/>
  </r>
  <r>
    <s v="eGIS Link"/>
    <n v="417"/>
    <s v="West Bound Visi-Data"/>
    <s v="67548"/>
    <n v="2017"/>
    <n v="2"/>
    <x v="4"/>
    <s v="QA"/>
    <s v="QA-US 301 RP5-89"/>
    <s v="0-0.06(W)"/>
    <s v="US"/>
    <s v="301"/>
    <s v=""/>
    <n v="0"/>
    <n v="0.06"/>
    <s v="W"/>
    <s v=""/>
    <s v=""/>
    <s v=""/>
    <n v="0.12"/>
    <s v="UNDIVIDED"/>
    <s v="RURAL"/>
    <s v="NON-IS"/>
    <n v="2"/>
    <s v=""/>
    <s v=""/>
    <s v=""/>
    <s v=""/>
    <s v=""/>
    <s v=""/>
    <s v=""/>
    <s v=""/>
    <n v="73.63"/>
    <n v="73.63"/>
    <n v="83.525000000000006"/>
    <n v="76.099999999999994"/>
    <n v="86"/>
    <n v="0.14000000000000001"/>
    <n v="61"/>
    <n v="43.84"/>
    <n v="43.84"/>
    <n v="100"/>
    <n v="100"/>
    <n v="100"/>
    <n v="0.08"/>
    <n v="49"/>
    <x v="2"/>
    <m/>
    <s v="Structural Overlay"/>
    <n v="491190.38697708183"/>
    <n v="131998.61302291817"/>
    <n v="623189"/>
    <n v="25.8"/>
    <n v="20.2"/>
    <n v="14.9"/>
    <s v=""/>
    <s v=""/>
    <n v="14.9"/>
    <s v="D"/>
    <n v="39.9"/>
    <n v="32.700000000000003"/>
    <n v="24.8"/>
    <s v=""/>
    <s v=""/>
    <n v="24.8"/>
    <n v="9.9"/>
    <n v="6"/>
    <n v="1.44"/>
    <n v="8.9488856732978945"/>
    <n v="1.0738662807957473"/>
    <n v="580322.71908026549"/>
    <n v="5193241.666666667"/>
    <n v="9.9"/>
    <n v="623189"/>
    <n v="623189"/>
    <n v="0"/>
    <s v=""/>
    <s v=""/>
    <s v="QA-US 301 RP5-8900.06W"/>
  </r>
  <r>
    <s v="eGIS Link"/>
    <n v="363"/>
    <s v="West Bound Visi-Data"/>
    <s v="24107"/>
    <n v="2017"/>
    <n v="2"/>
    <x v="4"/>
    <s v="CO"/>
    <s v="CO-MD 404 RP4-7"/>
    <s v="0-0.17(W)"/>
    <s v="MD"/>
    <s v="404"/>
    <s v=""/>
    <n v="0"/>
    <n v="0.17"/>
    <s v="W"/>
    <s v=""/>
    <s v=""/>
    <s v=""/>
    <n v="0.34"/>
    <s v="UNDIVIDED"/>
    <s v="RURAL"/>
    <s v="NON-IS"/>
    <n v="2"/>
    <s v=""/>
    <s v=""/>
    <s v=""/>
    <s v=""/>
    <s v=""/>
    <s v=""/>
    <s v=""/>
    <s v=""/>
    <n v="103.62"/>
    <n v="103.62"/>
    <n v="62.6"/>
    <n v="72.8"/>
    <n v="59.2"/>
    <n v="0.14000000000000001"/>
    <n v="37"/>
    <n v="49.22"/>
    <n v="49.22"/>
    <n v="100"/>
    <n v="100"/>
    <n v="100"/>
    <n v="0.08"/>
    <n v="49"/>
    <x v="2"/>
    <m/>
    <s v="Structural Overlay"/>
    <n v="745523.04379510134"/>
    <n v="200345.95620489866"/>
    <n v="945869"/>
    <n v="16.3"/>
    <n v="5.4"/>
    <n v="0.6"/>
    <s v=""/>
    <s v=""/>
    <n v="0.6"/>
    <s v="F"/>
    <n v="46.7"/>
    <n v="49.8"/>
    <n v="50"/>
    <s v=""/>
    <s v=""/>
    <n v="46.7"/>
    <n v="46.1"/>
    <n v="6"/>
    <n v="15.674000000000001"/>
    <n v="34.378635794919411"/>
    <n v="11.6887361702726"/>
    <n v="80921.408971962519"/>
    <n v="2781967.6470588231"/>
    <n v="46.1"/>
    <n v="945869"/>
    <n v="945869"/>
    <n v="0"/>
    <s v=""/>
    <s v=""/>
    <s v="CO-MD 404 RP4-700.17W"/>
  </r>
  <r>
    <s v="eGIS Link"/>
    <n v="434"/>
    <s v="West Bound Visi-Data"/>
    <s v="54354"/>
    <n v="2017"/>
    <n v="3"/>
    <x v="10"/>
    <s v="MO"/>
    <s v="MO-IS 495 RP1-36"/>
    <s v="0-0.01(W)"/>
    <s v="IS"/>
    <s v="495"/>
    <s v=""/>
    <n v="0"/>
    <n v="0.01"/>
    <s v="W"/>
    <s v=""/>
    <s v=""/>
    <n v="1"/>
    <n v="0.01"/>
    <s v="UNDIVIDED"/>
    <s v="URBAN"/>
    <s v="IS"/>
    <n v="11"/>
    <s v=""/>
    <s v=""/>
    <s v=""/>
    <s v=""/>
    <s v=""/>
    <s v=""/>
    <s v=""/>
    <s v=""/>
    <n v="79.790000000000006"/>
    <n v="79.790000000000006"/>
    <n v="92.45"/>
    <n v="89.6"/>
    <n v="93.4"/>
    <n v="0.14000000000000001"/>
    <n v="44"/>
    <n v="82.46"/>
    <n v="82.46"/>
    <n v="93.25"/>
    <n v="91"/>
    <n v="94"/>
    <n v="0.14000000000000001"/>
    <n v="44"/>
    <x v="6"/>
    <m/>
    <s v="Preventive Maintenance"/>
    <n v="247582.19564784446"/>
    <n v="180452.80435215554"/>
    <n v="428035"/>
    <n v="26.7"/>
    <n v="19.3"/>
    <n v="18.899999999999999"/>
    <s v=""/>
    <s v=""/>
    <n v="18.899999999999999"/>
    <s v="D"/>
    <n v="26.5"/>
    <n v="21.5"/>
    <n v="20.6"/>
    <s v=""/>
    <s v=""/>
    <n v="20.6"/>
    <n v="2"/>
    <n v="2"/>
    <n v="0.04"/>
    <n v="2.9829618910992983"/>
    <n v="2.9829618910992985E-2"/>
    <n v="14349328.473729111"/>
    <n v="42803500"/>
    <n v="1.7"/>
    <n v="428035"/>
    <n v="428035"/>
    <n v="0"/>
    <s v=""/>
    <s v=""/>
    <s v="MO-IS 495 RP1-3600.01W"/>
  </r>
  <r>
    <s v="eGIS Link"/>
    <n v="430"/>
    <s v="NorthBound Visi-Data"/>
    <s v="54316"/>
    <n v="2017"/>
    <n v="3"/>
    <x v="10"/>
    <s v="MO"/>
    <s v="MO-IS 495 RP1-31"/>
    <s v="0-0.18(N)"/>
    <s v="IS"/>
    <s v="495"/>
    <s v=""/>
    <n v="0"/>
    <n v="0.18"/>
    <s v="N"/>
    <s v=""/>
    <s v=""/>
    <n v="1"/>
    <n v="0.18"/>
    <s v="UNDIVIDED"/>
    <s v="URBAN"/>
    <s v="IS"/>
    <n v="11"/>
    <s v=""/>
    <s v=""/>
    <s v=""/>
    <s v=""/>
    <s v=""/>
    <s v=""/>
    <s v=""/>
    <s v=""/>
    <n v="85.2"/>
    <n v="85.2"/>
    <n v="93.55"/>
    <n v="91.9"/>
    <n v="94.1"/>
    <n v="0.21"/>
    <n v="47"/>
    <n v="87.99"/>
    <n v="87.99"/>
    <n v="94"/>
    <n v="92.5"/>
    <n v="94.5"/>
    <n v="0.21"/>
    <n v="47"/>
    <x v="6"/>
    <m/>
    <s v="Preventive Maintenance"/>
    <n v="552539.18712522776"/>
    <n v="402723.81287477224"/>
    <n v="955263"/>
    <n v="24.3"/>
    <n v="21.3"/>
    <n v="19.600000000000001"/>
    <s v=""/>
    <s v=""/>
    <n v="19.600000000000001"/>
    <s v="D"/>
    <n v="24.1"/>
    <n v="22.7"/>
    <n v="21.1"/>
    <s v=""/>
    <s v=""/>
    <n v="21.1"/>
    <n v="2"/>
    <n v="2"/>
    <n v="0.72"/>
    <n v="2.9829618910992983"/>
    <n v="0.53693314039787365"/>
    <n v="1779109.7776012467"/>
    <n v="5307016.666666667"/>
    <n v="1.5"/>
    <n v="955263"/>
    <n v="955263"/>
    <n v="0"/>
    <s v=""/>
    <s v=""/>
    <s v="MO-IS 495 RP1-3100.18N"/>
  </r>
  <r>
    <s v="eGIS Link"/>
    <n v="53"/>
    <s v="NorthBound Visi-Data"/>
    <s v="53250"/>
    <n v="2017"/>
    <n v="3"/>
    <x v="10"/>
    <s v="MO"/>
    <s v="MO-MD 185"/>
    <s v="2.75-4.15(N)"/>
    <s v="MD"/>
    <s v="185"/>
    <s v=""/>
    <n v="2.75"/>
    <n v="4.1500000000000004"/>
    <s v="N"/>
    <s v="STRUC #15030 ROCK CREEK"/>
    <s v="BALTIMORE ST"/>
    <n v="3.2"/>
    <n v="4.4800000000000004"/>
    <s v="DIVIDED"/>
    <s v="URBAN"/>
    <s v="NON-IS"/>
    <n v="14"/>
    <s v="FCJ"/>
    <n v="167.91"/>
    <n v="194.93"/>
    <n v="73"/>
    <n v="85.5"/>
    <n v="68.8"/>
    <n v="0.13"/>
    <n v="30"/>
    <n v="123.84"/>
    <n v="123.84"/>
    <n v="80.974999999999994"/>
    <n v="85.4"/>
    <n v="79.5"/>
    <n v="0.13"/>
    <n v="31"/>
    <n v="53.29"/>
    <n v="53.29"/>
    <n v="100"/>
    <n v="100"/>
    <n v="100"/>
    <n v="0.08"/>
    <n v="44"/>
    <x v="2"/>
    <m/>
    <s v="Structural Overlay"/>
    <n v="199790.59235511572"/>
    <n v="145619.40764488428"/>
    <n v="345410"/>
    <n v="16.2"/>
    <n v="50"/>
    <n v="50"/>
    <s v=""/>
    <s v=""/>
    <n v="16.2"/>
    <s v="D"/>
    <n v="47.3"/>
    <n v="50"/>
    <n v="50"/>
    <s v=""/>
    <s v=""/>
    <n v="47.3"/>
    <n v="31.099999999999998"/>
    <n v="6"/>
    <n v="139.328"/>
    <n v="23.192528703297043"/>
    <n v="103.90252859077076"/>
    <n v="3324.3656789184374"/>
    <n v="77100.44642857142"/>
    <n v="31.2"/>
    <n v="345410"/>
    <n v="345410"/>
    <n v="0"/>
    <s v="SKID_35"/>
    <s v="2003"/>
    <s v="MO-MD 1852.754.15N"/>
  </r>
  <r>
    <s v="eGIS Link"/>
    <n v="124"/>
    <s v="SouthBound Visi-Data"/>
    <s v="53274"/>
    <n v="2017"/>
    <n v="3"/>
    <x v="10"/>
    <s v="MO"/>
    <s v="MO-MD 390"/>
    <s v="0-1.09(S)"/>
    <s v="MD"/>
    <s v="390"/>
    <s v=""/>
    <n v="0"/>
    <n v="1.0900000000000001"/>
    <s v="S"/>
    <s v="WASH DC LINE"/>
    <s v="GEORGIA AVE"/>
    <n v="3.2"/>
    <n v="3.49"/>
    <s v="DIVIDED"/>
    <s v="URBAN"/>
    <s v="NON-IS"/>
    <n v="14"/>
    <s v="FCJ"/>
    <n v="150.97999999999999"/>
    <n v="155.19"/>
    <n v="95.3"/>
    <n v="95.5"/>
    <n v="95.2"/>
    <n v="0.25"/>
    <n v="50"/>
    <n v="205.4"/>
    <n v="205.4"/>
    <n v="82.4"/>
    <n v="82.7"/>
    <n v="82.3"/>
    <n v="0.13"/>
    <n v="28"/>
    <n v="71.23"/>
    <n v="71.23"/>
    <n v="100"/>
    <n v="100"/>
    <n v="100"/>
    <n v="0.08"/>
    <n v="44"/>
    <x v="2"/>
    <m/>
    <s v="Structural Overlay"/>
    <n v="256736.20368065202"/>
    <n v="187124.79631934798"/>
    <n v="443861"/>
    <n v="2.7"/>
    <n v="37"/>
    <n v="42.1"/>
    <s v=""/>
    <s v=""/>
    <n v="2.7"/>
    <s v="E"/>
    <n v="28.2"/>
    <n v="47.1"/>
    <n v="50"/>
    <s v=""/>
    <s v=""/>
    <n v="28.2"/>
    <n v="25.5"/>
    <n v="6"/>
    <n v="88.995000000000005"/>
    <n v="19.016382055758026"/>
    <n v="66.367173374595509"/>
    <n v="6687.959987307584"/>
    <n v="127180.8022922636"/>
    <n v="25.5"/>
    <n v="443861"/>
    <n v="443861"/>
    <n v="0"/>
    <s v=""/>
    <s v="2009"/>
    <s v="MO-MD 39001.09S"/>
  </r>
  <r>
    <s v="eGIS Link"/>
    <n v="151"/>
    <s v="NorthBound Visi-Data"/>
    <s v="53272"/>
    <n v="2017"/>
    <n v="3"/>
    <x v="10"/>
    <s v="MO"/>
    <s v="MO-MD 355"/>
    <s v="22.51-23.65(N)"/>
    <s v="MD"/>
    <s v="355"/>
    <s v=""/>
    <n v="22.51"/>
    <n v="23.65"/>
    <s v="N"/>
    <s v="SPEED LIMIT 30 MPH"/>
    <s v="CAMPING RIDGE RD"/>
    <n v="2.7"/>
    <n v="3.08"/>
    <s v="UNDIVIDED"/>
    <s v="URBAN"/>
    <s v="NON-IS"/>
    <n v="7"/>
    <s v="FCJ"/>
    <n v="129.30000000000001"/>
    <n v="136.97999999999999"/>
    <n v="98.3"/>
    <n v="98.1"/>
    <n v="98.4"/>
    <n v="0.18"/>
    <n v="45"/>
    <n v="220.87"/>
    <n v="220.87"/>
    <n v="70.7"/>
    <n v="74.900000000000006"/>
    <n v="69.3"/>
    <n v="0.17"/>
    <n v="30"/>
    <n v="74.73"/>
    <n v="74.73"/>
    <n v="100"/>
    <n v="100"/>
    <n v="100"/>
    <n v="0.08"/>
    <n v="44"/>
    <x v="2"/>
    <m/>
    <s v="Structural Overlay"/>
    <n v="271417.55284586886"/>
    <n v="197825.44715413114"/>
    <n v="469243"/>
    <n v="1.4"/>
    <n v="21.6"/>
    <n v="17.5"/>
    <s v=""/>
    <s v=""/>
    <n v="1.4"/>
    <s v="E"/>
    <n v="27.1"/>
    <n v="47.1"/>
    <n v="50"/>
    <s v=""/>
    <s v=""/>
    <n v="27.1"/>
    <n v="25.700000000000003"/>
    <n v="6"/>
    <n v="79.156000000000006"/>
    <n v="19.165530150312993"/>
    <n v="59.029832862964021"/>
    <n v="7949.2517129318912"/>
    <n v="152351.62337662338"/>
    <n v="25.7"/>
    <n v="469243"/>
    <n v="469243"/>
    <n v="0"/>
    <s v=""/>
    <s v="2009"/>
    <s v="MO-MD 35522.5123.65N"/>
  </r>
  <r>
    <s v="eGIS Link"/>
    <n v="352"/>
    <s v="SouthBound Visi-Data"/>
    <s v="53250"/>
    <n v="2017"/>
    <n v="3"/>
    <x v="10"/>
    <s v="MO"/>
    <s v="MO-MD 185"/>
    <s v="2.5-2.75(S)"/>
    <s v="MD"/>
    <s v="185"/>
    <s v=""/>
    <n v="2.5"/>
    <n v="2.75"/>
    <s v="S"/>
    <s v="RAMP 4 FR MD 185 TO IS 495"/>
    <s v="STRUC #15030 ROCK CREEK"/>
    <n v="3.4"/>
    <n v="0.85"/>
    <s v="DIVIDED"/>
    <s v="URBAN"/>
    <s v="NON-IS"/>
    <n v="14"/>
    <s v="FCJ"/>
    <n v="344.81"/>
    <n v="284.43"/>
    <n v="63.8"/>
    <n v="83.3"/>
    <n v="57.3"/>
    <n v="0.18"/>
    <n v="30"/>
    <n v="184.01"/>
    <n v="184.01"/>
    <n v="59.25"/>
    <n v="75.3"/>
    <n v="53.9"/>
    <n v="0.18"/>
    <n v="34"/>
    <n v="65.87"/>
    <n v="65.87"/>
    <n v="100"/>
    <n v="100"/>
    <n v="100"/>
    <n v="0.08"/>
    <n v="44"/>
    <x v="2"/>
    <m/>
    <s v="Structural Overlay"/>
    <n v="792520.42109234899"/>
    <n v="577636.57890765101"/>
    <n v="1370157"/>
    <n v="6.5"/>
    <n v="50"/>
    <n v="8.1"/>
    <s v=""/>
    <s v=""/>
    <n v="6.5"/>
    <s v="E"/>
    <n v="40.799999999999997"/>
    <n v="50"/>
    <n v="50"/>
    <s v=""/>
    <s v=""/>
    <n v="40.799999999999997"/>
    <n v="34.299999999999997"/>
    <n v="6"/>
    <n v="29.154999999999998"/>
    <n v="25.578898216176484"/>
    <n v="21.742063483750009"/>
    <n v="63018.719498453014"/>
    <n v="1611949.411764706"/>
    <n v="34.299999999999997"/>
    <n v="1370157"/>
    <n v="1370157"/>
    <n v="0"/>
    <s v=""/>
    <s v="1990"/>
    <s v="MO-MD 1852.52.75S"/>
  </r>
  <r>
    <s v="eGIS Link"/>
    <n v="294"/>
    <s v="NorthBound Visi-Data"/>
    <s v="53287"/>
    <n v="2017"/>
    <n v="3"/>
    <x v="10"/>
    <s v="MO"/>
    <s v="MO-MD 650"/>
    <s v="13.5-14.85(N)"/>
    <s v="MD"/>
    <s v="650"/>
    <s v=""/>
    <n v="13.5"/>
    <n v="14.85"/>
    <s v="N"/>
    <s v="ASHTON RD"/>
    <s v="HAVILAND MILL RD"/>
    <n v="2.2999999999999998"/>
    <n v="3.11"/>
    <s v="UNDIVIDED"/>
    <s v="URBAN"/>
    <s v="NON-IS"/>
    <n v="7"/>
    <s v="FCJ"/>
    <n v="122.06"/>
    <n v="162.32"/>
    <n v="96.2"/>
    <n v="96.8"/>
    <n v="96"/>
    <n v="0.14000000000000001"/>
    <n v="39"/>
    <n v="180.4"/>
    <n v="180.4"/>
    <n v="91.35"/>
    <n v="90.3"/>
    <n v="91.7"/>
    <n v="0.14000000000000001"/>
    <n v="34"/>
    <n v="65.489999999999995"/>
    <n v="65.489999999999995"/>
    <n v="100"/>
    <n v="100"/>
    <n v="100"/>
    <n v="0.08"/>
    <n v="44"/>
    <x v="2"/>
    <m/>
    <s v="Structural Overlay"/>
    <n v="749291.93983745796"/>
    <n v="546129.06016254204"/>
    <n v="1295421"/>
    <n v="5.4"/>
    <n v="41.1"/>
    <n v="49.8"/>
    <s v=""/>
    <s v=""/>
    <n v="5.4"/>
    <s v="E"/>
    <n v="30.1"/>
    <n v="47.1"/>
    <n v="50"/>
    <s v=""/>
    <s v=""/>
    <n v="30.1"/>
    <n v="24.700000000000003"/>
    <n v="6"/>
    <n v="76.817000000000007"/>
    <n v="18.419789677538169"/>
    <n v="57.285545897143706"/>
    <n v="22613.400635579706"/>
    <n v="416534.08360128617"/>
    <n v="24.7"/>
    <n v="1295421"/>
    <n v="1295421"/>
    <n v="0"/>
    <s v=""/>
    <s v="2012"/>
    <s v="MO-MD 65013.514.85N"/>
  </r>
  <r>
    <s v="eGIS Link"/>
    <n v="357"/>
    <s v="NorthBound Visi-Data"/>
    <s v="54368"/>
    <n v="2017"/>
    <n v="3"/>
    <x v="10"/>
    <s v="MO"/>
    <s v="MO-US 29"/>
    <s v="2.6-2.89(N)"/>
    <s v="US"/>
    <s v="29"/>
    <s v=""/>
    <n v="2.6"/>
    <n v="2.89"/>
    <s v="N"/>
    <s v="LANARK WAY"/>
    <s v="WOODMOOR CIR"/>
    <n v="4.3"/>
    <n v="1.25"/>
    <s v="DIVIDED"/>
    <s v="URBAN"/>
    <s v="NON-IS"/>
    <n v="14"/>
    <s v="FCJ"/>
    <n v="198.93"/>
    <n v="213.87"/>
    <n v="79.599999999999994"/>
    <n v="96.8"/>
    <n v="73.900000000000006"/>
    <n v="0.27"/>
    <n v="37"/>
    <n v="188.85"/>
    <n v="188.85"/>
    <n v="82"/>
    <n v="80.8"/>
    <n v="82.4"/>
    <n v="0.12"/>
    <n v="37"/>
    <n v="67.37"/>
    <n v="67.37"/>
    <n v="100"/>
    <n v="100"/>
    <n v="100"/>
    <n v="0.08"/>
    <n v="44"/>
    <x v="2"/>
    <m/>
    <s v="Structural Overlay"/>
    <n v="900076.83419108321"/>
    <n v="656030.16580891679"/>
    <n v="1556107"/>
    <n v="4.5"/>
    <n v="35.5"/>
    <n v="42.2"/>
    <s v=""/>
    <s v=""/>
    <n v="4.5"/>
    <s v="E"/>
    <n v="29.5"/>
    <n v="47.1"/>
    <n v="50"/>
    <s v=""/>
    <s v=""/>
    <n v="29.5"/>
    <n v="25"/>
    <n v="6"/>
    <n v="31.25"/>
    <n v="18.643511819370612"/>
    <n v="23.304389774213266"/>
    <n v="66773.12794183784"/>
    <n v="1244885.6000000001"/>
    <n v="25"/>
    <n v="1556107"/>
    <n v="1556107"/>
    <n v="0"/>
    <s v=""/>
    <s v="2012"/>
    <s v="MO-US 292.62.89N"/>
  </r>
  <r>
    <s v="eGIS Link"/>
    <n v="423"/>
    <s v="NorthBound Visi-Data"/>
    <s v="54368"/>
    <n v="2017"/>
    <n v="3"/>
    <x v="10"/>
    <s v="MO"/>
    <s v="MO-US 29"/>
    <s v="2.57-2.6(N)"/>
    <s v="US"/>
    <s v="29"/>
    <s v=""/>
    <n v="2.57"/>
    <n v="2.6"/>
    <s v="N"/>
    <s v=""/>
    <s v="LANARK WAY"/>
    <n v="5"/>
    <n v="0.15"/>
    <s v="DIVIDED"/>
    <s v="URBAN"/>
    <s v="NON-IS"/>
    <n v="14"/>
    <s v="F"/>
    <n v="116.04"/>
    <n v="89.07"/>
    <s v=""/>
    <s v=""/>
    <s v=""/>
    <n v="0.15"/>
    <n v="47"/>
    <n v="282.58"/>
    <n v="282.58"/>
    <n v="82.7"/>
    <n v="81.8"/>
    <n v="83"/>
    <n v="0.23"/>
    <n v="33"/>
    <n v="89.71"/>
    <n v="89.71"/>
    <n v="100"/>
    <n v="100"/>
    <n v="100"/>
    <n v="0.12"/>
    <n v="44"/>
    <x v="2"/>
    <m/>
    <s v="Structural Overlay"/>
    <n v="1424993.1976328306"/>
    <n v="1038620.8023671694"/>
    <n v="2463614"/>
    <n v="0"/>
    <n v="36.299999999999997"/>
    <n v="43"/>
    <s v=""/>
    <s v=""/>
    <n v="0"/>
    <s v="F"/>
    <n v="23"/>
    <n v="47.1"/>
    <n v="50"/>
    <s v=""/>
    <s v=""/>
    <n v="23"/>
    <n v="23"/>
    <n v="6"/>
    <n v="3.4499999999999997"/>
    <n v="17.152030873820966"/>
    <n v="2.5728046310731449"/>
    <n v="957559.68807176768"/>
    <n v="16424093.333333334"/>
    <n v="23"/>
    <n v="2463614"/>
    <n v="2463614"/>
    <n v="0"/>
    <s v=""/>
    <s v="1996"/>
    <s v="MO-US 292.572.6N"/>
  </r>
  <r>
    <s v="eGIS Link"/>
    <n v="421"/>
    <s v="West Bound Visi-Data"/>
    <s v="53293"/>
    <n v="2017"/>
    <n v="3"/>
    <x v="10"/>
    <s v="MO"/>
    <s v="MO-MD 655E"/>
    <s v="0-0.02(W)"/>
    <s v="MD"/>
    <s v="655"/>
    <s v="E"/>
    <n v="0"/>
    <n v="0.02"/>
    <s v="W"/>
    <s v=""/>
    <s v=""/>
    <n v="1"/>
    <n v="0.02"/>
    <s v="UNDIVIDED"/>
    <s v="URBAN"/>
    <s v="NON-IS"/>
    <n v="19"/>
    <s v=""/>
    <s v=""/>
    <s v=""/>
    <s v=""/>
    <s v=""/>
    <s v=""/>
    <s v=""/>
    <s v=""/>
    <n v="303.99"/>
    <n v="303.99"/>
    <n v="88.85"/>
    <n v="84.5"/>
    <n v="90.3"/>
    <n v="0.26"/>
    <n v="27"/>
    <n v="94.13"/>
    <n v="94.13"/>
    <n v="100"/>
    <n v="100"/>
    <n v="100"/>
    <n v="0.12"/>
    <n v="44"/>
    <x v="2"/>
    <m/>
    <s v="Structural Overlay"/>
    <n v="175305.09582757813"/>
    <n v="127772.90417242187"/>
    <n v="303078"/>
    <n v="0"/>
    <n v="50"/>
    <n v="50"/>
    <s v=""/>
    <s v=""/>
    <n v="0"/>
    <s v="F"/>
    <n v="29.9"/>
    <n v="50"/>
    <n v="50"/>
    <s v=""/>
    <s v=""/>
    <n v="29.9"/>
    <n v="29.9"/>
    <n v="6"/>
    <n v="0.59799999999999998"/>
    <n v="22.297640135967253"/>
    <n v="0.44595280271934506"/>
    <n v="679619.004863029"/>
    <n v="15153900"/>
    <n v="29.9"/>
    <n v="303078"/>
    <n v="303078"/>
    <n v="0"/>
    <s v=""/>
    <s v=""/>
    <s v="MO-MD 655E00.02W"/>
  </r>
  <r>
    <s v="eGIS Link"/>
    <n v="432"/>
    <s v="NorthBound Visi-Data"/>
    <s v="53248"/>
    <n v="2017"/>
    <n v="3"/>
    <x v="10"/>
    <s v="MO"/>
    <s v="MO-MD 182"/>
    <s v="6.53-6.537(N)"/>
    <s v="MD"/>
    <s v="182"/>
    <s v=""/>
    <n v="6.53"/>
    <n v="6.5369999999999999"/>
    <s v="N"/>
    <s v=""/>
    <s v=""/>
    <n v="3"/>
    <n v="0.02"/>
    <s v="UNDIVIDED"/>
    <s v="URBAN"/>
    <s v="NON-IS"/>
    <n v="16"/>
    <s v="FLEXIBLE"/>
    <n v="834.09"/>
    <s v=""/>
    <s v=""/>
    <s v=""/>
    <s v=""/>
    <n v="0.35"/>
    <n v="40"/>
    <n v="184.55"/>
    <n v="184.55"/>
    <n v="80.474999999999994"/>
    <n v="78.900000000000006"/>
    <n v="81"/>
    <n v="0.11"/>
    <n v="30"/>
    <n v="66.03"/>
    <n v="66.03"/>
    <n v="100"/>
    <n v="100"/>
    <n v="100"/>
    <n v="0.08"/>
    <n v="44"/>
    <x v="2"/>
    <m/>
    <s v="Structural Overlay"/>
    <n v="1148125.8113682135"/>
    <n v="836823.1886317865"/>
    <n v="1984949"/>
    <n v="7.6"/>
    <n v="34.799999999999997"/>
    <n v="43.8"/>
    <s v=""/>
    <s v=""/>
    <n v="7.6"/>
    <s v="E"/>
    <n v="38.1"/>
    <n v="48.5"/>
    <n v="50"/>
    <s v=""/>
    <s v=""/>
    <n v="38.1"/>
    <n v="30.5"/>
    <n v="6"/>
    <n v="0.61"/>
    <n v="22.74508441963215"/>
    <n v="0.454901688392643"/>
    <n v="4363468.0869478658"/>
    <n v="99247450"/>
    <n v="30.5"/>
    <n v="1984949"/>
    <n v="1984949"/>
    <n v="0"/>
    <s v=""/>
    <s v="2002"/>
    <s v="MO-MD 1826.536.537N"/>
  </r>
  <r>
    <s v="eGIS Link"/>
    <n v="264"/>
    <s v="SouthBound Visi-Data"/>
    <s v="53287"/>
    <n v="2017"/>
    <n v="3"/>
    <x v="10"/>
    <s v="MO"/>
    <s v="MO-MD 650"/>
    <s v="13.5-14.85(S)"/>
    <s v="MD"/>
    <s v="650"/>
    <s v=""/>
    <n v="13.5"/>
    <n v="14.85"/>
    <s v="S"/>
    <s v="ASHTON RD"/>
    <s v="HAVILAND MILL RD"/>
    <n v="2.2999999999999998"/>
    <n v="3.11"/>
    <s v="UNDIVIDED"/>
    <s v="URBAN"/>
    <s v="NON-IS"/>
    <n v="7"/>
    <s v="FCJ"/>
    <n v="148.21"/>
    <n v="177.5"/>
    <n v="80.5"/>
    <n v="83.7"/>
    <n v="79.400000000000006"/>
    <n v="0.12"/>
    <n v="29"/>
    <n v="207.85"/>
    <n v="207.85"/>
    <n v="81.75"/>
    <n v="79.2"/>
    <n v="82.6"/>
    <n v="0.15"/>
    <n v="48"/>
    <n v="71.510000000000005"/>
    <n v="71.510000000000005"/>
    <n v="100"/>
    <n v="100"/>
    <n v="100"/>
    <n v="0.08"/>
    <n v="44"/>
    <x v="2"/>
    <m/>
    <s v="Structural Overlay"/>
    <n v="617548.49275035772"/>
    <n v="450106.50724964228"/>
    <n v="1067655"/>
    <n v="2.9"/>
    <n v="33.799999999999997"/>
    <n v="42.5"/>
    <s v=""/>
    <s v=""/>
    <n v="2.9"/>
    <s v="E"/>
    <n v="28.1"/>
    <n v="47.1"/>
    <n v="50"/>
    <s v=""/>
    <s v=""/>
    <n v="28.1"/>
    <n v="25.200000000000003"/>
    <n v="6"/>
    <n v="78.372"/>
    <n v="18.792659913925583"/>
    <n v="58.445172332308559"/>
    <n v="18267.63370513323"/>
    <n v="343297.42765273311"/>
    <n v="25.2"/>
    <n v="1067655"/>
    <n v="1067655"/>
    <n v="0"/>
    <s v=""/>
    <s v="2012"/>
    <s v="MO-MD 65013.514.85S"/>
  </r>
  <r>
    <s v="eGIS Link"/>
    <n v="297"/>
    <s v="SouthBound Visi-Data"/>
    <s v="53272"/>
    <n v="2017"/>
    <n v="3"/>
    <x v="10"/>
    <s v="MO"/>
    <s v="MO-MD 355"/>
    <s v="19.68-20.2(S)"/>
    <s v="MD"/>
    <s v="355"/>
    <s v=""/>
    <n v="19.68"/>
    <n v="20.2"/>
    <s v="S"/>
    <s v="SPUR FR FATHER HURLEY BLVD"/>
    <s v="PROPOSED EXIT"/>
    <n v="2.6"/>
    <n v="1.35"/>
    <s v="DIVIDED"/>
    <s v="URBAN"/>
    <s v="NON-IS"/>
    <n v="16"/>
    <s v="F"/>
    <n v="133.52000000000001"/>
    <n v="156.83000000000001"/>
    <n v="61.3"/>
    <n v="79.900000000000006"/>
    <n v="55.1"/>
    <n v="0.18"/>
    <n v="31"/>
    <n v="293.07"/>
    <n v="293.07"/>
    <n v="82.125"/>
    <n v="82.2"/>
    <n v="82.1"/>
    <n v="0.2"/>
    <n v="43"/>
    <n v="92.35"/>
    <n v="92.35"/>
    <n v="100"/>
    <n v="100"/>
    <n v="100"/>
    <n v="0.08"/>
    <n v="44"/>
    <x v="2"/>
    <m/>
    <s v="Structural Overlay"/>
    <n v="300197.2080765256"/>
    <n v="218801.7919234744"/>
    <n v="518999"/>
    <n v="0"/>
    <n v="36.6"/>
    <n v="41.9"/>
    <s v=""/>
    <s v=""/>
    <n v="0"/>
    <s v="F"/>
    <n v="22.4"/>
    <n v="47.1"/>
    <n v="50"/>
    <s v=""/>
    <s v=""/>
    <n v="22.4"/>
    <n v="22.4"/>
    <n v="6"/>
    <n v="30.24"/>
    <n v="16.704586590156069"/>
    <n v="22.551191896710694"/>
    <n v="23014.260282876709"/>
    <n v="384443.70370370365"/>
    <n v="22.4"/>
    <n v="518999"/>
    <n v="518999"/>
    <n v="0"/>
    <s v=""/>
    <s v="2012"/>
    <s v="MO-MD 35519.6820.2S"/>
  </r>
  <r>
    <s v="eGIS Link"/>
    <n v="391"/>
    <s v="SouthBound Visi-Data"/>
    <s v="53234"/>
    <n v="2017"/>
    <n v="3"/>
    <x v="10"/>
    <s v="MO"/>
    <s v="MO-MD 97"/>
    <s v="9.79-9.99(S)"/>
    <s v="MD"/>
    <s v="97"/>
    <s v=""/>
    <n v="9.7899999999999991"/>
    <n v="9.99"/>
    <s v="S"/>
    <s v="BATCHELLORS FOREST RD"/>
    <s v="ENT TO OLNEY MANOR PARK"/>
    <n v="3.4"/>
    <n v="0.68"/>
    <s v="DIVIDED"/>
    <s v="URBAN"/>
    <s v="NON-IS"/>
    <n v="14"/>
    <s v="F"/>
    <n v="121.8"/>
    <n v="164.85"/>
    <n v="53.8"/>
    <n v="59.2"/>
    <n v="52"/>
    <n v="0.15"/>
    <n v="37"/>
    <n v="245.75"/>
    <n v="245.75"/>
    <n v="80.125"/>
    <n v="81.099999999999994"/>
    <n v="79.8"/>
    <n v="0.21"/>
    <n v="40"/>
    <n v="80.66"/>
    <n v="80.66"/>
    <n v="100"/>
    <n v="100"/>
    <n v="100"/>
    <n v="0.12"/>
    <n v="44"/>
    <x v="2"/>
    <m/>
    <s v="Structural Overlay"/>
    <n v="1461531.1436346266"/>
    <n v="1065251.8563653734"/>
    <n v="2526783"/>
    <n v="0"/>
    <n v="35.799999999999997"/>
    <n v="38.1"/>
    <s v=""/>
    <s v=""/>
    <n v="0"/>
    <s v="F"/>
    <n v="25.4"/>
    <n v="47.1"/>
    <n v="50"/>
    <s v=""/>
    <s v=""/>
    <n v="25.4"/>
    <n v="25.4"/>
    <n v="6"/>
    <n v="17.272000000000002"/>
    <n v="18.941808008480546"/>
    <n v="12.880429445766772"/>
    <n v="196172.26355992671"/>
    <n v="3715857.3529411764"/>
    <n v="25.4"/>
    <n v="2526783"/>
    <n v="2526783"/>
    <n v="0"/>
    <s v=""/>
    <s v="2012"/>
    <s v="MO-MD 979.799.99S"/>
  </r>
  <r>
    <s v="eGIS Link"/>
    <n v="289"/>
    <s v="NorthBound Visi-Data"/>
    <s v="53263"/>
    <n v="2017"/>
    <n v="3"/>
    <x v="10"/>
    <s v="MO"/>
    <s v="MO-MD 191"/>
    <s v="6.5-7.16(N)"/>
    <s v="MD"/>
    <s v="191"/>
    <s v=""/>
    <n v="6.5"/>
    <n v="7.16"/>
    <s v="N"/>
    <s v="SPEED LIMIT 25 MPH"/>
    <s v="BRADLEY LA (AHEAD)"/>
    <n v="2"/>
    <n v="1.32"/>
    <s v="UNDIVIDED"/>
    <s v="URBAN"/>
    <s v="NON-IS"/>
    <n v="16"/>
    <s v="F"/>
    <n v="171.56"/>
    <n v="207.23"/>
    <n v="91.8"/>
    <n v="95.4"/>
    <n v="90.5"/>
    <n v="0.17"/>
    <n v="22"/>
    <n v="102.03"/>
    <n v="102.03"/>
    <n v="92.125"/>
    <n v="93.7"/>
    <n v="91.6"/>
    <n v="0.16"/>
    <n v="29"/>
    <n v="72.75"/>
    <n v="72.75"/>
    <n v="100"/>
    <n v="100"/>
    <n v="100"/>
    <n v="0.14000000000000001"/>
    <n v="49"/>
    <x v="5"/>
    <m/>
    <s v="Preventive Maintenance"/>
    <n v="101176.48711605583"/>
    <n v="73743.512883944175"/>
    <n v="174920"/>
    <n v="22.8"/>
    <n v="50"/>
    <n v="50"/>
    <s v=""/>
    <s v=""/>
    <n v="22.8"/>
    <s v="C"/>
    <n v="30.2"/>
    <n v="50"/>
    <n v="50"/>
    <s v=""/>
    <s v=""/>
    <n v="30.2"/>
    <n v="7.3999999999999986"/>
    <n v="4"/>
    <n v="10.56"/>
    <n v="5.9659237821985966"/>
    <n v="7.8750193925021481"/>
    <n v="22212.008794104349"/>
    <n v="132515.15151515152"/>
    <n v="7.3"/>
    <n v="174920"/>
    <n v="174920"/>
    <n v="0"/>
    <s v=""/>
    <s v="2001"/>
    <s v="MO-MD 1916.57.16N"/>
  </r>
  <r>
    <s v="eGIS Link"/>
    <n v="328"/>
    <s v="EastBound Visi-Data"/>
    <s v="53228"/>
    <n v="2017"/>
    <n v="3"/>
    <x v="11"/>
    <s v="MO"/>
    <s v="MO-IS 370"/>
    <s v="0-1.03(E)"/>
    <s v="IS"/>
    <s v="370"/>
    <s v=""/>
    <n v="0"/>
    <n v="1.03"/>
    <s v="E"/>
    <s v="RAMP 1 FR IS 270 TO IS 370"/>
    <s v="STRUC #15155"/>
    <n v="3.1"/>
    <n v="3.19"/>
    <s v="DIVIDED"/>
    <s v="URBAN"/>
    <s v="IS"/>
    <n v="11"/>
    <s v="RJ"/>
    <n v="175.97"/>
    <n v="173.63"/>
    <n v="88.9"/>
    <n v="88.1"/>
    <n v="89.2"/>
    <n v="0.2"/>
    <n v="52"/>
    <n v="87.08"/>
    <n v="87.08"/>
    <n v="91.5"/>
    <n v="90.3"/>
    <n v="91.9"/>
    <n v="0.12"/>
    <n v="40"/>
    <n v="89.86"/>
    <n v="89.86"/>
    <n v="92.525000000000006"/>
    <n v="91.4"/>
    <n v="92.9"/>
    <n v="0.12"/>
    <n v="40"/>
    <x v="6"/>
    <m/>
    <s v="Preventive Maintenance"/>
    <n v="207010.3780410442"/>
    <n v="150881.6219589558"/>
    <n v="357892"/>
    <n v="24.1"/>
    <n v="20"/>
    <n v="17.100000000000001"/>
    <s v=""/>
    <s v=""/>
    <n v="17.100000000000001"/>
    <s v="D"/>
    <n v="23.9"/>
    <n v="21.9"/>
    <n v="19.3"/>
    <s v=""/>
    <s v=""/>
    <n v="19.3"/>
    <n v="2.1999999999999993"/>
    <n v="2"/>
    <n v="12.76"/>
    <n v="2.9829618910992983"/>
    <n v="9.5156484326067616"/>
    <n v="37610.889319284928"/>
    <n v="112191.84952978056"/>
    <n v="2.1"/>
    <n v="357892"/>
    <n v="357892"/>
    <n v="0"/>
    <s v=""/>
    <s v="1990"/>
    <s v="MO-IS 37001.03E"/>
  </r>
  <r>
    <s v="eGIS Link"/>
    <n v="399"/>
    <s v="SouthBound Visi-Data"/>
    <s v="54182"/>
    <n v="2017"/>
    <n v="3"/>
    <x v="11"/>
    <s v="MO"/>
    <s v="MO-IS 270 RP1-10"/>
    <s v="0-0.24(S)"/>
    <s v="IS"/>
    <s v="270"/>
    <s v=""/>
    <n v="0"/>
    <n v="0.24"/>
    <s v="S"/>
    <s v=""/>
    <s v=""/>
    <n v="1"/>
    <n v="0.24"/>
    <s v="UNDIVIDED"/>
    <s v="URBAN"/>
    <s v="IS"/>
    <n v="11"/>
    <s v=""/>
    <s v=""/>
    <s v=""/>
    <s v=""/>
    <s v=""/>
    <s v=""/>
    <s v=""/>
    <s v=""/>
    <n v="64.78"/>
    <n v="64.78"/>
    <n v="91.625"/>
    <n v="91.7"/>
    <n v="91.6"/>
    <n v="0.26"/>
    <n v="37"/>
    <n v="67.11"/>
    <n v="67.11"/>
    <n v="92.724999999999994"/>
    <n v="92.8"/>
    <n v="92.7"/>
    <n v="0.25"/>
    <n v="37"/>
    <x v="6"/>
    <m/>
    <s v="Preventive Maintenance"/>
    <n v="119798.00453095578"/>
    <n v="87315.995469044225"/>
    <n v="207114"/>
    <n v="34.299999999999997"/>
    <n v="21.7"/>
    <n v="21"/>
    <s v=""/>
    <s v=""/>
    <n v="21"/>
    <s v="C"/>
    <n v="34"/>
    <n v="24.2"/>
    <n v="23.7"/>
    <s v=""/>
    <s v=""/>
    <n v="23.7"/>
    <n v="2.6999999999999993"/>
    <n v="2"/>
    <n v="0.96"/>
    <n v="2.9829618910992983"/>
    <n v="0.71591085386383158"/>
    <n v="289301.38282188092"/>
    <n v="862975"/>
    <n v="2.6"/>
    <n v="207114"/>
    <n v="207114"/>
    <n v="0"/>
    <s v=""/>
    <s v=""/>
    <s v="MO-IS 270 RP1-1000.24S"/>
  </r>
  <r>
    <s v="eGIS Link"/>
    <n v="293"/>
    <s v="NorthBound Visi-Data"/>
    <s v="53272"/>
    <n v="2017"/>
    <n v="3"/>
    <x v="11"/>
    <s v="MO"/>
    <s v="MO-MD 355"/>
    <s v="2.35-2.55(N)"/>
    <s v="MD"/>
    <s v="355"/>
    <s v=""/>
    <n v="2.35"/>
    <n v="2.5499999999999998"/>
    <s v="N"/>
    <s v="S CHELSEA LA"/>
    <s v="JONES BRIDGE RD"/>
    <n v="3.6"/>
    <n v="0.72"/>
    <s v="DIVIDED"/>
    <s v="URBAN"/>
    <s v="NON-IS"/>
    <n v="14"/>
    <s v="FCJ"/>
    <n v="432.45"/>
    <n v="308.38"/>
    <n v="48.4"/>
    <n v="60.6"/>
    <n v="44.3"/>
    <n v="0.21"/>
    <n v="20"/>
    <n v="256.26"/>
    <n v="256.26"/>
    <n v="82.575000000000003"/>
    <n v="54.6"/>
    <n v="91.9"/>
    <n v="0.25"/>
    <n v="33"/>
    <n v="82.42"/>
    <n v="82.42"/>
    <n v="100"/>
    <n v="100"/>
    <n v="100"/>
    <n v="0.12"/>
    <n v="44"/>
    <x v="2"/>
    <m/>
    <s v="Structural Overlay"/>
    <n v="237772.84254356142"/>
    <n v="173303.15745643858"/>
    <n v="411076"/>
    <n v="0"/>
    <n v="50"/>
    <n v="50"/>
    <s v=""/>
    <s v=""/>
    <n v="0"/>
    <s v="F"/>
    <n v="34"/>
    <n v="50"/>
    <n v="50"/>
    <s v=""/>
    <s v=""/>
    <n v="34"/>
    <n v="34"/>
    <n v="6"/>
    <n v="24.48"/>
    <n v="25.355176074344037"/>
    <n v="18.255726773527705"/>
    <n v="22517.646385686148"/>
    <n v="570938.88888888888"/>
    <n v="34"/>
    <n v="411076"/>
    <n v="411076"/>
    <n v="0"/>
    <s v=""/>
    <s v="2002"/>
    <s v="MO-MD 3552.352.55N"/>
  </r>
  <r>
    <s v="eGIS Link"/>
    <n v="110"/>
    <s v="NorthBound Visi-Data"/>
    <s v="53243"/>
    <n v="2017"/>
    <n v="3"/>
    <x v="11"/>
    <s v="MO"/>
    <s v="MO-MD 118"/>
    <s v="6.2-7.08(N)"/>
    <s v="MD"/>
    <s v="118"/>
    <s v=""/>
    <n v="6.2"/>
    <n v="7.08"/>
    <s v="N"/>
    <s v="EISENHOWER MEMORIAL HWY"/>
    <s v="GERMANTOWN RD (AHEAD)"/>
    <n v="3.6"/>
    <n v="3.17"/>
    <s v="DIVIDED"/>
    <s v="URBAN"/>
    <s v="NON-IS"/>
    <n v="14"/>
    <s v="F"/>
    <n v="127.2"/>
    <n v="116.48"/>
    <n v="97.3"/>
    <n v="97"/>
    <n v="97.4"/>
    <n v="0.2"/>
    <n v="33"/>
    <n v="221.68"/>
    <n v="221.68"/>
    <n v="73.8"/>
    <n v="87.3"/>
    <n v="69.3"/>
    <n v="0.19"/>
    <n v="32"/>
    <n v="73.959999999999994"/>
    <n v="73.959999999999994"/>
    <n v="100"/>
    <n v="100"/>
    <n v="100"/>
    <n v="0.08"/>
    <n v="44"/>
    <x v="2"/>
    <m/>
    <s v="Structural Overlay"/>
    <n v="347371.06332306209"/>
    <n v="253184.93667693791"/>
    <n v="600556"/>
    <n v="4.5"/>
    <n v="50"/>
    <n v="50"/>
    <s v=""/>
    <s v=""/>
    <n v="4.5"/>
    <s v="E"/>
    <n v="45"/>
    <n v="50"/>
    <n v="50"/>
    <s v=""/>
    <s v=""/>
    <n v="45"/>
    <n v="40.5"/>
    <n v="6"/>
    <n v="128.38499999999999"/>
    <n v="30.202489147380394"/>
    <n v="95.741890597195848"/>
    <n v="6272.6565796225195"/>
    <n v="189449.84227129337"/>
    <n v="40.6"/>
    <n v="600556"/>
    <n v="600556"/>
    <n v="0"/>
    <s v="SKID_35"/>
    <s v="2002"/>
    <s v="MO-MD 1186.27.08N"/>
  </r>
  <r>
    <s v="eGIS Link"/>
    <n v="278"/>
    <s v="SouthBound Visi-Data"/>
    <s v="53272"/>
    <n v="2017"/>
    <n v="3"/>
    <x v="11"/>
    <s v="MO"/>
    <s v="MO-MD 355"/>
    <s v="2.55-2.75(S)"/>
    <s v="MD"/>
    <s v="355"/>
    <s v=""/>
    <n v="2.5499999999999998"/>
    <n v="2.75"/>
    <s v="S"/>
    <s v="JONES BRIDGE RD"/>
    <s v="SOUTHWOOD DR"/>
    <n v="3.4"/>
    <n v="0.68"/>
    <s v="DIVIDED"/>
    <s v="URBAN"/>
    <s v="NON-IS"/>
    <n v="14"/>
    <s v="FCJ"/>
    <n v="283.27999999999997"/>
    <n v="252.96"/>
    <n v="60.3"/>
    <n v="70.3"/>
    <n v="56.9"/>
    <n v="0.13"/>
    <n v="23"/>
    <n v="139.49"/>
    <n v="139.49"/>
    <n v="88.9"/>
    <n v="92.8"/>
    <n v="87.6"/>
    <n v="0.27"/>
    <n v="45"/>
    <n v="56.34"/>
    <n v="56.34"/>
    <n v="100"/>
    <n v="100"/>
    <n v="100"/>
    <n v="0.12"/>
    <n v="44"/>
    <x v="2"/>
    <m/>
    <s v="Structural Overlay"/>
    <n v="180993.23654504493"/>
    <n v="131918.76345495507"/>
    <n v="312912"/>
    <n v="14.5"/>
    <n v="50"/>
    <n v="50"/>
    <s v=""/>
    <s v=""/>
    <n v="14.5"/>
    <s v="D"/>
    <n v="45.6"/>
    <n v="50"/>
    <n v="50"/>
    <s v=""/>
    <s v=""/>
    <n v="45.6"/>
    <n v="31.1"/>
    <n v="6"/>
    <n v="21.148000000000003"/>
    <n v="23.192528703297047"/>
    <n v="15.770919518241993"/>
    <n v="19841.07519146612"/>
    <n v="460164.70588235289"/>
    <n v="31.1"/>
    <n v="312912"/>
    <n v="312912"/>
    <n v="0"/>
    <s v=""/>
    <s v="1994"/>
    <s v="MO-MD 3552.552.75S"/>
  </r>
  <r>
    <s v="eGIS Link"/>
    <n v="337"/>
    <s v="EastBound Visi-Data"/>
    <s v="53261"/>
    <n v="2017"/>
    <n v="3"/>
    <x v="11"/>
    <s v="MO"/>
    <s v="MO-MD 190"/>
    <s v="9.81-10.44(E)"/>
    <s v="MD"/>
    <s v="190"/>
    <s v=""/>
    <n v="9.81"/>
    <n v="10.44"/>
    <s v="E"/>
    <s v="HARRINGTON DR"/>
    <s v="FENWAY DR"/>
    <n v="2.5"/>
    <n v="1.57"/>
    <s v="UNDIVIDED"/>
    <s v="URBAN"/>
    <s v="NON-IS"/>
    <n v="14"/>
    <s v="F"/>
    <n v="129.46"/>
    <n v="94.7"/>
    <n v="99.5"/>
    <n v="99.5"/>
    <n v="99.5"/>
    <n v="0.16"/>
    <n v="29"/>
    <n v="219.95"/>
    <n v="219.95"/>
    <n v="92.15"/>
    <n v="93.5"/>
    <n v="91.7"/>
    <n v="0.23"/>
    <n v="40"/>
    <n v="73.819999999999993"/>
    <n v="73.819999999999993"/>
    <n v="100"/>
    <n v="100"/>
    <n v="100"/>
    <n v="0.12"/>
    <n v="44"/>
    <x v="2"/>
    <m/>
    <s v="Structural Overlay"/>
    <n v="1063726.8521808581"/>
    <n v="775308.14781914186"/>
    <n v="1839035"/>
    <n v="2.4"/>
    <n v="50"/>
    <n v="50"/>
    <s v=""/>
    <s v=""/>
    <n v="2.4"/>
    <s v="E"/>
    <n v="37.299999999999997"/>
    <n v="50"/>
    <n v="50"/>
    <s v=""/>
    <s v=""/>
    <n v="37.299999999999997"/>
    <n v="34.9"/>
    <n v="6"/>
    <n v="54.792999999999999"/>
    <n v="26.026342499841377"/>
    <n v="40.861357724750967"/>
    <n v="45006.703213046705"/>
    <n v="1171359.8726114649"/>
    <n v="34.9"/>
    <n v="1839035"/>
    <n v="1839035"/>
    <n v="0"/>
    <s v="SKID_35"/>
    <s v="2012"/>
    <s v="MO-MD 1909.8110.44E"/>
  </r>
  <r>
    <s v="eGIS Link"/>
    <n v="372"/>
    <s v="SouthBound Visi-Data"/>
    <s v="79007"/>
    <n v="2017"/>
    <n v="3"/>
    <x v="11"/>
    <s v="MO"/>
    <s v="MO-MD 355 RP6-7"/>
    <s v="0-0.09(S)"/>
    <s v="MD"/>
    <s v="355"/>
    <s v=""/>
    <n v="0"/>
    <n v="0.09"/>
    <s v="S"/>
    <s v=""/>
    <s v=""/>
    <n v="1.5"/>
    <n v="0.14000000000000001"/>
    <s v="UNDIVIDED"/>
    <s v="URBAN"/>
    <s v="NON-IS"/>
    <s v=""/>
    <s v=""/>
    <s v=""/>
    <s v=""/>
    <s v=""/>
    <s v=""/>
    <s v=""/>
    <s v=""/>
    <s v=""/>
    <n v="208.4"/>
    <n v="208.4"/>
    <n v="90.924999999999997"/>
    <n v="92.8"/>
    <n v="90.3"/>
    <n v="0.33"/>
    <n v="43"/>
    <n v="71.180000000000007"/>
    <n v="71.180000000000007"/>
    <n v="100"/>
    <n v="100"/>
    <n v="100"/>
    <n v="0.12"/>
    <n v="44"/>
    <x v="2"/>
    <m/>
    <s v="Structural Overlay"/>
    <n v="241866.869389019"/>
    <n v="176287.130610981"/>
    <n v="418154"/>
    <n v="3.8"/>
    <n v="50"/>
    <n v="50"/>
    <s v=""/>
    <s v=""/>
    <n v="3.8"/>
    <s v="E"/>
    <n v="38.5"/>
    <n v="50"/>
    <n v="50"/>
    <s v=""/>
    <s v=""/>
    <n v="38.5"/>
    <n v="34.700000000000003"/>
    <n v="6"/>
    <n v="4.8580000000000005"/>
    <n v="25.877194405286417"/>
    <n v="3.6228072167400986"/>
    <n v="115422.64740663359"/>
    <n v="2986814.2857142854"/>
    <n v="34.6"/>
    <n v="418154"/>
    <n v="418154"/>
    <n v="0"/>
    <s v=""/>
    <s v=""/>
    <s v="MO-MD 355 RP6-700.09S"/>
  </r>
  <r>
    <s v="eGIS Link"/>
    <n v="394"/>
    <s v="NorthBound Visi-Data"/>
    <s v="53258"/>
    <n v="2017"/>
    <n v="3"/>
    <x v="11"/>
    <s v="MO"/>
    <s v="MO-MD 187B"/>
    <s v="0.086-0.166(N)"/>
    <s v="MD"/>
    <s v="187"/>
    <s v="B"/>
    <n v="8.5999999999999993E-2"/>
    <n v="0.16600000000000001"/>
    <s v="N"/>
    <s v=""/>
    <s v=""/>
    <n v="2.8"/>
    <n v="0.22"/>
    <s v="DIVIDED"/>
    <s v="URBAN"/>
    <s v="NON-IS"/>
    <n v="19"/>
    <s v=""/>
    <s v=""/>
    <s v=""/>
    <s v=""/>
    <s v=""/>
    <s v=""/>
    <s v=""/>
    <s v=""/>
    <n v="294.48"/>
    <n v="294.48"/>
    <n v="64.674999999999997"/>
    <n v="60.1"/>
    <n v="66.2"/>
    <n v="0.16"/>
    <n v="24"/>
    <n v="92.7"/>
    <n v="92.7"/>
    <n v="100"/>
    <n v="100"/>
    <n v="100"/>
    <n v="0.08"/>
    <n v="44"/>
    <x v="2"/>
    <m/>
    <s v="Structural Overlay"/>
    <n v="463161.22495882493"/>
    <n v="337579.77504117507"/>
    <n v="800741"/>
    <n v="0"/>
    <n v="6.2"/>
    <n v="14.4"/>
    <s v=""/>
    <s v=""/>
    <n v="0"/>
    <s v="F"/>
    <n v="22.3"/>
    <n v="47.1"/>
    <n v="50"/>
    <s v=""/>
    <s v=""/>
    <n v="22.3"/>
    <n v="22.3"/>
    <n v="6"/>
    <n v="4.9060000000000006"/>
    <n v="16.630012542878589"/>
    <n v="3.6586027594332897"/>
    <n v="218865.24792432869"/>
    <n v="3639731.8181818184"/>
    <n v="22.3"/>
    <n v="800741"/>
    <n v="800741"/>
    <n v="0"/>
    <s v=""/>
    <s v=""/>
    <s v="MO-MD 187B0.0860.166N"/>
  </r>
  <r>
    <s v="eGIS Link"/>
    <n v="56"/>
    <s v="NorthBound Visi-Data"/>
    <s v="53247"/>
    <n v="2017"/>
    <n v="3"/>
    <x v="11"/>
    <s v="MO"/>
    <s v="MO-MD 124"/>
    <s v="10.44-14.1(N)"/>
    <s v="MD"/>
    <s v="124"/>
    <s v=""/>
    <n v="10.44"/>
    <n v="14.1"/>
    <s v="N"/>
    <s v="EXODUS DR"/>
    <s v="PLEASANT VIEW LA"/>
    <n v="2.2000000000000002"/>
    <n v="8.0500000000000007"/>
    <s v="UNDIVIDED"/>
    <s v="URBAN"/>
    <s v="NON-IS"/>
    <n v="16"/>
    <s v="FCJ"/>
    <n v="121.07"/>
    <n v="122.08"/>
    <n v="87.7"/>
    <n v="90.5"/>
    <n v="86.7"/>
    <n v="0.15"/>
    <n v="34"/>
    <n v="117.15"/>
    <n v="117.15"/>
    <n v="75.974999999999994"/>
    <n v="87.9"/>
    <n v="72"/>
    <n v="0.14000000000000001"/>
    <n v="32"/>
    <n v="51.91"/>
    <n v="51.91"/>
    <n v="100"/>
    <n v="100"/>
    <n v="100"/>
    <n v="0.08"/>
    <n v="44"/>
    <x v="2"/>
    <m/>
    <s v="Structural Overlay"/>
    <n v="344469.15138696984"/>
    <n v="251069.84861303016"/>
    <n v="595539"/>
    <n v="19.2"/>
    <n v="50"/>
    <n v="44.8"/>
    <s v=""/>
    <s v=""/>
    <n v="19.2"/>
    <s v="D"/>
    <n v="48.1"/>
    <n v="50"/>
    <n v="50"/>
    <s v=""/>
    <s v=""/>
    <n v="48.1"/>
    <n v="28.900000000000002"/>
    <n v="6"/>
    <n v="232.64500000000004"/>
    <n v="21.551899663192433"/>
    <n v="173.49279228869909"/>
    <n v="3432.6440432695254"/>
    <n v="73980"/>
    <n v="29"/>
    <n v="595539"/>
    <n v="595539"/>
    <n v="0"/>
    <s v=""/>
    <s v="2000"/>
    <s v="MO-MD 12410.4414.1N"/>
  </r>
  <r>
    <s v="eGIS Link"/>
    <n v="310"/>
    <s v="West Bound Visi-Data"/>
    <s v="53232"/>
    <n v="2017"/>
    <n v="3"/>
    <x v="11"/>
    <s v="MO"/>
    <s v="MO-MD 28"/>
    <s v="22.7-23.15(W)"/>
    <s v="MD"/>
    <s v="28"/>
    <s v=""/>
    <n v="22.7"/>
    <n v="23.15"/>
    <s v="W"/>
    <s v="ROCKVILLE PIKE"/>
    <s v="FIRST ST"/>
    <n v="2.4"/>
    <n v="1.08"/>
    <s v="DIVIDED"/>
    <s v="URBAN"/>
    <s v="NON-IS"/>
    <n v="14"/>
    <s v="F"/>
    <n v="380.82"/>
    <n v="223.65"/>
    <n v="45.8"/>
    <n v="57.7"/>
    <n v="41.9"/>
    <n v="0.25"/>
    <n v="33"/>
    <n v="290.89"/>
    <n v="290.89"/>
    <n v="81.674999999999997"/>
    <n v="87.3"/>
    <n v="79.8"/>
    <n v="0.18"/>
    <n v="33"/>
    <n v="90.87"/>
    <n v="90.87"/>
    <n v="100"/>
    <n v="100"/>
    <n v="100"/>
    <n v="0.08"/>
    <n v="44"/>
    <x v="2"/>
    <m/>
    <s v="Structural Overlay"/>
    <n v="408268.41121375328"/>
    <n v="297570.58878624672"/>
    <n v="705839"/>
    <n v="0"/>
    <n v="50"/>
    <n v="50"/>
    <s v=""/>
    <s v=""/>
    <n v="0"/>
    <s v="F"/>
    <n v="31"/>
    <n v="50"/>
    <n v="50"/>
    <s v=""/>
    <s v=""/>
    <n v="31"/>
    <n v="31"/>
    <n v="6"/>
    <n v="33.480000000000004"/>
    <n v="23.117954656019563"/>
    <n v="24.96739102850113"/>
    <n v="28270.434792095846"/>
    <n v="653554.62962962955"/>
    <n v="31"/>
    <n v="705839"/>
    <n v="705839"/>
    <n v="0"/>
    <s v=""/>
    <s v="1983"/>
    <s v="MO-MD 2822.723.15W"/>
  </r>
  <r>
    <s v="eGIS Link"/>
    <n v="37"/>
    <s v="SouthBound Visi-Data"/>
    <s v="53238"/>
    <n v="2017"/>
    <n v="3"/>
    <x v="11"/>
    <s v="MO"/>
    <s v="MO-MD 109"/>
    <s v="6.15-8.45(S)"/>
    <s v="MD"/>
    <s v="109"/>
    <s v=""/>
    <n v="6.15"/>
    <n v="8.4499999999999993"/>
    <s v="S"/>
    <s v="SPEED LIMIT 40 MPH"/>
    <s v="COMUS RD"/>
    <n v="2"/>
    <n v="4.5999999999999996"/>
    <s v="UNDIVIDED"/>
    <s v="RURAL"/>
    <s v="NON-IS"/>
    <n v="7"/>
    <s v="FCJ"/>
    <n v="84.01"/>
    <n v="91.27"/>
    <s v=""/>
    <s v=""/>
    <s v=""/>
    <n v="0.24"/>
    <n v="51"/>
    <n v="98.88"/>
    <n v="98.88"/>
    <n v="87.424999999999997"/>
    <n v="87.5"/>
    <n v="87.4"/>
    <n v="0.14000000000000001"/>
    <n v="45"/>
    <n v="107.22"/>
    <n v="107.22"/>
    <n v="97.724999999999994"/>
    <n v="99.3"/>
    <n v="97.2"/>
    <n v="0.14000000000000001"/>
    <n v="55"/>
    <x v="4"/>
    <m/>
    <s v="Preventive Maintenance"/>
    <n v="38423.834241543147"/>
    <n v="15647.165758456853"/>
    <n v="54071"/>
    <n v="29.2"/>
    <n v="31.4"/>
    <n v="33.200000000000003"/>
    <s v=""/>
    <s v=""/>
    <n v="29.2"/>
    <s v="C"/>
    <n v="31.3"/>
    <n v="42.1"/>
    <n v="39.5"/>
    <s v=""/>
    <s v=""/>
    <n v="31.3"/>
    <n v="4"/>
    <n v="4"/>
    <n v="36.799999999999997"/>
    <n v="5.9659237821985966"/>
    <n v="27.443249398113544"/>
    <n v="1970.2841750116097"/>
    <n v="11754.565217391306"/>
    <n v="2.1"/>
    <n v="54071"/>
    <n v="54071"/>
    <n v="0"/>
    <s v=""/>
    <s v="2007"/>
    <s v="MO-MD 1096.158.45S"/>
  </r>
  <r>
    <s v="eGIS Link"/>
    <n v="215"/>
    <s v="West Bound Visi-Data"/>
    <s v="53232"/>
    <n v="2017"/>
    <n v="3"/>
    <x v="11"/>
    <s v="MO"/>
    <s v="MO-MD 28"/>
    <s v="9.81-13.18(W)"/>
    <s v="MD"/>
    <s v="28"/>
    <s v=""/>
    <n v="9.81"/>
    <n v="13.18"/>
    <s v="W"/>
    <s v="WHITES FERRY RD"/>
    <s v="SENECA RD"/>
    <n v="2.1"/>
    <n v="7.07"/>
    <s v="UNDIVIDED"/>
    <s v="RURAL"/>
    <s v="NON-IS"/>
    <n v="6"/>
    <s v="F"/>
    <n v="88.6"/>
    <n v="123.81"/>
    <n v="89"/>
    <n v="89.8"/>
    <n v="88.7"/>
    <n v="0.12"/>
    <n v="37"/>
    <n v="129.12"/>
    <n v="129.12"/>
    <n v="85.25"/>
    <n v="83"/>
    <n v="86"/>
    <n v="0.18"/>
    <n v="39"/>
    <n v="86.32"/>
    <n v="86.32"/>
    <n v="100"/>
    <n v="100"/>
    <n v="100"/>
    <n v="0.15"/>
    <n v="49"/>
    <x v="5"/>
    <m/>
    <s v="Preventive Maintenance"/>
    <n v="659418.11663257505"/>
    <n v="268531.88336742495"/>
    <n v="927950"/>
    <n v="26"/>
    <n v="33.299999999999997"/>
    <n v="37.9"/>
    <s v=""/>
    <s v=""/>
    <n v="26"/>
    <s v="C"/>
    <n v="39.9"/>
    <n v="46.8"/>
    <n v="50"/>
    <s v=""/>
    <s v=""/>
    <n v="39.9"/>
    <n v="13.899999999999999"/>
    <n v="4"/>
    <n v="98.272999999999996"/>
    <n v="10.365792571570061"/>
    <n v="73.286153481000341"/>
    <n v="12662.009887591847"/>
    <n v="131251.76803394625"/>
    <n v="13.9"/>
    <n v="927950"/>
    <n v="927950"/>
    <n v="0"/>
    <s v=""/>
    <s v="2012"/>
    <s v="MO-MD 289.8113.18W"/>
  </r>
  <r>
    <s v="eGIS Link"/>
    <n v="396"/>
    <s v="NorthBound Visi-Data"/>
    <s v="53263"/>
    <n v="2017"/>
    <n v="3"/>
    <x v="11"/>
    <s v="MO"/>
    <s v="MO-MD 191"/>
    <s v="1.6-1.9(N)"/>
    <s v="MD"/>
    <s v="191"/>
    <s v=""/>
    <n v="1.6"/>
    <n v="1.9"/>
    <s v="N"/>
    <s v="BEG BR"/>
    <s v="CAPITAL BELTWAY"/>
    <n v="2"/>
    <n v="0.6"/>
    <s v="DIVIDED"/>
    <s v="URBAN"/>
    <s v="NON-IS"/>
    <n v="16"/>
    <s v="F"/>
    <n v="167.49"/>
    <n v="216.12"/>
    <n v="100"/>
    <n v="100"/>
    <n v="100"/>
    <n v="0.21"/>
    <n v="40"/>
    <n v="105.27"/>
    <n v="105.27"/>
    <n v="87.224999999999994"/>
    <n v="90.3"/>
    <n v="86.2"/>
    <n v="0.17"/>
    <n v="44"/>
    <n v="74.19"/>
    <n v="74.19"/>
    <n v="100"/>
    <n v="100"/>
    <n v="100"/>
    <n v="0.14000000000000001"/>
    <n v="49"/>
    <x v="5"/>
    <m/>
    <s v="Preventive Maintenance"/>
    <n v="533185.39534096501"/>
    <n v="388617.60465903499"/>
    <n v="921803"/>
    <n v="27.3"/>
    <n v="50"/>
    <n v="50"/>
    <s v=""/>
    <s v=""/>
    <n v="27.3"/>
    <s v="C"/>
    <n v="35.9"/>
    <n v="50"/>
    <n v="50"/>
    <s v=""/>
    <s v=""/>
    <n v="35.9"/>
    <n v="8.5999999999999979"/>
    <n v="4"/>
    <n v="5.1599999999999984"/>
    <n v="6.41336806586349"/>
    <n v="3.8480208395180937"/>
    <n v="239552.49684028266"/>
    <n v="1536338.3333333335"/>
    <n v="8.5"/>
    <n v="921803"/>
    <n v="921803"/>
    <n v="0"/>
    <s v=""/>
    <s v="2012"/>
    <s v="MO-MD 1911.61.9N"/>
  </r>
  <r>
    <s v="eGIS Link"/>
    <n v="387"/>
    <s v="NorthBound Visi-Data"/>
    <s v="63977"/>
    <n v="2017"/>
    <n v="3"/>
    <x v="12"/>
    <s v="PG"/>
    <s v="PG-IS 595 RP2-11"/>
    <s v="0-0.35(N)"/>
    <s v="IS"/>
    <s v="595"/>
    <s v=""/>
    <n v="0"/>
    <n v="0.35"/>
    <s v="N"/>
    <s v=""/>
    <s v=""/>
    <n v="2"/>
    <n v="0.7"/>
    <s v="UNDIVIDED"/>
    <s v="URBAN"/>
    <s v="IS"/>
    <n v="11"/>
    <s v=""/>
    <s v=""/>
    <s v=""/>
    <s v=""/>
    <s v=""/>
    <s v=""/>
    <s v=""/>
    <s v=""/>
    <n v="174.65"/>
    <n v="174.65"/>
    <n v="99.325000000000003"/>
    <n v="98.5"/>
    <n v="99.6"/>
    <n v="0.18"/>
    <n v="52"/>
    <n v="88.74"/>
    <n v="88.74"/>
    <n v="99.125"/>
    <n v="98"/>
    <n v="99.5"/>
    <n v="0.18"/>
    <n v="52"/>
    <x v="3"/>
    <m/>
    <s v="Preventive Maintenance"/>
    <n v="1001925.4404360485"/>
    <n v="730263.55956395145"/>
    <n v="1732189"/>
    <n v="0"/>
    <n v="42.9"/>
    <n v="44.1"/>
    <s v=""/>
    <s v=""/>
    <n v="0"/>
    <s v="F"/>
    <n v="18.899999999999999"/>
    <n v="42.9"/>
    <n v="44.1"/>
    <s v=""/>
    <s v=""/>
    <n v="18.899999999999999"/>
    <n v="18.899999999999999"/>
    <n v="5"/>
    <n v="13.229999999999999"/>
    <n v="14.094494935444185"/>
    <n v="9.866146454810929"/>
    <n v="175568.95267405544"/>
    <n v="2474555.7142857146"/>
    <n v="18.899999999999999"/>
    <n v="1732189"/>
    <n v="1732189"/>
    <n v="0"/>
    <s v=""/>
    <s v=""/>
    <s v="PG-IS 595 RP2-1100.35N"/>
  </r>
  <r>
    <s v="eGIS Link"/>
    <n v="379"/>
    <s v="SouthBound Visi-Data"/>
    <s v="63977"/>
    <n v="2017"/>
    <n v="3"/>
    <x v="12"/>
    <s v="PG"/>
    <s v="PG-IS 595 RP2-11"/>
    <s v="0-0.35(S)"/>
    <s v="IS"/>
    <s v="595"/>
    <s v=""/>
    <n v="0"/>
    <n v="0.35"/>
    <s v="S"/>
    <s v=""/>
    <s v=""/>
    <n v="2"/>
    <n v="0.7"/>
    <s v="UNDIVIDED"/>
    <s v="URBAN"/>
    <s v="IS"/>
    <n v="11"/>
    <s v=""/>
    <s v=""/>
    <s v=""/>
    <s v=""/>
    <s v=""/>
    <s v=""/>
    <s v=""/>
    <s v=""/>
    <n v="102.41"/>
    <n v="102.41"/>
    <n v="99.325000000000003"/>
    <n v="98.5"/>
    <n v="99.6"/>
    <n v="0.19"/>
    <n v="52"/>
    <n v="61.43"/>
    <n v="61.43"/>
    <n v="99.125"/>
    <n v="98"/>
    <n v="99.5"/>
    <n v="0.19"/>
    <n v="52"/>
    <x v="3"/>
    <m/>
    <s v="Preventive Maintenance"/>
    <n v="823365.02063471579"/>
    <n v="600117.97936528421"/>
    <n v="1423483"/>
    <n v="17.8"/>
    <n v="42.9"/>
    <n v="44.1"/>
    <s v=""/>
    <s v=""/>
    <n v="17.8"/>
    <s v="D"/>
    <n v="37.799999999999997"/>
    <n v="42.9"/>
    <n v="44.1"/>
    <s v=""/>
    <s v=""/>
    <n v="37.799999999999997"/>
    <n v="19.999999999999996"/>
    <n v="5"/>
    <n v="13.999999999999996"/>
    <n v="14.91480945549649"/>
    <n v="10.440366618847543"/>
    <n v="136344.15839672217"/>
    <n v="2033547.142857143"/>
    <n v="20"/>
    <n v="1423483"/>
    <n v="1423483"/>
    <n v="0"/>
    <s v=""/>
    <s v=""/>
    <s v="PG-IS 595 RP2-1100.35S"/>
  </r>
  <r>
    <s v="eGIS Link"/>
    <n v="12"/>
    <s v="West Bound Visi-Data"/>
    <s v="62536"/>
    <n v="2017"/>
    <n v="3"/>
    <x v="12"/>
    <s v="PG"/>
    <s v="PG-MD 198"/>
    <s v="2.2-3.46(W)"/>
    <s v="MD"/>
    <s v="198"/>
    <s v=""/>
    <n v="2.2000000000000002"/>
    <n v="3.46"/>
    <s v="W"/>
    <s v="SPUR FR VAN DUSEN RD"/>
    <s v="US 1 (SB/L) WASHINGTON BLVD"/>
    <n v="3.3"/>
    <n v="4.1500000000000004"/>
    <s v="UNDIVIDED"/>
    <s v="URBAN"/>
    <s v="NON-IS"/>
    <n v="14"/>
    <s v="F"/>
    <n v="89.23"/>
    <n v="136.66"/>
    <n v="90.4"/>
    <n v="96.4"/>
    <n v="88.4"/>
    <n v="0.19"/>
    <n v="41"/>
    <n v="91.23"/>
    <n v="91.23"/>
    <n v="89.9"/>
    <n v="92"/>
    <n v="89.2"/>
    <n v="0.24"/>
    <n v="49"/>
    <n v="95.23"/>
    <n v="95.23"/>
    <n v="89.05"/>
    <n v="92.8"/>
    <n v="87.8"/>
    <n v="0.24"/>
    <n v="47"/>
    <x v="0"/>
    <m/>
    <s v="Preventive Maintenance"/>
    <n v="3062.1331053761692"/>
    <n v="2231.8668946238308"/>
    <n v="5294"/>
    <n v="25.8"/>
    <n v="50"/>
    <n v="50"/>
    <s v=""/>
    <s v=""/>
    <n v="25.8"/>
    <s v="C"/>
    <n v="25.7"/>
    <n v="50"/>
    <n v="50"/>
    <s v=""/>
    <s v=""/>
    <n v="25.7"/>
    <n v="1"/>
    <n v="1"/>
    <n v="8.3000000000000007"/>
    <n v="1.4914809455496492"/>
    <n v="6.1896459240310442"/>
    <n v="855.29932809989407"/>
    <n v="1275.6626506024095"/>
    <n v="-0.1"/>
    <n v="5294"/>
    <n v="5294"/>
    <n v="0"/>
    <s v=""/>
    <s v="2004"/>
    <s v="PG-MD 1982.23.46W"/>
  </r>
  <r>
    <s v="eGIS Link"/>
    <n v="332"/>
    <s v="NorthBound Visi-Data"/>
    <s v="62617"/>
    <n v="2017"/>
    <n v="3"/>
    <x v="12"/>
    <s v="PG"/>
    <s v="PG-MD 769B"/>
    <s v="0-0.45(N)"/>
    <s v="MD"/>
    <s v="769"/>
    <s v="B"/>
    <n v="0"/>
    <n v="0.45"/>
    <s v="N"/>
    <s v="ANNAPOLIS RD"/>
    <s v="EDMONSTON RD (AHEAD)"/>
    <n v="2.4"/>
    <n v="1.08"/>
    <s v="UNDIVIDED"/>
    <s v="URBAN"/>
    <s v="NON-IS"/>
    <n v="19"/>
    <s v="FCJ"/>
    <s v=""/>
    <s v=""/>
    <s v=""/>
    <s v=""/>
    <s v=""/>
    <s v=""/>
    <s v=""/>
    <n v="223.17"/>
    <n v="223.17"/>
    <n v="80.5"/>
    <n v="79.3"/>
    <n v="80.900000000000006"/>
    <n v="0.2"/>
    <n v="35"/>
    <n v="74.31"/>
    <n v="74.31"/>
    <n v="100"/>
    <n v="100"/>
    <n v="100"/>
    <n v="0.08"/>
    <n v="44"/>
    <x v="2"/>
    <m/>
    <s v="Structural Overlay"/>
    <n v="768504.59817296511"/>
    <n v="560132.40182703489"/>
    <n v="1328637"/>
    <n v="4.3"/>
    <n v="50"/>
    <n v="50"/>
    <s v=""/>
    <s v=""/>
    <n v="4.3"/>
    <s v="E"/>
    <n v="44.9"/>
    <n v="50"/>
    <n v="50"/>
    <s v=""/>
    <s v=""/>
    <n v="44.9"/>
    <n v="40.6"/>
    <n v="6"/>
    <n v="43.848000000000006"/>
    <n v="30.277063194657881"/>
    <n v="32.699228250230512"/>
    <n v="40632.059871034842"/>
    <n v="1230219.4444444443"/>
    <n v="40.6"/>
    <n v="1328637"/>
    <n v="1328637"/>
    <n v="0"/>
    <s v=""/>
    <s v="1992"/>
    <s v="PG-MD 769B00.45N"/>
  </r>
  <r>
    <s v="eGIS Link"/>
    <n v="204"/>
    <s v="West Bound Visi-Data"/>
    <s v="62569"/>
    <n v="2017"/>
    <n v="3"/>
    <x v="12"/>
    <s v="PG"/>
    <s v="PG-MD 212A"/>
    <s v="1.45-1.952(W)"/>
    <s v="MD"/>
    <s v="212"/>
    <s v="A"/>
    <n v="1.45"/>
    <n v="1.952"/>
    <s v="W"/>
    <s v=""/>
    <s v=""/>
    <n v="2.5"/>
    <n v="1.25"/>
    <s v="UNDIVIDED"/>
    <s v="URBAN"/>
    <s v="NON-IS"/>
    <n v="16"/>
    <s v="FCJ"/>
    <n v="289.45"/>
    <n v="246.92"/>
    <s v=""/>
    <s v=""/>
    <s v=""/>
    <n v="0.22"/>
    <n v="33"/>
    <n v="249.63"/>
    <n v="249.63"/>
    <n v="89.375"/>
    <n v="92"/>
    <n v="88.5"/>
    <n v="0.18"/>
    <n v="47"/>
    <n v="80.48"/>
    <n v="80.48"/>
    <n v="100"/>
    <n v="100"/>
    <n v="100"/>
    <n v="0.08"/>
    <n v="44"/>
    <x v="2"/>
    <m/>
    <s v="Structural Overlay"/>
    <n v="260985.24595343127"/>
    <n v="190221.75404656873"/>
    <n v="451207"/>
    <n v="0.8"/>
    <n v="50"/>
    <n v="50"/>
    <s v=""/>
    <s v=""/>
    <n v="0.8"/>
    <s v="F"/>
    <n v="42.1"/>
    <n v="50"/>
    <n v="50"/>
    <s v=""/>
    <s v=""/>
    <n v="42.1"/>
    <n v="41.300000000000004"/>
    <n v="6"/>
    <n v="51.625000000000007"/>
    <n v="30.799081525600261"/>
    <n v="38.498851907000329"/>
    <n v="11720.011835416735"/>
    <n v="360965.6"/>
    <n v="41.2"/>
    <n v="451207"/>
    <n v="451207"/>
    <n v="0"/>
    <s v=""/>
    <s v="2003"/>
    <s v="PG-MD 212A1.451.952W"/>
  </r>
  <r>
    <s v="eGIS Link"/>
    <n v="101"/>
    <s v="NorthBound Visi-Data"/>
    <s v="64045"/>
    <n v="2017"/>
    <n v="3"/>
    <x v="12"/>
    <s v="PG"/>
    <s v="PG-US 1AL"/>
    <s v="0-0.98(N)"/>
    <s v="US"/>
    <s v="1"/>
    <s v="AL"/>
    <n v="0"/>
    <n v="0.98"/>
    <s v="N"/>
    <s v="EASTERN AVE-DC MAINTENANCE"/>
    <s v="STRUC #16008 ANACOSTIA RIVER"/>
    <n v="3.4"/>
    <n v="3.33"/>
    <s v="DIVIDED"/>
    <s v="URBAN"/>
    <s v="NON-IS"/>
    <n v="16"/>
    <s v="FCJ"/>
    <n v="258.61"/>
    <n v="257.91000000000003"/>
    <n v="76.3"/>
    <n v="88.4"/>
    <n v="72.2"/>
    <n v="0.14000000000000001"/>
    <n v="47"/>
    <n v="234.43"/>
    <n v="234.43"/>
    <n v="81.45"/>
    <n v="87.9"/>
    <n v="79.3"/>
    <n v="0.21"/>
    <n v="27"/>
    <n v="77.23"/>
    <n v="77.23"/>
    <n v="100"/>
    <n v="100"/>
    <n v="100"/>
    <n v="0.12"/>
    <n v="44"/>
    <x v="2"/>
    <m/>
    <s v="Structural Overlay"/>
    <n v="292862.31765165302"/>
    <n v="213455.68234834698"/>
    <n v="506318"/>
    <n v="0.7"/>
    <n v="50"/>
    <n v="50"/>
    <s v=""/>
    <s v=""/>
    <n v="0.7"/>
    <s v="F"/>
    <n v="36"/>
    <n v="50"/>
    <n v="50"/>
    <s v=""/>
    <s v=""/>
    <n v="36"/>
    <n v="35.299999999999997"/>
    <n v="6"/>
    <n v="117.54899999999999"/>
    <n v="26.324638688951307"/>
    <n v="87.661046834207852"/>
    <n v="5775.8607532669821"/>
    <n v="152047.44744744746"/>
    <n v="35.299999999999997"/>
    <n v="506318"/>
    <n v="506318"/>
    <n v="0"/>
    <s v=""/>
    <s v="2004"/>
    <s v="PG-US 1AL00.98N"/>
  </r>
  <r>
    <s v="eGIS Link"/>
    <n v="351"/>
    <s v="SouthBound Visi-Data"/>
    <s v="62600"/>
    <n v="2017"/>
    <n v="3"/>
    <x v="12"/>
    <s v="PG"/>
    <s v="PG-MD 459"/>
    <s v="0-1.25(S)"/>
    <s v="MD"/>
    <s v="459"/>
    <s v=""/>
    <n v="0"/>
    <n v="1.25"/>
    <s v="S"/>
    <s v="COLUMBIA PARK RD (BACK)"/>
    <s v="KENILWORTH AVE"/>
    <n v="1.9"/>
    <n v="2.38"/>
    <s v="UNDIVIDED"/>
    <s v="URBAN"/>
    <s v="NON-IS"/>
    <n v="17"/>
    <s v="F"/>
    <n v="261.89999999999998"/>
    <n v="214.33"/>
    <s v=""/>
    <s v=""/>
    <s v=""/>
    <n v="0.17"/>
    <n v="37"/>
    <n v="134.94"/>
    <n v="134.94"/>
    <n v="81.525000000000006"/>
    <n v="87.3"/>
    <n v="79.599999999999994"/>
    <n v="0.17"/>
    <n v="37"/>
    <n v="55.44"/>
    <n v="55.44"/>
    <n v="100"/>
    <n v="100"/>
    <n v="100"/>
    <n v="0.08"/>
    <n v="44"/>
    <x v="2"/>
    <m/>
    <s v="Structural Overlay"/>
    <n v="1933472.1416207475"/>
    <n v="1409230.8583792525"/>
    <n v="3342703"/>
    <n v="15"/>
    <n v="50"/>
    <n v="50"/>
    <s v=""/>
    <s v=""/>
    <n v="15"/>
    <s v="D"/>
    <n v="46.1"/>
    <n v="50"/>
    <n v="50"/>
    <s v=""/>
    <s v=""/>
    <n v="46.1"/>
    <n v="31.1"/>
    <n v="6"/>
    <n v="74.018000000000001"/>
    <n v="23.192528703297047"/>
    <n v="55.198218313846965"/>
    <n v="60558.168399458162"/>
    <n v="1404497.0588235294"/>
    <n v="31.1"/>
    <n v="3342703"/>
    <n v="3342703"/>
    <n v="0"/>
    <s v=""/>
    <s v="2004"/>
    <s v="PG-MD 45901.25S"/>
  </r>
  <r>
    <s v="eGIS Link"/>
    <n v="261"/>
    <s v="West Bound Visi-Data"/>
    <s v="62525"/>
    <n v="2017"/>
    <n v="3"/>
    <x v="12"/>
    <s v="PG"/>
    <s v="PG-MD 193"/>
    <s v="6.19-6.82(W)"/>
    <s v="MD"/>
    <s v="193"/>
    <s v=""/>
    <n v="6.19"/>
    <n v="6.82"/>
    <s v="W"/>
    <s v="CAPITOL DR"/>
    <s v="SOUTH WAY"/>
    <n v="3.6"/>
    <n v="2.27"/>
    <s v="DIVIDED"/>
    <s v="URBAN"/>
    <s v="NON-IS"/>
    <n v="14"/>
    <s v="F"/>
    <n v="108.91"/>
    <n v="102.91"/>
    <n v="89.7"/>
    <n v="98.7"/>
    <n v="86.7"/>
    <n v="0.16"/>
    <n v="43"/>
    <n v="251.62"/>
    <n v="251.62"/>
    <n v="73.875"/>
    <n v="79.8"/>
    <n v="71.900000000000006"/>
    <n v="0.23"/>
    <n v="47"/>
    <n v="82.08"/>
    <n v="82.08"/>
    <n v="100"/>
    <n v="100"/>
    <n v="100"/>
    <n v="0.12"/>
    <n v="44"/>
    <x v="2"/>
    <m/>
    <s v="Structural Overlay"/>
    <n v="441375.77326239727"/>
    <n v="321701.22673760273"/>
    <n v="763077"/>
    <n v="0"/>
    <n v="34.5"/>
    <n v="20.5"/>
    <s v=""/>
    <s v=""/>
    <n v="0"/>
    <s v="F"/>
    <n v="25"/>
    <n v="47.1"/>
    <n v="50"/>
    <s v=""/>
    <s v=""/>
    <n v="25"/>
    <n v="25"/>
    <n v="6"/>
    <n v="56.75"/>
    <n v="18.643511819370612"/>
    <n v="42.320771829971292"/>
    <n v="18030.79119316992"/>
    <n v="336157.26872246695"/>
    <n v="25"/>
    <n v="763077"/>
    <n v="763077"/>
    <n v="0"/>
    <s v=""/>
    <s v="2000"/>
    <s v="PG-MD 1936.196.82W"/>
  </r>
  <r>
    <s v="eGIS Link"/>
    <n v="322"/>
    <s v="SouthBound Visi-Data"/>
    <s v="64042"/>
    <n v="2017"/>
    <n v="3"/>
    <x v="12"/>
    <s v="PG"/>
    <s v="PG-US 1"/>
    <s v="6.65-7.1(S)"/>
    <s v="US"/>
    <s v="1"/>
    <s v=""/>
    <n v="6.65"/>
    <n v="7.1"/>
    <s v="S"/>
    <s v="CIRCLE DR"/>
    <s v="CIRCLE DR"/>
    <n v="3.4"/>
    <n v="1.53"/>
    <s v="DIVIDED"/>
    <s v="URBAN"/>
    <s v="NON-IS"/>
    <n v="14"/>
    <s v="F"/>
    <n v="286.36"/>
    <n v="209.56"/>
    <n v="84.2"/>
    <n v="92.4"/>
    <n v="81.400000000000006"/>
    <n v="0.21"/>
    <n v="27"/>
    <n v="282.74"/>
    <n v="282.74"/>
    <n v="69.474999999999994"/>
    <n v="78.400000000000006"/>
    <n v="66.5"/>
    <n v="0.2"/>
    <n v="35"/>
    <n v="89.75"/>
    <n v="89.75"/>
    <n v="100"/>
    <n v="100"/>
    <n v="100"/>
    <n v="0.08"/>
    <n v="44"/>
    <x v="2"/>
    <m/>
    <s v="Structural Overlay"/>
    <n v="512736.66249729978"/>
    <n v="373713.33750270022"/>
    <n v="886450"/>
    <n v="0"/>
    <n v="32.5"/>
    <n v="14.7"/>
    <s v=""/>
    <s v=""/>
    <n v="0"/>
    <s v="F"/>
    <n v="23"/>
    <n v="47.1"/>
    <n v="50"/>
    <s v=""/>
    <s v=""/>
    <n v="23"/>
    <n v="23"/>
    <n v="6"/>
    <n v="35.19"/>
    <n v="17.152030873820966"/>
    <n v="26.242607236946078"/>
    <n v="33779.036968247463"/>
    <n v="579379.0849673202"/>
    <n v="23"/>
    <n v="886450"/>
    <n v="886450"/>
    <n v="0"/>
    <s v=""/>
    <s v="2003"/>
    <s v="PG-US 16.657.1S"/>
  </r>
  <r>
    <s v="eGIS Link"/>
    <n v="344"/>
    <s v="West Bound Visi-Data"/>
    <s v="62613"/>
    <n v="2017"/>
    <n v="3"/>
    <x v="12"/>
    <s v="PG"/>
    <s v="PG-MD 704"/>
    <s v="5.16-5.45(W)"/>
    <s v="MD"/>
    <s v="704"/>
    <s v=""/>
    <n v="5.16"/>
    <n v="5.45"/>
    <s v="W"/>
    <s v="STRUC #16092"/>
    <s v="RAMP 8 FR MD 704 TO IS 595"/>
    <n v="2.2999999999999998"/>
    <n v="0.66"/>
    <s v="DIVIDED"/>
    <s v="URBAN"/>
    <s v="NON-IS"/>
    <n v="14"/>
    <s v="F"/>
    <n v="113.61"/>
    <n v="128.96"/>
    <n v="99.5"/>
    <n v="98.2"/>
    <n v="100"/>
    <n v="0.31"/>
    <n v="39"/>
    <n v="136.75"/>
    <n v="136.75"/>
    <n v="91.45"/>
    <n v="86.8"/>
    <n v="93"/>
    <n v="0.2"/>
    <n v="46"/>
    <n v="56.16"/>
    <n v="56.16"/>
    <n v="100"/>
    <n v="100"/>
    <n v="100"/>
    <n v="0.08"/>
    <n v="44"/>
    <x v="2"/>
    <m/>
    <s v="Structural Overlay"/>
    <n v="347752.23931785673"/>
    <n v="253462.76068214327"/>
    <n v="601215"/>
    <n v="10.8"/>
    <n v="39.4"/>
    <n v="50"/>
    <s v=""/>
    <s v=""/>
    <n v="10.8"/>
    <s v="D"/>
    <n v="33.6"/>
    <n v="47.1"/>
    <n v="50"/>
    <s v=""/>
    <s v=""/>
    <n v="33.6"/>
    <n v="22.8"/>
    <n v="6"/>
    <n v="15.048000000000002"/>
    <n v="17.002882779265999"/>
    <n v="11.22190263431556"/>
    <n v="53575.13958119179"/>
    <n v="910931.81818181812"/>
    <n v="22.8"/>
    <n v="601215"/>
    <n v="601215"/>
    <n v="0"/>
    <s v=""/>
    <s v="1992"/>
    <s v="PG-MD 7045.165.45W"/>
  </r>
  <r>
    <s v="eGIS Link"/>
    <n v="404"/>
    <s v="SouthBound Visi-Data"/>
    <s v="62606"/>
    <n v="2017"/>
    <n v="3"/>
    <x v="12"/>
    <s v="PG"/>
    <s v="PG-MD 564B"/>
    <s v="0-0.04(S)"/>
    <s v="MD"/>
    <s v="564"/>
    <s v="B"/>
    <n v="0"/>
    <n v="0.04"/>
    <s v="S"/>
    <s v=""/>
    <s v=""/>
    <n v="2"/>
    <n v="0.08"/>
    <s v="UNDIVIDED"/>
    <s v="URBAN"/>
    <s v="NON-IS"/>
    <n v="19"/>
    <s v=""/>
    <s v=""/>
    <s v=""/>
    <s v=""/>
    <s v=""/>
    <s v=""/>
    <s v=""/>
    <s v=""/>
    <n v="182.61"/>
    <n v="182.61"/>
    <n v="78.775000000000006"/>
    <n v="89.8"/>
    <n v="75.099999999999994"/>
    <n v="0.18"/>
    <n v="44"/>
    <n v="65.23"/>
    <n v="65.23"/>
    <n v="100"/>
    <n v="100"/>
    <n v="100"/>
    <n v="0.08"/>
    <n v="44"/>
    <x v="2"/>
    <m/>
    <s v="Structural Overlay"/>
    <n v="440517.98267016589"/>
    <n v="321076.01732983411"/>
    <n v="761594"/>
    <n v="10.4"/>
    <n v="50"/>
    <n v="50"/>
    <s v=""/>
    <s v=""/>
    <n v="10.4"/>
    <s v="D"/>
    <n v="49.5"/>
    <n v="50"/>
    <n v="50"/>
    <s v=""/>
    <s v=""/>
    <n v="49.5"/>
    <n v="39.1"/>
    <n v="6"/>
    <n v="3.1280000000000001"/>
    <n v="29.158452485495644"/>
    <n v="2.3326761988396516"/>
    <n v="326489.37747075286"/>
    <n v="9519925"/>
    <n v="39"/>
    <n v="761594"/>
    <n v="761594"/>
    <n v="0"/>
    <s v=""/>
    <s v=""/>
    <s v="PG-MD 564B00.04S"/>
  </r>
  <r>
    <s v="eGIS Link"/>
    <n v="173"/>
    <s v="SouthBound Visi-Data"/>
    <s v="64042"/>
    <n v="2017"/>
    <n v="3"/>
    <x v="12"/>
    <s v="PG"/>
    <s v="PG-US 1"/>
    <s v="1.05-1.83(S)"/>
    <s v="US"/>
    <s v="1"/>
    <s v=""/>
    <n v="1.05"/>
    <n v="1.83"/>
    <s v="S"/>
    <s v="BEG BR"/>
    <s v="HAMILTON ST"/>
    <n v="2.8"/>
    <n v="2.1800000000000002"/>
    <s v="DIVIDED"/>
    <s v="URBAN"/>
    <s v="NON-IS"/>
    <n v="14"/>
    <s v="FCJ"/>
    <n v="200.92"/>
    <n v="141.94999999999999"/>
    <n v="100"/>
    <n v="100"/>
    <n v="100"/>
    <n v="0.24"/>
    <n v="42"/>
    <n v="154.57"/>
    <n v="154.57"/>
    <n v="90.525000000000006"/>
    <n v="92.4"/>
    <n v="89.9"/>
    <n v="0.19"/>
    <n v="41"/>
    <n v="59.44"/>
    <n v="59.44"/>
    <n v="100"/>
    <n v="100"/>
    <n v="100"/>
    <n v="0.08"/>
    <n v="44"/>
    <x v="2"/>
    <m/>
    <s v="Structural Overlay"/>
    <n v="284111.46541303647"/>
    <n v="207077.53458696353"/>
    <n v="491189"/>
    <n v="11.8"/>
    <n v="50"/>
    <n v="50"/>
    <s v=""/>
    <s v=""/>
    <n v="11.8"/>
    <s v="D"/>
    <n v="44"/>
    <n v="50"/>
    <n v="50"/>
    <s v=""/>
    <s v=""/>
    <n v="44"/>
    <n v="32.200000000000003"/>
    <n v="6"/>
    <n v="70.196000000000012"/>
    <n v="24.012843223349353"/>
    <n v="52.347998226901595"/>
    <n v="9383.1477160014565"/>
    <n v="225316.05504587153"/>
    <n v="32.200000000000003"/>
    <n v="491189"/>
    <n v="491189"/>
    <n v="0"/>
    <s v=""/>
    <s v="2010"/>
    <s v="PG-US 11.051.83S"/>
  </r>
  <r>
    <s v="eGIS Link"/>
    <n v="420"/>
    <s v="NorthBound Visi-Data"/>
    <s v="63878"/>
    <n v="2017"/>
    <n v="3"/>
    <x v="12"/>
    <s v="PG"/>
    <s v="PG-MD 201 RP2-1"/>
    <s v="0-0.05(N)"/>
    <s v="MD"/>
    <s v="201"/>
    <s v=""/>
    <n v="0"/>
    <n v="0.05"/>
    <s v="N"/>
    <s v=""/>
    <s v=""/>
    <n v="1"/>
    <n v="0.05"/>
    <s v="UNDIVIDED"/>
    <s v="URBAN"/>
    <s v="NON-IS"/>
    <n v="12"/>
    <s v=""/>
    <s v=""/>
    <s v=""/>
    <s v=""/>
    <s v=""/>
    <s v=""/>
    <s v=""/>
    <s v=""/>
    <n v="188.56"/>
    <n v="188.56"/>
    <n v="72.275000000000006"/>
    <n v="64.099999999999994"/>
    <n v="75"/>
    <n v="0.17"/>
    <n v="39"/>
    <n v="67.31"/>
    <n v="67.31"/>
    <n v="100"/>
    <n v="100"/>
    <n v="100"/>
    <n v="0.08"/>
    <n v="44"/>
    <x v="2"/>
    <m/>
    <s v="Structural Overlay"/>
    <n v="335363.15186337009"/>
    <n v="244432.84813662991"/>
    <n v="579796"/>
    <n v="4.5"/>
    <n v="10.5"/>
    <n v="25"/>
    <s v=""/>
    <s v=""/>
    <n v="4.5"/>
    <s v="E"/>
    <n v="29.5"/>
    <n v="47.1"/>
    <n v="50"/>
    <s v=""/>
    <s v=""/>
    <n v="29.5"/>
    <n v="25"/>
    <n v="6"/>
    <n v="1.25"/>
    <n v="18.643511819370612"/>
    <n v="0.93217559096853064"/>
    <n v="621981.5296789651"/>
    <n v="11595920"/>
    <n v="25"/>
    <n v="579796"/>
    <n v="579796"/>
    <n v="0"/>
    <s v=""/>
    <s v=""/>
    <s v="PG-MD 201 RP2-100.05N"/>
  </r>
  <r>
    <s v="eGIS Link"/>
    <n v="258"/>
    <s v="SouthBound Visi-Data"/>
    <s v="64042"/>
    <n v="2017"/>
    <n v="3"/>
    <x v="12"/>
    <s v="PG"/>
    <s v="PG-US 1"/>
    <s v="5.55-6.15(S)"/>
    <s v="US"/>
    <s v="1"/>
    <s v=""/>
    <n v="5.55"/>
    <n v="6.15"/>
    <s v="S"/>
    <s v="DELAWARE ST #1"/>
    <s v="CHERRY HILL RD"/>
    <n v="3.8"/>
    <n v="2.2799999999999998"/>
    <s v="UNDIVIDED"/>
    <s v="URBAN"/>
    <s v="NON-IS"/>
    <n v="14"/>
    <s v="FCJ"/>
    <n v="191.49"/>
    <n v="300.37"/>
    <n v="49.1"/>
    <n v="78.599999999999994"/>
    <n v="39.299999999999997"/>
    <n v="0.17"/>
    <n v="35"/>
    <n v="262.51"/>
    <n v="262.51"/>
    <n v="84.275000000000006"/>
    <n v="85.7"/>
    <n v="83.8"/>
    <n v="0.16"/>
    <n v="39"/>
    <n v="84.74"/>
    <n v="84.74"/>
    <n v="100"/>
    <n v="100"/>
    <n v="100"/>
    <n v="0.08"/>
    <n v="44"/>
    <x v="2"/>
    <m/>
    <s v="Structural Overlay"/>
    <n v="411698.99516690517"/>
    <n v="300071.00483309483"/>
    <n v="711770"/>
    <n v="0"/>
    <n v="38.799999999999997"/>
    <n v="43.8"/>
    <s v=""/>
    <s v=""/>
    <n v="0"/>
    <s v="F"/>
    <n v="24.3"/>
    <n v="47.1"/>
    <n v="50"/>
    <s v=""/>
    <s v=""/>
    <n v="24.3"/>
    <n v="24.3"/>
    <n v="6"/>
    <n v="55.403999999999996"/>
    <n v="18.121493488428239"/>
    <n v="41.317005153616385"/>
    <n v="17227.04724976177"/>
    <n v="312179.82456140354"/>
    <n v="24.3"/>
    <n v="711770"/>
    <n v="711770"/>
    <n v="0"/>
    <s v=""/>
    <s v="2001"/>
    <s v="PG-US 15.556.15S"/>
  </r>
  <r>
    <s v="eGIS Link"/>
    <n v="211"/>
    <s v="SouthBound Visi-Data"/>
    <s v="64042"/>
    <n v="2017"/>
    <n v="3"/>
    <x v="12"/>
    <s v="PG"/>
    <s v="PG-US 1"/>
    <s v="8-8.42(S)"/>
    <s v="US"/>
    <s v="1"/>
    <s v=""/>
    <n v="8"/>
    <n v="8.42"/>
    <s v="S"/>
    <s v="POWDER MILL RD"/>
    <s v="HOWARD AVE"/>
    <n v="4"/>
    <n v="1.68"/>
    <s v="UNDIVIDED"/>
    <s v="URBAN"/>
    <s v="NON-IS"/>
    <n v="14"/>
    <s v="FCJ"/>
    <n v="213.51"/>
    <n v="371.46"/>
    <n v="85.2"/>
    <n v="88.3"/>
    <n v="84.2"/>
    <n v="0.23"/>
    <n v="29"/>
    <n v="74.52"/>
    <n v="74.52"/>
    <n v="67.625"/>
    <n v="71.3"/>
    <n v="66.400000000000006"/>
    <n v="0.18"/>
    <n v="45"/>
    <n v="44.23"/>
    <n v="44.23"/>
    <n v="100"/>
    <n v="100"/>
    <n v="100"/>
    <n v="0.08"/>
    <n v="44"/>
    <x v="2"/>
    <m/>
    <s v="Structural Overlay"/>
    <n v="217230.40634457491"/>
    <n v="158330.59365542509"/>
    <n v="375561"/>
    <n v="22.6"/>
    <n v="17"/>
    <n v="14.6"/>
    <s v=""/>
    <s v=""/>
    <n v="14.6"/>
    <s v="D"/>
    <n v="38.9"/>
    <n v="47.1"/>
    <n v="50"/>
    <s v=""/>
    <s v=""/>
    <n v="38.9"/>
    <n v="24.299999999999997"/>
    <n v="6"/>
    <n v="40.823999999999991"/>
    <n v="18.121493488428236"/>
    <n v="30.444109060559434"/>
    <n v="12336.081152939438"/>
    <n v="223548.21428571429"/>
    <n v="24.3"/>
    <n v="375561"/>
    <n v="375561"/>
    <n v="0"/>
    <s v=""/>
    <s v="2012"/>
    <s v="PG-US 188.42S"/>
  </r>
  <r>
    <s v="eGIS Link"/>
    <n v="334"/>
    <s v="SouthBound Visi-Data"/>
    <s v="64042"/>
    <n v="2017"/>
    <n v="3"/>
    <x v="12"/>
    <s v="PG"/>
    <s v="PG-US 1"/>
    <s v="6.15-6.43(S)"/>
    <s v="US"/>
    <s v="1"/>
    <s v=""/>
    <n v="6.15"/>
    <n v="6.43"/>
    <s v="S"/>
    <s v="CHERRY HILL RD"/>
    <s v="EXIT #25"/>
    <n v="2.8"/>
    <n v="0.78"/>
    <s v="DIVIDED"/>
    <s v="URBAN"/>
    <s v="NON-IS"/>
    <n v="14"/>
    <s v="F"/>
    <n v="266.02999999999997"/>
    <n v="149.47"/>
    <n v="88.3"/>
    <n v="83.9"/>
    <n v="89.7"/>
    <n v="0.16"/>
    <n v="38"/>
    <n v="217.91"/>
    <n v="217.91"/>
    <n v="88.174999999999997"/>
    <n v="90.5"/>
    <n v="87.4"/>
    <n v="0.16"/>
    <n v="31"/>
    <n v="73.349999999999994"/>
    <n v="73.349999999999994"/>
    <n v="100"/>
    <n v="100"/>
    <n v="100"/>
    <n v="0.08"/>
    <n v="44"/>
    <x v="2"/>
    <m/>
    <s v="Structural Overlay"/>
    <n v="505188.91506774677"/>
    <n v="368212.08493225323"/>
    <n v="873401"/>
    <n v="2.7"/>
    <n v="50"/>
    <n v="50"/>
    <s v=""/>
    <s v=""/>
    <n v="2.7"/>
    <s v="E"/>
    <n v="37.5"/>
    <n v="50"/>
    <n v="50"/>
    <s v=""/>
    <s v=""/>
    <n v="37.5"/>
    <n v="34.799999999999997"/>
    <n v="6"/>
    <n v="27.143999999999998"/>
    <n v="25.951768452563893"/>
    <n v="20.242379392999837"/>
    <n v="43147.150986708468"/>
    <n v="1119744.8717948718"/>
    <n v="34.9"/>
    <n v="873401"/>
    <n v="873401"/>
    <n v="0"/>
    <s v=""/>
    <s v="1999"/>
    <s v="PG-US 16.156.43S"/>
  </r>
  <r>
    <s v="eGIS Link"/>
    <n v="395"/>
    <s v="West Bound Visi-Data"/>
    <s v="62525"/>
    <n v="2017"/>
    <n v="3"/>
    <x v="12"/>
    <s v="PG"/>
    <s v="PG-MD 193"/>
    <s v="12.74-12.95(W)"/>
    <s v="MD"/>
    <s v="193"/>
    <s v=""/>
    <n v="12.74"/>
    <n v="12.95"/>
    <s v="W"/>
    <s v="ANNAPOLIS RD"/>
    <s v="PARTELLO RD"/>
    <n v="2.2000000000000002"/>
    <n v="0.46"/>
    <s v="DIVIDED"/>
    <s v="URBAN"/>
    <s v="NON-IS"/>
    <n v="16"/>
    <s v="F"/>
    <n v="112.42"/>
    <n v="199.6"/>
    <n v="87.5"/>
    <n v="79.099999999999994"/>
    <n v="90.3"/>
    <n v="0.3"/>
    <n v="38"/>
    <n v="113.67"/>
    <n v="113.67"/>
    <n v="92.4"/>
    <n v="93.9"/>
    <n v="91.9"/>
    <n v="0.25"/>
    <n v="44"/>
    <n v="78.94"/>
    <n v="78.94"/>
    <n v="100"/>
    <n v="100"/>
    <n v="100"/>
    <n v="0.21"/>
    <n v="49"/>
    <x v="5"/>
    <m/>
    <s v="Preventive Maintenance"/>
    <n v="377459.09503357543"/>
    <n v="275114.90496642457"/>
    <n v="652574"/>
    <n v="20"/>
    <n v="50"/>
    <n v="50"/>
    <s v=""/>
    <s v=""/>
    <n v="20"/>
    <s v="C"/>
    <n v="28.2"/>
    <n v="50"/>
    <n v="50"/>
    <s v=""/>
    <s v=""/>
    <n v="28.2"/>
    <n v="8.1999999999999993"/>
    <n v="4"/>
    <n v="3.7719999999999998"/>
    <n v="6.1150718767535608"/>
    <n v="2.8129330633066383"/>
    <n v="231990.5896491156"/>
    <n v="1418639.1304347825"/>
    <n v="8.1999999999999993"/>
    <n v="652574"/>
    <n v="652574"/>
    <n v="0"/>
    <s v=""/>
    <s v="1984"/>
    <s v="PG-MD 19312.7412.95W"/>
  </r>
  <r>
    <s v="eGIS Link"/>
    <n v="316"/>
    <s v="EastBound Visi-Data"/>
    <s v="62536"/>
    <n v="2017"/>
    <n v="3"/>
    <x v="12"/>
    <s v="PG"/>
    <s v="PG-MD 198"/>
    <s v="0-1.25(E)"/>
    <s v="MD"/>
    <s v="198"/>
    <s v=""/>
    <n v="0"/>
    <n v="1.25"/>
    <s v="E"/>
    <s v="MONTGOMERY CO/L"/>
    <s v="END BR"/>
    <n v="3.2"/>
    <n v="4"/>
    <s v="DIVIDED"/>
    <s v="URBAN"/>
    <s v="NON-IS"/>
    <n v="14"/>
    <s v="F"/>
    <n v="120.53"/>
    <n v="109.12"/>
    <n v="83.5"/>
    <n v="80.8"/>
    <n v="84.4"/>
    <n v="0.34"/>
    <n v="48"/>
    <n v="105.24"/>
    <n v="105.24"/>
    <n v="85.95"/>
    <n v="85.2"/>
    <n v="86.2"/>
    <n v="0.13"/>
    <n v="44"/>
    <n v="74.45"/>
    <n v="74.45"/>
    <n v="100"/>
    <n v="100"/>
    <n v="100"/>
    <n v="0.11"/>
    <n v="49"/>
    <x v="5"/>
    <m/>
    <s v="Preventive Maintenance"/>
    <n v="429484.70178897009"/>
    <n v="313034.29821102991"/>
    <n v="742519"/>
    <n v="22"/>
    <n v="50"/>
    <n v="50"/>
    <s v=""/>
    <s v=""/>
    <n v="22"/>
    <s v="C"/>
    <n v="29.6"/>
    <n v="50"/>
    <n v="50"/>
    <s v=""/>
    <s v=""/>
    <n v="29.6"/>
    <n v="7.6000000000000014"/>
    <n v="4"/>
    <n v="32"/>
    <n v="5.9659237821985966"/>
    <n v="23.863695128794387"/>
    <n v="31115.005282818187"/>
    <n v="185629.75"/>
    <n v="7.6"/>
    <n v="742519"/>
    <n v="742519"/>
    <n v="0"/>
    <s v=""/>
    <s v="1998"/>
    <s v="PG-MD 19801.25E"/>
  </r>
  <r>
    <s v="eGIS Link"/>
    <n v="321"/>
    <s v="West Bound Visi-Data"/>
    <s v="62512"/>
    <n v="2017"/>
    <n v="3"/>
    <x v="12"/>
    <s v="PG"/>
    <s v="PG-MD 3E"/>
    <s v="2.15-2.67(W)"/>
    <s v="MD"/>
    <s v="3"/>
    <s v="E"/>
    <n v="2.15"/>
    <n v="2.67"/>
    <s v="W"/>
    <s v="BELAIR DR (BACK)"/>
    <s v="SPUR FR SCIENCE DR"/>
    <n v="2.7"/>
    <n v="1.4"/>
    <s v="DIVIDED"/>
    <s v="URBAN"/>
    <s v="NON-IS"/>
    <n v="16"/>
    <s v="F"/>
    <s v=""/>
    <s v=""/>
    <s v=""/>
    <s v=""/>
    <s v=""/>
    <s v=""/>
    <s v=""/>
    <n v="78.180000000000007"/>
    <n v="78.180000000000007"/>
    <n v="90.025000000000006"/>
    <n v="90.7"/>
    <n v="89.8"/>
    <n v="0.13"/>
    <n v="48"/>
    <n v="60.2"/>
    <n v="60.2"/>
    <n v="100"/>
    <n v="100"/>
    <n v="100"/>
    <n v="0.11"/>
    <n v="49"/>
    <x v="5"/>
    <m/>
    <s v="Preventive Maintenance"/>
    <n v="160794.37931556982"/>
    <n v="117196.62068443018"/>
    <n v="277991"/>
    <n v="29.9"/>
    <n v="50"/>
    <n v="50"/>
    <s v=""/>
    <s v=""/>
    <n v="29.9"/>
    <s v="C"/>
    <n v="34.799999999999997"/>
    <n v="50"/>
    <n v="50"/>
    <s v=""/>
    <s v=""/>
    <n v="34.799999999999997"/>
    <n v="4.8999999999999986"/>
    <n v="4"/>
    <n v="11.2"/>
    <n v="5.9659237821985966"/>
    <n v="8.3522932950780344"/>
    <n v="33283.194229280569"/>
    <n v="198565"/>
    <n v="4.9000000000000004"/>
    <n v="277991"/>
    <n v="277991"/>
    <n v="0"/>
    <s v=""/>
    <s v="1990"/>
    <s v="PG-MD 3E2.152.67W"/>
  </r>
  <r>
    <s v="eGIS Link"/>
    <n v="306"/>
    <s v="SouthBound Visi-Data"/>
    <s v="64042"/>
    <n v="2017"/>
    <n v="3"/>
    <x v="12"/>
    <s v="PG"/>
    <s v="PG-US 1"/>
    <s v="8.9-9.27(S)"/>
    <s v="US"/>
    <s v="1"/>
    <s v=""/>
    <n v="8.9"/>
    <n v="9.27"/>
    <s v="S"/>
    <s v="SPEED LIMIT 50 MPH"/>
    <s v="AMMENDALE RD"/>
    <n v="3"/>
    <n v="1.1100000000000001"/>
    <s v="DIVIDED"/>
    <s v="URBAN"/>
    <s v="NON-IS"/>
    <n v="14"/>
    <s v="FCJ"/>
    <n v="209.81"/>
    <n v="164.22"/>
    <n v="74.599999999999994"/>
    <n v="75.5"/>
    <n v="74.3"/>
    <n v="0.16"/>
    <n v="43"/>
    <n v="123.46"/>
    <n v="123.46"/>
    <n v="92.075000000000003"/>
    <n v="89.6"/>
    <n v="92.9"/>
    <n v="0.13"/>
    <n v="41"/>
    <n v="85.09"/>
    <n v="85.09"/>
    <n v="100"/>
    <n v="100"/>
    <n v="100"/>
    <n v="0.11"/>
    <n v="49"/>
    <x v="5"/>
    <m/>
    <s v="Preventive Maintenance"/>
    <n v="99040.397664194432"/>
    <n v="72186.602335805568"/>
    <n v="171227"/>
    <n v="12.8"/>
    <n v="40.799999999999997"/>
    <n v="50"/>
    <s v=""/>
    <s v=""/>
    <n v="12.8"/>
    <s v="D"/>
    <n v="19.3"/>
    <n v="47.1"/>
    <n v="50"/>
    <s v=""/>
    <s v=""/>
    <n v="19.3"/>
    <n v="6.5"/>
    <n v="4"/>
    <n v="8.8800000000000008"/>
    <n v="5.9659237821985966"/>
    <n v="6.6221753982404428"/>
    <n v="25856.608999739903"/>
    <n v="154258.55855855855"/>
    <n v="6.6"/>
    <n v="171227"/>
    <n v="171227"/>
    <n v="0"/>
    <s v=""/>
    <s v="1998"/>
    <s v="PG-US 18.99.27S"/>
  </r>
  <r>
    <s v="eGIS Link"/>
    <n v="424"/>
    <s v="SouthBound Visi-Data"/>
    <s v="64042"/>
    <n v="2017"/>
    <n v="3"/>
    <x v="12"/>
    <s v="PG"/>
    <s v="PG-US 1"/>
    <s v="7.1-7.11(S)"/>
    <s v="US"/>
    <s v="1"/>
    <s v=""/>
    <n v="7.1"/>
    <n v="7.11"/>
    <s v="S"/>
    <s v=""/>
    <s v="SUNNYSIDE AVE"/>
    <n v="3"/>
    <n v="0.03"/>
    <s v="DIVIDED"/>
    <s v="URBAN"/>
    <s v="NON-IS"/>
    <n v="14"/>
    <s v="COMPOSITE"/>
    <n v="164.6"/>
    <n v="166.28"/>
    <s v=""/>
    <s v=""/>
    <s v=""/>
    <n v="0.3"/>
    <n v="37"/>
    <n v="146.09"/>
    <n v="146.09"/>
    <n v="93.125"/>
    <n v="92.6"/>
    <n v="93.3"/>
    <n v="0.2"/>
    <n v="50"/>
    <n v="97.5"/>
    <n v="97.5"/>
    <n v="100"/>
    <n v="100"/>
    <n v="100"/>
    <n v="0.17"/>
    <n v="49"/>
    <x v="5"/>
    <m/>
    <s v="Preventive Maintenance"/>
    <n v="105155.40922256936"/>
    <n v="76643.59077743064"/>
    <n v="181799"/>
    <n v="9.5"/>
    <n v="42.1"/>
    <n v="50"/>
    <s v=""/>
    <s v=""/>
    <n v="9.5"/>
    <s v="E"/>
    <n v="16.899999999999999"/>
    <n v="47.1"/>
    <n v="50"/>
    <s v=""/>
    <s v=""/>
    <n v="16.899999999999999"/>
    <n v="7.3999999999999986"/>
    <n v="4"/>
    <n v="0.24"/>
    <n v="5.9659237821985966"/>
    <n v="0.17897771346595789"/>
    <n v="1015763.3399120317"/>
    <n v="6059966.666666667"/>
    <n v="7.4"/>
    <n v="181799"/>
    <n v="181799"/>
    <n v="0"/>
    <s v=""/>
    <s v="1993"/>
    <s v="PG-US 17.17.11S"/>
  </r>
  <r>
    <s v="eGIS Link"/>
    <n v="311"/>
    <s v="SouthBound Visi-Data"/>
    <s v="62505"/>
    <n v="2017"/>
    <n v="3"/>
    <x v="13"/>
    <s v="PG"/>
    <s v="PG-IS 95"/>
    <s v="6.9-8.1(S)"/>
    <s v="IS"/>
    <s v="95"/>
    <s v=""/>
    <n v="6.9"/>
    <n v="8.1"/>
    <s v="S"/>
    <s v="RAMP 6 FR IS 95 TO MD 5"/>
    <s v="INTERSTATE MILE MARKER 8.0"/>
    <n v="4.3"/>
    <n v="5.16"/>
    <s v="DIVIDED"/>
    <s v="URBAN"/>
    <s v="IS"/>
    <n v="11"/>
    <s v="FCJ"/>
    <n v="76.290000000000006"/>
    <n v="72.22"/>
    <n v="98.4"/>
    <n v="100"/>
    <n v="97.9"/>
    <n v="0.3"/>
    <n v="43"/>
    <n v="106.81"/>
    <n v="106.81"/>
    <n v="90.875"/>
    <n v="85.4"/>
    <n v="92.7"/>
    <n v="0.12"/>
    <n v="42"/>
    <n v="110.36"/>
    <n v="110.36"/>
    <n v="91.575000000000003"/>
    <n v="87"/>
    <n v="93.1"/>
    <n v="0.12"/>
    <n v="42"/>
    <x v="6"/>
    <m/>
    <s v="Preventive Maintenance"/>
    <n v="253012.9413460645"/>
    <n v="184411.0586539355"/>
    <n v="437424"/>
    <n v="14.7"/>
    <n v="10.8"/>
    <n v="21.3"/>
    <s v=""/>
    <s v=""/>
    <n v="10.8"/>
    <s v="D"/>
    <n v="14.6"/>
    <n v="12.7"/>
    <n v="22.7"/>
    <s v=""/>
    <s v=""/>
    <n v="12.7"/>
    <n v="2"/>
    <n v="2"/>
    <n v="20.64"/>
    <n v="2.9829618910992983"/>
    <n v="15.39208335807238"/>
    <n v="28418.76501211858"/>
    <n v="84772.093023255817"/>
    <n v="1.9"/>
    <n v="437424"/>
    <n v="437424"/>
    <n v="0"/>
    <s v="RUT_P1"/>
    <s v="2008"/>
    <s v="PG-IS 956.98.1S"/>
  </r>
  <r>
    <s v="eGIS Link"/>
    <n v="425"/>
    <s v="SouthBound Visi-Data"/>
    <s v="63911"/>
    <n v="2017"/>
    <n v="3"/>
    <x v="13"/>
    <s v="PG"/>
    <s v="PG-MD 210 RP5-13"/>
    <s v="0-0.121(S)"/>
    <s v="MD"/>
    <s v="210"/>
    <s v=""/>
    <n v="0"/>
    <n v="0.121"/>
    <s v="S"/>
    <s v=""/>
    <s v=""/>
    <n v="1.9"/>
    <n v="0.23"/>
    <s v="UNDIVIDED"/>
    <s v="URBAN"/>
    <s v="NON-IS"/>
    <n v="12"/>
    <s v=""/>
    <s v=""/>
    <s v=""/>
    <s v=""/>
    <s v=""/>
    <s v=""/>
    <s v=""/>
    <s v=""/>
    <n v="82.81"/>
    <n v="82.81"/>
    <n v="82.55"/>
    <n v="86.6"/>
    <n v="81.2"/>
    <n v="0.14000000000000001"/>
    <n v="42"/>
    <n v="85.35"/>
    <n v="85.35"/>
    <n v="85.424999999999997"/>
    <n v="89.1"/>
    <n v="84.2"/>
    <n v="0.14000000000000001"/>
    <n v="42"/>
    <x v="6"/>
    <m/>
    <s v="Preventive Maintenance"/>
    <n v="434466.59684688569"/>
    <n v="316665.40315311431"/>
    <n v="751132"/>
    <n v="30.1"/>
    <n v="25.7"/>
    <n v="21.1"/>
    <s v=""/>
    <s v=""/>
    <n v="21.1"/>
    <s v="C"/>
    <n v="29.9"/>
    <n v="31.1"/>
    <n v="25.2"/>
    <s v=""/>
    <s v=""/>
    <n v="25.2"/>
    <n v="4.0999999999999979"/>
    <n v="2"/>
    <n v="0.94299999999999951"/>
    <n v="3.0575359383767791"/>
    <n v="0.70323326582665924"/>
    <n v="1068112.1563796264"/>
    <n v="3265791.3043478262"/>
    <n v="4.0999999999999996"/>
    <n v="751132"/>
    <n v="751132"/>
    <n v="0"/>
    <s v=""/>
    <s v=""/>
    <s v="PG-MD 210 RP5-1300.121S"/>
  </r>
  <r>
    <s v="eGIS Link"/>
    <n v="280"/>
    <s v="SouthBound Visi-Data"/>
    <s v="62518"/>
    <n v="2017"/>
    <n v="3"/>
    <x v="13"/>
    <s v="PG"/>
    <s v="PG-MD 5"/>
    <s v="14-14.67(S)"/>
    <s v="MD"/>
    <s v="5"/>
    <s v=""/>
    <n v="14"/>
    <n v="14.67"/>
    <s v="S"/>
    <s v="SPUR FR IVERSON ST"/>
    <s v="CURTIS DR"/>
    <n v="3.8"/>
    <n v="2.5499999999999998"/>
    <s v="DIVIDED"/>
    <s v="URBAN"/>
    <s v="NON-IS"/>
    <n v="12"/>
    <s v="FCJ"/>
    <n v="230.19"/>
    <n v="163.9"/>
    <n v="67.5"/>
    <n v="72.099999999999994"/>
    <n v="66"/>
    <n v="0.17"/>
    <n v="36"/>
    <n v="126.13"/>
    <n v="126.13"/>
    <n v="81.174999999999997"/>
    <n v="76.3"/>
    <n v="82.8"/>
    <n v="0.16"/>
    <n v="44"/>
    <n v="66.59"/>
    <n v="66.59"/>
    <n v="100"/>
    <n v="100"/>
    <n v="100"/>
    <n v="0.08"/>
    <n v="44"/>
    <x v="1"/>
    <m/>
    <s v="Minor Rehabilitation"/>
    <n v="643204.70280363795"/>
    <n v="468806.29719636205"/>
    <n v="1112011"/>
    <n v="12.9"/>
    <n v="11.2"/>
    <n v="22.8"/>
    <s v=""/>
    <s v=""/>
    <n v="11.2"/>
    <s v="D"/>
    <n v="39.799999999999997"/>
    <n v="40"/>
    <n v="42.4"/>
    <s v=""/>
    <s v=""/>
    <n v="39.799999999999997"/>
    <n v="28.599999999999998"/>
    <n v="6"/>
    <n v="72.929999999999993"/>
    <n v="21.328177521359983"/>
    <n v="54.38685267946795"/>
    <n v="20446.320116254952"/>
    <n v="436082.74509803928"/>
    <n v="28.7"/>
    <n v="1112011"/>
    <n v="1112011"/>
    <n v="0"/>
    <s v="SKID_35"/>
    <s v="2000"/>
    <s v="PG-MD 51414.67S"/>
  </r>
  <r>
    <s v="eGIS Link"/>
    <n v="202"/>
    <s v="West Bound Visi-Data"/>
    <s v="62615"/>
    <n v="2017"/>
    <n v="3"/>
    <x v="13"/>
    <s v="PG"/>
    <s v="PG-MD 725"/>
    <s v="0-1.25(W)"/>
    <s v="MD"/>
    <s v="725"/>
    <s v=""/>
    <n v="0"/>
    <n v="1.25"/>
    <s v="W"/>
    <s v="BROWN STATION RD"/>
    <s v="LARGO RD"/>
    <n v="2.2000000000000002"/>
    <n v="2.75"/>
    <s v="UNDIVIDED"/>
    <s v="URBAN"/>
    <s v="NON-IS"/>
    <n v="16"/>
    <s v="FCJ"/>
    <n v="317.36"/>
    <n v="257.37"/>
    <s v=""/>
    <s v=""/>
    <s v=""/>
    <n v="0.18"/>
    <n v="35"/>
    <n v="209.72"/>
    <n v="209.72"/>
    <n v="79.674999999999997"/>
    <n v="79"/>
    <n v="79.900000000000006"/>
    <n v="0.14000000000000001"/>
    <n v="38"/>
    <n v="72.13"/>
    <n v="72.13"/>
    <n v="100"/>
    <n v="100"/>
    <n v="100"/>
    <n v="0.08"/>
    <n v="44"/>
    <x v="2"/>
    <m/>
    <s v="Structural Overlay"/>
    <n v="350973.43676096969"/>
    <n v="255810.56323903031"/>
    <n v="606784"/>
    <n v="2.4"/>
    <n v="33.5"/>
    <n v="38.200000000000003"/>
    <s v=""/>
    <s v=""/>
    <n v="2.4"/>
    <s v="E"/>
    <n v="27.9"/>
    <n v="47.1"/>
    <n v="50"/>
    <s v=""/>
    <s v=""/>
    <n v="27.9"/>
    <n v="25.5"/>
    <n v="6"/>
    <n v="70.125"/>
    <n v="19.016382055758026"/>
    <n v="52.29505065333457"/>
    <n v="11603.086571660271"/>
    <n v="220648.72727272726"/>
    <n v="25.5"/>
    <n v="606784"/>
    <n v="606784"/>
    <n v="0"/>
    <s v=""/>
    <s v="2001"/>
    <s v="PG-MD 72501.25W"/>
  </r>
  <r>
    <s v="eGIS Link"/>
    <n v="415"/>
    <s v="SouthBound Visi-Data"/>
    <s v="62574"/>
    <n v="2017"/>
    <n v="3"/>
    <x v="13"/>
    <s v="PG"/>
    <s v="PG-MD 223"/>
    <s v="0-0.09(S)"/>
    <s v="MD"/>
    <s v="223"/>
    <s v=""/>
    <n v="0"/>
    <n v="0.09"/>
    <s v="S"/>
    <s v="LIVINGSTON RD"/>
    <s v="SPEED LIMIT 30 MPH"/>
    <n v="2"/>
    <n v="0.18"/>
    <s v="UNDIVIDED"/>
    <s v="URBAN"/>
    <s v="NON-IS"/>
    <n v="14"/>
    <s v="F"/>
    <n v="160.99"/>
    <n v="91.29"/>
    <s v=""/>
    <s v=""/>
    <s v=""/>
    <n v="0.14000000000000001"/>
    <n v="41"/>
    <n v="178.07"/>
    <n v="178.07"/>
    <n v="90.224999999999994"/>
    <n v="92.4"/>
    <n v="89.5"/>
    <n v="0.16"/>
    <n v="39"/>
    <n v="64.44"/>
    <n v="64.44"/>
    <n v="100"/>
    <n v="100"/>
    <n v="100"/>
    <n v="0.08"/>
    <n v="44"/>
    <x v="2"/>
    <m/>
    <s v="Structural Overlay"/>
    <n v="1347284.7736985707"/>
    <n v="981982.22630142933"/>
    <n v="2329267"/>
    <n v="8"/>
    <n v="50"/>
    <n v="50"/>
    <s v=""/>
    <s v=""/>
    <n v="8"/>
    <s v="E"/>
    <n v="41.5"/>
    <n v="50"/>
    <n v="50"/>
    <s v=""/>
    <s v=""/>
    <n v="41.5"/>
    <n v="33.5"/>
    <n v="6"/>
    <n v="6.0299999999999994"/>
    <n v="24.982305837956623"/>
    <n v="4.4968150508321925"/>
    <n v="517981.49883192097"/>
    <n v="12940372.222222222"/>
    <n v="33.5"/>
    <n v="2329267"/>
    <n v="2329267"/>
    <n v="0"/>
    <s v=""/>
    <s v="2002"/>
    <s v="PG-MD 22300.09S"/>
  </r>
  <r>
    <s v="eGIS Link"/>
    <n v="355"/>
    <s v="SouthBound Visi-Data"/>
    <s v="62573"/>
    <n v="2017"/>
    <n v="3"/>
    <x v="13"/>
    <s v="PG"/>
    <s v="PG-MD 221A"/>
    <s v="5.197-5.784(S)"/>
    <s v="MD"/>
    <s v="221"/>
    <s v="A"/>
    <n v="5.1970000000000001"/>
    <n v="5.7839999999999998"/>
    <s v="S"/>
    <s v=""/>
    <s v=""/>
    <n v="2.6"/>
    <n v="1.52"/>
    <s v="DIVIDED"/>
    <s v="URBAN"/>
    <s v="NON-IS"/>
    <n v="16"/>
    <s v="F"/>
    <s v=""/>
    <s v=""/>
    <s v=""/>
    <s v=""/>
    <s v=""/>
    <s v=""/>
    <s v=""/>
    <n v="166.52"/>
    <n v="166.52"/>
    <n v="91.625"/>
    <n v="92.3"/>
    <n v="91.4"/>
    <n v="0.19"/>
    <n v="37"/>
    <n v="61.96"/>
    <n v="61.96"/>
    <n v="100"/>
    <n v="100"/>
    <n v="100"/>
    <n v="0.08"/>
    <n v="44"/>
    <x v="2"/>
    <m/>
    <s v="Structural Overlay"/>
    <n v="1388111.6726615233"/>
    <n v="1011739.3273384767"/>
    <n v="2399851"/>
    <n v="9.8000000000000007"/>
    <n v="50"/>
    <n v="50"/>
    <s v=""/>
    <s v=""/>
    <n v="9.8000000000000007"/>
    <s v="E"/>
    <n v="42.7"/>
    <n v="50"/>
    <n v="50"/>
    <s v=""/>
    <s v=""/>
    <n v="42.7"/>
    <n v="32.900000000000006"/>
    <n v="6"/>
    <n v="50.00800000000001"/>
    <n v="24.534861554291734"/>
    <n v="37.292989562523438"/>
    <n v="64351.263552538148"/>
    <n v="1578849.3421052631"/>
    <n v="32.9"/>
    <n v="2399851"/>
    <n v="2399851"/>
    <n v="0"/>
    <s v=""/>
    <s v="2002"/>
    <s v="PG-MD 221A5.1975.784S"/>
  </r>
  <r>
    <s v="eGIS Link"/>
    <n v="113"/>
    <s v="EastBound Visi-Data"/>
    <s v="62570"/>
    <n v="2017"/>
    <n v="3"/>
    <x v="13"/>
    <s v="PG"/>
    <s v="PG-MD 214"/>
    <s v="0-0.87(E)"/>
    <s v="MD"/>
    <s v="214"/>
    <s v=""/>
    <n v="0"/>
    <n v="0.87"/>
    <s v="E"/>
    <s v="WASH DC LINE"/>
    <s v="ADDISON RD"/>
    <n v="3.2"/>
    <n v="2.78"/>
    <s v="DIVIDED"/>
    <s v="URBAN"/>
    <s v="NON-IS"/>
    <n v="14"/>
    <s v="FCJ"/>
    <n v="132.04"/>
    <n v="137.25"/>
    <n v="96.5"/>
    <n v="93.8"/>
    <n v="97.4"/>
    <n v="0.17"/>
    <n v="35"/>
    <n v="177.21"/>
    <n v="177.21"/>
    <n v="75.099999999999994"/>
    <n v="73.3"/>
    <n v="75.7"/>
    <n v="0.17"/>
    <n v="44"/>
    <n v="64.069999999999993"/>
    <n v="64.069999999999993"/>
    <n v="100"/>
    <n v="100"/>
    <n v="100"/>
    <n v="0.08"/>
    <n v="44"/>
    <x v="2"/>
    <m/>
    <s v="Structural Overlay"/>
    <n v="293986.75791550858"/>
    <n v="214275.24208449142"/>
    <n v="508262"/>
    <n v="11.3"/>
    <n v="50"/>
    <n v="50"/>
    <s v=""/>
    <s v=""/>
    <n v="11.3"/>
    <s v="D"/>
    <n v="50"/>
    <n v="50"/>
    <n v="50"/>
    <s v=""/>
    <s v=""/>
    <n v="50"/>
    <n v="38.700000000000003"/>
    <n v="6"/>
    <n v="107.586"/>
    <n v="28.860156296385718"/>
    <n v="80.231234503952294"/>
    <n v="6334.96422113463"/>
    <n v="182828.05755395684"/>
    <n v="38.799999999999997"/>
    <n v="508262"/>
    <n v="508262"/>
    <n v="0"/>
    <s v=""/>
    <s v="2009"/>
    <s v="PG-MD 21400.87E"/>
  </r>
  <r>
    <s v="eGIS Link"/>
    <n v="159"/>
    <s v="NorthBound Visi-Data"/>
    <s v="62584"/>
    <n v="2017"/>
    <n v="3"/>
    <x v="13"/>
    <s v="PG"/>
    <s v="PG-MD 381"/>
    <s v="0-1.75(N)"/>
    <s v="MD"/>
    <s v="381"/>
    <s v=""/>
    <n v="0"/>
    <n v="1.75"/>
    <s v="N"/>
    <s v="CHARLES CO/L"/>
    <s v="EAGLE HARBOR RD"/>
    <n v="2"/>
    <n v="3.5"/>
    <s v="UNDIVIDED"/>
    <s v="URBAN"/>
    <s v="NON-IS"/>
    <n v="7"/>
    <s v="F"/>
    <n v="105.71"/>
    <n v="125.28"/>
    <s v=""/>
    <s v=""/>
    <s v=""/>
    <n v="0.16"/>
    <n v="49"/>
    <n v="288.48"/>
    <n v="288.48"/>
    <n v="81.424999999999997"/>
    <n v="77.599999999999994"/>
    <n v="82.7"/>
    <n v="0.15"/>
    <n v="36"/>
    <n v="90.13"/>
    <n v="90.13"/>
    <n v="100"/>
    <n v="100"/>
    <n v="100"/>
    <n v="0.08"/>
    <n v="44"/>
    <x v="2"/>
    <m/>
    <s v="Structural Overlay"/>
    <n v="385453.37944033853"/>
    <n v="280941.62055966147"/>
    <n v="666395"/>
    <n v="0"/>
    <n v="32"/>
    <n v="46.1"/>
    <s v=""/>
    <s v=""/>
    <n v="0"/>
    <s v="F"/>
    <n v="29.6"/>
    <n v="48.5"/>
    <n v="50"/>
    <s v=""/>
    <s v=""/>
    <n v="29.6"/>
    <n v="29.6"/>
    <n v="6"/>
    <n v="103.60000000000001"/>
    <n v="22.07391799413481"/>
    <n v="77.258712979471838"/>
    <n v="8625.4996271691143"/>
    <n v="190398.57142857142"/>
    <n v="29.6"/>
    <n v="666395"/>
    <n v="666395"/>
    <n v="0"/>
    <s v=""/>
    <s v="2012"/>
    <s v="PG-MD 38101.75N"/>
  </r>
  <r>
    <s v="eGIS Link"/>
    <n v="369"/>
    <s v="SouthBound Visi-Data"/>
    <s v="62577"/>
    <n v="2017"/>
    <n v="3"/>
    <x v="13"/>
    <s v="PG"/>
    <s v="PG-MD 228A"/>
    <s v="0.86-1.02(S)"/>
    <s v="MD"/>
    <s v="228"/>
    <s v="A"/>
    <n v="0.86"/>
    <n v="1.02"/>
    <s v="S"/>
    <s v=""/>
    <s v=""/>
    <n v="2.5"/>
    <n v="0.4"/>
    <s v="UNDIVIDED"/>
    <s v="URBAN"/>
    <s v="NON-IS"/>
    <n v="16"/>
    <s v=""/>
    <s v=""/>
    <s v=""/>
    <s v=""/>
    <s v=""/>
    <s v=""/>
    <s v=""/>
    <s v=""/>
    <n v="113.85"/>
    <n v="113.85"/>
    <n v="92.075000000000003"/>
    <n v="90.8"/>
    <n v="92.5"/>
    <n v="0.13"/>
    <n v="39"/>
    <n v="51.37"/>
    <n v="51.37"/>
    <n v="100"/>
    <n v="100"/>
    <n v="100"/>
    <n v="0.08"/>
    <n v="44"/>
    <x v="2"/>
    <m/>
    <s v="Structural Overlay"/>
    <n v="434879.58570922766"/>
    <n v="316966.41429077234"/>
    <n v="751846"/>
    <n v="19.100000000000001"/>
    <n v="42.7"/>
    <n v="50"/>
    <s v=""/>
    <s v=""/>
    <n v="19.100000000000001"/>
    <s v="D"/>
    <n v="45"/>
    <n v="48.5"/>
    <n v="50"/>
    <s v=""/>
    <s v=""/>
    <n v="45"/>
    <n v="25.9"/>
    <n v="6"/>
    <n v="10.36"/>
    <n v="19.314678244867956"/>
    <n v="7.7258712979471831"/>
    <n v="97315.366902341571"/>
    <n v="1879615"/>
    <n v="25.8"/>
    <n v="751846"/>
    <n v="751846"/>
    <n v="0"/>
    <s v=""/>
    <s v=""/>
    <s v="PG-MD 228A0.861.02S"/>
  </r>
  <r>
    <s v="eGIS Link"/>
    <n v="98"/>
    <s v="West Bound Visi-Data"/>
    <s v="62570"/>
    <n v="2017"/>
    <n v="3"/>
    <x v="13"/>
    <s v="PG"/>
    <s v="PG-MD 214"/>
    <s v="9.35-10.7(W)"/>
    <s v="MD"/>
    <s v="214"/>
    <s v=""/>
    <n v="9.35"/>
    <n v="10.7"/>
    <s v="W"/>
    <s v="SPUR FR DEVONWOOD DR"/>
    <s v="STRUC #16103"/>
    <n v="2.2999999999999998"/>
    <n v="3.1"/>
    <s v="DIVIDED"/>
    <s v="URBAN"/>
    <s v="NON-IS"/>
    <n v="14"/>
    <s v="F"/>
    <n v="165.44"/>
    <n v="131.69"/>
    <n v="76.2"/>
    <n v="82.1"/>
    <n v="74.3"/>
    <n v="0.2"/>
    <n v="44"/>
    <n v="178.82"/>
    <n v="178.82"/>
    <n v="76.775000000000006"/>
    <n v="84.5"/>
    <n v="74.2"/>
    <n v="0.17"/>
    <n v="45"/>
    <n v="64.41"/>
    <n v="64.41"/>
    <n v="100"/>
    <n v="100"/>
    <n v="100"/>
    <n v="0.08"/>
    <n v="44"/>
    <x v="2"/>
    <m/>
    <s v="Structural Overlay"/>
    <n v="287774.57250717084"/>
    <n v="209747.42749282916"/>
    <n v="497522"/>
    <n v="11.1"/>
    <n v="50"/>
    <n v="50"/>
    <s v=""/>
    <s v=""/>
    <n v="11.1"/>
    <s v="D"/>
    <n v="49.9"/>
    <n v="50"/>
    <n v="50"/>
    <s v=""/>
    <s v=""/>
    <n v="49.9"/>
    <n v="38.799999999999997"/>
    <n v="6"/>
    <n v="120.28"/>
    <n v="28.93473034366319"/>
    <n v="89.697664065355895"/>
    <n v="5546.6550348233532"/>
    <n v="160490.96774193548"/>
    <n v="38.799999999999997"/>
    <n v="497522"/>
    <n v="497522"/>
    <n v="0"/>
    <s v=""/>
    <s v="2001"/>
    <s v="PG-MD 2149.3510.7W"/>
  </r>
  <r>
    <s v="eGIS Link"/>
    <n v="381"/>
    <s v="West Bound Visi-Data"/>
    <s v="62620"/>
    <n v="2017"/>
    <n v="3"/>
    <x v="13"/>
    <s v="PG"/>
    <s v="PG-MD 810A"/>
    <s v="3.41-3.57(W)"/>
    <s v="MD"/>
    <s v="810"/>
    <s v="A"/>
    <n v="3.41"/>
    <n v="3.57"/>
    <s v="W"/>
    <s v=""/>
    <s v=""/>
    <n v="2"/>
    <n v="0.32"/>
    <s v="UNDIVIDED"/>
    <s v="URBAN"/>
    <s v="NON-IS"/>
    <n v="19"/>
    <s v=""/>
    <s v=""/>
    <s v=""/>
    <s v=""/>
    <s v=""/>
    <s v=""/>
    <s v=""/>
    <s v=""/>
    <n v="247.28"/>
    <n v="247.28"/>
    <n v="71.400000000000006"/>
    <n v="69.900000000000006"/>
    <n v="71.900000000000006"/>
    <n v="0.2"/>
    <n v="41"/>
    <n v="79.930000000000007"/>
    <n v="79.930000000000007"/>
    <n v="100"/>
    <n v="100"/>
    <n v="100"/>
    <n v="0.08"/>
    <n v="44"/>
    <x v="2"/>
    <m/>
    <s v="Structural Overlay"/>
    <n v="792520.42109234899"/>
    <n v="577636.57890765101"/>
    <n v="1370157"/>
    <n v="1.1000000000000001"/>
    <n v="50"/>
    <n v="50"/>
    <s v=""/>
    <s v=""/>
    <n v="1.1000000000000001"/>
    <s v="E"/>
    <n v="42.3"/>
    <n v="50"/>
    <n v="50"/>
    <s v=""/>
    <s v=""/>
    <n v="42.3"/>
    <n v="41.199999999999996"/>
    <n v="6"/>
    <n v="13.183999999999999"/>
    <n v="30.724507478322767"/>
    <n v="9.831842393063285"/>
    <n v="139359.12977680506"/>
    <n v="4281740.625"/>
    <n v="41.2"/>
    <n v="1370157"/>
    <n v="1370157"/>
    <n v="0"/>
    <s v=""/>
    <s v=""/>
    <s v="PG-MD 810A3.413.57W"/>
  </r>
  <r>
    <s v="eGIS Link"/>
    <n v="45"/>
    <s v="NorthBound Visi-Data"/>
    <s v="62597"/>
    <n v="2017"/>
    <n v="3"/>
    <x v="13"/>
    <s v="PG"/>
    <s v="PG-MD 458"/>
    <s v="0-3.12(N)"/>
    <s v="MD"/>
    <s v="458"/>
    <s v=""/>
    <n v="0"/>
    <n v="3.12"/>
    <s v="N"/>
    <s v="BRANCH AVE"/>
    <s v="WALKER MILL RD"/>
    <n v="3.4"/>
    <n v="10.6"/>
    <s v="DIVIDED"/>
    <s v="URBAN"/>
    <s v="NON-IS"/>
    <n v="14"/>
    <s v="FCJ"/>
    <n v="222.85"/>
    <n v="176.15"/>
    <n v="72"/>
    <n v="77.7"/>
    <n v="70"/>
    <n v="0.19"/>
    <n v="45"/>
    <n v="206.74"/>
    <n v="206.74"/>
    <n v="78.849999999999994"/>
    <n v="84.1"/>
    <n v="77.099999999999994"/>
    <n v="0.19"/>
    <n v="31"/>
    <n v="71.010000000000005"/>
    <n v="71.010000000000005"/>
    <n v="100"/>
    <n v="100"/>
    <n v="100"/>
    <n v="0.08"/>
    <n v="44"/>
    <x v="2"/>
    <m/>
    <s v="Structural Overlay"/>
    <n v="398833.29311498185"/>
    <n v="290693.70688501815"/>
    <n v="689527"/>
    <n v="4.9000000000000004"/>
    <n v="39.200000000000003"/>
    <n v="33.299999999999997"/>
    <s v=""/>
    <s v=""/>
    <n v="4.9000000000000004"/>
    <s v="E"/>
    <n v="36.1"/>
    <n v="48.5"/>
    <n v="50"/>
    <s v=""/>
    <s v=""/>
    <n v="36.1"/>
    <n v="31.200000000000003"/>
    <n v="6"/>
    <n v="330.72"/>
    <n v="23.26710275057453"/>
    <n v="246.63128915609002"/>
    <n v="2795.7807071413658"/>
    <n v="65049.716981132078"/>
    <n v="31.2"/>
    <n v="689527"/>
    <n v="689527"/>
    <n v="0"/>
    <s v=""/>
    <s v="2000"/>
    <s v="PG-MD 45803.12N"/>
  </r>
  <r>
    <s v="eGIS Link"/>
    <n v="386"/>
    <s v="SouthBound Visi-Data"/>
    <s v="62564"/>
    <n v="2017"/>
    <n v="3"/>
    <x v="13"/>
    <s v="PG"/>
    <s v="PG-MD 210S"/>
    <s v="0-0.05(S)"/>
    <s v="MD"/>
    <s v="210"/>
    <s v="S"/>
    <n v="0"/>
    <n v="0.05"/>
    <s v="S"/>
    <s v=""/>
    <s v=""/>
    <n v="2"/>
    <n v="0.1"/>
    <s v="UNDIVIDED"/>
    <s v="URBAN"/>
    <s v="NON-IS"/>
    <n v="17"/>
    <s v=""/>
    <s v=""/>
    <s v=""/>
    <s v=""/>
    <s v=""/>
    <s v=""/>
    <s v=""/>
    <s v=""/>
    <n v="155.24"/>
    <n v="155.24"/>
    <n v="85.924999999999997"/>
    <n v="85.1"/>
    <n v="86.2"/>
    <n v="0.21"/>
    <n v="39"/>
    <n v="100.68"/>
    <n v="100.68"/>
    <n v="100"/>
    <n v="100"/>
    <n v="100"/>
    <n v="0.18"/>
    <n v="49"/>
    <x v="5"/>
    <m/>
    <s v="Preventive Maintenance"/>
    <n v="94966.615370812418"/>
    <n v="69217.384629187582"/>
    <n v="164184"/>
    <n v="24.4"/>
    <n v="31.4"/>
    <n v="30.9"/>
    <s v=""/>
    <s v=""/>
    <n v="24.4"/>
    <s v="C"/>
    <n v="37"/>
    <n v="43.9"/>
    <n v="42.2"/>
    <s v=""/>
    <s v=""/>
    <n v="37"/>
    <n v="12.600000000000001"/>
    <n v="4"/>
    <n v="1.2600000000000002"/>
    <n v="9.3963299569627914"/>
    <n v="0.93963299569627923"/>
    <n v="174732.05044096787"/>
    <n v="1641840"/>
    <n v="12.6"/>
    <n v="164184"/>
    <n v="164184"/>
    <n v="0"/>
    <s v=""/>
    <s v=""/>
    <s v="PG-MD 210S00.05S"/>
  </r>
  <r>
    <s v="eGIS Link"/>
    <n v="268"/>
    <s v="SouthBound Visi-Data"/>
    <s v="62542"/>
    <n v="2017"/>
    <n v="3"/>
    <x v="13"/>
    <s v="PG"/>
    <s v="PG-MD 202"/>
    <s v="8-8.72(S)"/>
    <s v="MD"/>
    <s v="202"/>
    <s v=""/>
    <n v="8"/>
    <n v="8.7200000000000006"/>
    <s v="S"/>
    <s v="SPUR FR ARENA DR"/>
    <s v="SPUR FR LOTTSFORD RD"/>
    <n v="3.7"/>
    <n v="2.66"/>
    <s v="DIVIDED"/>
    <s v="URBAN"/>
    <s v="NON-IS"/>
    <n v="14"/>
    <s v="F"/>
    <n v="124.4"/>
    <n v="129.01"/>
    <n v="70.400000000000006"/>
    <n v="75.099999999999994"/>
    <n v="68.900000000000006"/>
    <n v="0.15"/>
    <n v="36"/>
    <n v="135.34"/>
    <n v="135.34"/>
    <n v="82.85"/>
    <n v="90.8"/>
    <n v="80.2"/>
    <n v="0.12"/>
    <n v="40"/>
    <n v="90.69"/>
    <n v="90.69"/>
    <n v="100"/>
    <n v="100"/>
    <n v="100"/>
    <n v="0.1"/>
    <n v="49"/>
    <x v="5"/>
    <m/>
    <s v="Preventive Maintenance"/>
    <n v="218471.10817892168"/>
    <n v="159234.89182107832"/>
    <n v="377706"/>
    <n v="14.7"/>
    <n v="50"/>
    <n v="50"/>
    <s v=""/>
    <s v=""/>
    <n v="14.7"/>
    <s v="D"/>
    <n v="24.8"/>
    <n v="50"/>
    <n v="50"/>
    <s v=""/>
    <s v=""/>
    <n v="24.8"/>
    <n v="10.100000000000001"/>
    <n v="4"/>
    <n v="26.866000000000007"/>
    <n v="7.5319787750257294"/>
    <n v="20.035063541568441"/>
    <n v="18852.24866975547"/>
    <n v="141994.73684210525"/>
    <n v="10.1"/>
    <n v="377706"/>
    <n v="377706"/>
    <n v="0"/>
    <s v=""/>
    <s v="2012"/>
    <s v="PG-MD 20288.72S"/>
  </r>
  <r>
    <s v="eGIS Link"/>
    <n v="319"/>
    <s v="SouthBound Visi-Data"/>
    <s v="62533"/>
    <n v="2017"/>
    <n v="3"/>
    <x v="13"/>
    <s v="PG"/>
    <s v="PG-MD 197"/>
    <s v="0.72-1.65(S)"/>
    <s v="MD"/>
    <s v="197"/>
    <s v=""/>
    <n v="0.72"/>
    <n v="1.65"/>
    <s v="S"/>
    <s v="EVERGREEN PKWY"/>
    <s v="EXIT #11"/>
    <n v="3.3"/>
    <n v="3.07"/>
    <s v="DIVIDED"/>
    <s v="URBAN"/>
    <s v="NON-IS"/>
    <n v="14"/>
    <s v="F"/>
    <n v="182.97"/>
    <n v="75.62"/>
    <n v="98.3"/>
    <n v="98.7"/>
    <n v="98.1"/>
    <n v="0.24"/>
    <n v="49"/>
    <n v="109.09"/>
    <n v="109.09"/>
    <n v="90.35"/>
    <n v="92"/>
    <n v="89.8"/>
    <n v="0.28000000000000003"/>
    <n v="34"/>
    <n v="76.5"/>
    <n v="76.5"/>
    <n v="100"/>
    <n v="100"/>
    <n v="100"/>
    <n v="0.24"/>
    <n v="49"/>
    <x v="5"/>
    <m/>
    <s v="Preventive Maintenance"/>
    <n v="340930.98209993058"/>
    <n v="248491.01790006942"/>
    <n v="589422"/>
    <n v="21.1"/>
    <n v="50"/>
    <n v="50"/>
    <s v=""/>
    <s v=""/>
    <n v="21.1"/>
    <s v="C"/>
    <n v="28.9"/>
    <n v="50"/>
    <n v="50"/>
    <s v=""/>
    <s v=""/>
    <n v="28.9"/>
    <n v="7.7999999999999972"/>
    <n v="4"/>
    <n v="24.56"/>
    <n v="5.9659237821985966"/>
    <n v="18.315386011349691"/>
    <n v="32181.795111211228"/>
    <n v="191994.13680781759"/>
    <n v="7.9"/>
    <n v="589422"/>
    <n v="589422"/>
    <n v="0"/>
    <s v=""/>
    <s v="2008"/>
    <s v="PG-MD 1970.721.65S"/>
  </r>
  <r>
    <s v="eGIS Link"/>
    <n v="194"/>
    <s v="SouthBound Visi-Data"/>
    <s v="62585"/>
    <n v="2017"/>
    <n v="3"/>
    <x v="13"/>
    <s v="PG"/>
    <s v="PG-MD 382"/>
    <s v="12.83-14.15(S)"/>
    <s v="MD"/>
    <s v="382"/>
    <s v=""/>
    <n v="12.83"/>
    <n v="14.15"/>
    <s v="S"/>
    <s v="MT CALVERT RD"/>
    <s v="STRUC #16061 CHARLES BRANCH"/>
    <n v="2"/>
    <n v="2.64"/>
    <s v="UNDIVIDED"/>
    <s v="RURAL"/>
    <s v="NON-IS"/>
    <n v="7"/>
    <s v="F"/>
    <n v="124.52"/>
    <n v="108.9"/>
    <s v=""/>
    <s v=""/>
    <s v=""/>
    <n v="0.15"/>
    <n v="42"/>
    <n v="146.62"/>
    <n v="146.62"/>
    <n v="87.224999999999994"/>
    <n v="86.1"/>
    <n v="87.6"/>
    <n v="0.13"/>
    <n v="46"/>
    <n v="95.81"/>
    <n v="95.81"/>
    <n v="100"/>
    <n v="100"/>
    <n v="100"/>
    <n v="0.11"/>
    <n v="49"/>
    <x v="5"/>
    <m/>
    <s v="Preventive Maintenance"/>
    <n v="214308.93370566153"/>
    <n v="87272.066294338467"/>
    <n v="301581"/>
    <n v="21.4"/>
    <n v="50"/>
    <n v="48.8"/>
    <s v=""/>
    <s v=""/>
    <n v="21.4"/>
    <s v="C"/>
    <n v="35.4"/>
    <n v="50"/>
    <n v="50"/>
    <s v=""/>
    <s v=""/>
    <n v="35.4"/>
    <n v="14"/>
    <n v="4"/>
    <n v="36.96"/>
    <n v="10.440366618847545"/>
    <n v="27.562567873757519"/>
    <n v="10941.68734137203"/>
    <n v="114235.22727272726"/>
    <n v="14"/>
    <n v="301581"/>
    <n v="301581"/>
    <n v="0"/>
    <s v=""/>
    <s v="2005"/>
    <s v="PG-MD 38212.8314.15S"/>
  </r>
  <r>
    <s v="eGIS Link"/>
    <n v="416"/>
    <s v="SouthBound Visi-Data"/>
    <s v="62542"/>
    <n v="2017"/>
    <n v="3"/>
    <x v="13"/>
    <s v="PG"/>
    <s v="PG-MD 202"/>
    <s v="8.72-8.75(S)"/>
    <s v="MD"/>
    <s v="202"/>
    <s v=""/>
    <n v="8.7200000000000006"/>
    <n v="8.75"/>
    <s v="S"/>
    <s v="SPUR TO LOTTSFORD RD"/>
    <s v="LOTTSFORD RD"/>
    <n v="4.7"/>
    <n v="0.14000000000000001"/>
    <s v="DIVIDED"/>
    <s v="URBAN"/>
    <s v="NON-IS"/>
    <n v="14"/>
    <s v="F"/>
    <n v="338.95"/>
    <n v="131.51"/>
    <s v=""/>
    <s v=""/>
    <s v=""/>
    <n v="0.14000000000000001"/>
    <n v="43"/>
    <n v="101.86"/>
    <n v="101.86"/>
    <n v="86.95"/>
    <n v="90.4"/>
    <n v="85.8"/>
    <n v="0.14000000000000001"/>
    <n v="34"/>
    <n v="72.739999999999995"/>
    <n v="72.739999999999995"/>
    <n v="100"/>
    <n v="100"/>
    <n v="100"/>
    <n v="0.12"/>
    <n v="49"/>
    <x v="5"/>
    <m/>
    <s v="Preventive Maintenance"/>
    <n v="260591.92322739126"/>
    <n v="189935.07677260874"/>
    <n v="450527"/>
    <n v="22"/>
    <n v="50"/>
    <n v="50"/>
    <s v=""/>
    <s v=""/>
    <n v="22"/>
    <s v="C"/>
    <n v="30.2"/>
    <n v="50"/>
    <n v="50"/>
    <s v=""/>
    <s v=""/>
    <n v="30.2"/>
    <n v="8.1999999999999993"/>
    <n v="4"/>
    <n v="1.1479999999999999"/>
    <n v="6.1150718767535608"/>
    <n v="0.85611006274549861"/>
    <n v="526248.92476463167"/>
    <n v="3218049.9999999995"/>
    <n v="8.1999999999999993"/>
    <n v="450527"/>
    <n v="450527"/>
    <n v="0"/>
    <s v=""/>
    <s v="2011"/>
    <s v="PG-MD 2028.728.75S"/>
  </r>
  <r>
    <s v="eGIS Link"/>
    <n v="304"/>
    <s v="NorthBound Visi-Data"/>
    <s v="62533"/>
    <n v="2017"/>
    <n v="3"/>
    <x v="13"/>
    <s v="PG"/>
    <s v="PG-MD 197"/>
    <s v="0.72-1.65(N)"/>
    <s v="MD"/>
    <s v="197"/>
    <s v=""/>
    <n v="0.72"/>
    <n v="1.65"/>
    <s v="N"/>
    <s v="EVERGREEN PKWY"/>
    <s v="RAMP 1 FR MD 197 TO IS 595"/>
    <n v="3.4"/>
    <n v="3.16"/>
    <s v="DIVIDED"/>
    <s v="URBAN"/>
    <s v="NON-IS"/>
    <n v="14"/>
    <s v="F"/>
    <n v="89.56"/>
    <n v="74.14"/>
    <n v="93.9"/>
    <n v="94.8"/>
    <n v="93.6"/>
    <n v="0.24"/>
    <n v="46"/>
    <n v="107.09"/>
    <n v="107.09"/>
    <n v="92.45"/>
    <n v="94.1"/>
    <n v="91.9"/>
    <n v="0.17"/>
    <n v="51"/>
    <n v="75.22"/>
    <n v="75.22"/>
    <n v="100"/>
    <n v="100"/>
    <n v="100"/>
    <n v="0.14000000000000001"/>
    <n v="49"/>
    <x v="5"/>
    <m/>
    <s v="Preventive Maintenance"/>
    <n v="330618.98568839935"/>
    <n v="240975.01431160065"/>
    <n v="571594"/>
    <n v="25.7"/>
    <n v="50"/>
    <n v="50"/>
    <s v=""/>
    <s v=""/>
    <n v="25.7"/>
    <s v="C"/>
    <n v="35.5"/>
    <n v="50"/>
    <n v="50"/>
    <s v=""/>
    <s v=""/>
    <n v="35.5"/>
    <n v="9.8000000000000007"/>
    <n v="4"/>
    <n v="30.968000000000004"/>
    <n v="7.308256633193281"/>
    <n v="23.094090960890767"/>
    <n v="24750.660286563318"/>
    <n v="180884.17721518988"/>
    <n v="9.6999999999999993"/>
    <n v="571594"/>
    <n v="571594"/>
    <n v="0"/>
    <s v=""/>
    <s v="2008"/>
    <s v="PG-MD 1970.721.65N"/>
  </r>
  <r>
    <s v="eGIS Link"/>
    <n v="108"/>
    <s v="SouthBound Visi-Data"/>
    <s v="62585"/>
    <n v="2017"/>
    <n v="3"/>
    <x v="13"/>
    <s v="PG"/>
    <s v="PG-MD 382"/>
    <s v="14.15-15.34(S)"/>
    <s v="MD"/>
    <s v="382"/>
    <s v=""/>
    <n v="14.15"/>
    <n v="15.34"/>
    <s v="S"/>
    <s v="SASSCER LA"/>
    <s v="CRAIN HWY"/>
    <n v="2"/>
    <n v="2.38"/>
    <s v="UNDIVIDED"/>
    <s v="RURAL"/>
    <s v="NON-IS"/>
    <n v="16"/>
    <s v="F"/>
    <n v="156.84"/>
    <n v="151.44"/>
    <s v=""/>
    <s v=""/>
    <s v=""/>
    <n v="0.22"/>
    <n v="54"/>
    <n v="138.32"/>
    <n v="138.32"/>
    <n v="87.224999999999994"/>
    <n v="86.1"/>
    <n v="87.6"/>
    <n v="0.15"/>
    <n v="42"/>
    <n v="91.44"/>
    <n v="91.44"/>
    <n v="100"/>
    <n v="100"/>
    <n v="100"/>
    <n v="0.13"/>
    <n v="49"/>
    <x v="5"/>
    <m/>
    <s v="Preventive Maintenance"/>
    <n v="111299.1472399847"/>
    <n v="45323.852760015303"/>
    <n v="156623"/>
    <n v="22.7"/>
    <n v="50"/>
    <n v="48.8"/>
    <s v=""/>
    <s v=""/>
    <n v="22.7"/>
    <s v="C"/>
    <n v="37"/>
    <n v="50"/>
    <n v="50"/>
    <s v=""/>
    <s v=""/>
    <n v="37"/>
    <n v="14.3"/>
    <n v="4"/>
    <n v="34.033999999999999"/>
    <n v="10.664088760679993"/>
    <n v="25.380531250418382"/>
    <n v="6170.9898210825731"/>
    <n v="65807.983193277309"/>
    <n v="14.3"/>
    <n v="156623"/>
    <n v="156623"/>
    <n v="0"/>
    <s v=""/>
    <s v="2000"/>
    <s v="PG-MD 38214.1515.34S"/>
  </r>
  <r>
    <s v="eGIS Link"/>
    <n v="392"/>
    <s v="NorthBound Visi-Data"/>
    <s v="63894"/>
    <n v="2017"/>
    <n v="3"/>
    <x v="13"/>
    <s v="PG"/>
    <s v="PG-MD 202 RP3-10"/>
    <s v="0-0.2(N)"/>
    <s v="MD"/>
    <s v="202"/>
    <s v=""/>
    <n v="0"/>
    <n v="0.2"/>
    <s v="N"/>
    <s v=""/>
    <s v=""/>
    <n v="1"/>
    <n v="0.2"/>
    <s v="UNDIVIDED"/>
    <s v="URBAN"/>
    <s v="NON-IS"/>
    <n v="14"/>
    <s v=""/>
    <s v=""/>
    <s v=""/>
    <s v=""/>
    <s v=""/>
    <s v=""/>
    <s v=""/>
    <s v=""/>
    <n v="108.89"/>
    <n v="108.89"/>
    <n v="89.375"/>
    <n v="92.6"/>
    <n v="88.3"/>
    <n v="0.13"/>
    <n v="36"/>
    <n v="76.48"/>
    <n v="76.48"/>
    <n v="100"/>
    <n v="100"/>
    <n v="100"/>
    <n v="0.11"/>
    <n v="49"/>
    <x v="5"/>
    <m/>
    <s v="Preventive Maintenance"/>
    <n v="146929.174806886"/>
    <n v="107090.825193114"/>
    <n v="254020"/>
    <n v="20.3"/>
    <n v="50"/>
    <n v="50"/>
    <s v=""/>
    <s v=""/>
    <n v="20.3"/>
    <s v="C"/>
    <n v="28.9"/>
    <n v="50"/>
    <n v="50"/>
    <s v=""/>
    <s v=""/>
    <n v="28.9"/>
    <n v="8.5999999999999979"/>
    <n v="4"/>
    <n v="1.7199999999999998"/>
    <n v="6.41336806586349"/>
    <n v="1.2826736131726981"/>
    <n v="198039.46802310881"/>
    <n v="1270100"/>
    <n v="8.6999999999999993"/>
    <n v="254020"/>
    <n v="254020"/>
    <n v="0"/>
    <s v=""/>
    <s v=""/>
    <s v="PG-MD 202 RP3-1000.2N"/>
  </r>
  <r>
    <s v="eGIS Link"/>
    <n v="244"/>
    <s v="NorthBound Visi-Data"/>
    <s v="62574"/>
    <n v="2017"/>
    <n v="3"/>
    <x v="13"/>
    <s v="PG"/>
    <s v="PG-MD 223"/>
    <s v="7.45-9.1(N)"/>
    <s v="MD"/>
    <s v="223"/>
    <s v=""/>
    <n v="7.45"/>
    <n v="9.1"/>
    <s v="N"/>
    <s v="BRANCH AVE"/>
    <s v="GREEN ST"/>
    <n v="2.2999999999999998"/>
    <n v="3.8"/>
    <s v="UNDIVIDED"/>
    <s v="RURAL"/>
    <s v="NON-IS"/>
    <n v="14"/>
    <s v="F"/>
    <n v="130.25"/>
    <n v="142.66"/>
    <n v="98.7"/>
    <n v="99.6"/>
    <n v="98.4"/>
    <n v="0.19"/>
    <n v="45"/>
    <n v="160.62"/>
    <n v="160.62"/>
    <n v="84.224999999999994"/>
    <n v="79.8"/>
    <n v="85.7"/>
    <n v="0.14000000000000001"/>
    <n v="46"/>
    <n v="103.29"/>
    <n v="103.29"/>
    <n v="100"/>
    <n v="100"/>
    <n v="100"/>
    <n v="0.12"/>
    <n v="49"/>
    <x v="5"/>
    <m/>
    <s v="Preventive Maintenance"/>
    <n v="508749.30238717207"/>
    <n v="207175.69761282793"/>
    <n v="715925"/>
    <n v="16.3"/>
    <n v="30.3"/>
    <n v="37.4"/>
    <s v=""/>
    <s v=""/>
    <n v="16.3"/>
    <s v="D"/>
    <n v="33.200000000000003"/>
    <n v="46.8"/>
    <n v="50"/>
    <s v=""/>
    <s v=""/>
    <n v="33.200000000000003"/>
    <n v="16.900000000000002"/>
    <n v="4"/>
    <n v="64.22"/>
    <n v="12.603013989894539"/>
    <n v="47.891453161599244"/>
    <n v="14948.909518035869"/>
    <n v="188401.31578947368"/>
    <n v="16.899999999999999"/>
    <n v="715925"/>
    <n v="715925"/>
    <n v="0"/>
    <s v=""/>
    <s v="2009"/>
    <s v="PG-MD 2237.459.1N"/>
  </r>
  <r>
    <s v="eGIS Link"/>
    <n v="152"/>
    <s v="SouthBound Visi-Data"/>
    <s v="62584"/>
    <n v="2017"/>
    <n v="3"/>
    <x v="13"/>
    <s v="PG"/>
    <s v="PG-MD 381"/>
    <s v="0-1.75(S)"/>
    <s v="MD"/>
    <s v="381"/>
    <s v=""/>
    <n v="0"/>
    <n v="1.75"/>
    <s v="S"/>
    <s v="CHARLES CO/L"/>
    <s v="EAGLE HARBOR RD"/>
    <n v="2"/>
    <n v="3.5"/>
    <s v="UNDIVIDED"/>
    <s v="URBAN"/>
    <s v="NON-IS"/>
    <n v="7"/>
    <s v="F"/>
    <n v="66"/>
    <n v="117.08"/>
    <n v="62.3"/>
    <n v="74.3"/>
    <n v="58.3"/>
    <n v="0.16"/>
    <n v="48"/>
    <n v="137.34"/>
    <n v="137.34"/>
    <n v="91.575000000000003"/>
    <n v="90"/>
    <n v="92.1"/>
    <n v="0.24"/>
    <n v="41"/>
    <n v="92.11"/>
    <n v="92.11"/>
    <n v="100"/>
    <n v="100"/>
    <n v="100"/>
    <n v="0.2"/>
    <n v="49"/>
    <x v="5"/>
    <m/>
    <s v="Preventive Maintenance"/>
    <n v="110504.01988093986"/>
    <n v="80541.980119060143"/>
    <n v="191046"/>
    <n v="14.1"/>
    <n v="42.3"/>
    <n v="50"/>
    <s v=""/>
    <s v=""/>
    <n v="14.1"/>
    <s v="D"/>
    <n v="23.1"/>
    <n v="48.5"/>
    <n v="50"/>
    <s v=""/>
    <s v=""/>
    <n v="23.1"/>
    <n v="9.0000000000000018"/>
    <n v="4"/>
    <n v="31.500000000000007"/>
    <n v="6.7116642549734227"/>
    <n v="23.49082489240698"/>
    <n v="8132.7923082748985"/>
    <n v="54584.571428571428"/>
    <n v="9"/>
    <n v="191046"/>
    <n v="191046"/>
    <n v="0"/>
    <s v=""/>
    <s v="2012"/>
    <s v="PG-MD 38101.75S"/>
  </r>
  <r>
    <s v="eGIS Link"/>
    <n v="299"/>
    <s v="NorthBound Visi-Data"/>
    <s v="62515"/>
    <n v="2017"/>
    <n v="3"/>
    <x v="13"/>
    <s v="PG"/>
    <s v="PG-MD 4"/>
    <s v="0-1.43(N)"/>
    <s v="MD"/>
    <s v="4"/>
    <s v=""/>
    <n v="0"/>
    <n v="1.43"/>
    <s v="N"/>
    <s v="ANNE ARUNDEL CO/L"/>
    <s v="STRUC #16097"/>
    <n v="2.2000000000000002"/>
    <n v="3.14"/>
    <s v="DIVIDED"/>
    <s v="RURAL"/>
    <s v="NON-IS"/>
    <n v="2"/>
    <s v="F"/>
    <n v="69.73"/>
    <n v="65.87"/>
    <n v="92.9"/>
    <n v="88.1"/>
    <n v="94.5"/>
    <n v="0.27"/>
    <n v="50"/>
    <n v="127.2"/>
    <n v="127.2"/>
    <n v="87.224999999999994"/>
    <n v="86.1"/>
    <n v="87.6"/>
    <n v="0.17"/>
    <n v="28"/>
    <n v="85.51"/>
    <n v="85.51"/>
    <n v="100"/>
    <n v="100"/>
    <n v="100"/>
    <n v="0.14000000000000001"/>
    <n v="49"/>
    <x v="5"/>
    <m/>
    <s v="Preventive Maintenance"/>
    <n v="544157.27318026579"/>
    <n v="221594.72681973421"/>
    <n v="765752"/>
    <n v="25.6"/>
    <n v="50"/>
    <n v="48.8"/>
    <s v=""/>
    <s v=""/>
    <n v="25.6"/>
    <s v="C"/>
    <n v="39.4"/>
    <n v="50"/>
    <n v="50"/>
    <s v=""/>
    <s v=""/>
    <n v="39.4"/>
    <n v="13.799999999999997"/>
    <n v="4"/>
    <n v="43.331999999999994"/>
    <n v="10.291218524292578"/>
    <n v="32.314426166278693"/>
    <n v="23696.908497143319"/>
    <n v="243870.0636942675"/>
    <n v="13.8"/>
    <n v="765752"/>
    <n v="765752"/>
    <n v="0"/>
    <s v=""/>
    <s v="2009"/>
    <s v="PG-MD 401.43N"/>
  </r>
  <r>
    <s v="eGIS Link"/>
    <n v="165"/>
    <s v="NorthBound Visi-Data"/>
    <s v="62574"/>
    <n v="2017"/>
    <n v="3"/>
    <x v="13"/>
    <s v="PG"/>
    <s v="PG-MD 223"/>
    <s v="6.25-7.45(N)"/>
    <s v="MD"/>
    <s v="223"/>
    <s v=""/>
    <n v="6.25"/>
    <n v="7.45"/>
    <s v="N"/>
    <s v="GWYNDALE DR"/>
    <s v="RAMP 1 FR MD 5 TO MD 223"/>
    <n v="3.8"/>
    <n v="4.5599999999999996"/>
    <s v="UNDIVIDED"/>
    <s v="URBAN"/>
    <s v="NON-IS"/>
    <n v="14"/>
    <s v="F"/>
    <n v="142.24"/>
    <n v="148.56"/>
    <n v="99.5"/>
    <n v="100"/>
    <n v="99.3"/>
    <n v="0.24"/>
    <n v="36"/>
    <n v="141.19999999999999"/>
    <n v="141.19999999999999"/>
    <n v="78.575000000000003"/>
    <n v="82.4"/>
    <n v="77.3"/>
    <n v="0.12"/>
    <n v="44"/>
    <n v="93.87"/>
    <n v="93.87"/>
    <n v="100"/>
    <n v="100"/>
    <n v="100"/>
    <n v="0.1"/>
    <n v="49"/>
    <x v="5"/>
    <m/>
    <s v="Preventive Maintenance"/>
    <n v="180893.74903198774"/>
    <n v="131846.25096801226"/>
    <n v="312740"/>
    <n v="13.6"/>
    <n v="50"/>
    <n v="50"/>
    <s v=""/>
    <s v=""/>
    <n v="13.6"/>
    <s v="D"/>
    <n v="23.9"/>
    <n v="50"/>
    <n v="50"/>
    <s v=""/>
    <s v=""/>
    <n v="23.9"/>
    <n v="10.299999999999999"/>
    <n v="4"/>
    <n v="46.967999999999989"/>
    <n v="7.6811268695806918"/>
    <n v="35.025938525287948"/>
    <n v="8928.81142283193"/>
    <n v="68583.333333333343"/>
    <n v="10.3"/>
    <n v="312740"/>
    <n v="312740"/>
    <n v="0"/>
    <s v="SKID_35"/>
    <s v="2008"/>
    <s v="PG-MD 2236.257.45N"/>
  </r>
  <r>
    <s v="eGIS Link"/>
    <n v="435"/>
    <s v="EastBound Visi-Data"/>
    <s v="54354"/>
    <n v="2017"/>
    <n v="3"/>
    <x v="4"/>
    <s v="MO"/>
    <s v="MO-IS 495 RP1-36"/>
    <s v="0-0.01(E)"/>
    <s v="IS"/>
    <s v="495"/>
    <s v=""/>
    <n v="0"/>
    <n v="0.01"/>
    <s v="E"/>
    <s v=""/>
    <s v=""/>
    <s v=""/>
    <n v="0.02"/>
    <s v="UNDIVIDED"/>
    <s v="URBAN"/>
    <s v="IS"/>
    <n v="11"/>
    <s v=""/>
    <s v=""/>
    <s v=""/>
    <s v=""/>
    <s v=""/>
    <s v=""/>
    <s v=""/>
    <s v=""/>
    <n v="94.82"/>
    <n v="94.82"/>
    <n v="94.375"/>
    <n v="94"/>
    <n v="94.5"/>
    <n v="0.18"/>
    <n v="53"/>
    <n v="56.33"/>
    <n v="56.33"/>
    <n v="100"/>
    <n v="100"/>
    <n v="100"/>
    <n v="0.08"/>
    <n v="44"/>
    <x v="7"/>
    <m/>
    <s v="Minor Rehabilitation"/>
    <n v="2485087.5987555548"/>
    <n v="1811281.4012444452"/>
    <n v="4296369"/>
    <n v="20.399999999999999"/>
    <n v="22.7"/>
    <n v="20"/>
    <s v=""/>
    <s v=""/>
    <n v="20"/>
    <s v="C"/>
    <n v="40.4"/>
    <n v="28.7"/>
    <n v="26"/>
    <s v=""/>
    <s v=""/>
    <n v="26"/>
    <n v="6"/>
    <n v="6"/>
    <n v="0.24"/>
    <n v="8.9488856732978945"/>
    <n v="0.17897771346595789"/>
    <n v="24005050.21993804"/>
    <n v="214818450"/>
    <n v="6"/>
    <n v="4296369"/>
    <n v="4296369"/>
    <n v="0"/>
    <s v=""/>
    <s v=""/>
    <s v="MO-IS 495 RP1-3600.01E"/>
  </r>
  <r>
    <s v="eGIS Link"/>
    <n v="388"/>
    <s v="NorthBound Visi-Data"/>
    <s v="63882"/>
    <n v="2017"/>
    <n v="3"/>
    <x v="4"/>
    <s v="PG"/>
    <s v="PG-MD 201 RP5-1"/>
    <s v="0-0.08(N)"/>
    <s v="MD"/>
    <s v="201"/>
    <s v=""/>
    <n v="0"/>
    <n v="0.08"/>
    <s v="N"/>
    <s v=""/>
    <s v=""/>
    <s v=""/>
    <n v="0.16"/>
    <s v="UNDIVIDED"/>
    <s v="URBAN"/>
    <s v="NON-IS"/>
    <n v="12"/>
    <s v=""/>
    <s v=""/>
    <s v=""/>
    <s v=""/>
    <s v=""/>
    <s v=""/>
    <s v=""/>
    <s v=""/>
    <n v="199.36"/>
    <n v="199.36"/>
    <n v="80.8"/>
    <n v="67"/>
    <n v="85.4"/>
    <n v="0.18"/>
    <n v="44"/>
    <n v="69.75"/>
    <n v="69.75"/>
    <n v="100"/>
    <n v="100"/>
    <n v="100"/>
    <n v="0.08"/>
    <n v="44"/>
    <x v="2"/>
    <m/>
    <s v="Structural Overlay"/>
    <n v="314654.13192159019"/>
    <n v="229338.86807840981"/>
    <n v="543993"/>
    <n v="3.4"/>
    <n v="13.1"/>
    <n v="45.3"/>
    <s v=""/>
    <s v=""/>
    <n v="3.4"/>
    <s v="E"/>
    <n v="28.7"/>
    <n v="47.1"/>
    <n v="50"/>
    <s v=""/>
    <s v=""/>
    <n v="28.7"/>
    <n v="25.3"/>
    <n v="6"/>
    <n v="4.048"/>
    <n v="18.867233961203063"/>
    <n v="3.0187574337924903"/>
    <n v="180204.27673666281"/>
    <n v="3399956.25"/>
    <n v="25.3"/>
    <n v="543993"/>
    <n v="543993"/>
    <n v="0"/>
    <s v=""/>
    <s v=""/>
    <s v="PG-MD 201 RP5-100.08N"/>
  </r>
  <r>
    <s v="eGIS Link"/>
    <n v="380"/>
    <s v="NorthBound Visi-Data"/>
    <s v="63648"/>
    <n v="2017"/>
    <n v="3"/>
    <x v="4"/>
    <s v="PG"/>
    <s v="PG-MD 5 RP3-13"/>
    <s v="0-0.16(N)"/>
    <s v="MD"/>
    <s v="5"/>
    <s v=""/>
    <n v="0"/>
    <n v="0.16"/>
    <s v="N"/>
    <s v=""/>
    <s v=""/>
    <s v=""/>
    <n v="0.32"/>
    <s v="UNDIVIDED"/>
    <s v="URBAN"/>
    <s v="NON-IS"/>
    <n v="12"/>
    <s v=""/>
    <s v=""/>
    <s v=""/>
    <s v=""/>
    <s v=""/>
    <s v=""/>
    <s v=""/>
    <s v=""/>
    <n v="195.32"/>
    <n v="195.32"/>
    <n v="62"/>
    <n v="62"/>
    <n v="62"/>
    <n v="0.17"/>
    <n v="36"/>
    <n v="68.47"/>
    <n v="68.47"/>
    <n v="100"/>
    <n v="100"/>
    <n v="100"/>
    <n v="0.08"/>
    <n v="44"/>
    <x v="2"/>
    <m/>
    <s v="Structural Overlay"/>
    <n v="494911.04518685729"/>
    <n v="360720.95481314271"/>
    <n v="855632"/>
    <n v="0"/>
    <n v="0.9"/>
    <n v="8.1999999999999993"/>
    <s v=""/>
    <s v=""/>
    <n v="0"/>
    <s v="F"/>
    <n v="25.9"/>
    <n v="28.2"/>
    <n v="50"/>
    <s v=""/>
    <s v=""/>
    <n v="25.9"/>
    <n v="25.9"/>
    <n v="6"/>
    <n v="8.2880000000000003"/>
    <n v="19.314678244867956"/>
    <n v="6.1806970383577458"/>
    <n v="138436.16580620289"/>
    <n v="2673850"/>
    <n v="25.9"/>
    <n v="855632"/>
    <n v="855632"/>
    <n v="0"/>
    <s v=""/>
    <s v=""/>
    <s v="PG-MD 5 RP3-1300.16N"/>
  </r>
  <r>
    <s v="eGIS Link"/>
    <n v="418"/>
    <s v="EastBound Visi-Data"/>
    <s v="63914"/>
    <n v="2017"/>
    <n v="3"/>
    <x v="4"/>
    <s v="PG"/>
    <s v="PG-MD 210 RP8-13"/>
    <s v="0-0.04(E)"/>
    <s v="MD"/>
    <s v="210"/>
    <s v=""/>
    <n v="0"/>
    <n v="0.04"/>
    <s v="E"/>
    <s v=""/>
    <s v=""/>
    <n v="2"/>
    <n v="0.08"/>
    <s v="UNDIVIDED"/>
    <s v="URBAN"/>
    <s v="NON-IS"/>
    <n v="12"/>
    <s v=""/>
    <s v=""/>
    <s v=""/>
    <s v=""/>
    <s v=""/>
    <s v=""/>
    <s v=""/>
    <s v=""/>
    <n v="138.19"/>
    <n v="138.19"/>
    <n v="90.275000000000006"/>
    <n v="87.5"/>
    <n v="91.2"/>
    <n v="0.21"/>
    <n v="44"/>
    <n v="56"/>
    <n v="56"/>
    <n v="100"/>
    <n v="100"/>
    <n v="100"/>
    <n v="0.12"/>
    <n v="44"/>
    <x v="2"/>
    <m/>
    <s v="Structural Overlay"/>
    <n v="507991.33949078183"/>
    <n v="370254.66050921817"/>
    <n v="878246"/>
    <n v="17.5"/>
    <n v="41.1"/>
    <n v="50"/>
    <s v=""/>
    <s v=""/>
    <n v="17.5"/>
    <s v="D"/>
    <n v="42.6"/>
    <n v="48.5"/>
    <n v="50"/>
    <s v=""/>
    <s v=""/>
    <n v="42.6"/>
    <n v="25.1"/>
    <n v="6"/>
    <n v="2.008"/>
    <n v="18.718085866648099"/>
    <n v="1.4974468693318479"/>
    <n v="586495.59993528738"/>
    <n v="10978075"/>
    <n v="25.1"/>
    <n v="878246"/>
    <n v="878246"/>
    <n v="0"/>
    <s v=""/>
    <s v=""/>
    <s v="PG-MD 210 RP8-1300.04E"/>
  </r>
  <r>
    <s v="eGIS Link"/>
    <n v="393"/>
    <s v="EastBound Visi-Data"/>
    <s v="63889"/>
    <n v="2017"/>
    <n v="3"/>
    <x v="4"/>
    <s v="PG"/>
    <s v="PG-MD 201 RP2-6"/>
    <s v="0-0.15(E)"/>
    <s v="MD"/>
    <s v="201"/>
    <s v=""/>
    <n v="0"/>
    <n v="0.15"/>
    <s v="E"/>
    <s v=""/>
    <s v=""/>
    <s v=""/>
    <n v="0.3"/>
    <s v="UNDIVIDED"/>
    <s v="URBAN"/>
    <s v="NON-IS"/>
    <n v="12"/>
    <s v=""/>
    <s v=""/>
    <s v=""/>
    <s v=""/>
    <s v=""/>
    <s v=""/>
    <s v=""/>
    <s v=""/>
    <n v="221.85"/>
    <n v="221.85"/>
    <n v="80.075000000000003"/>
    <n v="77.599999999999994"/>
    <n v="80.900000000000006"/>
    <n v="0.2"/>
    <n v="33"/>
    <n v="74.959999999999994"/>
    <n v="74.959999999999994"/>
    <n v="100"/>
    <n v="100"/>
    <n v="100"/>
    <n v="0.08"/>
    <n v="44"/>
    <x v="2"/>
    <m/>
    <s v="Structural Overlay"/>
    <n v="715669.78775032051"/>
    <n v="521623.21224967949"/>
    <n v="1237293"/>
    <n v="1.3"/>
    <n v="30.7"/>
    <n v="40.1"/>
    <s v=""/>
    <s v=""/>
    <n v="1.3"/>
    <s v="E"/>
    <n v="27.1"/>
    <n v="47.1"/>
    <n v="50"/>
    <s v=""/>
    <s v=""/>
    <n v="27.1"/>
    <n v="25.8"/>
    <n v="6"/>
    <n v="7.74"/>
    <n v="19.240104197590476"/>
    <n v="5.772031259277143"/>
    <n v="214360.06570673903"/>
    <n v="4124310"/>
    <n v="25.7"/>
    <n v="1237293"/>
    <n v="1237293"/>
    <n v="0"/>
    <s v=""/>
    <s v=""/>
    <s v="PG-MD 201 RP2-600.15E"/>
  </r>
  <r>
    <s v="eGIS Link"/>
    <n v="383"/>
    <s v="NorthBound Visi-Data"/>
    <s v="63899"/>
    <n v="2017"/>
    <n v="3"/>
    <x v="4"/>
    <s v="PG"/>
    <s v="PG-MD 202 RP5-7"/>
    <s v="0-0.24(N)"/>
    <s v="MD"/>
    <s v="202"/>
    <s v=""/>
    <n v="0"/>
    <n v="0.24"/>
    <s v="N"/>
    <s v=""/>
    <s v=""/>
    <s v=""/>
    <n v="0.48"/>
    <s v="UNDIVIDED"/>
    <s v="URBAN"/>
    <s v="NON-IS"/>
    <n v="14"/>
    <s v=""/>
    <s v=""/>
    <s v=""/>
    <s v=""/>
    <s v=""/>
    <s v=""/>
    <s v=""/>
    <s v=""/>
    <n v="189.73"/>
    <n v="189.73"/>
    <n v="78.900000000000006"/>
    <n v="81.3"/>
    <n v="78.099999999999994"/>
    <n v="0.2"/>
    <n v="23"/>
    <n v="67.66"/>
    <n v="67.66"/>
    <n v="100"/>
    <n v="100"/>
    <n v="100"/>
    <n v="0.08"/>
    <n v="44"/>
    <x v="2"/>
    <m/>
    <s v="Structural Overlay"/>
    <n v="833690.32060903951"/>
    <n v="607643.67939096049"/>
    <n v="1441334"/>
    <n v="4.2"/>
    <n v="35.9"/>
    <n v="33.1"/>
    <s v=""/>
    <s v=""/>
    <n v="4.2"/>
    <s v="E"/>
    <n v="29.4"/>
    <n v="47.1"/>
    <n v="50"/>
    <s v=""/>
    <s v=""/>
    <n v="29.4"/>
    <n v="25.2"/>
    <n v="6"/>
    <n v="12.096"/>
    <n v="18.792659913925579"/>
    <n v="9.0204767586842785"/>
    <n v="159784.68084986586"/>
    <n v="3002779.166666667"/>
    <n v="25.2"/>
    <n v="1441334"/>
    <n v="1441334"/>
    <n v="0"/>
    <s v=""/>
    <s v=""/>
    <s v="PG-MD 202 RP5-700.24N"/>
  </r>
  <r>
    <s v="eGIS Link"/>
    <n v="364"/>
    <s v="West Bound Visi-Data"/>
    <s v="53290"/>
    <n v="2017"/>
    <n v="3"/>
    <x v="4"/>
    <s v="MO"/>
    <s v="MO-MD 655B"/>
    <s v="0-0.38(W)"/>
    <s v="MD"/>
    <s v="655"/>
    <s v="B"/>
    <n v="0"/>
    <n v="0.38"/>
    <s v="W"/>
    <s v=""/>
    <s v=""/>
    <s v=""/>
    <n v="0.76"/>
    <s v="UNDIVIDED"/>
    <s v="URBAN"/>
    <s v="NON-IS"/>
    <n v="19"/>
    <s v=""/>
    <s v=""/>
    <s v=""/>
    <s v=""/>
    <s v=""/>
    <s v=""/>
    <s v=""/>
    <s v=""/>
    <n v="187.21"/>
    <n v="187.21"/>
    <n v="86.45"/>
    <n v="84.8"/>
    <n v="87"/>
    <n v="0.17"/>
    <n v="42"/>
    <n v="67.010000000000005"/>
    <n v="67.010000000000005"/>
    <n v="100"/>
    <n v="100"/>
    <n v="100"/>
    <n v="0.08"/>
    <n v="44"/>
    <x v="2"/>
    <m/>
    <s v="Structural Overlay"/>
    <n v="673642.67605717212"/>
    <n v="490991.32394282788"/>
    <n v="1164634"/>
    <n v="4.5999999999999996"/>
    <n v="38.299999999999997"/>
    <n v="46.6"/>
    <s v=""/>
    <s v=""/>
    <n v="4.5999999999999996"/>
    <s v="E"/>
    <n v="29.6"/>
    <n v="47.1"/>
    <n v="50"/>
    <s v=""/>
    <s v=""/>
    <n v="29.6"/>
    <n v="25"/>
    <n v="6"/>
    <n v="19"/>
    <n v="18.643511819370612"/>
    <n v="14.169068982721665"/>
    <n v="82195.520497514808"/>
    <n v="1532413.1578947369"/>
    <n v="24.9"/>
    <n v="1164634"/>
    <n v="1164634"/>
    <n v="0"/>
    <s v=""/>
    <s v=""/>
    <s v="MO-MD 655B00.38W"/>
  </r>
  <r>
    <s v="eGIS Link"/>
    <n v="431"/>
    <s v="SouthBound Visi-Data"/>
    <s v="63921"/>
    <n v="2017"/>
    <n v="3"/>
    <x v="4"/>
    <s v="PG"/>
    <s v="PG-MD 295 RP1-3"/>
    <s v="0-0.01(S)"/>
    <s v="MD"/>
    <s v="295"/>
    <s v=""/>
    <n v="0"/>
    <n v="0.01"/>
    <s v="S"/>
    <s v=""/>
    <s v=""/>
    <s v=""/>
    <n v="0.02"/>
    <s v="UNDIVIDED"/>
    <s v="URBAN"/>
    <s v="NON-IS"/>
    <n v="12"/>
    <s v=""/>
    <s v=""/>
    <s v=""/>
    <s v=""/>
    <s v=""/>
    <s v=""/>
    <s v=""/>
    <s v=""/>
    <n v="154.59"/>
    <n v="154.59"/>
    <n v="63.274999999999999"/>
    <n v="74.900000000000006"/>
    <n v="59.4"/>
    <n v="0.14000000000000001"/>
    <n v="37"/>
    <n v="59.49"/>
    <n v="59.49"/>
    <n v="100"/>
    <n v="100"/>
    <n v="100"/>
    <n v="0.08"/>
    <n v="44"/>
    <x v="2"/>
    <m/>
    <s v="Structural Overlay"/>
    <n v="680604.48830808024"/>
    <n v="496065.51169191976"/>
    <n v="1176670"/>
    <n v="11.3"/>
    <n v="50"/>
    <n v="20.8"/>
    <s v=""/>
    <s v=""/>
    <n v="11.3"/>
    <s v="D"/>
    <n v="44"/>
    <n v="50"/>
    <n v="50"/>
    <s v=""/>
    <s v=""/>
    <n v="44"/>
    <n v="32.700000000000003"/>
    <n v="6"/>
    <n v="0.65400000000000003"/>
    <n v="24.385713459736767"/>
    <n v="0.48771426919473537"/>
    <n v="2412621.6400081934"/>
    <n v="58833500"/>
    <n v="32.6"/>
    <n v="1176670"/>
    <n v="1176670"/>
    <n v="0"/>
    <s v=""/>
    <s v=""/>
    <s v="PG-MD 295 RP1-300.01S"/>
  </r>
  <r>
    <s v="eGIS Link"/>
    <n v="401"/>
    <s v="West Bound Visi-Data"/>
    <s v="53241"/>
    <n v="2017"/>
    <n v="3"/>
    <x v="4"/>
    <s v="MO"/>
    <s v="MO-MD 117"/>
    <s v="12.6-12.708(W)"/>
    <s v="MD"/>
    <s v="117"/>
    <s v=""/>
    <n v="12.6"/>
    <n v="12.708"/>
    <s v="W"/>
    <s v="SPUR FR MD 355"/>
    <s v="S FREDERICK RD"/>
    <n v="2"/>
    <n v="0.21"/>
    <s v="UNDIVIDED"/>
    <s v="RURAL"/>
    <s v="NON-IS"/>
    <n v="16"/>
    <s v="F"/>
    <n v="209.54"/>
    <n v="117.11"/>
    <n v="57.5"/>
    <n v="68.2"/>
    <n v="53.9"/>
    <n v="0.26"/>
    <n v="40"/>
    <n v="160.65"/>
    <n v="160.65"/>
    <n v="78.525000000000006"/>
    <n v="87.6"/>
    <n v="75.5"/>
    <n v="0.18"/>
    <n v="43"/>
    <n v="60.43"/>
    <n v="60.43"/>
    <n v="100"/>
    <n v="100"/>
    <n v="100"/>
    <n v="0.08"/>
    <n v="44"/>
    <x v="2"/>
    <m/>
    <s v="Structural Overlay"/>
    <n v="895783.92724125774"/>
    <n v="364786.07275874226"/>
    <n v="1260570"/>
    <n v="23.2"/>
    <n v="50"/>
    <n v="40.299999999999997"/>
    <s v=""/>
    <s v=""/>
    <n v="23.2"/>
    <s v="C"/>
    <n v="50"/>
    <n v="50"/>
    <n v="50"/>
    <s v=""/>
    <s v=""/>
    <n v="50"/>
    <n v="26.8"/>
    <n v="6"/>
    <n v="5.6280000000000001"/>
    <n v="19.985844670365299"/>
    <n v="4.1970273807767127"/>
    <n v="300348.29073874559"/>
    <n v="6002714.2857142864"/>
    <n v="40.9"/>
    <n v="1260570"/>
    <n v="1260570"/>
    <n v="0"/>
    <s v=""/>
    <s v="2004"/>
    <s v="MO-MD 11712.612.708W"/>
  </r>
  <r>
    <s v="eGIS Link"/>
    <n v="347"/>
    <s v="West Bound Visi-Data"/>
    <s v="63890"/>
    <n v="2017"/>
    <n v="3"/>
    <x v="4"/>
    <s v="PG"/>
    <s v="PG-MD 202 RP3-7"/>
    <s v="0-0.26(W)"/>
    <s v="MD"/>
    <s v="202"/>
    <s v=""/>
    <n v="0"/>
    <n v="0.26"/>
    <s v="W"/>
    <s v=""/>
    <s v=""/>
    <s v=""/>
    <n v="0.52"/>
    <s v="UNDIVIDED"/>
    <s v="URBAN"/>
    <s v="NON-IS"/>
    <n v="14"/>
    <s v=""/>
    <s v=""/>
    <s v=""/>
    <s v=""/>
    <s v=""/>
    <s v=""/>
    <s v=""/>
    <s v=""/>
    <n v="131.4"/>
    <n v="131.4"/>
    <n v="83.075000000000003"/>
    <n v="86.6"/>
    <n v="81.900000000000006"/>
    <n v="0.18"/>
    <n v="27"/>
    <n v="88.46"/>
    <n v="88.46"/>
    <n v="100"/>
    <n v="100"/>
    <n v="100"/>
    <n v="0.15"/>
    <n v="49"/>
    <x v="5"/>
    <m/>
    <s v="Preventive Maintenance"/>
    <n v="115818.50400866865"/>
    <n v="84415.495991331351"/>
    <n v="200234"/>
    <n v="16.100000000000001"/>
    <n v="50"/>
    <n v="50"/>
    <s v=""/>
    <s v=""/>
    <n v="16.100000000000001"/>
    <s v="D"/>
    <n v="25.4"/>
    <n v="50"/>
    <n v="50"/>
    <s v=""/>
    <s v=""/>
    <n v="25.4"/>
    <n v="9.2999999999999972"/>
    <n v="4"/>
    <n v="4.8359999999999985"/>
    <n v="6.9353863968058658"/>
    <n v="3.6064009263390502"/>
    <n v="55521.835783039976"/>
    <n v="385065.38461538462"/>
    <n v="9.3000000000000007"/>
    <n v="200234"/>
    <n v="200234"/>
    <n v="0"/>
    <s v=""/>
    <s v=""/>
    <s v="PG-MD 202 RP3-700.26W"/>
  </r>
  <r>
    <s v="eGIS Link"/>
    <n v="70"/>
    <s v="EastBound Visi-Data"/>
    <s v="40017"/>
    <n v="2017"/>
    <n v="4"/>
    <x v="14"/>
    <s v="HA"/>
    <s v="HA-MD 23"/>
    <s v="16.4-17.7(E)"/>
    <s v="MD"/>
    <s v="23"/>
    <s v=""/>
    <n v="16.399999999999999"/>
    <n v="17.7"/>
    <s v="E"/>
    <s v="HARFORD CREAMERY RD"/>
    <s v="UREY RD"/>
    <n v="2"/>
    <n v="2.6"/>
    <s v="UNDIVIDED"/>
    <s v="RURAL"/>
    <s v="NON-IS"/>
    <n v="7"/>
    <s v="FCJ"/>
    <n v="98.4"/>
    <n v="115.79"/>
    <s v=""/>
    <s v=""/>
    <s v=""/>
    <n v="0.18"/>
    <n v="65"/>
    <n v="62.44"/>
    <n v="62.44"/>
    <n v="88.625"/>
    <n v="91.7"/>
    <n v="87.6"/>
    <n v="0.19"/>
    <n v="48"/>
    <n v="64.930000000000007"/>
    <n v="64.930000000000007"/>
    <n v="88.1"/>
    <n v="92.3"/>
    <n v="86.7"/>
    <n v="0.19"/>
    <n v="46"/>
    <x v="0"/>
    <m/>
    <s v="Preventive Maintenance"/>
    <n v="12456.784146146907"/>
    <n v="3607.215853853093"/>
    <n v="16064"/>
    <n v="39.6"/>
    <n v="36.1"/>
    <n v="37.5"/>
    <s v=""/>
    <s v=""/>
    <n v="36.1"/>
    <s v="B"/>
    <n v="39.1"/>
    <n v="37.5"/>
    <n v="37.5"/>
    <s v=""/>
    <s v=""/>
    <n v="37.5"/>
    <n v="1.3999999999999986"/>
    <n v="1"/>
    <n v="5.2"/>
    <n v="1.4914809455496492"/>
    <n v="3.877850458429088"/>
    <n v="4142.5011542367483"/>
    <n v="6178.4615384615381"/>
    <n v="1.4"/>
    <n v="16064"/>
    <n v="16064"/>
    <n v="0"/>
    <s v=""/>
    <s v="1990"/>
    <s v="HA-MD 2316.417.7E"/>
  </r>
  <r>
    <s v="eGIS Link"/>
    <n v="16"/>
    <s v="SouthBound Visi-Data"/>
    <s v="40026"/>
    <n v="2017"/>
    <n v="4"/>
    <x v="14"/>
    <s v="HA"/>
    <s v="HA-MD 136"/>
    <s v="26.43-30.04(S)"/>
    <s v="MD"/>
    <s v="136"/>
    <s v=""/>
    <n v="26.43"/>
    <n v="30.04"/>
    <s v="S"/>
    <s v="TELEGRAPH RD"/>
    <s v="NORRISVILLE RD"/>
    <n v="2"/>
    <n v="7.22"/>
    <s v="UNDIVIDED"/>
    <s v="RURAL"/>
    <s v="NON-IS"/>
    <n v="7"/>
    <s v="F"/>
    <n v="129.13"/>
    <n v="140.36000000000001"/>
    <n v="86.9"/>
    <n v="94.2"/>
    <n v="84.4"/>
    <n v="0.15"/>
    <n v="61"/>
    <n v="94"/>
    <n v="94"/>
    <n v="84.2"/>
    <n v="83.6"/>
    <n v="84.4"/>
    <n v="0.16"/>
    <n v="56"/>
    <n v="98.07"/>
    <n v="98.07"/>
    <n v="82.9"/>
    <n v="85.3"/>
    <n v="82.1"/>
    <n v="0.16"/>
    <n v="54"/>
    <x v="0"/>
    <m/>
    <s v="Preventive Maintenance"/>
    <n v="8977.3524688709385"/>
    <n v="2599.6475311290615"/>
    <n v="11577"/>
    <n v="26.6"/>
    <n v="27.6"/>
    <n v="21.2"/>
    <s v=""/>
    <s v=""/>
    <n v="21.2"/>
    <s v="C"/>
    <n v="26.5"/>
    <n v="29.4"/>
    <n v="21.2"/>
    <s v=""/>
    <s v=""/>
    <n v="21.2"/>
    <n v="1"/>
    <n v="1"/>
    <n v="14.44"/>
    <n v="1.4914809455496492"/>
    <n v="10.768492426868466"/>
    <n v="1075.0808507896822"/>
    <n v="1603.4626038781164"/>
    <n v="0"/>
    <n v="11577"/>
    <n v="11577"/>
    <n v="0"/>
    <s v=""/>
    <s v="1995"/>
    <s v="HA-MD 13626.4330.04S"/>
  </r>
  <r>
    <s v="eGIS Link"/>
    <n v="176"/>
    <s v="SouthBound Visi-Data"/>
    <s v="40026"/>
    <n v="2017"/>
    <n v="4"/>
    <x v="14"/>
    <s v="HA"/>
    <s v="HA-MD 136"/>
    <s v="0-1.12(S)"/>
    <s v="MD"/>
    <s v="136"/>
    <s v=""/>
    <n v="0"/>
    <n v="1.1200000000000001"/>
    <s v="S"/>
    <s v="PHILADELPHIA RD"/>
    <s v="ENT BYNUM HILLS"/>
    <n v="2.1"/>
    <n v="2.35"/>
    <s v="UNDIVIDED"/>
    <s v="URBAN"/>
    <s v="NON-IS"/>
    <n v="8"/>
    <s v="F"/>
    <n v="123.99"/>
    <n v="129.1"/>
    <n v="67.900000000000006"/>
    <n v="92.5"/>
    <n v="59.7"/>
    <n v="0.16"/>
    <n v="53"/>
    <n v="173.27"/>
    <n v="173.27"/>
    <n v="73.474999999999994"/>
    <n v="83.9"/>
    <n v="70"/>
    <n v="0.18"/>
    <n v="46"/>
    <n v="83.74"/>
    <n v="83.74"/>
    <n v="100"/>
    <n v="100"/>
    <n v="100"/>
    <n v="0.08"/>
    <n v="49"/>
    <x v="1"/>
    <m/>
    <s v="Minor Rehabilitation"/>
    <n v="168533.98970185674"/>
    <n v="109904.01029814326"/>
    <n v="278438"/>
    <n v="10.7"/>
    <n v="24.9"/>
    <n v="13.5"/>
    <s v=""/>
    <s v=""/>
    <n v="10.7"/>
    <s v="D"/>
    <n v="30.7"/>
    <n v="34.4"/>
    <n v="27.3"/>
    <s v=""/>
    <s v=""/>
    <n v="27.3"/>
    <n v="16.600000000000001"/>
    <n v="6"/>
    <n v="39.010000000000005"/>
    <n v="12.37929184806209"/>
    <n v="29.091335842945913"/>
    <n v="9571.1658448134076"/>
    <n v="118484.25531914893"/>
    <n v="16.600000000000001"/>
    <n v="278438"/>
    <n v="278438"/>
    <n v="0"/>
    <s v=""/>
    <s v="2001"/>
    <s v="HA-MD 13601.12S"/>
  </r>
  <r>
    <s v="eGIS Link"/>
    <n v="42"/>
    <s v="West Bound Visi-Data"/>
    <s v="40395"/>
    <n v="2017"/>
    <n v="4"/>
    <x v="14"/>
    <s v="HA"/>
    <s v="HA-US 40"/>
    <s v="10.71-13.1(W)"/>
    <s v="US"/>
    <s v="40"/>
    <s v=""/>
    <n v="10.71"/>
    <n v="13.1"/>
    <s v="W"/>
    <s v="OLD PHILADELPHIA RD"/>
    <s v="W BELAIR AVE"/>
    <n v="2.5"/>
    <n v="5.98"/>
    <s v="DIVIDED"/>
    <s v="URBAN"/>
    <s v="NON-IS"/>
    <n v="14"/>
    <s v="FCJ"/>
    <n v="88.05"/>
    <n v="81.099999999999994"/>
    <n v="94.3"/>
    <n v="93.6"/>
    <n v="94.6"/>
    <n v="0.19"/>
    <n v="51"/>
    <n v="148.66999999999999"/>
    <n v="148.66999999999999"/>
    <n v="64.974999999999994"/>
    <n v="83.8"/>
    <n v="58.7"/>
    <n v="0.13"/>
    <n v="49"/>
    <n v="58.1"/>
    <n v="58.1"/>
    <n v="100"/>
    <n v="100"/>
    <n v="100"/>
    <n v="0.08"/>
    <n v="49"/>
    <x v="2"/>
    <m/>
    <s v="Structural Overlay"/>
    <n v="229062.36215886936"/>
    <n v="149375.63784113064"/>
    <n v="378438"/>
    <n v="16.100000000000001"/>
    <n v="50"/>
    <n v="50"/>
    <s v=""/>
    <s v=""/>
    <n v="16.100000000000001"/>
    <s v="D"/>
    <n v="50"/>
    <n v="50"/>
    <n v="50"/>
    <s v=""/>
    <s v=""/>
    <n v="50"/>
    <n v="33.9"/>
    <n v="6"/>
    <n v="202.72200000000001"/>
    <n v="25.28060202706655"/>
    <n v="151.17800012185799"/>
    <n v="2503.2610544851609"/>
    <n v="63283.946488294307"/>
    <n v="37.5"/>
    <n v="378438"/>
    <n v="378438"/>
    <n v="0"/>
    <s v=""/>
    <s v="2009"/>
    <s v="HA-US 4010.7113.1W"/>
  </r>
  <r>
    <s v="eGIS Link"/>
    <n v="67"/>
    <s v="EastBound Visi-Data"/>
    <s v="40011"/>
    <n v="2017"/>
    <n v="4"/>
    <x v="14"/>
    <s v="HA"/>
    <s v="HA-MD 7"/>
    <s v="4.52-6(E)"/>
    <s v="MD"/>
    <s v="7"/>
    <s v=""/>
    <n v="4.5199999999999996"/>
    <n v="6"/>
    <s v="E"/>
    <s v="VIETNAM VETERANS MEMORIAL HWY"/>
    <s v="PEVERLY RD"/>
    <n v="2.2000000000000002"/>
    <n v="3.26"/>
    <s v="UNDIVIDED"/>
    <s v="URBAN"/>
    <s v="NON-IS"/>
    <n v="16"/>
    <s v="FCJ"/>
    <n v="193.54"/>
    <n v="208.15"/>
    <n v="76.900000000000006"/>
    <n v="81.099999999999994"/>
    <n v="75.5"/>
    <n v="0.18"/>
    <n v="46"/>
    <n v="123.53"/>
    <n v="123.53"/>
    <n v="83.8"/>
    <n v="84.7"/>
    <n v="83.5"/>
    <n v="0.22"/>
    <n v="53"/>
    <n v="53.05"/>
    <n v="53.05"/>
    <n v="100"/>
    <n v="100"/>
    <n v="100"/>
    <n v="0.12"/>
    <n v="49"/>
    <x v="2"/>
    <m/>
    <s v="Structural Overlay"/>
    <n v="160474.03162548094"/>
    <n v="104647.96837451906"/>
    <n v="265122"/>
    <n v="21.9"/>
    <n v="50"/>
    <n v="50"/>
    <s v=""/>
    <s v=""/>
    <n v="21.9"/>
    <s v="C"/>
    <n v="50"/>
    <n v="50"/>
    <n v="50"/>
    <s v=""/>
    <s v=""/>
    <n v="50"/>
    <n v="28.1"/>
    <n v="6"/>
    <n v="91.605999999999995"/>
    <n v="20.955307284972573"/>
    <n v="68.314301749010582"/>
    <n v="3880.9150238272009"/>
    <n v="81325.766871165644"/>
    <n v="34.9"/>
    <n v="265122"/>
    <n v="265122"/>
    <n v="0"/>
    <s v=""/>
    <s v="1996"/>
    <s v="HA-MD 74.526E"/>
  </r>
  <r>
    <s v="eGIS Link"/>
    <n v="61"/>
    <s v="NorthBound Visi-Data"/>
    <s v="40046"/>
    <n v="2017"/>
    <n v="4"/>
    <x v="14"/>
    <s v="HA"/>
    <s v="HA-MD 623"/>
    <s v="0-3.14(N)"/>
    <s v="MD"/>
    <s v="623"/>
    <s v=""/>
    <n v="0"/>
    <n v="3.14"/>
    <s v="N"/>
    <s v="MAIN ST"/>
    <s v="CASTLETON RD"/>
    <n v="2"/>
    <n v="6.28"/>
    <s v="UNDIVIDED"/>
    <s v="URBAN"/>
    <s v="NON-IS"/>
    <n v="8"/>
    <s v="F"/>
    <n v="214.84"/>
    <n v="210.03"/>
    <n v="87.4"/>
    <n v="80.400000000000006"/>
    <n v="89.7"/>
    <n v="0.16"/>
    <n v="50"/>
    <n v="138.57"/>
    <n v="138.57"/>
    <n v="77.400000000000006"/>
    <n v="85.8"/>
    <n v="74.599999999999994"/>
    <n v="0.18"/>
    <n v="40"/>
    <n v="56.03"/>
    <n v="56.03"/>
    <n v="100"/>
    <n v="100"/>
    <n v="100"/>
    <n v="0.08"/>
    <n v="49"/>
    <x v="2"/>
    <m/>
    <s v="Structural Overlay"/>
    <n v="327728.45153359644"/>
    <n v="213717.54846640356"/>
    <n v="541446"/>
    <n v="18.399999999999999"/>
    <n v="50"/>
    <n v="50"/>
    <s v=""/>
    <s v=""/>
    <n v="18.399999999999999"/>
    <s v="D"/>
    <n v="50"/>
    <n v="50"/>
    <n v="50"/>
    <s v=""/>
    <s v=""/>
    <n v="50"/>
    <n v="31.6"/>
    <n v="6"/>
    <n v="198.44800000000001"/>
    <n v="23.56539893968446"/>
    <n v="147.99070534121842"/>
    <n v="3658.6486884537899"/>
    <n v="86217.515923566869"/>
    <n v="36.4"/>
    <n v="541446"/>
    <n v="541446"/>
    <n v="0"/>
    <s v=""/>
    <s v="2012"/>
    <s v="HA-MD 62303.14N"/>
  </r>
  <r>
    <s v="eGIS Link"/>
    <n v="209"/>
    <s v="NorthBound Visi-Data"/>
    <s v="40048"/>
    <n v="2017"/>
    <n v="4"/>
    <x v="14"/>
    <s v="HA"/>
    <s v="HA-MD 646"/>
    <s v="0-3.31(N)"/>
    <s v="MD"/>
    <s v="646"/>
    <s v=""/>
    <n v="0"/>
    <n v="3.31"/>
    <s v="N"/>
    <s v="ADY RD"/>
    <s v="WHITEFORD RD"/>
    <n v="2"/>
    <n v="6.62"/>
    <s v="UNDIVIDED"/>
    <s v="RURAL"/>
    <s v="NON-IS"/>
    <n v="8"/>
    <s v="F"/>
    <n v="135.33000000000001"/>
    <n v="148.31"/>
    <n v="96.3"/>
    <n v="98"/>
    <n v="95.7"/>
    <n v="0.16"/>
    <n v="52"/>
    <n v="151.29"/>
    <n v="151.29"/>
    <n v="61.2"/>
    <n v="74.099999999999994"/>
    <n v="56.9"/>
    <n v="0.13"/>
    <n v="52"/>
    <n v="58.44"/>
    <n v="58.44"/>
    <n v="100"/>
    <n v="100"/>
    <n v="100"/>
    <n v="0.08"/>
    <n v="49"/>
    <x v="2"/>
    <m/>
    <s v="Structural Overlay"/>
    <n v="1776579.8240416001"/>
    <n v="514459.17595839989"/>
    <n v="2291039"/>
    <n v="19.5"/>
    <n v="40.4"/>
    <n v="11.7"/>
    <s v=""/>
    <s v=""/>
    <n v="11.7"/>
    <s v="D"/>
    <n v="50"/>
    <n v="50"/>
    <n v="50"/>
    <s v=""/>
    <s v=""/>
    <n v="50"/>
    <n v="38.299999999999997"/>
    <n v="6"/>
    <n v="253.54599999999999"/>
    <n v="28.561860107275777"/>
    <n v="189.07951391016564"/>
    <n v="12116.80182914213"/>
    <n v="346078.39879154076"/>
    <n v="48.2"/>
    <n v="2291039"/>
    <n v="2291039"/>
    <n v="0"/>
    <s v=""/>
    <s v="2004"/>
    <s v="HA-MD 64603.31N"/>
  </r>
  <r>
    <s v="eGIS Link"/>
    <n v="73"/>
    <s v="NorthBound Visi-Data"/>
    <s v="40046"/>
    <n v="2017"/>
    <n v="4"/>
    <x v="14"/>
    <s v="HA"/>
    <s v="HA-MD 623"/>
    <s v="3.14-4.55(N)"/>
    <s v="MD"/>
    <s v="623"/>
    <s v=""/>
    <n v="3.14"/>
    <n v="4.55"/>
    <s v="N"/>
    <s v="CASTLETON RD"/>
    <s v="BROAD CREEK LANDING RD"/>
    <n v="2"/>
    <n v="2.82"/>
    <s v="UNDIVIDED"/>
    <s v="URBAN"/>
    <s v="NON-IS"/>
    <n v="8"/>
    <s v="F"/>
    <n v="128.51"/>
    <n v="190.97"/>
    <n v="57.7"/>
    <n v="81.900000000000006"/>
    <n v="49.7"/>
    <n v="0.18"/>
    <n v="52"/>
    <n v="144.5"/>
    <n v="144.5"/>
    <n v="80.575000000000003"/>
    <n v="84.1"/>
    <n v="79.400000000000006"/>
    <n v="0.23"/>
    <n v="49"/>
    <n v="57.23"/>
    <n v="57.23"/>
    <n v="100"/>
    <n v="100"/>
    <n v="100"/>
    <n v="0.12"/>
    <n v="49"/>
    <x v="2"/>
    <m/>
    <s v="Structural Overlay"/>
    <n v="184727.7504690059"/>
    <n v="120464.2495309941"/>
    <n v="305192"/>
    <n v="17.2"/>
    <n v="50"/>
    <n v="50"/>
    <s v=""/>
    <s v=""/>
    <n v="17.2"/>
    <s v="D"/>
    <n v="50"/>
    <n v="50"/>
    <n v="50"/>
    <s v=""/>
    <s v=""/>
    <n v="50"/>
    <n v="32.799999999999997"/>
    <n v="6"/>
    <n v="92.495999999999981"/>
    <n v="24.460287507014243"/>
    <n v="68.978010769780155"/>
    <n v="4424.4824777363274"/>
    <n v="108224.11347517731"/>
    <n v="36.9"/>
    <n v="305192"/>
    <n v="305192"/>
    <n v="0"/>
    <s v=""/>
    <s v="2000"/>
    <s v="HA-MD 6233.144.55N"/>
  </r>
  <r>
    <s v="eGIS Link"/>
    <n v="114"/>
    <s v="NorthBound Visi-Data"/>
    <s v="40393"/>
    <n v="2017"/>
    <n v="4"/>
    <x v="14"/>
    <s v="HA"/>
    <s v="HA-US 1"/>
    <s v="10.65-13.65(N)"/>
    <s v="US"/>
    <s v="1"/>
    <s v=""/>
    <n v="10.65"/>
    <n v="13.65"/>
    <s v="N"/>
    <s v="FORGE HILL RD"/>
    <s v="FORGE HILL RD"/>
    <n v="2"/>
    <n v="6"/>
    <s v="UNDIVIDED"/>
    <s v="URBAN"/>
    <s v="NON-IS"/>
    <n v="2"/>
    <s v="FCJ"/>
    <n v="125.13"/>
    <n v="117.2"/>
    <n v="77.099999999999994"/>
    <n v="73.900000000000006"/>
    <n v="78.2"/>
    <n v="0.15"/>
    <n v="57"/>
    <n v="189.92"/>
    <n v="189.92"/>
    <n v="85.974999999999994"/>
    <n v="83.8"/>
    <n v="86.7"/>
    <n v="0.19"/>
    <n v="41"/>
    <n v="67.290000000000006"/>
    <n v="67.290000000000006"/>
    <n v="100"/>
    <n v="100"/>
    <n v="100"/>
    <n v="0.08"/>
    <n v="49"/>
    <x v="2"/>
    <m/>
    <s v="Structural Overlay"/>
    <n v="532463.85551826784"/>
    <n v="347229.14448173216"/>
    <n v="879693"/>
    <n v="6.6"/>
    <n v="39.1"/>
    <n v="49.9"/>
    <s v=""/>
    <s v=""/>
    <n v="6.6"/>
    <s v="E"/>
    <n v="37.6"/>
    <n v="48.5"/>
    <n v="50"/>
    <s v=""/>
    <s v=""/>
    <n v="37.6"/>
    <n v="31"/>
    <n v="6"/>
    <n v="186"/>
    <n v="23.117954656019563"/>
    <n v="138.70772793611738"/>
    <n v="6342.0619246618153"/>
    <n v="146615.5"/>
    <n v="30.9"/>
    <n v="879693"/>
    <n v="879693"/>
    <n v="0"/>
    <s v=""/>
    <s v="1988"/>
    <s v="HA-US 110.6513.65N"/>
  </r>
  <r>
    <s v="eGIS Link"/>
    <n v="60"/>
    <s v="EastBound Visi-Data"/>
    <s v="40013"/>
    <n v="2017"/>
    <n v="4"/>
    <x v="14"/>
    <s v="HA"/>
    <s v="HA-MD 22"/>
    <s v="10-12.91(E)"/>
    <s v="MD"/>
    <s v="22"/>
    <s v=""/>
    <n v="10"/>
    <n v="12.91"/>
    <s v="E"/>
    <s v="RAMP 6 FR IS 95 TO MD 22"/>
    <s v="E BEL AIR AVE"/>
    <n v="2.2999999999999998"/>
    <n v="6.69"/>
    <s v="DIVIDED"/>
    <s v="RURAL"/>
    <s v="NON-IS"/>
    <n v="12"/>
    <s v="F"/>
    <n v="94.7"/>
    <n v="81.59"/>
    <n v="68.7"/>
    <n v="72.2"/>
    <n v="67.599999999999994"/>
    <n v="0.13"/>
    <n v="50"/>
    <n v="85.11"/>
    <n v="85.11"/>
    <n v="83.95"/>
    <n v="88.9"/>
    <n v="82.3"/>
    <n v="0.13"/>
    <n v="49"/>
    <n v="91.78"/>
    <n v="91.78"/>
    <n v="97.075000000000003"/>
    <n v="99.4"/>
    <n v="96.3"/>
    <n v="0.13"/>
    <n v="55"/>
    <x v="4"/>
    <m/>
    <s v="Preventive Maintenance"/>
    <n v="122595.87918036527"/>
    <n v="35501.120819634729"/>
    <n v="158097"/>
    <n v="41.2"/>
    <n v="32.799999999999997"/>
    <n v="28.4"/>
    <s v=""/>
    <s v=""/>
    <n v="28.4"/>
    <s v="C"/>
    <n v="37.1"/>
    <n v="42.2"/>
    <n v="39.1"/>
    <s v=""/>
    <s v=""/>
    <n v="37.1"/>
    <n v="8.7000000000000028"/>
    <n v="4"/>
    <n v="58.203000000000024"/>
    <n v="6.487942113140976"/>
    <n v="43.404332736913133"/>
    <n v="3642.4243855624741"/>
    <n v="23631.838565022419"/>
    <n v="8.6999999999999993"/>
    <n v="158097"/>
    <n v="158097"/>
    <n v="0"/>
    <s v=""/>
    <s v="1993"/>
    <s v="HA-MD 221012.91E"/>
  </r>
  <r>
    <s v="eGIS Link"/>
    <n v="99"/>
    <s v="EastBound Visi-Data"/>
    <s v="40042"/>
    <n v="2017"/>
    <n v="4"/>
    <x v="14"/>
    <s v="HA"/>
    <s v="HA-MD 440"/>
    <s v="0-1.95(E)"/>
    <s v="MD"/>
    <s v="440"/>
    <s v=""/>
    <n v="0"/>
    <n v="1.95"/>
    <s v="E"/>
    <s v="ADY RD"/>
    <s v="SPEED LIMIT 35 MPH"/>
    <n v="2"/>
    <n v="3.9"/>
    <s v="UNDIVIDED"/>
    <s v="RURAL"/>
    <s v="NON-IS"/>
    <n v="8"/>
    <s v="F"/>
    <n v="107.59"/>
    <n v="124.99"/>
    <n v="72.2"/>
    <n v="75.900000000000006"/>
    <n v="71"/>
    <n v="0.13"/>
    <n v="50"/>
    <n v="106"/>
    <n v="106"/>
    <n v="82.125"/>
    <n v="87.3"/>
    <n v="80.400000000000006"/>
    <n v="0.11"/>
    <n v="54"/>
    <n v="115.52"/>
    <n v="115.52"/>
    <n v="96.525000000000006"/>
    <n v="99.3"/>
    <n v="95.6"/>
    <n v="0.11"/>
    <n v="55"/>
    <x v="4"/>
    <m/>
    <s v="Preventive Maintenance"/>
    <n v="100305.64883418792"/>
    <n v="29046.351165812084"/>
    <n v="129352"/>
    <n v="24.4"/>
    <n v="29.4"/>
    <n v="19.399999999999999"/>
    <s v=""/>
    <s v=""/>
    <n v="19.399999999999999"/>
    <s v="D"/>
    <n v="25"/>
    <n v="37.9"/>
    <n v="27.6"/>
    <s v=""/>
    <s v=""/>
    <n v="25"/>
    <n v="5.6000000000000014"/>
    <n v="4"/>
    <n v="31.2"/>
    <n v="5.9659237821985966"/>
    <n v="23.267102750574526"/>
    <n v="5559.4373475144412"/>
    <n v="33167.179487179485"/>
    <n v="5.5"/>
    <n v="129352"/>
    <n v="129352"/>
    <n v="0"/>
    <s v=""/>
    <s v="2001"/>
    <s v="HA-MD 44001.95E"/>
  </r>
  <r>
    <s v="eGIS Link"/>
    <n v="26"/>
    <s v="NorthBound Visi-Data"/>
    <s v="40045"/>
    <n v="2017"/>
    <n v="4"/>
    <x v="14"/>
    <s v="HA"/>
    <s v="HA-MD 543"/>
    <s v="10.43-14.99(N)"/>
    <s v="MD"/>
    <s v="543"/>
    <s v=""/>
    <n v="10.43"/>
    <n v="14.99"/>
    <s v="N"/>
    <s v="CONOWINGO RD"/>
    <s v="DUBLIN RD"/>
    <n v="2"/>
    <n v="9.1199999999999992"/>
    <s v="UNDIVIDED"/>
    <s v="RURAL"/>
    <s v="NON-IS"/>
    <n v="7"/>
    <s v="F"/>
    <n v="137.78"/>
    <n v="156.1"/>
    <n v="63.9"/>
    <n v="75.3"/>
    <n v="60"/>
    <n v="0.13"/>
    <n v="52"/>
    <n v="146.62"/>
    <n v="146.62"/>
    <n v="42.475000000000001"/>
    <n v="54.1"/>
    <n v="38.6"/>
    <n v="0.17"/>
    <n v="49"/>
    <n v="91.88"/>
    <n v="91.88"/>
    <n v="100"/>
    <n v="100"/>
    <n v="100"/>
    <n v="0.17"/>
    <n v="49"/>
    <x v="8"/>
    <m/>
    <s v="Minor Rehabilitation"/>
    <n v="298811.6072995764"/>
    <n v="86529.392700423603"/>
    <n v="385341"/>
    <n v="27.7"/>
    <n v="8.5"/>
    <n v="0"/>
    <s v=""/>
    <s v=""/>
    <n v="0"/>
    <s v="F"/>
    <n v="41"/>
    <n v="50"/>
    <n v="50"/>
    <s v=""/>
    <s v=""/>
    <n v="41"/>
    <n v="41"/>
    <n v="4"/>
    <n v="373.91999999999996"/>
    <n v="30.575359383767807"/>
    <n v="278.84727757996239"/>
    <n v="1381.9069827192393"/>
    <n v="42252.302631578954"/>
    <n v="41"/>
    <n v="385341"/>
    <n v="385341"/>
    <n v="0"/>
    <s v=""/>
    <s v="1999"/>
    <s v="HA-MD 54310.4314.99N"/>
  </r>
  <r>
    <s v="eGIS Link"/>
    <n v="333"/>
    <s v="NorthBound Visi-Data"/>
    <s v="40012"/>
    <n v="2017"/>
    <n v="4"/>
    <x v="14"/>
    <s v="HA"/>
    <s v="HA-MD 7A"/>
    <s v="1.46-2(N)"/>
    <s v="MD"/>
    <s v="7"/>
    <s v="A"/>
    <n v="1.46"/>
    <n v="2"/>
    <s v="N"/>
    <s v="REVOLUTION ST"/>
    <s v="FRANKLIN ST"/>
    <n v="2.1"/>
    <n v="1.1299999999999999"/>
    <s v="UNDIVIDED"/>
    <s v="URBAN"/>
    <s v="NON-IS"/>
    <n v="16"/>
    <s v="F"/>
    <n v="201.64"/>
    <n v="214.13"/>
    <s v=""/>
    <s v=""/>
    <s v=""/>
    <n v="0.22"/>
    <n v="45"/>
    <n v="122.53"/>
    <n v="122.53"/>
    <n v="80.474999999999994"/>
    <n v="76.8"/>
    <n v="81.7"/>
    <n v="0.14000000000000001"/>
    <n v="49"/>
    <n v="83.97"/>
    <n v="83.97"/>
    <n v="100"/>
    <n v="100"/>
    <n v="100"/>
    <n v="0.12"/>
    <n v="49"/>
    <x v="5"/>
    <m/>
    <s v="Preventive Maintenance"/>
    <n v="172663.23527087414"/>
    <n v="112596.76472912586"/>
    <n v="285260"/>
    <n v="17.399999999999999"/>
    <n v="28.4"/>
    <n v="44.9"/>
    <s v=""/>
    <s v=""/>
    <n v="17.399999999999999"/>
    <s v="D"/>
    <n v="25.1"/>
    <n v="48.5"/>
    <n v="50"/>
    <s v=""/>
    <s v=""/>
    <n v="25.1"/>
    <n v="7.7000000000000028"/>
    <n v="4"/>
    <n v="9.0399999999999991"/>
    <n v="5.9659237821985966"/>
    <n v="6.7414938738844139"/>
    <n v="42314.063520113334"/>
    <n v="252442.47787610622"/>
    <n v="7.8"/>
    <n v="285260"/>
    <n v="285260"/>
    <n v="0"/>
    <s v=""/>
    <s v="1988"/>
    <s v="HA-MD 7A1.462N"/>
  </r>
  <r>
    <s v="eGIS Link"/>
    <n v="120"/>
    <s v="NorthBound Visi-Data"/>
    <s v="40393"/>
    <n v="2017"/>
    <n v="4"/>
    <x v="14"/>
    <s v="HA"/>
    <s v="HA-US 1"/>
    <s v="16.85-17.95(N)"/>
    <s v="US"/>
    <s v="1"/>
    <s v=""/>
    <n v="16.850000000000001"/>
    <n v="17.95"/>
    <s v="N"/>
    <s v="BERKLEY RD"/>
    <s v="MAIN ST"/>
    <n v="2"/>
    <n v="2.2000000000000002"/>
    <s v="UNDIVIDED"/>
    <s v="URBAN"/>
    <s v="NON-IS"/>
    <n v="2"/>
    <s v="F"/>
    <n v="83.7"/>
    <n v="83.3"/>
    <n v="96.7"/>
    <n v="94.6"/>
    <n v="97.4"/>
    <n v="0.12"/>
    <n v="54"/>
    <n v="132.27000000000001"/>
    <n v="132.27000000000001"/>
    <n v="86.974999999999994"/>
    <n v="87.2"/>
    <n v="86.9"/>
    <n v="0.2"/>
    <n v="35"/>
    <n v="88.66"/>
    <n v="88.66"/>
    <n v="100"/>
    <n v="100"/>
    <n v="100"/>
    <n v="0.17"/>
    <n v="49"/>
    <x v="5"/>
    <m/>
    <s v="Preventive Maintenance"/>
    <n v="73156.406802719139"/>
    <n v="47706.593197280861"/>
    <n v="120863"/>
    <n v="19.5"/>
    <n v="50"/>
    <n v="50"/>
    <s v=""/>
    <s v=""/>
    <n v="19.5"/>
    <s v="D"/>
    <n v="30.8"/>
    <n v="50"/>
    <n v="50"/>
    <s v=""/>
    <s v=""/>
    <n v="30.8"/>
    <n v="11.3"/>
    <n v="4"/>
    <n v="24.860000000000003"/>
    <n v="8.4268673423555178"/>
    <n v="18.539108153182141"/>
    <n v="6519.3535202098974"/>
    <n v="54937.727272727265"/>
    <n v="11.3"/>
    <n v="120863"/>
    <n v="120863"/>
    <n v="0"/>
    <s v=""/>
    <s v="2005"/>
    <s v="HA-US 116.8517.95N"/>
  </r>
  <r>
    <s v="eGIS Link"/>
    <n v="80"/>
    <s v="SouthBound Visi-Data"/>
    <s v="40393"/>
    <n v="2017"/>
    <n v="4"/>
    <x v="14"/>
    <s v="HA"/>
    <s v="HA-US 1"/>
    <s v="0-1.2(S)"/>
    <s v="US"/>
    <s v="1"/>
    <s v=""/>
    <n v="0"/>
    <n v="1.2"/>
    <s v="S"/>
    <s v="BALTIMORE CO/L"/>
    <s v="WILGIS RD"/>
    <n v="4.0999999999999996"/>
    <n v="4.92"/>
    <s v="UNDIVIDED"/>
    <s v="URBAN"/>
    <s v="NON-IS"/>
    <n v="2"/>
    <s v="FCJ"/>
    <n v="91.03"/>
    <n v="104.41"/>
    <n v="100"/>
    <n v="99.9"/>
    <n v="100"/>
    <n v="0.18"/>
    <n v="42"/>
    <n v="154.94999999999999"/>
    <n v="154.94999999999999"/>
    <n v="86.974999999999994"/>
    <n v="87.2"/>
    <n v="86.9"/>
    <n v="0.16"/>
    <n v="37"/>
    <n v="100.82"/>
    <n v="100.82"/>
    <n v="100"/>
    <n v="100"/>
    <n v="100"/>
    <n v="0.14000000000000001"/>
    <n v="49"/>
    <x v="5"/>
    <m/>
    <s v="Preventive Maintenance"/>
    <n v="124413.64845049112"/>
    <n v="81132.35154950888"/>
    <n v="205546"/>
    <n v="15.5"/>
    <n v="50"/>
    <n v="50"/>
    <s v=""/>
    <s v=""/>
    <n v="15.5"/>
    <s v="D"/>
    <n v="27.2"/>
    <n v="50"/>
    <n v="50"/>
    <s v=""/>
    <s v=""/>
    <n v="27.2"/>
    <n v="11.7"/>
    <n v="4"/>
    <n v="57.563999999999993"/>
    <n v="8.7251635314654479"/>
    <n v="42.927804574810004"/>
    <n v="4788.1787115806574"/>
    <n v="41777.642276422768"/>
    <n v="11.8"/>
    <n v="205546"/>
    <n v="205546"/>
    <n v="0"/>
    <s v=""/>
    <s v="2008"/>
    <s v="HA-US 101.2S"/>
  </r>
  <r>
    <s v="eGIS Link"/>
    <n v="286"/>
    <s v="West Bound Visi-Data"/>
    <s v="40017"/>
    <n v="2017"/>
    <n v="4"/>
    <x v="14"/>
    <s v="HA"/>
    <s v="HA-MD 23"/>
    <s v="17.7-18.97(W)"/>
    <s v="MD"/>
    <s v="23"/>
    <s v=""/>
    <n v="17.7"/>
    <n v="18.97"/>
    <s v="W"/>
    <s v="MEADOW TREE DR"/>
    <s v="NEW PARK RD"/>
    <n v="2"/>
    <n v="2.54"/>
    <s v="UNDIVIDED"/>
    <s v="URBAN"/>
    <s v="NON-IS"/>
    <n v="7"/>
    <s v="F"/>
    <n v="92.16"/>
    <n v="104.08"/>
    <n v="97.5"/>
    <n v="97.8"/>
    <n v="97.5"/>
    <n v="0.2"/>
    <n v="52"/>
    <n v="67.260000000000005"/>
    <n v="67.260000000000005"/>
    <n v="86.974999999999994"/>
    <n v="87.2"/>
    <n v="86.9"/>
    <n v="0.15"/>
    <n v="57"/>
    <n v="54.53"/>
    <n v="54.53"/>
    <n v="100"/>
    <n v="100"/>
    <n v="100"/>
    <n v="0.13"/>
    <n v="49"/>
    <x v="5"/>
    <m/>
    <s v="Preventive Maintenance"/>
    <n v="198532.45637527676"/>
    <n v="129466.54362472324"/>
    <n v="327999"/>
    <n v="33.9"/>
    <n v="50"/>
    <n v="50"/>
    <s v=""/>
    <s v=""/>
    <n v="33.9"/>
    <s v="B"/>
    <n v="37.200000000000003"/>
    <n v="50"/>
    <n v="50"/>
    <s v=""/>
    <s v=""/>
    <n v="37.200000000000003"/>
    <n v="4"/>
    <n v="4"/>
    <n v="20.32"/>
    <n v="5.9659237821985966"/>
    <n v="15.153446406784436"/>
    <n v="21645.175044348307"/>
    <n v="129133.46456692913"/>
    <n v="3.3"/>
    <n v="327999"/>
    <n v="327999"/>
    <n v="0"/>
    <s v=""/>
    <s v="1990"/>
    <s v="HA-MD 2317.718.97W"/>
  </r>
  <r>
    <s v="eGIS Link"/>
    <n v="402"/>
    <s v="SouthBound Visi-Data"/>
    <s v="40342"/>
    <n v="2017"/>
    <n v="4"/>
    <x v="14"/>
    <s v="HA"/>
    <s v="HA-US 40 RP2-11"/>
    <s v="0-0.2(S)"/>
    <s v="US"/>
    <s v="40"/>
    <s v=""/>
    <n v="0"/>
    <n v="0.2"/>
    <s v="S"/>
    <s v=""/>
    <s v=""/>
    <n v="1"/>
    <n v="0.2"/>
    <s v="UNDIVIDED"/>
    <s v="URBAN"/>
    <s v="NON-IS"/>
    <n v="14"/>
    <s v="F"/>
    <s v=""/>
    <s v=""/>
    <s v=""/>
    <s v=""/>
    <s v=""/>
    <s v=""/>
    <s v=""/>
    <n v="95.98"/>
    <n v="95.98"/>
    <n v="86.45"/>
    <n v="83.6"/>
    <n v="87.4"/>
    <n v="0.14000000000000001"/>
    <n v="43"/>
    <n v="70.239999999999995"/>
    <n v="70.239999999999995"/>
    <n v="100"/>
    <n v="100"/>
    <n v="100"/>
    <n v="0.12"/>
    <n v="49"/>
    <x v="5"/>
    <m/>
    <s v="Preventive Maintenance"/>
    <n v="222115.52085197801"/>
    <n v="144845.47914802199"/>
    <n v="366961"/>
    <n v="17.7"/>
    <n v="37.6"/>
    <n v="46.9"/>
    <s v=""/>
    <s v=""/>
    <n v="17.7"/>
    <s v="D"/>
    <n v="22.8"/>
    <n v="47.1"/>
    <n v="50"/>
    <s v=""/>
    <s v=""/>
    <n v="22.8"/>
    <n v="5.1000000000000014"/>
    <n v="4"/>
    <n v="1.6"/>
    <n v="5.9659237821985966"/>
    <n v="1.1931847564397193"/>
    <n v="307547.50931863685"/>
    <n v="1834805"/>
    <n v="5.0999999999999996"/>
    <n v="366961"/>
    <n v="366961"/>
    <n v="0"/>
    <s v=""/>
    <s v=""/>
    <s v="HA-US 40 RP2-1100.2S"/>
  </r>
  <r>
    <s v="eGIS Link"/>
    <n v="115"/>
    <s v="NorthBound Visi-Data"/>
    <s v="40053"/>
    <n v="2017"/>
    <n v="4"/>
    <x v="14"/>
    <s v="HA"/>
    <s v="HA-MD 924"/>
    <s v="4.81-5.93(N)"/>
    <s v="MD"/>
    <s v="924"/>
    <s v=""/>
    <n v="4.8099999999999996"/>
    <n v="5.93"/>
    <s v="N"/>
    <s v="ENT TO WAKE FOREST ELEM SCHOOL"/>
    <s v="GORDON ST"/>
    <n v="2.4"/>
    <n v="2.69"/>
    <s v="UNDIVIDED"/>
    <s v="URBAN"/>
    <s v="NON-IS"/>
    <n v="16"/>
    <s v="F"/>
    <n v="189.14"/>
    <n v="233.35"/>
    <s v=""/>
    <s v=""/>
    <s v=""/>
    <n v="0.19"/>
    <n v="42"/>
    <n v="126.03"/>
    <n v="126.03"/>
    <n v="88.575000000000003"/>
    <n v="91.2"/>
    <n v="87.7"/>
    <n v="0.16"/>
    <n v="47"/>
    <n v="85.22"/>
    <n v="85.22"/>
    <n v="100"/>
    <n v="100"/>
    <n v="100"/>
    <n v="0.14000000000000001"/>
    <n v="49"/>
    <x v="5"/>
    <m/>
    <s v="Preventive Maintenance"/>
    <n v="78209.92061915512"/>
    <n v="51002.07938084488"/>
    <n v="129212"/>
    <n v="21.8"/>
    <n v="50"/>
    <n v="50"/>
    <s v=""/>
    <s v=""/>
    <n v="21.8"/>
    <s v="C"/>
    <n v="31.9"/>
    <n v="50"/>
    <n v="50"/>
    <s v=""/>
    <s v=""/>
    <n v="31.9"/>
    <n v="10.099999999999998"/>
    <n v="4"/>
    <n v="27.168999999999993"/>
    <n v="7.5319787750257268"/>
    <n v="20.261022904819203"/>
    <n v="6377.3680434103926"/>
    <n v="48034.200743494424"/>
    <n v="10.199999999999999"/>
    <n v="129212"/>
    <n v="129212"/>
    <n v="0"/>
    <s v=""/>
    <s v="2012"/>
    <s v="HA-MD 9244.815.93N"/>
  </r>
  <r>
    <s v="eGIS Link"/>
    <n v="284"/>
    <s v="West Bound Visi-Data"/>
    <s v="40011"/>
    <n v="2017"/>
    <n v="4"/>
    <x v="14"/>
    <s v="HA"/>
    <s v="HA-MD 7"/>
    <s v="8.25-9.03(W)"/>
    <s v="MD"/>
    <s v="7"/>
    <s v=""/>
    <n v="8.25"/>
    <n v="9.0299999999999994"/>
    <s v="W"/>
    <s v="RIVERSIDE PKWY/CRESWELL RD"/>
    <s v="BRISTOL FOREST DR"/>
    <n v="2.5"/>
    <n v="1.95"/>
    <s v="DIVIDED"/>
    <s v="RURAL"/>
    <s v="NON-IS"/>
    <n v="16"/>
    <s v="F"/>
    <n v="151.35"/>
    <n v="112.56"/>
    <n v="96.2"/>
    <n v="97.5"/>
    <n v="95.8"/>
    <n v="0.16"/>
    <n v="47"/>
    <n v="155.77000000000001"/>
    <n v="155.77000000000001"/>
    <n v="87.224999999999994"/>
    <n v="86.1"/>
    <n v="87.6"/>
    <n v="0.16"/>
    <n v="50"/>
    <n v="100.79"/>
    <n v="100.79"/>
    <n v="100"/>
    <n v="100"/>
    <n v="100"/>
    <n v="0.14000000000000001"/>
    <n v="49"/>
    <x v="5"/>
    <m/>
    <s v="Preventive Maintenance"/>
    <n v="367164.95342323248"/>
    <n v="106323.04657676752"/>
    <n v="473488"/>
    <n v="20.7"/>
    <n v="50"/>
    <n v="48.8"/>
    <s v=""/>
    <s v=""/>
    <n v="20.7"/>
    <s v="C"/>
    <n v="36.1"/>
    <n v="50"/>
    <n v="50"/>
    <s v=""/>
    <s v=""/>
    <n v="36.1"/>
    <n v="15.400000000000002"/>
    <n v="4"/>
    <n v="30.030000000000005"/>
    <n v="11.4844032807323"/>
    <n v="22.394586397427986"/>
    <n v="21142.966947332414"/>
    <n v="242814.35897435897"/>
    <n v="15.4"/>
    <n v="473488"/>
    <n v="473488"/>
    <n v="0"/>
    <s v=""/>
    <s v="2001"/>
    <s v="HA-MD 78.259.03W"/>
  </r>
  <r>
    <s v="eGIS Link"/>
    <n v="398"/>
    <s v="West Bound Visi-Data"/>
    <s v="40346"/>
    <n v="2017"/>
    <n v="4"/>
    <x v="14"/>
    <s v="HA"/>
    <s v="HA-US 40 RP2-14"/>
    <s v="0-0.17(W)"/>
    <s v="US"/>
    <s v="40"/>
    <s v=""/>
    <n v="0"/>
    <n v="0.17"/>
    <s v="W"/>
    <s v=""/>
    <s v=""/>
    <n v="1"/>
    <n v="0.17"/>
    <s v="UNDIVIDED"/>
    <s v="URBAN"/>
    <s v="NON-IS"/>
    <n v="14"/>
    <s v=""/>
    <s v=""/>
    <s v=""/>
    <s v=""/>
    <s v=""/>
    <s v=""/>
    <s v=""/>
    <s v=""/>
    <n v="91.1"/>
    <n v="91.1"/>
    <n v="90.025000000000006"/>
    <n v="83.8"/>
    <n v="92.1"/>
    <n v="0.13"/>
    <n v="47"/>
    <n v="67.63"/>
    <n v="67.63"/>
    <n v="100"/>
    <n v="100"/>
    <n v="100"/>
    <n v="0.11"/>
    <n v="49"/>
    <x v="5"/>
    <m/>
    <s v="Preventive Maintenance"/>
    <n v="177115.09706508744"/>
    <n v="115499.90293491256"/>
    <n v="292615"/>
    <n v="18.7"/>
    <n v="37.700000000000003"/>
    <n v="50"/>
    <s v=""/>
    <s v=""/>
    <n v="18.7"/>
    <s v="D"/>
    <n v="23.4"/>
    <n v="47.1"/>
    <n v="50"/>
    <s v=""/>
    <s v=""/>
    <n v="23.4"/>
    <n v="4.6999999999999993"/>
    <n v="4"/>
    <n v="1.36"/>
    <n v="5.9659237821985966"/>
    <n v="1.0142070429737615"/>
    <n v="288516.04021800333"/>
    <n v="1721264.7058823528"/>
    <n v="4.7"/>
    <n v="292615"/>
    <n v="292615"/>
    <n v="0"/>
    <s v=""/>
    <s v=""/>
    <s v="HA-US 40 RP2-1400.17W"/>
  </r>
  <r>
    <s v="eGIS Link"/>
    <n v="76"/>
    <s v="SouthBound Visi-Data"/>
    <s v="40026"/>
    <n v="2017"/>
    <n v="4"/>
    <x v="14"/>
    <s v="HA"/>
    <s v="HA-MD 136"/>
    <s v="3.96-6.19(S)"/>
    <s v="MD"/>
    <s v="136"/>
    <s v=""/>
    <n v="3.96"/>
    <n v="6.19"/>
    <s v="S"/>
    <s v="STRUC #12034 JAMES RUN"/>
    <s v="CHURCHVILLE RD"/>
    <n v="2.1"/>
    <n v="4.68"/>
    <s v="UNDIVIDED"/>
    <s v="RURAL"/>
    <s v="NON-IS"/>
    <n v="7"/>
    <s v="F"/>
    <n v="108.09"/>
    <n v="126.94"/>
    <n v="89.5"/>
    <n v="95.2"/>
    <n v="87.6"/>
    <n v="0.12"/>
    <n v="54"/>
    <n v="102.29"/>
    <n v="102.29"/>
    <n v="87.224999999999994"/>
    <n v="86.1"/>
    <n v="87.6"/>
    <n v="0.16"/>
    <n v="51"/>
    <n v="72.319999999999993"/>
    <n v="72.319999999999993"/>
    <n v="100"/>
    <n v="100"/>
    <n v="100"/>
    <n v="0.14000000000000001"/>
    <n v="49"/>
    <x v="5"/>
    <m/>
    <s v="Preventive Maintenance"/>
    <n v="142975.40757583879"/>
    <n v="41402.592424161208"/>
    <n v="184378"/>
    <n v="36.299999999999997"/>
    <n v="50"/>
    <n v="48.8"/>
    <s v=""/>
    <s v=""/>
    <n v="36.299999999999997"/>
    <s v="B"/>
    <n v="47.9"/>
    <n v="50"/>
    <n v="50"/>
    <s v=""/>
    <s v=""/>
    <n v="47.9"/>
    <n v="11.600000000000001"/>
    <n v="4"/>
    <n v="54.288000000000004"/>
    <n v="8.6505894841879662"/>
    <n v="40.484758785999681"/>
    <n v="4554.2570964696242"/>
    <n v="39397.008547008547"/>
    <n v="11.5"/>
    <n v="184378"/>
    <n v="184378"/>
    <n v="0"/>
    <s v=""/>
    <s v="2002"/>
    <s v="HA-MD 1363.966.19S"/>
  </r>
  <r>
    <s v="eGIS Link"/>
    <n v="174"/>
    <s v="EastBound Visi-Data"/>
    <s v="40013"/>
    <n v="2017"/>
    <n v="4"/>
    <x v="14"/>
    <s v="HA"/>
    <s v="HA-MD 22"/>
    <s v="5.6-9.25(E)"/>
    <s v="MD"/>
    <s v="22"/>
    <s v=""/>
    <n v="5.6"/>
    <n v="9.25"/>
    <s v="E"/>
    <s v="GLENVILLE RD"/>
    <s v="ALDINO STEPNEY RD"/>
    <n v="2.2999999999999998"/>
    <n v="8.4"/>
    <s v="UNDIVIDED"/>
    <s v="RURAL"/>
    <s v="NON-IS"/>
    <n v="2"/>
    <s v="F"/>
    <n v="59.11"/>
    <n v="61.49"/>
    <n v="92.5"/>
    <n v="95.7"/>
    <n v="91.5"/>
    <n v="0.19"/>
    <n v="50"/>
    <n v="146.44999999999999"/>
    <n v="146.44999999999999"/>
    <n v="79.875"/>
    <n v="78.900000000000006"/>
    <n v="80.2"/>
    <n v="0.14000000000000001"/>
    <n v="44"/>
    <n v="96.05"/>
    <n v="96.05"/>
    <n v="100"/>
    <n v="100"/>
    <n v="100"/>
    <n v="0.12"/>
    <n v="49"/>
    <x v="5"/>
    <m/>
    <s v="Preventive Maintenance"/>
    <n v="620146.85455862642"/>
    <n v="179581.14544137358"/>
    <n v="799728"/>
    <n v="16.5"/>
    <n v="19.5"/>
    <n v="24.6"/>
    <s v=""/>
    <s v=""/>
    <n v="16.5"/>
    <s v="D"/>
    <n v="29.9"/>
    <n v="43.9"/>
    <n v="42.1"/>
    <s v=""/>
    <s v=""/>
    <n v="29.9"/>
    <n v="13.399999999999999"/>
    <n v="4"/>
    <n v="112.55999999999999"/>
    <n v="9.9929223351826479"/>
    <n v="83.940547615534243"/>
    <n v="9527.314542465534"/>
    <n v="95205.714285714275"/>
    <n v="13.4"/>
    <n v="799728"/>
    <n v="799728"/>
    <n v="0"/>
    <s v=""/>
    <s v="2009"/>
    <s v="HA-MD 225.69.25E"/>
  </r>
  <r>
    <s v="eGIS Link"/>
    <n v="285"/>
    <s v="SouthBound Visi-Data"/>
    <s v="40026"/>
    <n v="2017"/>
    <n v="4"/>
    <x v="14"/>
    <s v="HA"/>
    <s v="HA-MD 136"/>
    <s v="11.81-12.8(S)"/>
    <s v="MD"/>
    <s v="136"/>
    <s v=""/>
    <n v="11.81"/>
    <n v="12.8"/>
    <s v="S"/>
    <s v="CONOWINGO RD"/>
    <s v="DUBLIN SCHOOL RD"/>
    <n v="2.1"/>
    <n v="2.08"/>
    <s v="UNDIVIDED"/>
    <s v="RURAL"/>
    <s v="NON-IS"/>
    <n v="6"/>
    <s v="F"/>
    <n v="115.21"/>
    <n v="99.71"/>
    <n v="66.400000000000006"/>
    <n v="87.1"/>
    <n v="59.4"/>
    <n v="0.22"/>
    <n v="56"/>
    <n v="96.9"/>
    <n v="96.9"/>
    <n v="87.224999999999994"/>
    <n v="86.1"/>
    <n v="87.6"/>
    <n v="0.08"/>
    <n v="51"/>
    <n v="69.510000000000005"/>
    <n v="69.510000000000005"/>
    <n v="100"/>
    <n v="100"/>
    <n v="100"/>
    <n v="7.0000000000000007E-2"/>
    <n v="49"/>
    <x v="5"/>
    <m/>
    <s v="Preventive Maintenance"/>
    <n v="282211.60865561682"/>
    <n v="81722.391344383184"/>
    <n v="363934"/>
    <n v="35.700000000000003"/>
    <n v="50"/>
    <n v="48.8"/>
    <s v=""/>
    <s v=""/>
    <n v="35.700000000000003"/>
    <s v="B"/>
    <n v="46.6"/>
    <n v="50"/>
    <n v="50"/>
    <s v=""/>
    <s v=""/>
    <n v="46.6"/>
    <n v="10.899999999999999"/>
    <n v="4"/>
    <n v="22.671999999999997"/>
    <n v="8.128571153245586"/>
    <n v="16.907427998750819"/>
    <n v="21525.095362043758"/>
    <n v="174968.26923076922"/>
    <n v="10.9"/>
    <n v="363934"/>
    <n v="363934"/>
    <n v="0"/>
    <s v=""/>
    <s v="2001"/>
    <s v="HA-MD 13611.8112.8S"/>
  </r>
  <r>
    <s v="eGIS Link"/>
    <n v="51"/>
    <s v="SouthBound Visi-Data"/>
    <s v="40040"/>
    <n v="2017"/>
    <n v="4"/>
    <x v="14"/>
    <s v="HA"/>
    <s v="HA-MD 165"/>
    <s v="6.8-9.8(S)"/>
    <s v="MD"/>
    <s v="165"/>
    <s v=""/>
    <n v="6.8"/>
    <n v="9.8000000000000007"/>
    <s v="S"/>
    <s v="W JARRETTSVILLE RD"/>
    <s v="TWIN OAKS RD"/>
    <n v="2.2999999999999998"/>
    <n v="6.9"/>
    <s v="UNDIVIDED"/>
    <s v="RURAL"/>
    <s v="NON-IS"/>
    <n v="6"/>
    <s v="FCJ"/>
    <n v="146.43"/>
    <n v="132"/>
    <s v=""/>
    <s v=""/>
    <s v=""/>
    <n v="0.16"/>
    <n v="47"/>
    <n v="140.4"/>
    <n v="140.4"/>
    <n v="87.224999999999994"/>
    <n v="86.1"/>
    <n v="87.6"/>
    <n v="0.17"/>
    <n v="52"/>
    <n v="92.55"/>
    <n v="92.55"/>
    <n v="100"/>
    <n v="100"/>
    <n v="100"/>
    <n v="0.14000000000000001"/>
    <n v="49"/>
    <x v="5"/>
    <m/>
    <s v="Preventive Maintenance"/>
    <n v="185145.00286042638"/>
    <n v="53613.997139573621"/>
    <n v="238759"/>
    <n v="22.2"/>
    <n v="50"/>
    <n v="48.8"/>
    <s v=""/>
    <s v=""/>
    <n v="22.2"/>
    <s v="C"/>
    <n v="36.6"/>
    <n v="50"/>
    <n v="50"/>
    <s v=""/>
    <s v=""/>
    <n v="36.6"/>
    <n v="14.400000000000002"/>
    <n v="4"/>
    <n v="99.360000000000014"/>
    <n v="10.738662807957477"/>
    <n v="74.09677337490659"/>
    <n v="3222.2590691224009"/>
    <n v="34602.753623188401"/>
    <n v="14.4"/>
    <n v="238759"/>
    <n v="238759"/>
    <n v="0"/>
    <s v=""/>
    <s v="1985"/>
    <s v="HA-MD 1656.89.8S"/>
  </r>
  <r>
    <s v="eGIS Link"/>
    <n v="405"/>
    <s v="NorthBound Visi-Data"/>
    <s v="40031"/>
    <n v="2017"/>
    <n v="4"/>
    <x v="14"/>
    <s v="HA"/>
    <s v="HA-MD 152A"/>
    <s v="0-0.09(N)"/>
    <s v="MD"/>
    <s v="152"/>
    <s v="A"/>
    <n v="0"/>
    <n v="0.09"/>
    <s v="N"/>
    <s v=""/>
    <s v=""/>
    <n v="2"/>
    <n v="0.18"/>
    <s v="UNDIVIDED"/>
    <s v="URBAN"/>
    <s v="NON-IS"/>
    <n v="9"/>
    <s v=""/>
    <n v="429.42"/>
    <s v=""/>
    <s v=""/>
    <s v=""/>
    <s v=""/>
    <s v=""/>
    <s v=""/>
    <n v="63.84"/>
    <n v="63.84"/>
    <n v="92.45"/>
    <n v="94.1"/>
    <n v="91.9"/>
    <n v="0.15"/>
    <n v="49"/>
    <n v="52.76"/>
    <n v="52.76"/>
    <n v="100"/>
    <n v="100"/>
    <n v="100"/>
    <n v="0.13"/>
    <n v="49"/>
    <x v="5"/>
    <m/>
    <s v="Preventive Maintenance"/>
    <n v="213091.34580236202"/>
    <n v="138960.65419763798"/>
    <n v="352052"/>
    <n v="35.299999999999997"/>
    <n v="50"/>
    <n v="50"/>
    <s v=""/>
    <s v=""/>
    <n v="35.299999999999997"/>
    <s v="B"/>
    <n v="38"/>
    <n v="50"/>
    <n v="50"/>
    <s v=""/>
    <s v=""/>
    <n v="38"/>
    <n v="4"/>
    <n v="4"/>
    <n v="1.44"/>
    <n v="5.9659237821985966"/>
    <n v="1.0738662807957473"/>
    <n v="327835.975759594"/>
    <n v="1955844.4444444445"/>
    <n v="2.7"/>
    <n v="352052"/>
    <n v="352052"/>
    <n v="0"/>
    <s v=""/>
    <s v=""/>
    <s v="HA-MD 152A00.09N"/>
  </r>
  <r>
    <s v="eGIS Link"/>
    <n v="271"/>
    <s v="SouthBound Visi-Data"/>
    <s v="20041"/>
    <n v="2017"/>
    <n v="4"/>
    <x v="15"/>
    <s v="BA"/>
    <s v="BA-MD 695"/>
    <s v="6.5-8.75(S)"/>
    <s v="MD"/>
    <s v="695"/>
    <s v=""/>
    <n v="6.5"/>
    <n v="8.75"/>
    <s v="S"/>
    <s v="STRUC #3248"/>
    <s v="END BR"/>
    <n v="2"/>
    <n v="4.5"/>
    <s v="DIVIDED"/>
    <s v="URBAN"/>
    <s v="NON-IS"/>
    <n v="12"/>
    <s v="F"/>
    <n v="77.22"/>
    <n v="72.84"/>
    <s v=""/>
    <s v=""/>
    <s v=""/>
    <n v="0.14000000000000001"/>
    <n v="48"/>
    <n v="82.46"/>
    <n v="82.46"/>
    <n v="88.65"/>
    <n v="88.8"/>
    <n v="88.6"/>
    <n v="0.14000000000000001"/>
    <n v="46"/>
    <n v="84.61"/>
    <n v="84.61"/>
    <n v="90.25"/>
    <n v="90.4"/>
    <n v="90.2"/>
    <n v="0.14000000000000001"/>
    <n v="46"/>
    <x v="6"/>
    <m/>
    <s v="Preventive Maintenance"/>
    <n v="156655.90189089259"/>
    <n v="102158.09810910741"/>
    <n v="258814"/>
    <n v="37.200000000000003"/>
    <n v="29.7"/>
    <n v="29.4"/>
    <s v=""/>
    <s v=""/>
    <n v="29.4"/>
    <s v="C"/>
    <n v="36.9"/>
    <n v="32.4"/>
    <n v="32.4"/>
    <s v=""/>
    <s v=""/>
    <n v="32.4"/>
    <n v="3"/>
    <n v="2"/>
    <n v="18"/>
    <n v="2.9829618910992983"/>
    <n v="13.423328509946842"/>
    <n v="19280.910826865023"/>
    <n v="57514.222222222219"/>
    <n v="3"/>
    <n v="258814"/>
    <n v="258814"/>
    <n v="0"/>
    <s v=""/>
    <s v="2003"/>
    <s v="BA-MD 6956.58.75S"/>
  </r>
  <r>
    <s v="eGIS Link"/>
    <n v="309"/>
    <s v="SouthBound Visi-Data"/>
    <s v="20041"/>
    <n v="2017"/>
    <n v="4"/>
    <x v="15"/>
    <s v="BA"/>
    <s v="BA-MD 695"/>
    <s v="8.75-9.223(S)"/>
    <s v="MD"/>
    <s v="695"/>
    <s v=""/>
    <n v="8.75"/>
    <n v="9.2230000000000008"/>
    <s v="S"/>
    <s v="RAMP 2 FR MD 151 TO MD 695"/>
    <s v="END BR"/>
    <n v="2"/>
    <n v="0.94"/>
    <s v="DIVIDED"/>
    <s v="URBAN"/>
    <s v="NON-IS"/>
    <n v="12"/>
    <s v="RC"/>
    <n v="148.69"/>
    <n v="116.33"/>
    <s v=""/>
    <s v=""/>
    <s v=""/>
    <n v="0.21"/>
    <n v="54"/>
    <n v="137.79"/>
    <n v="137.79"/>
    <n v="88.525000000000006"/>
    <n v="87.1"/>
    <n v="89"/>
    <n v="0.21"/>
    <n v="54"/>
    <n v="74.3"/>
    <n v="74.3"/>
    <n v="87.825000000000003"/>
    <n v="86.4"/>
    <n v="88.3"/>
    <n v="0.21"/>
    <n v="54"/>
    <x v="3"/>
    <m/>
    <s v="Preventive Maintenance"/>
    <n v="286325.83420555072"/>
    <n v="186718.16579444928"/>
    <n v="473044"/>
    <n v="8.9"/>
    <n v="50"/>
    <n v="35.200000000000003"/>
    <s v=""/>
    <s v=""/>
    <n v="8.9"/>
    <s v="E"/>
    <n v="32.9"/>
    <n v="50"/>
    <n v="35.200000000000003"/>
    <s v=""/>
    <s v=""/>
    <n v="32.9"/>
    <n v="24"/>
    <n v="5"/>
    <n v="22.56"/>
    <n v="17.897771346595789"/>
    <n v="16.823905065800041"/>
    <n v="28117.372164778379"/>
    <n v="503238.29787234048"/>
    <n v="23.9"/>
    <n v="473044"/>
    <n v="473044"/>
    <n v="0"/>
    <s v=""/>
    <s v="1998"/>
    <s v="BA-MD 6958.759.223S"/>
  </r>
  <r>
    <s v="eGIS Link"/>
    <n v="9"/>
    <s v="NorthBound Visi-Data"/>
    <s v="21436"/>
    <n v="2017"/>
    <n v="4"/>
    <x v="15"/>
    <s v="BA"/>
    <s v="BA-US 1"/>
    <s v="22.2-23.25(N)"/>
    <s v="US"/>
    <s v="1"/>
    <s v=""/>
    <n v="22.2"/>
    <n v="23.25"/>
    <s v="N"/>
    <s v="ENT TO PARK &amp; RIDE"/>
    <s v="SHERADALE DR"/>
    <n v="2.5"/>
    <n v="2.62"/>
    <s v="DIVIDED"/>
    <s v="RURAL"/>
    <s v="NON-IS"/>
    <n v="2"/>
    <s v="F"/>
    <n v="64.5"/>
    <n v="64.14"/>
    <n v="85.1"/>
    <n v="81.900000000000006"/>
    <n v="86.1"/>
    <n v="0.12"/>
    <n v="49"/>
    <n v="69.36"/>
    <n v="69.36"/>
    <n v="83.125"/>
    <n v="82"/>
    <n v="83.5"/>
    <n v="0.12"/>
    <n v="47"/>
    <n v="71.95"/>
    <n v="71.95"/>
    <n v="83.375"/>
    <n v="84.8"/>
    <n v="82.9"/>
    <n v="0.12"/>
    <n v="45"/>
    <x v="0"/>
    <m/>
    <s v="Preventive Maintenance"/>
    <n v="3895.0713873316681"/>
    <n v="1127.9286126683319"/>
    <n v="5023"/>
    <n v="35.5"/>
    <n v="28.1"/>
    <n v="31.7"/>
    <s v=""/>
    <s v=""/>
    <n v="28.1"/>
    <s v="C"/>
    <n v="35.1"/>
    <n v="31.6"/>
    <n v="31.7"/>
    <s v=""/>
    <s v=""/>
    <n v="31.6"/>
    <n v="3.5"/>
    <n v="1"/>
    <n v="9.17"/>
    <n v="2.6100916547118862"/>
    <n v="6.8384401353451425"/>
    <n v="734.5242336827863"/>
    <n v="1917.175572519084"/>
    <n v="3.5"/>
    <n v="5023"/>
    <n v="5023"/>
    <n v="0"/>
    <s v=""/>
    <s v="2000"/>
    <s v="BA-US 122.223.25N"/>
  </r>
  <r>
    <s v="eGIS Link"/>
    <n v="300"/>
    <s v="West Bound Visi-Data"/>
    <s v="19995"/>
    <n v="2017"/>
    <n v="4"/>
    <x v="15"/>
    <s v="BA"/>
    <s v="BA-MD 43"/>
    <s v="0-3.61(W)"/>
    <s v="MD"/>
    <s v="43"/>
    <s v=""/>
    <n v="0"/>
    <n v="3.61"/>
    <s v="W"/>
    <s v="BALTO BELTWAY"/>
    <s v="HONEYGO BLVD"/>
    <n v="2.2000000000000002"/>
    <n v="7.94"/>
    <s v="DIVIDED"/>
    <s v="URBAN"/>
    <s v="NON-IS"/>
    <n v="12"/>
    <s v="F"/>
    <n v="89.79"/>
    <n v="73.7"/>
    <n v="99.3"/>
    <n v="99.2"/>
    <n v="99.3"/>
    <n v="0.15"/>
    <n v="52"/>
    <n v="80.23"/>
    <n v="80.23"/>
    <n v="93.55"/>
    <n v="92.2"/>
    <n v="94"/>
    <n v="0.15"/>
    <n v="52"/>
    <n v="51.59"/>
    <n v="51.59"/>
    <n v="100"/>
    <n v="100"/>
    <n v="100"/>
    <n v="0.08"/>
    <n v="49"/>
    <x v="1"/>
    <m/>
    <s v="Minor Rehabilitation"/>
    <n v="1028597.9766041122"/>
    <n v="670767.02339588781"/>
    <n v="1699365"/>
    <n v="31.4"/>
    <n v="32.799999999999997"/>
    <n v="35.799999999999997"/>
    <s v=""/>
    <s v=""/>
    <n v="31.4"/>
    <s v="B"/>
    <n v="50"/>
    <n v="40"/>
    <n v="42.4"/>
    <s v=""/>
    <s v=""/>
    <n v="40"/>
    <n v="8.6000000000000014"/>
    <n v="6"/>
    <n v="95.28"/>
    <n v="8.9488856732978945"/>
    <n v="71.054152245985293"/>
    <n v="23916.477028913079"/>
    <n v="214025.81863979847"/>
    <n v="8.6999999999999993"/>
    <n v="1699365"/>
    <n v="1699365"/>
    <n v="0"/>
    <s v=""/>
    <s v="2006"/>
    <s v="BA-MD 4303.61W"/>
  </r>
  <r>
    <s v="eGIS Link"/>
    <n v="267"/>
    <s v="NorthBound Visi-Data"/>
    <s v="20023"/>
    <n v="2017"/>
    <n v="4"/>
    <x v="15"/>
    <s v="BA"/>
    <s v="BA-MD 147"/>
    <s v="9.22-10.69(N)"/>
    <s v="MD"/>
    <s v="147"/>
    <s v=""/>
    <n v="9.2200000000000006"/>
    <n v="10.69"/>
    <s v="N"/>
    <s v="FORK RD"/>
    <s v="HARFORD CO/L"/>
    <n v="2"/>
    <n v="2.94"/>
    <s v="UNDIVIDED"/>
    <s v="RURAL"/>
    <s v="NON-IS"/>
    <n v="7"/>
    <s v="FCJ"/>
    <n v="196.47"/>
    <n v="235.47"/>
    <n v="83"/>
    <n v="86.9"/>
    <n v="81.7"/>
    <n v="0.18"/>
    <n v="52"/>
    <n v="216.01"/>
    <n v="216.01"/>
    <n v="74.45"/>
    <n v="79.099999999999994"/>
    <n v="72.900000000000006"/>
    <n v="0.18"/>
    <n v="52"/>
    <n v="98.93"/>
    <n v="98.93"/>
    <n v="100"/>
    <n v="100"/>
    <n v="100"/>
    <n v="0.08"/>
    <n v="49"/>
    <x v="1"/>
    <m/>
    <s v="Minor Rehabilitation"/>
    <n v="720606.81738964468"/>
    <n v="208672.18261035532"/>
    <n v="929279"/>
    <n v="4.7"/>
    <n v="25.2"/>
    <n v="16"/>
    <s v=""/>
    <s v=""/>
    <n v="4.7"/>
    <s v="E"/>
    <n v="27.3"/>
    <n v="38.700000000000003"/>
    <n v="31.6"/>
    <s v=""/>
    <s v=""/>
    <n v="27.3"/>
    <n v="22.6"/>
    <n v="6"/>
    <n v="66.444000000000003"/>
    <n v="16.853734684711036"/>
    <n v="49.549979973050441"/>
    <n v="18754.376903995162"/>
    <n v="316081.2925170068"/>
    <n v="22.6"/>
    <n v="929279"/>
    <n v="929279"/>
    <n v="0"/>
    <s v=""/>
    <s v="1999"/>
    <s v="BA-MD 1479.2210.69N"/>
  </r>
  <r>
    <s v="eGIS Link"/>
    <n v="301"/>
    <s v="EastBound Visi-Data"/>
    <s v="19995"/>
    <n v="2017"/>
    <n v="4"/>
    <x v="15"/>
    <s v="BA"/>
    <s v="BA-MD 43"/>
    <s v="0-3.61(E)"/>
    <s v="MD"/>
    <s v="43"/>
    <s v=""/>
    <n v="0"/>
    <n v="3.61"/>
    <s v="E"/>
    <s v="BALTO BELTWAY"/>
    <s v="HONEYGO BLVD"/>
    <n v="2.2999999999999998"/>
    <n v="8.3000000000000007"/>
    <s v="DIVIDED"/>
    <s v="URBAN"/>
    <s v="NON-IS"/>
    <n v="12"/>
    <s v="F"/>
    <n v="86.63"/>
    <n v="80.37"/>
    <n v="97.3"/>
    <n v="98"/>
    <n v="97"/>
    <n v="0.14000000000000001"/>
    <n v="48"/>
    <n v="80.290000000000006"/>
    <n v="80.290000000000006"/>
    <n v="92.85"/>
    <n v="92.1"/>
    <n v="93.1"/>
    <n v="0.14000000000000001"/>
    <n v="48"/>
    <n v="51.61"/>
    <n v="51.61"/>
    <n v="100"/>
    <n v="100"/>
    <n v="100"/>
    <n v="0.08"/>
    <n v="49"/>
    <x v="1"/>
    <m/>
    <s v="Minor Rehabilitation"/>
    <n v="1075352.512624807"/>
    <n v="701256.48737519304"/>
    <n v="1776609"/>
    <n v="31.3"/>
    <n v="32.700000000000003"/>
    <n v="34.9"/>
    <s v=""/>
    <s v=""/>
    <n v="31.3"/>
    <s v="B"/>
    <n v="50"/>
    <n v="40"/>
    <n v="42.4"/>
    <s v=""/>
    <s v=""/>
    <n v="40"/>
    <n v="8.6999999999999993"/>
    <n v="6"/>
    <n v="99.600000000000009"/>
    <n v="8.9488856732978945"/>
    <n v="74.27575108837253"/>
    <n v="23919.098413238647"/>
    <n v="214049.27710843371"/>
    <n v="8.6999999999999993"/>
    <n v="1776609"/>
    <n v="1776609"/>
    <n v="0"/>
    <s v=""/>
    <s v="2006"/>
    <s v="BA-MD 4303.61E"/>
  </r>
  <r>
    <s v="eGIS Link"/>
    <n v="236"/>
    <s v="NorthBound Visi-Data"/>
    <s v="19996"/>
    <n v="2017"/>
    <n v="4"/>
    <x v="15"/>
    <s v="BA"/>
    <s v="BA-MD 45"/>
    <s v="1.86-2.85(N)"/>
    <s v="MD"/>
    <s v="45"/>
    <s v=""/>
    <n v="1.86"/>
    <n v="2.85"/>
    <s v="N"/>
    <s v="TOWSONTOWN BLVD"/>
    <s v="SPUR FR FAIRMOUNT AVE"/>
    <n v="3.2"/>
    <n v="3.16"/>
    <s v="UNDIVIDED"/>
    <s v="URBAN"/>
    <s v="NON-IS"/>
    <n v="14"/>
    <s v="FCJ"/>
    <n v="546.47"/>
    <n v="217.89"/>
    <n v="78.599999999999994"/>
    <n v="79.2"/>
    <n v="78.400000000000006"/>
    <n v="0.17"/>
    <n v="32"/>
    <n v="322.11"/>
    <n v="322.11"/>
    <n v="77.224999999999994"/>
    <n v="77.3"/>
    <n v="77.2"/>
    <n v="0.17"/>
    <n v="32"/>
    <n v="99.74"/>
    <n v="99.74"/>
    <n v="100"/>
    <n v="100"/>
    <n v="100"/>
    <n v="0.08"/>
    <n v="49"/>
    <x v="2"/>
    <m/>
    <s v="Structural Overlay"/>
    <n v="413442.67976997199"/>
    <n v="269613.32023002801"/>
    <n v="683056"/>
    <n v="0"/>
    <n v="29.8"/>
    <n v="30.2"/>
    <s v=""/>
    <s v=""/>
    <n v="0"/>
    <s v="F"/>
    <n v="20.6"/>
    <n v="47.1"/>
    <n v="50"/>
    <s v=""/>
    <s v=""/>
    <n v="20.6"/>
    <n v="20.6"/>
    <n v="6"/>
    <n v="65.096000000000004"/>
    <n v="15.362253739161387"/>
    <n v="48.544721815749988"/>
    <n v="14070.654325562276"/>
    <n v="216156.96202531643"/>
    <n v="20.6"/>
    <n v="683056"/>
    <n v="683056"/>
    <n v="0"/>
    <s v="SKID_35"/>
    <s v="2002"/>
    <s v="BA-MD 451.862.85N"/>
  </r>
  <r>
    <s v="eGIS Link"/>
    <n v="253"/>
    <s v="NorthBound Visi-Data"/>
    <s v="20041"/>
    <n v="2017"/>
    <n v="4"/>
    <x v="15"/>
    <s v="BA"/>
    <s v="BA-MD 695"/>
    <s v="0.6-1.05(N)"/>
    <s v="MD"/>
    <s v="695"/>
    <s v=""/>
    <n v="0.6"/>
    <n v="1.05"/>
    <s v="N"/>
    <s v="RAMP 1 FR MD 695 TO MD 7"/>
    <s v="END BR"/>
    <n v="3.3"/>
    <n v="1.48"/>
    <s v="DIVIDED"/>
    <s v="URBAN"/>
    <s v="NON-IS"/>
    <n v="12"/>
    <s v="FCJ"/>
    <n v="95.17"/>
    <n v="134.72999999999999"/>
    <n v="91.7"/>
    <n v="74.3"/>
    <n v="97.4"/>
    <n v="0.16"/>
    <n v="48"/>
    <n v="148.46"/>
    <n v="148.46"/>
    <n v="86.875"/>
    <n v="69.7"/>
    <n v="92.6"/>
    <n v="0.16"/>
    <n v="48"/>
    <n v="58.16"/>
    <n v="58.16"/>
    <n v="100"/>
    <n v="100"/>
    <n v="100"/>
    <n v="0.08"/>
    <n v="49"/>
    <x v="2"/>
    <m/>
    <s v="Structural Overlay"/>
    <n v="260724.75379113265"/>
    <n v="170023.24620886735"/>
    <n v="430748"/>
    <n v="4.2"/>
    <n v="4.2"/>
    <n v="50"/>
    <s v=""/>
    <s v=""/>
    <n v="4.2"/>
    <s v="E"/>
    <n v="30.2"/>
    <n v="28.2"/>
    <n v="50"/>
    <s v=""/>
    <s v=""/>
    <n v="28.2"/>
    <n v="24"/>
    <n v="6"/>
    <n v="35.519999999999996"/>
    <n v="17.897771346595789"/>
    <n v="26.488701592961768"/>
    <n v="16261.574712837293"/>
    <n v="291045.94594594598"/>
    <n v="24.1"/>
    <n v="430748"/>
    <n v="430748"/>
    <n v="0"/>
    <s v=""/>
    <s v="1996"/>
    <s v="BA-MD 6950.61.05N"/>
  </r>
  <r>
    <s v="eGIS Link"/>
    <n v="148"/>
    <s v="NorthBound Visi-Data"/>
    <s v="19996"/>
    <n v="2017"/>
    <n v="4"/>
    <x v="15"/>
    <s v="BA"/>
    <s v="BA-MD 45"/>
    <s v="0-0.85(N)"/>
    <s v="MD"/>
    <s v="45"/>
    <s v=""/>
    <n v="0"/>
    <n v="0.85"/>
    <s v="N"/>
    <s v="BALTO CITY LINE"/>
    <s v="STEVENSON LA"/>
    <n v="4"/>
    <n v="3.4"/>
    <s v="UNDIVIDED"/>
    <s v="URBAN"/>
    <s v="NON-IS"/>
    <n v="14"/>
    <s v="FCJ"/>
    <n v="161.33000000000001"/>
    <n v="110.2"/>
    <n v="69.7"/>
    <n v="79.599999999999994"/>
    <n v="66.400000000000006"/>
    <n v="0.24"/>
    <n v="40"/>
    <n v="112"/>
    <n v="112"/>
    <n v="65.95"/>
    <n v="77.5"/>
    <n v="62.1"/>
    <n v="0.24"/>
    <n v="40"/>
    <n v="51.21"/>
    <n v="51.21"/>
    <n v="100"/>
    <n v="100"/>
    <n v="100"/>
    <n v="0.12"/>
    <n v="49"/>
    <x v="2"/>
    <m/>
    <s v="Structural Overlay"/>
    <n v="295564.27969366452"/>
    <n v="192742.72030633548"/>
    <n v="488307"/>
    <n v="14.7"/>
    <n v="30.3"/>
    <n v="10.7"/>
    <s v=""/>
    <s v=""/>
    <n v="10.7"/>
    <s v="D"/>
    <n v="35.6"/>
    <n v="47.1"/>
    <n v="50"/>
    <s v=""/>
    <s v=""/>
    <n v="35.6"/>
    <n v="24.900000000000002"/>
    <n v="6"/>
    <n v="84.660000000000011"/>
    <n v="18.568937772093133"/>
    <n v="63.134388425116647"/>
    <n v="7734.4061165521271"/>
    <n v="143619.70588235295"/>
    <n v="25"/>
    <n v="488307"/>
    <n v="488307"/>
    <n v="0"/>
    <s v=""/>
    <s v="2005"/>
    <s v="BA-MD 4500.85N"/>
  </r>
  <r>
    <s v="eGIS Link"/>
    <n v="135"/>
    <s v="NorthBound Visi-Data"/>
    <s v="20028"/>
    <n v="2017"/>
    <n v="4"/>
    <x v="15"/>
    <s v="BA"/>
    <s v="BA-MD 157"/>
    <s v="0-1.23(N)"/>
    <s v="MD"/>
    <s v="157"/>
    <s v=""/>
    <n v="0"/>
    <n v="1.23"/>
    <s v="N"/>
    <s v="BETHLEHEM BLVD"/>
    <s v="BEG BR"/>
    <n v="3.4"/>
    <n v="4.18"/>
    <s v="UNDIVIDED"/>
    <s v="URBAN"/>
    <s v="NON-IS"/>
    <n v="16"/>
    <s v="F"/>
    <n v="141.44999999999999"/>
    <n v="128.55000000000001"/>
    <n v="92.6"/>
    <n v="94.4"/>
    <n v="91.9"/>
    <n v="0.15"/>
    <n v="49"/>
    <n v="151.52000000000001"/>
    <n v="151.52000000000001"/>
    <n v="87.3"/>
    <n v="90"/>
    <n v="86.4"/>
    <n v="0.15"/>
    <n v="49"/>
    <n v="99.06"/>
    <n v="99.06"/>
    <n v="100"/>
    <n v="100"/>
    <n v="100"/>
    <n v="0.13"/>
    <n v="49"/>
    <x v="5"/>
    <m/>
    <s v="Preventive Maintenance"/>
    <n v="167730.17291562763"/>
    <n v="109379.82708437237"/>
    <n v="277110"/>
    <n v="15.5"/>
    <n v="50"/>
    <n v="50"/>
    <s v=""/>
    <s v=""/>
    <n v="15.5"/>
    <s v="D"/>
    <n v="27.7"/>
    <n v="50"/>
    <n v="50"/>
    <s v=""/>
    <s v=""/>
    <n v="27.7"/>
    <n v="12.2"/>
    <n v="4"/>
    <n v="50.995999999999995"/>
    <n v="9.0980337678528596"/>
    <n v="38.029781149624952"/>
    <n v="7286.6577619717082"/>
    <n v="66294.258373205739"/>
    <n v="12.2"/>
    <n v="277110"/>
    <n v="277110"/>
    <n v="0"/>
    <s v=""/>
    <s v="2002"/>
    <s v="BA-MD 15701.23N"/>
  </r>
  <r>
    <s v="eGIS Link"/>
    <n v="191"/>
    <s v="NorthBound Visi-Data"/>
    <s v="20023"/>
    <n v="2017"/>
    <n v="4"/>
    <x v="15"/>
    <s v="BA"/>
    <s v="BA-MD 147"/>
    <s v="8.29-9.2(N)"/>
    <s v="MD"/>
    <s v="147"/>
    <s v=""/>
    <n v="8.2899999999999991"/>
    <n v="9.1999999999999993"/>
    <s v="N"/>
    <s v="MT VISTA RD"/>
    <s v="COUNTRY HILL CT"/>
    <n v="2.2000000000000002"/>
    <n v="2"/>
    <s v="UNDIVIDED"/>
    <s v="URBAN"/>
    <s v="NON-IS"/>
    <n v="16"/>
    <s v="FCJ"/>
    <n v="122.09"/>
    <n v="131.37"/>
    <n v="85.7"/>
    <n v="85.3"/>
    <n v="85.8"/>
    <n v="0.18"/>
    <n v="47"/>
    <n v="134.77000000000001"/>
    <n v="134.77000000000001"/>
    <n v="81.400000000000006"/>
    <n v="79.900000000000006"/>
    <n v="81.900000000000006"/>
    <n v="0.18"/>
    <n v="47"/>
    <n v="90.59"/>
    <n v="90.59"/>
    <n v="100"/>
    <n v="100"/>
    <n v="100"/>
    <n v="0.15"/>
    <n v="49"/>
    <x v="5"/>
    <m/>
    <s v="Preventive Maintenance"/>
    <n v="80295.123050299211"/>
    <n v="52361.876949700789"/>
    <n v="132657"/>
    <n v="15.1"/>
    <n v="36"/>
    <n v="45.1"/>
    <s v=""/>
    <s v=""/>
    <n v="15.1"/>
    <s v="D"/>
    <n v="23.5"/>
    <n v="48.5"/>
    <n v="50"/>
    <s v=""/>
    <s v=""/>
    <n v="23.5"/>
    <n v="8.4"/>
    <n v="4"/>
    <n v="16.8"/>
    <n v="6.2642199713085276"/>
    <n v="12.528439942617055"/>
    <n v="10588.469163566857"/>
    <n v="66328.5"/>
    <n v="8.4"/>
    <n v="132657"/>
    <n v="132657"/>
    <n v="0"/>
    <s v=""/>
    <s v="2010"/>
    <s v="BA-MD 1478.299.2N"/>
  </r>
  <r>
    <s v="eGIS Link"/>
    <n v="134"/>
    <s v="NorthBound Visi-Data"/>
    <s v="20028"/>
    <n v="2017"/>
    <n v="4"/>
    <x v="15"/>
    <s v="BA"/>
    <s v="BA-MD 157"/>
    <s v="1.23-2.73(N)"/>
    <s v="MD"/>
    <s v="157"/>
    <s v=""/>
    <n v="1.23"/>
    <n v="2.73"/>
    <s v="N"/>
    <s v="BEG BR"/>
    <s v="MERRITT AVE"/>
    <n v="2.7"/>
    <n v="4.05"/>
    <s v="DIVIDED"/>
    <s v="URBAN"/>
    <s v="NON-IS"/>
    <n v="16"/>
    <s v="F"/>
    <n v="148.82"/>
    <n v="147.43"/>
    <n v="99.7"/>
    <n v="98.8"/>
    <n v="100"/>
    <n v="0.16"/>
    <n v="55"/>
    <n v="154.88999999999999"/>
    <n v="154.88999999999999"/>
    <n v="92.224999999999994"/>
    <n v="93.2"/>
    <n v="91.9"/>
    <n v="0.16"/>
    <n v="55"/>
    <n v="100.89"/>
    <n v="100.89"/>
    <n v="100"/>
    <n v="100"/>
    <n v="100"/>
    <n v="0.14000000000000001"/>
    <n v="49"/>
    <x v="5"/>
    <m/>
    <s v="Preventive Maintenance"/>
    <n v="162435.75617681272"/>
    <n v="105927.24382318728"/>
    <n v="268363"/>
    <n v="14.9"/>
    <n v="50"/>
    <n v="50"/>
    <s v=""/>
    <s v=""/>
    <n v="14.9"/>
    <s v="D"/>
    <n v="27.2"/>
    <n v="50"/>
    <n v="50"/>
    <s v=""/>
    <s v=""/>
    <n v="27.2"/>
    <n v="12.299999999999999"/>
    <n v="4"/>
    <n v="49.814999999999991"/>
    <n v="9.1726078151303412"/>
    <n v="37.149061651277883"/>
    <n v="7223.9509713368125"/>
    <n v="66262.469135802472"/>
    <n v="12.3"/>
    <n v="268363"/>
    <n v="268363"/>
    <n v="0"/>
    <s v=""/>
    <s v="1997"/>
    <s v="BA-MD 1571.232.73N"/>
  </r>
  <r>
    <s v="eGIS Link"/>
    <n v="198"/>
    <s v="SouthBound Visi-Data"/>
    <s v="20025"/>
    <n v="2017"/>
    <n v="4"/>
    <x v="15"/>
    <s v="BA"/>
    <s v="BA-MD 151"/>
    <s v="4.15-5.91(S)"/>
    <s v="MD"/>
    <s v="151"/>
    <s v=""/>
    <n v="4.1500000000000004"/>
    <n v="5.91"/>
    <s v="S"/>
    <s v="SPUR FR MD 20B"/>
    <s v="STRUC #3223"/>
    <n v="2.1"/>
    <n v="3.69"/>
    <s v="DIVIDED"/>
    <s v="URBAN"/>
    <s v="NON-IS"/>
    <n v="16"/>
    <s v="F"/>
    <n v="87.13"/>
    <n v="75.28"/>
    <n v="100"/>
    <n v="100"/>
    <n v="100"/>
    <n v="0.21"/>
    <n v="59"/>
    <n v="88.53"/>
    <n v="88.53"/>
    <n v="90.95"/>
    <n v="92.9"/>
    <n v="90.3"/>
    <n v="0.21"/>
    <n v="59"/>
    <n v="65.39"/>
    <n v="65.39"/>
    <n v="100"/>
    <n v="100"/>
    <n v="100"/>
    <n v="0.18"/>
    <n v="49"/>
    <x v="5"/>
    <m/>
    <s v="Preventive Maintenance"/>
    <n v="148237.61584957127"/>
    <n v="96668.384150428727"/>
    <n v="244906"/>
    <n v="32.6"/>
    <n v="50"/>
    <n v="50"/>
    <s v=""/>
    <s v=""/>
    <n v="32.6"/>
    <s v="B"/>
    <n v="39.4"/>
    <n v="50"/>
    <n v="50"/>
    <s v=""/>
    <s v=""/>
    <n v="39.4"/>
    <n v="6.7999999999999972"/>
    <n v="4"/>
    <n v="29.52"/>
    <n v="5.9659237821985966"/>
    <n v="22.01425875631282"/>
    <n v="11124.880592664544"/>
    <n v="66370.189701897019"/>
    <n v="6.8"/>
    <n v="244906"/>
    <n v="244906"/>
    <n v="0"/>
    <s v=""/>
    <s v="2011"/>
    <s v="BA-MD 1514.155.91S"/>
  </r>
  <r>
    <s v="eGIS Link"/>
    <n v="251"/>
    <s v="EastBound Visi-Data"/>
    <s v="20024"/>
    <n v="2017"/>
    <n v="4"/>
    <x v="15"/>
    <s v="BA"/>
    <s v="BA-MD 150"/>
    <s v="6.46-6.82(E)"/>
    <s v="MD"/>
    <s v="150"/>
    <s v=""/>
    <n v="6.46"/>
    <n v="6.82"/>
    <s v="E"/>
    <s v="WILSON POINT RD"/>
    <s v="SPUR FR MD 587"/>
    <n v="2.2000000000000002"/>
    <n v="0.79"/>
    <s v="DIVIDED"/>
    <s v="URBAN"/>
    <s v="NON-IS"/>
    <n v="14"/>
    <s v="FCJ"/>
    <n v="77.37"/>
    <n v="72.11"/>
    <n v="95.6"/>
    <n v="94.6"/>
    <n v="95.9"/>
    <n v="0.2"/>
    <n v="49"/>
    <n v="88.31"/>
    <n v="88.31"/>
    <n v="88.575000000000003"/>
    <n v="86.1"/>
    <n v="89.4"/>
    <n v="0.2"/>
    <n v="49"/>
    <n v="66.14"/>
    <n v="66.14"/>
    <n v="100"/>
    <n v="100"/>
    <n v="100"/>
    <n v="0.17"/>
    <n v="49"/>
    <x v="5"/>
    <m/>
    <s v="Preventive Maintenance"/>
    <n v="45255.24823493461"/>
    <n v="29511.75176506539"/>
    <n v="74767"/>
    <n v="19.3"/>
    <n v="39"/>
    <n v="48.4"/>
    <s v=""/>
    <s v=""/>
    <n v="19.3"/>
    <s v="D"/>
    <n v="23.8"/>
    <n v="47.1"/>
    <n v="50"/>
    <s v=""/>
    <s v=""/>
    <n v="23.8"/>
    <n v="4.5"/>
    <n v="4"/>
    <n v="6.32"/>
    <n v="5.9659237821985966"/>
    <n v="4.7130797879368913"/>
    <n v="15863.724648024385"/>
    <n v="94641.772151898724"/>
    <n v="4.5"/>
    <n v="74767"/>
    <n v="74767"/>
    <n v="0"/>
    <s v=""/>
    <s v="2007"/>
    <s v="BA-MD 1506.466.82E"/>
  </r>
  <r>
    <s v="eGIS Link"/>
    <n v="273"/>
    <s v="NorthBound Visi-Data"/>
    <s v="19984"/>
    <n v="2017"/>
    <n v="4"/>
    <x v="16"/>
    <s v="BA"/>
    <s v="BA-IS 695"/>
    <s v="18.86-19.94(N)"/>
    <s v="IS"/>
    <s v="695"/>
    <s v=""/>
    <n v="18.86"/>
    <n v="19.940000000000001"/>
    <s v="N"/>
    <s v="STRUC #3158"/>
    <s v="RAMP 4 FR MD 139 TO IS 695"/>
    <n v="4"/>
    <n v="4.32"/>
    <s v="DIVIDED"/>
    <s v="URBAN"/>
    <s v="IS"/>
    <n v="11"/>
    <s v="F"/>
    <n v="84.4"/>
    <n v="101.28"/>
    <n v="87.7"/>
    <n v="84.9"/>
    <n v="88.6"/>
    <n v="0.23"/>
    <n v="49"/>
    <n v="111.44"/>
    <n v="111.44"/>
    <n v="87.6"/>
    <n v="86.1"/>
    <n v="88.1"/>
    <n v="0.23"/>
    <n v="49"/>
    <n v="114.84"/>
    <n v="114.84"/>
    <n v="89.525000000000006"/>
    <n v="88.7"/>
    <n v="89.8"/>
    <n v="0.22"/>
    <n v="49"/>
    <x v="6"/>
    <m/>
    <s v="Preventive Maintenance"/>
    <n v="150390.00477414264"/>
    <n v="98071.995225857361"/>
    <n v="248462"/>
    <n v="14.5"/>
    <n v="12.5"/>
    <n v="12.4"/>
    <s v=""/>
    <s v=""/>
    <n v="12.4"/>
    <s v="D"/>
    <n v="14.4"/>
    <n v="19.399999999999999"/>
    <n v="15.5"/>
    <s v=""/>
    <s v=""/>
    <n v="14.4"/>
    <n v="2"/>
    <n v="2"/>
    <n v="17.28"/>
    <n v="2.9829618910992983"/>
    <n v="12.886395369548969"/>
    <n v="19280.95428354813"/>
    <n v="57514.351851851847"/>
    <n v="1.9"/>
    <n v="248462"/>
    <n v="248462"/>
    <n v="0"/>
    <s v=""/>
    <s v="2012"/>
    <s v="BA-IS 69518.8619.94N"/>
  </r>
  <r>
    <s v="eGIS Link"/>
    <n v="272"/>
    <s v="SouthBound Visi-Data"/>
    <s v="19984"/>
    <n v="2017"/>
    <n v="4"/>
    <x v="16"/>
    <s v="BA"/>
    <s v="BA-IS 695"/>
    <s v="13.25-17(S)"/>
    <s v="IS"/>
    <s v="695"/>
    <s v=""/>
    <n v="13.25"/>
    <n v="17"/>
    <s v="S"/>
    <s v="RAMP 6 FR IS 695 TO MD 129"/>
    <s v="STRUC #3151"/>
    <n v="5.6"/>
    <n v="21"/>
    <s v="DIVIDED"/>
    <s v="URBAN"/>
    <s v="IS"/>
    <n v="11"/>
    <s v="F"/>
    <n v="71.77"/>
    <n v="68.52"/>
    <n v="94.1"/>
    <n v="95.6"/>
    <n v="93.6"/>
    <n v="0.12"/>
    <n v="49"/>
    <n v="83.81"/>
    <n v="83.81"/>
    <n v="91.25"/>
    <n v="90.8"/>
    <n v="91.4"/>
    <n v="0.12"/>
    <n v="49"/>
    <n v="87.09"/>
    <n v="87.09"/>
    <n v="92.224999999999994"/>
    <n v="91.7"/>
    <n v="92.4"/>
    <n v="0.12"/>
    <n v="49"/>
    <x v="6"/>
    <m/>
    <s v="Preventive Maintenance"/>
    <n v="731061.68253579817"/>
    <n v="476738.31746420183"/>
    <n v="1207800"/>
    <n v="20.2"/>
    <n v="20.399999999999999"/>
    <n v="16.5"/>
    <s v=""/>
    <s v=""/>
    <n v="16.5"/>
    <s v="D"/>
    <n v="20.100000000000001"/>
    <n v="22.1"/>
    <n v="18.8"/>
    <s v=""/>
    <s v=""/>
    <n v="18.8"/>
    <n v="2.3000000000000007"/>
    <n v="2"/>
    <n v="84"/>
    <n v="2.9829618910992983"/>
    <n v="62.642199713085262"/>
    <n v="19280.932111771035"/>
    <n v="57514.285714285717"/>
    <n v="2.2999999999999998"/>
    <n v="1207800"/>
    <n v="1207800"/>
    <n v="0"/>
    <s v=""/>
    <s v="1998"/>
    <s v="BA-IS 69513.2517S"/>
  </r>
  <r>
    <s v="eGIS Link"/>
    <n v="315"/>
    <s v="NorthBound Visi-Data"/>
    <s v="19981"/>
    <n v="2017"/>
    <n v="4"/>
    <x v="16"/>
    <s v="BA"/>
    <s v="BA-IS 83"/>
    <s v="22.06-25(N)"/>
    <s v="IS"/>
    <s v="83"/>
    <s v=""/>
    <n v="22.06"/>
    <n v="25"/>
    <s v="N"/>
    <s v="INTERSTATE MILE MARKER 32.0"/>
    <s v="DOWNES RD"/>
    <n v="2.1"/>
    <n v="6.17"/>
    <s v="DIVIDED"/>
    <s v="RURAL"/>
    <s v="IS"/>
    <n v="1"/>
    <s v="FCC"/>
    <n v="66.98"/>
    <n v="61.24"/>
    <n v="90.8"/>
    <n v="93.7"/>
    <n v="89.9"/>
    <n v="0.21"/>
    <n v="53"/>
    <n v="68.47"/>
    <n v="68.47"/>
    <n v="85.8"/>
    <n v="86.7"/>
    <n v="85.5"/>
    <n v="0.21"/>
    <n v="53"/>
    <n v="70.349999999999994"/>
    <n v="70.349999999999994"/>
    <n v="87.775000000000006"/>
    <n v="88.3"/>
    <n v="87.6"/>
    <n v="0.21"/>
    <n v="53"/>
    <x v="6"/>
    <m/>
    <s v="Preventive Maintenance"/>
    <n v="436469.77328613924"/>
    <n v="126392.22671386076"/>
    <n v="562862"/>
    <n v="45.2"/>
    <n v="10.4"/>
    <n v="9.1999999999999993"/>
    <s v=""/>
    <s v=""/>
    <n v="9.1999999999999993"/>
    <s v="E"/>
    <n v="44.8"/>
    <n v="12.4"/>
    <n v="12.1"/>
    <s v=""/>
    <s v=""/>
    <n v="12.1"/>
    <n v="2.9000000000000004"/>
    <n v="2"/>
    <n v="24.68"/>
    <n v="2.9829618910992983"/>
    <n v="18.404874868082672"/>
    <n v="30582.223679015762"/>
    <n v="91225.607779578611"/>
    <n v="2.9"/>
    <n v="562862"/>
    <n v="562862"/>
    <n v="0"/>
    <s v=""/>
    <s v="2009"/>
    <s v="BA-IS 8322.0625N"/>
  </r>
  <r>
    <s v="eGIS Link"/>
    <n v="24"/>
    <s v="NorthBound Visi-Data"/>
    <s v="20037"/>
    <n v="2017"/>
    <n v="4"/>
    <x v="16"/>
    <s v="BA"/>
    <s v="BA-MD 562"/>
    <s v="0-1.39(N)"/>
    <s v="MD"/>
    <s v="562"/>
    <s v=""/>
    <n v="0"/>
    <n v="1.39"/>
    <s v="N"/>
    <s v="OLD YORK RD (BACK)"/>
    <s v="SHEPPERD RD/TROYER RD"/>
    <n v="2"/>
    <n v="2.78"/>
    <s v="UNDIVIDED"/>
    <s v="RURAL"/>
    <s v="NON-IS"/>
    <n v="7"/>
    <s v="FCJ"/>
    <n v="80.790000000000006"/>
    <n v="91.97"/>
    <n v="99.8"/>
    <n v="100"/>
    <n v="99.7"/>
    <n v="0.18"/>
    <n v="50"/>
    <n v="90.57"/>
    <n v="90.57"/>
    <n v="95"/>
    <n v="95.9"/>
    <n v="94.7"/>
    <n v="0.18"/>
    <n v="48"/>
    <n v="94.41"/>
    <n v="94.41"/>
    <n v="93.45"/>
    <n v="95.4"/>
    <n v="92.8"/>
    <n v="0.18"/>
    <n v="46"/>
    <x v="0"/>
    <m/>
    <s v="Preventive Maintenance"/>
    <n v="4125.3792117468593"/>
    <n v="1194.6207882531407"/>
    <n v="5320"/>
    <n v="28.7"/>
    <n v="34.200000000000003"/>
    <n v="26.1"/>
    <s v=""/>
    <s v=""/>
    <n v="26.1"/>
    <s v="C"/>
    <n v="28.6"/>
    <n v="34.9"/>
    <n v="26.1"/>
    <s v=""/>
    <s v=""/>
    <n v="26.1"/>
    <n v="1"/>
    <n v="1"/>
    <n v="5.56"/>
    <n v="1.4914809455496492"/>
    <n v="4.1463170286280242"/>
    <n v="1283.0663847622709"/>
    <n v="1913.6690647482017"/>
    <n v="0"/>
    <n v="5320"/>
    <n v="5320"/>
    <n v="0"/>
    <s v=""/>
    <s v="2011"/>
    <s v="BA-MD 56201.39N"/>
  </r>
  <r>
    <s v="eGIS Link"/>
    <n v="303"/>
    <s v="NorthBound Visi-Data"/>
    <s v="19981"/>
    <n v="2017"/>
    <n v="4"/>
    <x v="16"/>
    <s v="BA"/>
    <s v="BA-IS 83"/>
    <s v="25-27.8(N)"/>
    <s v="IS"/>
    <s v="83"/>
    <s v=""/>
    <n v="25"/>
    <n v="27.8"/>
    <s v="N"/>
    <s v="DOWNES RD"/>
    <s v="PENNSYLVANIA ST/L"/>
    <n v="2.2000000000000002"/>
    <n v="6.16"/>
    <s v="DIVIDED"/>
    <s v="URBAN"/>
    <s v="IS"/>
    <n v="11"/>
    <s v="FCJ"/>
    <n v="65.66"/>
    <n v="55.47"/>
    <n v="88.8"/>
    <n v="88.6"/>
    <n v="88.9"/>
    <n v="0.22"/>
    <n v="53"/>
    <n v="70.12"/>
    <n v="70.12"/>
    <n v="88.375"/>
    <n v="88.6"/>
    <n v="88.3"/>
    <n v="0.22"/>
    <n v="53"/>
    <n v="48.51"/>
    <n v="48.51"/>
    <n v="100"/>
    <n v="100"/>
    <n v="100"/>
    <n v="0.12"/>
    <n v="49"/>
    <x v="7"/>
    <m/>
    <s v="Minor Rehabilitation"/>
    <n v="993857.71723240986"/>
    <n v="648112.28276759014"/>
    <n v="1641970"/>
    <n v="28.9"/>
    <n v="17.5"/>
    <n v="14.2"/>
    <s v=""/>
    <s v=""/>
    <n v="14.2"/>
    <s v="D"/>
    <n v="42.4"/>
    <n v="28.7"/>
    <n v="37.9"/>
    <s v=""/>
    <s v=""/>
    <n v="28.7"/>
    <n v="14.5"/>
    <n v="6"/>
    <n v="89.320000000000007"/>
    <n v="10.813236855234956"/>
    <n v="66.60953902824734"/>
    <n v="24650.673521455898"/>
    <n v="266553.57142857142"/>
    <n v="14.5"/>
    <n v="1641970"/>
    <n v="1641970"/>
    <n v="0"/>
    <s v=""/>
    <s v="2009"/>
    <s v="BA-IS 832527.8N"/>
  </r>
  <r>
    <s v="eGIS Link"/>
    <n v="153"/>
    <s v="NorthBound Visi-Data"/>
    <s v="19996"/>
    <n v="2017"/>
    <n v="4"/>
    <x v="16"/>
    <s v="BA"/>
    <s v="BA-MD 45"/>
    <s v="8.89-9.21(N)"/>
    <s v="MD"/>
    <s v="45"/>
    <s v=""/>
    <n v="8.89"/>
    <n v="9.2100000000000009"/>
    <s v="N"/>
    <s v="ASHLAND RD"/>
    <s v="ENT TO INDUSTRIAL PARK"/>
    <n v="4.5"/>
    <n v="1.44"/>
    <s v="UNDIVIDED"/>
    <s v="URBAN"/>
    <s v="NON-IS"/>
    <n v="14"/>
    <s v="F"/>
    <n v="244.55"/>
    <n v="235.37"/>
    <n v="95.8"/>
    <n v="96.6"/>
    <n v="95.5"/>
    <n v="0.25"/>
    <n v="32"/>
    <n v="241.21"/>
    <n v="241.21"/>
    <n v="89.5"/>
    <n v="91.6"/>
    <n v="88.8"/>
    <n v="0.25"/>
    <n v="32"/>
    <n v="78.78"/>
    <n v="78.78"/>
    <n v="100"/>
    <n v="100"/>
    <n v="100"/>
    <n v="0.12"/>
    <n v="49"/>
    <x v="2"/>
    <m/>
    <s v="Structural Overlay"/>
    <n v="187928.49080453272"/>
    <n v="122551.50919546728"/>
    <n v="310480"/>
    <n v="0"/>
    <n v="50"/>
    <n v="50"/>
    <s v=""/>
    <s v=""/>
    <n v="0"/>
    <s v="F"/>
    <n v="35.4"/>
    <n v="50"/>
    <n v="50"/>
    <s v=""/>
    <s v=""/>
    <n v="35.4"/>
    <n v="35.4"/>
    <n v="6"/>
    <n v="50.975999999999999"/>
    <n v="26.39921273622879"/>
    <n v="38.014866340169455"/>
    <n v="8167.3310967799662"/>
    <n v="215611.11111111112"/>
    <n v="35.4"/>
    <n v="310480"/>
    <n v="310480"/>
    <n v="0"/>
    <s v=""/>
    <s v="2006"/>
    <s v="BA-MD 458.899.21N"/>
  </r>
  <r>
    <s v="eGIS Link"/>
    <n v="161"/>
    <s v="West Bound Visi-Data"/>
    <s v="20051"/>
    <n v="2017"/>
    <n v="4"/>
    <x v="16"/>
    <s v="BA"/>
    <s v="BA-MD 943"/>
    <s v="0-0.59(W)"/>
    <s v="MD"/>
    <s v="943"/>
    <s v=""/>
    <n v="0"/>
    <n v="0.59"/>
    <s v="W"/>
    <s v="RAMP 4 FR IS 83 TO MD 943"/>
    <s v="WARREN RD (AHEAD)"/>
    <n v="1.9"/>
    <n v="1.1200000000000001"/>
    <s v="DIVIDED"/>
    <s v="URBAN"/>
    <s v="NON-IS"/>
    <n v="16"/>
    <s v="F"/>
    <n v="104.66"/>
    <n v="113.22"/>
    <s v=""/>
    <s v=""/>
    <s v=""/>
    <n v="0.15"/>
    <s v=""/>
    <n v="123.65"/>
    <n v="123.65"/>
    <n v="86.974999999999994"/>
    <n v="87.2"/>
    <n v="86.9"/>
    <n v="0.15"/>
    <n v="44"/>
    <n v="53.07"/>
    <n v="53.07"/>
    <n v="100"/>
    <n v="100"/>
    <n v="100"/>
    <n v="0.08"/>
    <n v="49"/>
    <x v="2"/>
    <m/>
    <s v="Structural Overlay"/>
    <n v="123319.29547646834"/>
    <n v="80418.704523531662"/>
    <n v="203738"/>
    <n v="21.9"/>
    <n v="50"/>
    <n v="50"/>
    <s v=""/>
    <s v=""/>
    <n v="21.9"/>
    <s v="C"/>
    <n v="50"/>
    <n v="50"/>
    <n v="50"/>
    <s v=""/>
    <s v=""/>
    <n v="50"/>
    <n v="28.1"/>
    <n v="6"/>
    <n v="31.472000000000005"/>
    <n v="20.955307284972573"/>
    <n v="23.469944159169284"/>
    <n v="8680.8046332910944"/>
    <n v="181908.92857142855"/>
    <n v="34.9"/>
    <n v="203738"/>
    <n v="203738"/>
    <n v="0"/>
    <s v=""/>
    <s v="1994"/>
    <s v="BA-MD 94300.59W"/>
  </r>
  <r>
    <s v="eGIS Link"/>
    <n v="143"/>
    <s v="EastBound Visi-Data"/>
    <s v="20051"/>
    <n v="2017"/>
    <n v="4"/>
    <x v="16"/>
    <s v="BA"/>
    <s v="BA-MD 943"/>
    <s v="0-0.59(E)"/>
    <s v="MD"/>
    <s v="943"/>
    <s v=""/>
    <n v="0"/>
    <n v="0.59"/>
    <s v="E"/>
    <s v="RAMP 4 FR IS 83 TO MD 943"/>
    <s v="WARREN RD (AHEAD)"/>
    <n v="2.8"/>
    <n v="1.65"/>
    <s v="DIVIDED"/>
    <s v="URBAN"/>
    <s v="NON-IS"/>
    <n v="16"/>
    <s v="F"/>
    <n v="103.59"/>
    <n v="104.29"/>
    <s v=""/>
    <s v=""/>
    <s v=""/>
    <n v="0.15"/>
    <s v=""/>
    <n v="122.38"/>
    <n v="122.38"/>
    <n v="86.974999999999994"/>
    <n v="87.2"/>
    <n v="86.9"/>
    <n v="0.15"/>
    <n v="44"/>
    <n v="52.82"/>
    <n v="52.82"/>
    <n v="100"/>
    <n v="100"/>
    <n v="100"/>
    <n v="0.08"/>
    <n v="49"/>
    <x v="2"/>
    <m/>
    <s v="Structural Overlay"/>
    <n v="155324.27769683831"/>
    <n v="101289.72230316169"/>
    <n v="256614"/>
    <n v="22.2"/>
    <n v="50"/>
    <n v="50"/>
    <s v=""/>
    <s v=""/>
    <n v="22.2"/>
    <s v="C"/>
    <n v="50"/>
    <n v="50"/>
    <n v="50"/>
    <s v=""/>
    <s v=""/>
    <n v="50"/>
    <n v="27.8"/>
    <n v="6"/>
    <n v="45.87"/>
    <n v="20.731585143140123"/>
    <n v="34.207115486181202"/>
    <n v="7501.7725509087568"/>
    <n v="155523.63636363638"/>
    <n v="34.700000000000003"/>
    <n v="256614"/>
    <n v="256614"/>
    <n v="0"/>
    <s v=""/>
    <s v="1994"/>
    <s v="BA-MD 94300.59E"/>
  </r>
  <r>
    <s v="eGIS Link"/>
    <n v="119"/>
    <s v="NorthBound Visi-Data"/>
    <s v="19996"/>
    <n v="2017"/>
    <n v="4"/>
    <x v="16"/>
    <s v="BA"/>
    <s v="BA-MD 45"/>
    <s v="24.57-25.83(N)"/>
    <s v="MD"/>
    <s v="45"/>
    <s v=""/>
    <n v="24.57"/>
    <n v="25.83"/>
    <s v="N"/>
    <s v="SPUR TO MD 439"/>
    <s v="PENNSYLVANIA ST/L"/>
    <n v="2"/>
    <n v="2.52"/>
    <s v="UNDIVIDED"/>
    <s v="URBAN"/>
    <s v="NON-IS"/>
    <n v="16"/>
    <s v="FCJ"/>
    <n v="107.58"/>
    <n v="109.7"/>
    <n v="70.3"/>
    <n v="81.400000000000006"/>
    <n v="66.599999999999994"/>
    <n v="0.18"/>
    <n v="47"/>
    <n v="124.09"/>
    <n v="124.09"/>
    <n v="66.25"/>
    <n v="78.099999999999994"/>
    <n v="62.3"/>
    <n v="0.18"/>
    <n v="47"/>
    <n v="53.41"/>
    <n v="53.41"/>
    <n v="100"/>
    <n v="100"/>
    <n v="100"/>
    <n v="0.08"/>
    <n v="49"/>
    <x v="2"/>
    <m/>
    <s v="Structural Overlay"/>
    <n v="219064.89088014458"/>
    <n v="142856.10911985542"/>
    <n v="361921"/>
    <n v="16.399999999999999"/>
    <n v="33.4"/>
    <n v="14.3"/>
    <s v=""/>
    <s v=""/>
    <n v="14.3"/>
    <s v="D"/>
    <n v="43.9"/>
    <n v="48.5"/>
    <n v="50"/>
    <s v=""/>
    <s v=""/>
    <n v="43.9"/>
    <n v="29.599999999999998"/>
    <n v="6"/>
    <n v="74.591999999999999"/>
    <n v="22.073917994134806"/>
    <n v="55.626273345219715"/>
    <n v="6506.2960042981549"/>
    <n v="143619.44444444444"/>
    <n v="29.6"/>
    <n v="361921"/>
    <n v="361921"/>
    <n v="0"/>
    <s v=""/>
    <s v="1999"/>
    <s v="BA-MD 4524.5725.83N"/>
  </r>
  <r>
    <s v="eGIS Link"/>
    <n v="155"/>
    <s v="NorthBound Visi-Data"/>
    <s v="19996"/>
    <n v="2017"/>
    <n v="4"/>
    <x v="16"/>
    <s v="BA"/>
    <s v="BA-MD 45"/>
    <s v="2.85-3.85(N)"/>
    <s v="MD"/>
    <s v="45"/>
    <s v=""/>
    <n v="2.85"/>
    <n v="3.85"/>
    <s v="N"/>
    <s v="SPUR FR FAIRMOUNT AVE"/>
    <s v="CROFTLEY RD"/>
    <n v="3.8"/>
    <n v="3.8"/>
    <s v="UNDIVIDED"/>
    <s v="URBAN"/>
    <s v="NON-IS"/>
    <n v="14"/>
    <s v="F"/>
    <n v="233.76"/>
    <n v="186.43"/>
    <n v="89.2"/>
    <n v="96.5"/>
    <n v="86.8"/>
    <n v="0.24"/>
    <n v="38"/>
    <n v="203.31"/>
    <n v="203.31"/>
    <n v="85.224999999999994"/>
    <n v="91.6"/>
    <n v="83.1"/>
    <n v="0.24"/>
    <n v="38"/>
    <n v="70.03"/>
    <n v="70.03"/>
    <n v="100"/>
    <n v="100"/>
    <n v="100"/>
    <n v="0.12"/>
    <n v="49"/>
    <x v="2"/>
    <m/>
    <s v="Structural Overlay"/>
    <n v="495922.27178224479"/>
    <n v="323399.72821775521"/>
    <n v="819322"/>
    <n v="4.5"/>
    <n v="50"/>
    <n v="50"/>
    <s v=""/>
    <s v=""/>
    <n v="4.5"/>
    <s v="E"/>
    <n v="39"/>
    <n v="50"/>
    <n v="50"/>
    <s v=""/>
    <s v=""/>
    <n v="39"/>
    <n v="34.5"/>
    <n v="6"/>
    <n v="131.1"/>
    <n v="25.72804631073145"/>
    <n v="97.766575980779507"/>
    <n v="8380.3896350126361"/>
    <n v="215611.05263157896"/>
    <n v="34.5"/>
    <n v="819322"/>
    <n v="819322"/>
    <n v="0"/>
    <s v=""/>
    <s v="2009"/>
    <s v="BA-MD 452.853.85N"/>
  </r>
  <r>
    <s v="eGIS Link"/>
    <n v="175"/>
    <s v="NorthBound Visi-Data"/>
    <s v="19990"/>
    <n v="2017"/>
    <n v="4"/>
    <x v="16"/>
    <s v="BA"/>
    <s v="BA-MD 25"/>
    <s v="2.2-3.35(N)"/>
    <s v="MD"/>
    <s v="25"/>
    <s v=""/>
    <n v="2.2000000000000002"/>
    <n v="3.35"/>
    <s v="N"/>
    <s v="STRUC #3027 JONES FALLS"/>
    <s v="STRUC #3026 JONES FALLS"/>
    <n v="2.2000000000000002"/>
    <n v="2.5299999999999998"/>
    <s v="UNDIVIDED"/>
    <s v="URBAN"/>
    <s v="NON-IS"/>
    <n v="16"/>
    <s v="FCJ"/>
    <n v="154.16"/>
    <n v="165.7"/>
    <n v="78.900000000000006"/>
    <n v="87"/>
    <n v="76.3"/>
    <n v="0.18"/>
    <n v="41"/>
    <n v="180.24"/>
    <n v="180.24"/>
    <n v="75.849999999999994"/>
    <n v="80.8"/>
    <n v="74.2"/>
    <n v="0.18"/>
    <n v="41"/>
    <n v="65.09"/>
    <n v="65.09"/>
    <n v="100"/>
    <n v="100"/>
    <n v="100"/>
    <n v="0.08"/>
    <n v="49"/>
    <x v="2"/>
    <m/>
    <s v="Structural Overlay"/>
    <n v="330179.85061810544"/>
    <n v="215316.14938189456"/>
    <n v="545496"/>
    <n v="8.1999999999999993"/>
    <n v="36.9"/>
    <n v="27.2"/>
    <s v=""/>
    <s v=""/>
    <n v="8.1999999999999993"/>
    <s v="E"/>
    <n v="38.5"/>
    <n v="48.5"/>
    <n v="50"/>
    <s v=""/>
    <s v=""/>
    <n v="38.5"/>
    <n v="30.3"/>
    <n v="6"/>
    <n v="76.658999999999992"/>
    <n v="22.595936325077187"/>
    <n v="57.16771890244528"/>
    <n v="9542.0284466985631"/>
    <n v="215611.0671936759"/>
    <n v="30.3"/>
    <n v="545496"/>
    <n v="545496"/>
    <n v="0"/>
    <s v=""/>
    <s v="2003"/>
    <s v="BA-MD 252.23.35N"/>
  </r>
  <r>
    <s v="eGIS Link"/>
    <n v="84"/>
    <s v="EastBound Visi-Data"/>
    <s v="20002"/>
    <n v="2017"/>
    <n v="4"/>
    <x v="16"/>
    <s v="BA"/>
    <s v="BA-MD 88"/>
    <s v="3.55-6.95(E)"/>
    <s v="MD"/>
    <s v="88"/>
    <s v=""/>
    <n v="3.55"/>
    <n v="6.95"/>
    <s v="E"/>
    <s v="MT ZION RD"/>
    <s v="FALLS RD"/>
    <n v="2"/>
    <n v="6.8"/>
    <s v="UNDIVIDED"/>
    <s v="RURAL"/>
    <s v="NON-IS"/>
    <n v="7"/>
    <s v="FCJ"/>
    <n v="87.3"/>
    <n v="90.64"/>
    <n v="92.8"/>
    <n v="94.3"/>
    <n v="92.3"/>
    <n v="0.19"/>
    <n v="46"/>
    <n v="95.4"/>
    <n v="95.4"/>
    <n v="84.45"/>
    <n v="87"/>
    <n v="83.6"/>
    <n v="0.19"/>
    <n v="46"/>
    <n v="104.01"/>
    <n v="104.01"/>
    <n v="97.025000000000006"/>
    <n v="99.2"/>
    <n v="96.3"/>
    <n v="0.19"/>
    <n v="55"/>
    <x v="4"/>
    <m/>
    <s v="Preventive Maintenance"/>
    <n v="151573.56635400595"/>
    <n v="43892.433645994053"/>
    <n v="195466"/>
    <n v="27.3"/>
    <n v="29.2"/>
    <n v="20.8"/>
    <s v=""/>
    <s v=""/>
    <n v="20.8"/>
    <s v="C"/>
    <n v="28.1"/>
    <n v="37.9"/>
    <n v="28"/>
    <s v=""/>
    <s v=""/>
    <n v="28"/>
    <n v="7.1999999999999993"/>
    <n v="4"/>
    <n v="54.4"/>
    <n v="5.9659237821985966"/>
    <n v="40.568281718950459"/>
    <n v="4818.1976588052767"/>
    <n v="28745"/>
    <n v="7.2"/>
    <n v="195466"/>
    <n v="195466"/>
    <n v="0"/>
    <s v=""/>
    <s v="2004"/>
    <s v="BA-MD 883.556.95E"/>
  </r>
  <r>
    <s v="eGIS Link"/>
    <n v="87"/>
    <s v="EastBound Visi-Data"/>
    <s v="20002"/>
    <n v="2017"/>
    <n v="4"/>
    <x v="16"/>
    <s v="BA"/>
    <s v="BA-MD 88"/>
    <s v="2.65-3.55(E)"/>
    <s v="MD"/>
    <s v="88"/>
    <s v=""/>
    <n v="2.65"/>
    <n v="3.55"/>
    <s v="E"/>
    <s v="RIDGE RD"/>
    <s v="MT ZION RD"/>
    <n v="2"/>
    <n v="1.8"/>
    <s v="UNDIVIDED"/>
    <s v="RURAL"/>
    <s v="NON-IS"/>
    <n v="7"/>
    <s v="FCJ"/>
    <n v="97.13"/>
    <n v="103.01"/>
    <n v="90.4"/>
    <n v="96.1"/>
    <n v="88.5"/>
    <n v="0.16"/>
    <n v="40"/>
    <n v="106.91"/>
    <n v="106.91"/>
    <n v="81.924999999999997"/>
    <n v="89.2"/>
    <n v="79.5"/>
    <n v="0.16"/>
    <n v="40"/>
    <n v="116.69"/>
    <n v="116.69"/>
    <n v="96.4"/>
    <n v="99.4"/>
    <n v="95.4"/>
    <n v="0.16"/>
    <n v="55"/>
    <x v="4"/>
    <m/>
    <s v="Preventive Maintenance"/>
    <n v="41984.263398947078"/>
    <n v="12157.736601052922"/>
    <n v="54142"/>
    <n v="23"/>
    <n v="30.4"/>
    <n v="19"/>
    <s v=""/>
    <s v=""/>
    <n v="19"/>
    <s v="D"/>
    <n v="24.7"/>
    <n v="38"/>
    <n v="27.5"/>
    <s v=""/>
    <s v=""/>
    <n v="24.7"/>
    <n v="5.6999999999999993"/>
    <n v="4"/>
    <n v="14.4"/>
    <n v="5.9659237821985966"/>
    <n v="10.738662807957475"/>
    <n v="5041.7822934043652"/>
    <n v="30078.888888888887"/>
    <n v="5.6"/>
    <n v="54142"/>
    <n v="54142"/>
    <n v="0"/>
    <s v=""/>
    <s v="2001"/>
    <s v="BA-MD 882.653.55E"/>
  </r>
  <r>
    <s v="eGIS Link"/>
    <n v="83"/>
    <s v="NorthBound Visi-Data"/>
    <s v="19990"/>
    <n v="2017"/>
    <n v="4"/>
    <x v="16"/>
    <s v="BA"/>
    <s v="BA-MD 25"/>
    <s v="12.15-18.24(N)"/>
    <s v="MD"/>
    <s v="25"/>
    <s v=""/>
    <n v="12.15"/>
    <n v="18.239999999999998"/>
    <s v="N"/>
    <s v="STRUC #3023 WESTERN RUN"/>
    <s v="MT CARMEL RD"/>
    <n v="2"/>
    <n v="12.18"/>
    <s v="UNDIVIDED"/>
    <s v="RURAL"/>
    <s v="NON-IS"/>
    <n v="7"/>
    <s v="FCJ"/>
    <n v="73.86"/>
    <n v="74.180000000000007"/>
    <n v="99.9"/>
    <n v="100"/>
    <n v="99.9"/>
    <n v="0.25"/>
    <n v="52"/>
    <n v="76.83"/>
    <n v="76.83"/>
    <n v="95.25"/>
    <n v="95.1"/>
    <n v="95.3"/>
    <n v="0.25"/>
    <n v="52"/>
    <n v="83.66"/>
    <n v="83.66"/>
    <n v="98.95"/>
    <n v="99.7"/>
    <n v="98.7"/>
    <n v="0.25"/>
    <n v="55"/>
    <x v="4"/>
    <m/>
    <s v="Preventive Maintenance"/>
    <n v="271494.92807171802"/>
    <n v="78619.071928281977"/>
    <n v="350114"/>
    <n v="33.299999999999997"/>
    <n v="33.700000000000003"/>
    <n v="26.5"/>
    <s v=""/>
    <s v=""/>
    <n v="26.5"/>
    <s v="C"/>
    <n v="34.700000000000003"/>
    <n v="38.4"/>
    <n v="29.9"/>
    <s v=""/>
    <s v=""/>
    <n v="29.9"/>
    <n v="4"/>
    <n v="4"/>
    <n v="97.44"/>
    <n v="5.9659237821985966"/>
    <n v="72.664951667178912"/>
    <n v="4818.1962826260087"/>
    <n v="28744.991789819378"/>
    <n v="3.4"/>
    <n v="350114"/>
    <n v="350114"/>
    <n v="0"/>
    <s v=""/>
    <s v="2011"/>
    <s v="BA-MD 2512.1518.24N"/>
  </r>
  <r>
    <s v="eGIS Link"/>
    <n v="82"/>
    <s v="NorthBound Visi-Data"/>
    <s v="19990"/>
    <n v="2017"/>
    <n v="4"/>
    <x v="16"/>
    <s v="BA"/>
    <s v="BA-MD 25"/>
    <s v="18.24-21.83(N)"/>
    <s v="MD"/>
    <s v="25"/>
    <s v=""/>
    <n v="18.239999999999998"/>
    <n v="21.83"/>
    <s v="N"/>
    <s v="MT CARMEL RD"/>
    <s v="FALLS RD (AHEAD)"/>
    <n v="2"/>
    <n v="7.18"/>
    <s v="UNDIVIDED"/>
    <s v="RURAL"/>
    <s v="NON-IS"/>
    <n v="7"/>
    <s v="FCJ"/>
    <n v="71.569999999999993"/>
    <n v="74.72"/>
    <n v="97.6"/>
    <n v="98.5"/>
    <n v="97.3"/>
    <n v="0.25"/>
    <n v="48"/>
    <n v="79.03"/>
    <n v="79.03"/>
    <n v="90.625"/>
    <n v="92.5"/>
    <n v="90"/>
    <n v="0.25"/>
    <n v="48"/>
    <n v="86.08"/>
    <n v="86.08"/>
    <n v="98.075000000000003"/>
    <n v="99.5"/>
    <n v="97.6"/>
    <n v="0.25"/>
    <n v="55"/>
    <x v="4"/>
    <m/>
    <s v="Preventive Maintenance"/>
    <n v="160043.7763408313"/>
    <n v="46345.223659168696"/>
    <n v="206389"/>
    <n v="32.5"/>
    <n v="32.200000000000003"/>
    <n v="23.7"/>
    <s v=""/>
    <s v=""/>
    <n v="23.7"/>
    <s v="C"/>
    <n v="33.799999999999997"/>
    <n v="38.200000000000003"/>
    <n v="28.9"/>
    <s v=""/>
    <s v=""/>
    <n v="28.9"/>
    <n v="5.1999999999999993"/>
    <n v="4"/>
    <n v="57.44"/>
    <n v="5.9659237821985966"/>
    <n v="42.83533275618592"/>
    <n v="4818.1953242838999"/>
    <n v="28744.986072423399"/>
    <n v="5.2"/>
    <n v="206389"/>
    <n v="206389"/>
    <n v="0"/>
    <s v=""/>
    <s v="2006"/>
    <s v="BA-MD 2518.2421.83N"/>
  </r>
  <r>
    <s v="eGIS Link"/>
    <n v="196"/>
    <s v="NorthBound Visi-Data"/>
    <s v="19990"/>
    <n v="2017"/>
    <n v="4"/>
    <x v="16"/>
    <s v="BA"/>
    <s v="BA-MD 25"/>
    <s v="4.16-5.8(N)"/>
    <s v="MD"/>
    <s v="25"/>
    <s v=""/>
    <n v="4.16"/>
    <n v="5.8"/>
    <s v="N"/>
    <s v="SEMINARY AVE"/>
    <s v="CHESTNUT RIDGE DR"/>
    <n v="2.4"/>
    <n v="3.94"/>
    <s v="UNDIVIDED"/>
    <s v="URBAN"/>
    <s v="NON-IS"/>
    <n v="16"/>
    <s v="FCJ"/>
    <n v="85.53"/>
    <n v="91.08"/>
    <n v="95.7"/>
    <n v="97.4"/>
    <n v="95.1"/>
    <n v="0.22"/>
    <n v="44"/>
    <n v="93.17"/>
    <n v="93.17"/>
    <n v="88.75"/>
    <n v="88.9"/>
    <n v="88.7"/>
    <n v="0.22"/>
    <n v="44"/>
    <n v="68.28"/>
    <n v="68.28"/>
    <n v="100"/>
    <n v="100"/>
    <n v="100"/>
    <n v="0.19"/>
    <n v="49"/>
    <x v="5"/>
    <m/>
    <s v="Preventive Maintenance"/>
    <n v="157863.44292140999"/>
    <n v="102945.55707859001"/>
    <n v="260809"/>
    <n v="23.9"/>
    <n v="41.8"/>
    <n v="50"/>
    <s v=""/>
    <s v=""/>
    <n v="23.9"/>
    <s v="C"/>
    <n v="29.7"/>
    <n v="48.5"/>
    <n v="50"/>
    <s v=""/>
    <s v=""/>
    <n v="29.7"/>
    <n v="5.8000000000000007"/>
    <n v="4"/>
    <n v="31.52"/>
    <n v="5.9659237821985966"/>
    <n v="23.505739701862471"/>
    <n v="11095.545313953038"/>
    <n v="66195.177664974617"/>
    <n v="5.8"/>
    <n v="260809"/>
    <n v="260809"/>
    <n v="0"/>
    <s v=""/>
    <s v="2008"/>
    <s v="BA-MD 254.165.8N"/>
  </r>
  <r>
    <s v="eGIS Link"/>
    <n v="147"/>
    <s v="EastBound Visi-Data"/>
    <s v="20011"/>
    <n v="2017"/>
    <n v="4"/>
    <x v="16"/>
    <s v="BA"/>
    <s v="BA-MD 133"/>
    <s v="0-1.98(E)"/>
    <s v="MD"/>
    <s v="133"/>
    <s v=""/>
    <n v="0"/>
    <n v="1.98"/>
    <s v="E"/>
    <s v="OLD COURT RD (BACK)"/>
    <s v="GREENSPRING AVE"/>
    <n v="2"/>
    <n v="3.96"/>
    <s v="UNDIVIDED"/>
    <s v="URBAN"/>
    <s v="NON-IS"/>
    <n v="16"/>
    <s v="F"/>
    <n v="157.72999999999999"/>
    <n v="172.69"/>
    <s v=""/>
    <s v=""/>
    <s v=""/>
    <n v="0.21"/>
    <n v="43"/>
    <n v="150.85"/>
    <n v="150.85"/>
    <n v="86.974999999999994"/>
    <n v="87.2"/>
    <n v="86.9"/>
    <n v="0.21"/>
    <n v="43"/>
    <n v="98.59"/>
    <n v="98.59"/>
    <n v="100"/>
    <n v="100"/>
    <n v="100"/>
    <n v="0.18"/>
    <n v="49"/>
    <x v="5"/>
    <m/>
    <s v="Preventive Maintenance"/>
    <n v="158825.84404347651"/>
    <n v="103573.15595652349"/>
    <n v="262399"/>
    <n v="16.3"/>
    <n v="50"/>
    <n v="50"/>
    <s v=""/>
    <s v=""/>
    <n v="16.3"/>
    <s v="D"/>
    <n v="27.8"/>
    <n v="50"/>
    <n v="50"/>
    <s v=""/>
    <s v=""/>
    <n v="27.8"/>
    <n v="11.5"/>
    <n v="4"/>
    <n v="45.54"/>
    <n v="8.5760154369104828"/>
    <n v="33.961021130165513"/>
    <n v="7726.4755672180572"/>
    <n v="66262.373737373739"/>
    <n v="11.6"/>
    <n v="262399"/>
    <n v="262399"/>
    <n v="0"/>
    <s v=""/>
    <s v="2003"/>
    <s v="BA-MD 13301.98E"/>
  </r>
  <r>
    <s v="eGIS Link"/>
    <n v="228"/>
    <s v="NorthBound Visi-Data"/>
    <s v="20021"/>
    <n v="2017"/>
    <n v="4"/>
    <x v="16"/>
    <s v="BA"/>
    <s v="BA-MD 146"/>
    <s v="9.24-11.67(N)"/>
    <s v="MD"/>
    <s v="146"/>
    <s v=""/>
    <n v="9.24"/>
    <n v="11.67"/>
    <s v="N"/>
    <s v="PAPER MILL RD/SWEET AIR RD"/>
    <s v="STRUC #3089 LITTLE GUNPOWDER FALLS"/>
    <n v="2.1"/>
    <n v="5.0999999999999996"/>
    <s v="UNDIVIDED"/>
    <s v="RURAL"/>
    <s v="NON-IS"/>
    <n v="6"/>
    <s v="FCJ"/>
    <n v="122.26"/>
    <n v="123.86"/>
    <s v=""/>
    <s v=""/>
    <s v=""/>
    <n v="0.19"/>
    <n v="50"/>
    <n v="119.64"/>
    <n v="119.64"/>
    <n v="86.174999999999997"/>
    <n v="86.4"/>
    <n v="86.1"/>
    <n v="0.19"/>
    <n v="50"/>
    <n v="81.680000000000007"/>
    <n v="81.680000000000007"/>
    <n v="100"/>
    <n v="100"/>
    <n v="100"/>
    <n v="0.16"/>
    <n v="49"/>
    <x v="5"/>
    <m/>
    <s v="Preventive Maintenance"/>
    <n v="458639.03386595706"/>
    <n v="132811.96613404294"/>
    <n v="591451"/>
    <n v="23.1"/>
    <n v="30.3"/>
    <n v="32.299999999999997"/>
    <s v=""/>
    <s v=""/>
    <n v="23.1"/>
    <s v="C"/>
    <n v="35"/>
    <n v="43.9"/>
    <n v="42.1"/>
    <s v=""/>
    <s v=""/>
    <n v="35"/>
    <n v="11.899999999999999"/>
    <n v="4"/>
    <n v="60.689999999999991"/>
    <n v="8.8743116260204111"/>
    <n v="45.258989292704094"/>
    <n v="13068.144234836989"/>
    <n v="115970.7843137255"/>
    <n v="11.8"/>
    <n v="591451"/>
    <n v="591451"/>
    <n v="0"/>
    <s v=""/>
    <s v="1997"/>
    <s v="BA-MD 1469.2411.67N"/>
  </r>
  <r>
    <s v="eGIS Link"/>
    <n v="274"/>
    <s v="NorthBound Visi-Data"/>
    <s v="19985"/>
    <n v="2017"/>
    <n v="4"/>
    <x v="17"/>
    <s v="BA"/>
    <s v="BA-IS 795"/>
    <s v="3.93-5.94(N)"/>
    <s v="IS"/>
    <s v="795"/>
    <s v=""/>
    <n v="3.93"/>
    <n v="5.94"/>
    <s v="N"/>
    <s v="STRUC #3323"/>
    <s v="INTERSTATE MILE MARKER 6.0"/>
    <n v="2.1"/>
    <n v="4.22"/>
    <s v="DIVIDED"/>
    <s v="URBAN"/>
    <s v="IS"/>
    <n v="11"/>
    <s v="F"/>
    <n v="73.08"/>
    <n v="71.150000000000006"/>
    <n v="91.2"/>
    <n v="92.2"/>
    <n v="90.9"/>
    <n v="0.18"/>
    <n v="46"/>
    <n v="80.22"/>
    <n v="80.22"/>
    <n v="89.974999999999994"/>
    <n v="89.9"/>
    <n v="90"/>
    <n v="0.18"/>
    <n v="46"/>
    <n v="83.33"/>
    <n v="83.33"/>
    <n v="91.25"/>
    <n v="91.1"/>
    <n v="91.3"/>
    <n v="0.17"/>
    <n v="46"/>
    <x v="6"/>
    <m/>
    <s v="Preventive Maintenance"/>
    <n v="146943.51924644035"/>
    <n v="95824.480753559648"/>
    <n v="242768"/>
    <n v="22.1"/>
    <n v="19.600000000000001"/>
    <n v="14.7"/>
    <s v=""/>
    <s v=""/>
    <n v="14.7"/>
    <s v="D"/>
    <n v="21.9"/>
    <n v="21.7"/>
    <n v="17.399999999999999"/>
    <s v=""/>
    <s v=""/>
    <n v="17.399999999999999"/>
    <n v="2.6999999999999993"/>
    <n v="2"/>
    <n v="16.88"/>
    <n v="2.9829618910992983"/>
    <n v="12.588099180439038"/>
    <n v="19285.51694105201"/>
    <n v="57527.962085308063"/>
    <n v="2.7"/>
    <n v="242768"/>
    <n v="242768"/>
    <n v="0"/>
    <s v=""/>
    <s v="1991"/>
    <s v="BA-IS 7953.935.94N"/>
  </r>
  <r>
    <s v="eGIS Link"/>
    <n v="274"/>
    <s v="SouthBound Visi-Data"/>
    <s v="19985"/>
    <n v="2017"/>
    <n v="4"/>
    <x v="17"/>
    <s v="BA"/>
    <s v="BA-IS 795"/>
    <s v="3.93-5.94(S)"/>
    <s v="IS"/>
    <s v="795"/>
    <s v=""/>
    <n v="3.93"/>
    <n v="5.94"/>
    <s v="S"/>
    <s v="OWINGS MILLS BLVD"/>
    <s v="INTERSTATE MILE MARKER 6.0"/>
    <n v="2.1"/>
    <n v="4.22"/>
    <s v="DIVIDED"/>
    <s v="URBAN"/>
    <s v="IS"/>
    <n v="11"/>
    <s v="F"/>
    <n v="75.67"/>
    <n v="72.599999999999994"/>
    <n v="93.4"/>
    <n v="94.6"/>
    <n v="93"/>
    <n v="0.15"/>
    <n v="47"/>
    <n v="89.96"/>
    <n v="89.96"/>
    <n v="90.75"/>
    <n v="90.3"/>
    <n v="90.9"/>
    <n v="0.15"/>
    <n v="47"/>
    <n v="93.35"/>
    <n v="93.35"/>
    <n v="91.924999999999997"/>
    <n v="91.4"/>
    <n v="92.1"/>
    <n v="0.14000000000000001"/>
    <n v="47"/>
    <x v="6"/>
    <m/>
    <s v="Preventive Maintenance"/>
    <n v="146943.51924644035"/>
    <n v="95824.480753559648"/>
    <n v="242768"/>
    <n v="18.5"/>
    <n v="20"/>
    <n v="15.9"/>
    <s v=""/>
    <s v=""/>
    <n v="15.9"/>
    <s v="D"/>
    <n v="18.399999999999999"/>
    <n v="21.9"/>
    <n v="18.3"/>
    <s v=""/>
    <s v=""/>
    <n v="18.3"/>
    <n v="2.4000000000000004"/>
    <n v="2"/>
    <n v="16.88"/>
    <n v="2.9829618910992983"/>
    <n v="12.588099180439038"/>
    <n v="19285.51694105201"/>
    <n v="57527.962085308063"/>
    <n v="2.4"/>
    <n v="242768"/>
    <n v="242768"/>
    <n v="0"/>
    <s v=""/>
    <s v="1991"/>
    <s v="BA-IS 7953.935.94S"/>
  </r>
  <r>
    <s v="eGIS Link"/>
    <n v="270"/>
    <s v="EastBound Visi-Data"/>
    <s v="19980"/>
    <n v="2017"/>
    <n v="4"/>
    <x v="17"/>
    <s v="BA"/>
    <s v="BA-IS 70"/>
    <s v="1.98-2.89(E)"/>
    <s v="IS"/>
    <s v="70"/>
    <s v=""/>
    <n v="1.98"/>
    <n v="2.89"/>
    <s v="E"/>
    <s v="RAMP 6 FR IS 70 TO IS 695"/>
    <s v="RAMP 1 FR IS 695 TO RAMP 8"/>
    <n v="2.6"/>
    <n v="2.37"/>
    <s v="DIVIDED"/>
    <s v="URBAN"/>
    <s v="IS"/>
    <n v="11"/>
    <s v="FCJ"/>
    <n v="100.2"/>
    <n v="90.95"/>
    <n v="95.6"/>
    <n v="94.1"/>
    <n v="96.1"/>
    <n v="0.2"/>
    <n v="48"/>
    <n v="108.34"/>
    <n v="108.34"/>
    <n v="89.7"/>
    <n v="85.5"/>
    <n v="91.1"/>
    <n v="0.2"/>
    <n v="48"/>
    <n v="111.93"/>
    <n v="111.93"/>
    <n v="90.7"/>
    <n v="87.1"/>
    <n v="91.9"/>
    <n v="0.2"/>
    <n v="48"/>
    <x v="6"/>
    <m/>
    <s v="Preventive Maintenance"/>
    <n v="82366.40395577818"/>
    <n v="53712.59604422182"/>
    <n v="136079"/>
    <n v="14.2"/>
    <n v="10.9"/>
    <n v="20.100000000000001"/>
    <s v=""/>
    <s v=""/>
    <n v="10.9"/>
    <s v="D"/>
    <n v="14.1"/>
    <n v="12.7"/>
    <n v="21.7"/>
    <s v=""/>
    <s v=""/>
    <n v="12.7"/>
    <n v="2"/>
    <n v="2"/>
    <n v="9.48"/>
    <n v="2.9829618910992983"/>
    <n v="7.069619681905337"/>
    <n v="19248.418744263381"/>
    <n v="57417.299578059072"/>
    <n v="1.9"/>
    <n v="136079"/>
    <n v="136079"/>
    <n v="0"/>
    <s v=""/>
    <s v="2006"/>
    <s v="BA-IS 701.982.89E"/>
  </r>
  <r>
    <s v="eGIS Link"/>
    <n v="276"/>
    <s v="NorthBound Visi-Data"/>
    <s v="19984"/>
    <n v="2017"/>
    <n v="4"/>
    <x v="17"/>
    <s v="BA"/>
    <s v="BA-IS 695"/>
    <s v="10.2-10.67(N)"/>
    <s v="IS"/>
    <s v="695"/>
    <s v=""/>
    <n v="10.199999999999999"/>
    <n v="10.67"/>
    <s v="N"/>
    <s v="STRUC #3139"/>
    <s v="RAMP 2 FR MD 26 TO IS 695"/>
    <n v="4.3"/>
    <n v="2.02"/>
    <s v="DIVIDED"/>
    <s v="URBAN"/>
    <s v="IS"/>
    <n v="11"/>
    <s v="FCJ"/>
    <n v="85.94"/>
    <n v="113.67"/>
    <n v="84.7"/>
    <n v="93.4"/>
    <n v="81.8"/>
    <n v="0.19"/>
    <n v="45"/>
    <n v="126.96"/>
    <n v="126.96"/>
    <n v="84.65"/>
    <n v="91.4"/>
    <n v="82.4"/>
    <n v="0.19"/>
    <n v="45"/>
    <n v="131.03"/>
    <n v="131.03"/>
    <n v="87"/>
    <n v="92.4"/>
    <n v="85.2"/>
    <n v="0.18"/>
    <n v="45"/>
    <x v="6"/>
    <m/>
    <s v="Preventive Maintenance"/>
    <n v="70355.759009133166"/>
    <n v="45880.240990866834"/>
    <n v="116236"/>
    <n v="8.9"/>
    <n v="21"/>
    <n v="7.3"/>
    <s v=""/>
    <s v=""/>
    <n v="7.3"/>
    <s v="E"/>
    <n v="8.8000000000000007"/>
    <n v="23"/>
    <n v="11.5"/>
    <s v=""/>
    <s v=""/>
    <n v="8.8000000000000007"/>
    <n v="2"/>
    <n v="2"/>
    <n v="8.08"/>
    <n v="2.9829618910992983"/>
    <n v="6.0255830200205827"/>
    <n v="19290.415485737172"/>
    <n v="57542.574257425746"/>
    <n v="1.5"/>
    <n v="116236"/>
    <n v="116236"/>
    <n v="0"/>
    <s v=""/>
    <s v="2012"/>
    <s v="BA-IS 69510.210.67N"/>
  </r>
  <r>
    <s v="eGIS Link"/>
    <n v="23"/>
    <s v="NorthBound Visi-Data"/>
    <s v="20007"/>
    <n v="2017"/>
    <n v="4"/>
    <x v="17"/>
    <s v="BA"/>
    <s v="BA-MD 129"/>
    <s v="2.6-3.7(N)"/>
    <s v="MD"/>
    <s v="129"/>
    <s v=""/>
    <n v="2.6"/>
    <n v="3.7"/>
    <s v="N"/>
    <s v="STRUC #3073 JONES FALLS"/>
    <s v="VELVET VALLEY WAY"/>
    <n v="2"/>
    <n v="2.2000000000000002"/>
    <s v="UNDIVIDED"/>
    <s v="URBAN"/>
    <s v="NON-IS"/>
    <n v="17"/>
    <s v="F"/>
    <n v="95.29"/>
    <n v="100.83"/>
    <n v="100"/>
    <n v="100"/>
    <n v="100"/>
    <n v="0.24"/>
    <n v="40"/>
    <n v="94.54"/>
    <n v="94.54"/>
    <n v="95.825000000000003"/>
    <n v="96.2"/>
    <n v="95.7"/>
    <n v="0.24"/>
    <n v="38"/>
    <n v="97.61"/>
    <n v="97.61"/>
    <n v="94.8"/>
    <n v="96"/>
    <n v="94.4"/>
    <n v="0.24"/>
    <n v="36"/>
    <x v="0"/>
    <m/>
    <s v="Preventive Maintenance"/>
    <n v="2548.2444804402307"/>
    <n v="1661.7555195597693"/>
    <n v="4210"/>
    <n v="39.200000000000003"/>
    <n v="35.799999999999997"/>
    <n v="34.200000000000003"/>
    <s v=""/>
    <s v=""/>
    <n v="34.200000000000003"/>
    <s v="B"/>
    <n v="39"/>
    <n v="36.6"/>
    <n v="34.200000000000003"/>
    <s v=""/>
    <s v=""/>
    <n v="34.200000000000003"/>
    <n v="1"/>
    <n v="1"/>
    <n v="4.4000000000000004"/>
    <n v="1.4914809455496492"/>
    <n v="3.2812580802092284"/>
    <n v="1283.044459499373"/>
    <n v="1913.6363636363635"/>
    <n v="0"/>
    <n v="4210"/>
    <n v="4210"/>
    <n v="0"/>
    <s v=""/>
    <s v="2003"/>
    <s v="BA-MD 1292.63.7N"/>
  </r>
  <r>
    <s v="eGIS Link"/>
    <n v="5"/>
    <s v="NorthBound Visi-Data"/>
    <s v="19984"/>
    <n v="2017"/>
    <n v="4"/>
    <x v="17"/>
    <s v="BA"/>
    <s v="BA-IS 695"/>
    <s v="12.85-13.85(N)"/>
    <s v="IS"/>
    <s v="695"/>
    <s v=""/>
    <n v="12.85"/>
    <n v="13.85"/>
    <s v="N"/>
    <s v="STRUC #3146"/>
    <s v="EXIT #21"/>
    <n v="4.4000000000000004"/>
    <n v="4.4000000000000004"/>
    <s v="DIVIDED"/>
    <s v="URBAN"/>
    <s v="IS"/>
    <n v="11"/>
    <s v="FCJ"/>
    <n v="77.94"/>
    <n v="76.72"/>
    <n v="82"/>
    <n v="75"/>
    <n v="84.4"/>
    <n v="0.13"/>
    <n v="48"/>
    <n v="84.24"/>
    <n v="84.24"/>
    <n v="79.95"/>
    <n v="77.400000000000006"/>
    <n v="80.8"/>
    <n v="0.13"/>
    <n v="46"/>
    <n v="87.36"/>
    <n v="87.36"/>
    <n v="80.424999999999997"/>
    <n v="81.400000000000006"/>
    <n v="80.099999999999994"/>
    <n v="0.13"/>
    <n v="44"/>
    <x v="0"/>
    <m/>
    <s v="Preventive Maintenance"/>
    <n v="5096.4889608804615"/>
    <n v="3323.5110391195385"/>
    <n v="8420"/>
    <n v="22.7"/>
    <n v="3.1"/>
    <n v="10.3"/>
    <s v=""/>
    <s v=""/>
    <n v="3.1"/>
    <s v="E"/>
    <n v="22.5"/>
    <n v="9"/>
    <n v="10.3"/>
    <s v=""/>
    <s v=""/>
    <n v="9"/>
    <n v="5.9"/>
    <n v="1"/>
    <n v="25.960000000000004"/>
    <n v="4.3998687893714656"/>
    <n v="19.359422673234452"/>
    <n v="434.93032525402469"/>
    <n v="1913.6363636363635"/>
    <n v="5.9"/>
    <n v="8420"/>
    <n v="8420"/>
    <n v="0"/>
    <s v=""/>
    <s v="1998"/>
    <s v="BA-IS 69512.8513.85N"/>
  </r>
  <r>
    <s v="eGIS Link"/>
    <n v="302"/>
    <s v="EastBound Visi-Data"/>
    <s v="20048"/>
    <n v="2017"/>
    <n v="4"/>
    <x v="17"/>
    <s v="BA"/>
    <s v="BA-MD 795"/>
    <s v="0-0.47(E)"/>
    <s v="MD"/>
    <s v="795"/>
    <s v=""/>
    <n v="0"/>
    <n v="0.47"/>
    <s v="E"/>
    <s v="NORTHWEST EXPRESSWAY (BACK)"/>
    <s v="BUTLER RD (AHEAD)"/>
    <n v="4.2"/>
    <n v="1.97"/>
    <s v="UNDIVIDED"/>
    <s v="URBAN"/>
    <s v="NON-IS"/>
    <n v="12"/>
    <s v="F"/>
    <n v="122.6"/>
    <n v="99.15"/>
    <n v="100"/>
    <n v="100"/>
    <n v="100"/>
    <n v="0.15"/>
    <s v=""/>
    <n v="87.22"/>
    <n v="87.22"/>
    <n v="94.375"/>
    <n v="94"/>
    <n v="94.5"/>
    <n v="0.15"/>
    <n v="44"/>
    <n v="53.82"/>
    <n v="53.82"/>
    <n v="100"/>
    <n v="100"/>
    <n v="100"/>
    <n v="0.08"/>
    <n v="49"/>
    <x v="1"/>
    <m/>
    <s v="Minor Rehabilitation"/>
    <n v="255660.34486765441"/>
    <n v="166720.65513234559"/>
    <n v="422381"/>
    <n v="28"/>
    <n v="34"/>
    <n v="36.4"/>
    <s v=""/>
    <s v=""/>
    <n v="28"/>
    <s v="C"/>
    <n v="48.3"/>
    <n v="40"/>
    <n v="42.4"/>
    <s v=""/>
    <s v=""/>
    <n v="40"/>
    <n v="12"/>
    <n v="6"/>
    <n v="23.64"/>
    <n v="8.9488856732978945"/>
    <n v="17.62930477639685"/>
    <n v="23959.027616648193"/>
    <n v="214406.59898477158"/>
    <n v="12"/>
    <n v="422381"/>
    <n v="422381"/>
    <n v="0"/>
    <s v=""/>
    <s v="2007"/>
    <s v="BA-MD 79500.47E"/>
  </r>
  <r>
    <s v="eGIS Link"/>
    <n v="313"/>
    <s v="SouthBound Visi-Data"/>
    <s v="19985"/>
    <n v="2017"/>
    <n v="4"/>
    <x v="17"/>
    <s v="BA"/>
    <s v="BA-IS 795"/>
    <s v="5.94-8.99(S)"/>
    <s v="IS"/>
    <s v="795"/>
    <s v=""/>
    <n v="5.94"/>
    <n v="8.99"/>
    <s v="S"/>
    <s v="BEG BR"/>
    <s v="NO NAME (AHEAD)"/>
    <n v="2.2000000000000002"/>
    <n v="6.71"/>
    <s v="DIVIDED"/>
    <s v="URBAN"/>
    <s v="IS"/>
    <n v="11"/>
    <s v="F"/>
    <n v="91.01"/>
    <n v="81.58"/>
    <n v="92.9"/>
    <n v="94.9"/>
    <n v="92.3"/>
    <n v="0.19"/>
    <n v="44"/>
    <n v="98.23"/>
    <n v="98.23"/>
    <n v="90.4"/>
    <n v="90.4"/>
    <n v="90.4"/>
    <n v="0.19"/>
    <n v="44"/>
    <n v="57.6"/>
    <n v="57.6"/>
    <n v="100"/>
    <n v="100"/>
    <n v="100"/>
    <n v="0.08"/>
    <n v="49"/>
    <x v="7"/>
    <m/>
    <s v="Minor Rehabilitation"/>
    <n v="1082595.3376730131"/>
    <n v="705979.6623269869"/>
    <n v="1788575"/>
    <n v="15.8"/>
    <n v="20.100000000000001"/>
    <n v="15.3"/>
    <s v=""/>
    <s v=""/>
    <n v="15.3"/>
    <s v="D"/>
    <n v="39.6"/>
    <n v="28.7"/>
    <n v="26"/>
    <s v=""/>
    <s v=""/>
    <n v="26"/>
    <n v="10.7"/>
    <n v="6"/>
    <n v="80.52"/>
    <n v="8.9488856732978945"/>
    <n v="60.047022867828872"/>
    <n v="29786.239426672008"/>
    <n v="266553.65126676601"/>
    <n v="10.8"/>
    <n v="1788575"/>
    <n v="1788575"/>
    <n v="0"/>
    <s v=""/>
    <s v="1991"/>
    <s v="BA-IS 7955.948.99S"/>
  </r>
  <r>
    <s v="eGIS Link"/>
    <n v="177"/>
    <s v="NorthBound Visi-Data"/>
    <s v="21436"/>
    <n v="2017"/>
    <n v="4"/>
    <x v="17"/>
    <s v="BA"/>
    <s v="BA-US 1"/>
    <s v="1.83-9.4(N)"/>
    <s v="US"/>
    <s v="1"/>
    <s v=""/>
    <n v="1.83"/>
    <n v="9.4"/>
    <s v="N"/>
    <s v="TOM DAY BLVD"/>
    <s v="BEGIN BALTO CITY MAINTENANCE"/>
    <n v="3.7"/>
    <n v="28.01"/>
    <s v="UNDIVIDED"/>
    <s v="URBAN"/>
    <s v="NON-IS"/>
    <n v="14"/>
    <s v="FCJ"/>
    <n v="85.81"/>
    <n v="96.83"/>
    <n v="91"/>
    <n v="85.9"/>
    <n v="92.7"/>
    <n v="0.18"/>
    <n v="39"/>
    <n v="101.74"/>
    <n v="101.74"/>
    <n v="85.15"/>
    <n v="80.2"/>
    <n v="86.8"/>
    <n v="0.18"/>
    <n v="39"/>
    <n v="49.23"/>
    <n v="49.23"/>
    <n v="100"/>
    <n v="100"/>
    <n v="100"/>
    <n v="0.08"/>
    <n v="49"/>
    <x v="2"/>
    <m/>
    <s v="Structural Overlay"/>
    <n v="2434839.1270884965"/>
    <n v="1587801.8729115035"/>
    <n v="4022641"/>
    <n v="16.600000000000001"/>
    <n v="34.9"/>
    <n v="46.5"/>
    <s v=""/>
    <s v=""/>
    <n v="16.600000000000001"/>
    <s v="D"/>
    <n v="36.5"/>
    <n v="47.1"/>
    <n v="50"/>
    <s v=""/>
    <s v=""/>
    <n v="36.5"/>
    <n v="19.899999999999999"/>
    <n v="6"/>
    <n v="557.399"/>
    <n v="14.840235408219009"/>
    <n v="415.67499378421445"/>
    <n v="9677.3706866000139"/>
    <n v="143614.45912174223"/>
    <n v="20"/>
    <n v="4022641"/>
    <n v="4022641"/>
    <n v="0"/>
    <s v=""/>
    <s v="2004"/>
    <s v="BA-US 11.839.4N"/>
  </r>
  <r>
    <s v="eGIS Link"/>
    <n v="126"/>
    <s v="EastBound Visi-Data"/>
    <s v="20034"/>
    <n v="2017"/>
    <n v="4"/>
    <x v="17"/>
    <s v="BA"/>
    <s v="BA-MD 372"/>
    <s v="1.22-2.47(E)"/>
    <s v="MD"/>
    <s v="372"/>
    <s v=""/>
    <n v="1.22"/>
    <n v="2.4700000000000002"/>
    <s v="E"/>
    <s v="RAMP 6 FR MD 372 TO IS 695"/>
    <s v="BALTO CITY LINE"/>
    <n v="2.5"/>
    <n v="3.13"/>
    <s v="DIVIDED"/>
    <s v="URBAN"/>
    <s v="NON-IS"/>
    <n v="16"/>
    <s v="F"/>
    <n v="136.9"/>
    <n v="121.04"/>
    <n v="94.4"/>
    <n v="95.6"/>
    <n v="94.1"/>
    <n v="0.23"/>
    <n v="34"/>
    <n v="124.04"/>
    <n v="124.04"/>
    <n v="88.65"/>
    <n v="90.9"/>
    <n v="87.9"/>
    <n v="0.23"/>
    <n v="34"/>
    <n v="53.17"/>
    <n v="53.17"/>
    <n v="100"/>
    <n v="100"/>
    <n v="100"/>
    <n v="0.12"/>
    <n v="49"/>
    <x v="2"/>
    <m/>
    <s v="Structural Overlay"/>
    <n v="271657.99370804284"/>
    <n v="177153.00629195716"/>
    <n v="448811"/>
    <n v="21.3"/>
    <n v="50"/>
    <n v="50"/>
    <s v=""/>
    <s v=""/>
    <n v="21.3"/>
    <s v="C"/>
    <n v="50"/>
    <n v="50"/>
    <n v="50"/>
    <s v=""/>
    <s v=""/>
    <n v="50"/>
    <n v="28.7"/>
    <n v="6"/>
    <n v="89.830999999999989"/>
    <n v="21.402751568637466"/>
    <n v="66.990612409835265"/>
    <n v="6699.6103462118454"/>
    <n v="143390.09584664536"/>
    <n v="35.4"/>
    <n v="448811"/>
    <n v="448811"/>
    <n v="0"/>
    <s v="SKID_30"/>
    <s v="1989"/>
    <s v="BA-MD 3721.222.47E"/>
  </r>
  <r>
    <s v="eGIS Link"/>
    <n v="181"/>
    <s v="NorthBound Visi-Data"/>
    <s v="21436"/>
    <n v="2017"/>
    <n v="4"/>
    <x v="17"/>
    <s v="BA"/>
    <s v="BA-US 1"/>
    <s v="0.9-1.83(N)"/>
    <s v="US"/>
    <s v="1"/>
    <s v=""/>
    <n v="0.9"/>
    <n v="1.83"/>
    <s v="N"/>
    <s v="SPEED LIMIT 50 MPH"/>
    <s v="TOM DAY BLVD"/>
    <n v="1.4"/>
    <n v="1.3"/>
    <s v="DIVIDED"/>
    <s v="URBAN"/>
    <s v="NON-IS"/>
    <n v="14"/>
    <s v="FCJ"/>
    <n v="135.22"/>
    <n v="116.5"/>
    <n v="71.7"/>
    <n v="87.1"/>
    <n v="66.5"/>
    <n v="0.21"/>
    <n v="31"/>
    <n v="136"/>
    <n v="136"/>
    <n v="66.875"/>
    <n v="80.900000000000006"/>
    <n v="62.2"/>
    <n v="0.21"/>
    <n v="31"/>
    <n v="56.06"/>
    <n v="56.06"/>
    <n v="100"/>
    <n v="100"/>
    <n v="100"/>
    <n v="0.12"/>
    <n v="49"/>
    <x v="2"/>
    <m/>
    <s v="Structural Overlay"/>
    <n v="134988.5604024558"/>
    <n v="88028.439597544202"/>
    <n v="223017"/>
    <n v="10.4"/>
    <n v="35.5"/>
    <n v="10.8"/>
    <s v=""/>
    <s v=""/>
    <n v="10.4"/>
    <s v="D"/>
    <n v="33.6"/>
    <n v="47.1"/>
    <n v="50"/>
    <s v=""/>
    <s v=""/>
    <n v="33.6"/>
    <n v="23.200000000000003"/>
    <n v="6"/>
    <n v="30.160000000000004"/>
    <n v="17.301178968375932"/>
    <n v="22.491532658888712"/>
    <n v="9915.5981667555734"/>
    <n v="171551.53846153847"/>
    <n v="23.2"/>
    <n v="223017"/>
    <n v="223017"/>
    <n v="0"/>
    <s v="SKID_35"/>
    <s v="2004"/>
    <s v="BA-US 10.91.83N"/>
  </r>
  <r>
    <s v="eGIS Link"/>
    <n v="230"/>
    <s v="EastBound Visi-Data"/>
    <s v="20005"/>
    <n v="2017"/>
    <n v="4"/>
    <x v="17"/>
    <s v="BA"/>
    <s v="BA-MD 125"/>
    <s v="0-1.55(E)"/>
    <s v="MD"/>
    <s v="125"/>
    <s v=""/>
    <n v="0"/>
    <n v="1.55"/>
    <s v="E"/>
    <s v="HOWARD CO/L"/>
    <s v="ST PAUL AVE"/>
    <n v="2"/>
    <n v="3.1"/>
    <s v="UNDIVIDED"/>
    <s v="RURAL"/>
    <s v="NON-IS"/>
    <n v="7"/>
    <s v="F"/>
    <n v="185.18"/>
    <n v="205.73"/>
    <n v="94.8"/>
    <n v="98.7"/>
    <n v="93.6"/>
    <n v="0.19"/>
    <n v="42"/>
    <n v="191.84"/>
    <n v="191.84"/>
    <n v="90.325000000000003"/>
    <n v="94.6"/>
    <n v="88.9"/>
    <n v="0.19"/>
    <n v="42"/>
    <n v="66.989999999999995"/>
    <n v="66.989999999999995"/>
    <n v="100"/>
    <n v="100"/>
    <n v="100"/>
    <n v="0.08"/>
    <n v="49"/>
    <x v="2"/>
    <m/>
    <s v="Structural Overlay"/>
    <n v="911787.12596530141"/>
    <n v="264033.87403469859"/>
    <n v="1175821"/>
    <n v="11.2"/>
    <n v="50"/>
    <n v="49.9"/>
    <s v=""/>
    <s v=""/>
    <n v="11.2"/>
    <s v="D"/>
    <n v="50"/>
    <n v="50"/>
    <n v="50"/>
    <s v=""/>
    <s v=""/>
    <n v="50"/>
    <n v="38.799999999999997"/>
    <n v="6"/>
    <n v="120.28"/>
    <n v="28.93473034366319"/>
    <n v="89.697664065355895"/>
    <n v="13108.713724621282"/>
    <n v="379297.09677419352"/>
    <n v="48.7"/>
    <n v="1175821"/>
    <n v="1175821"/>
    <n v="0"/>
    <s v=""/>
    <s v="2007"/>
    <s v="BA-MD 12501.55E"/>
  </r>
  <r>
    <s v="eGIS Link"/>
    <n v="238"/>
    <s v="EastBound Visi-Data"/>
    <s v="20005"/>
    <n v="2017"/>
    <n v="4"/>
    <x v="17"/>
    <s v="BA"/>
    <s v="BA-MD 125"/>
    <s v="1.55-3.5(E)"/>
    <s v="MD"/>
    <s v="125"/>
    <s v=""/>
    <n v="1.55"/>
    <n v="3.5"/>
    <s v="E"/>
    <s v="MELROSE AVE"/>
    <s v="STRUC #3066 BRICE RUN"/>
    <n v="2"/>
    <n v="3.9"/>
    <s v="UNDIVIDED"/>
    <s v="RURAL"/>
    <s v="NON-IS"/>
    <n v="7"/>
    <s v="F"/>
    <n v="158.49"/>
    <n v="187.45"/>
    <n v="89.1"/>
    <n v="94.6"/>
    <n v="87.2"/>
    <n v="0.19"/>
    <n v="42"/>
    <n v="173.67"/>
    <n v="173.67"/>
    <n v="84.775000000000006"/>
    <n v="89.8"/>
    <n v="83.1"/>
    <n v="0.19"/>
    <n v="42"/>
    <n v="63.11"/>
    <n v="63.11"/>
    <n v="100"/>
    <n v="100"/>
    <n v="100"/>
    <n v="0.08"/>
    <n v="49"/>
    <x v="2"/>
    <m/>
    <s v="Structural Overlay"/>
    <n v="1147087.2795844825"/>
    <n v="332171.72041551745"/>
    <n v="1479259"/>
    <n v="14.4"/>
    <n v="50"/>
    <n v="44.4"/>
    <s v=""/>
    <s v=""/>
    <n v="14.4"/>
    <s v="D"/>
    <n v="50"/>
    <n v="50"/>
    <n v="50"/>
    <s v=""/>
    <s v=""/>
    <n v="50"/>
    <n v="35.6"/>
    <n v="6"/>
    <n v="138.84"/>
    <n v="26.548360830783757"/>
    <n v="103.53860724005665"/>
    <n v="14287.028186213707"/>
    <n v="379297.1794871795"/>
    <n v="45.5"/>
    <n v="1479259"/>
    <n v="1479259"/>
    <n v="0"/>
    <s v=""/>
    <s v="1994"/>
    <s v="BA-MD 1251.553.5E"/>
  </r>
  <r>
    <s v="eGIS Link"/>
    <n v="162"/>
    <s v="SouthBound Visi-Data"/>
    <s v="21436"/>
    <n v="2017"/>
    <n v="4"/>
    <x v="17"/>
    <s v="BA"/>
    <s v="BA-US 1"/>
    <s v="0-0.9(S)"/>
    <s v="US"/>
    <s v="1"/>
    <s v=""/>
    <n v="0"/>
    <n v="0.9"/>
    <s v="S"/>
    <s v="HOWARD CO/L"/>
    <s v="WASHINGTON BLVD"/>
    <n v="2.8"/>
    <n v="2.52"/>
    <s v="DIVIDED"/>
    <s v="URBAN"/>
    <s v="NON-IS"/>
    <n v="14"/>
    <s v="F"/>
    <n v="128.77000000000001"/>
    <n v="136.27000000000001"/>
    <s v=""/>
    <s v=""/>
    <s v=""/>
    <n v="0.34"/>
    <n v="39"/>
    <n v="171.72"/>
    <n v="171.72"/>
    <n v="86.974999999999994"/>
    <n v="87.2"/>
    <n v="86.9"/>
    <n v="0.34"/>
    <n v="39"/>
    <n v="63.07"/>
    <n v="63.07"/>
    <n v="100"/>
    <n v="100"/>
    <n v="100"/>
    <n v="0.12"/>
    <n v="49"/>
    <x v="2"/>
    <m/>
    <s v="Structural Overlay"/>
    <n v="328874.8589079323"/>
    <n v="214465.1410920677"/>
    <n v="543340"/>
    <n v="9"/>
    <n v="50"/>
    <n v="50"/>
    <s v=""/>
    <s v=""/>
    <n v="9"/>
    <s v="E"/>
    <n v="42.2"/>
    <n v="50"/>
    <n v="50"/>
    <s v=""/>
    <s v=""/>
    <n v="42.2"/>
    <n v="33.200000000000003"/>
    <n v="6"/>
    <n v="83.664000000000001"/>
    <n v="24.75858369612418"/>
    <n v="62.391630914232934"/>
    <n v="8708.539783915985"/>
    <n v="215611.11111111112"/>
    <n v="33.200000000000003"/>
    <n v="543340"/>
    <n v="543340"/>
    <n v="0"/>
    <s v="RUT_P1"/>
    <s v="1989"/>
    <s v="BA-US 100.9S"/>
  </r>
  <r>
    <s v="eGIS Link"/>
    <n v="121"/>
    <s v="West Bound Visi-Data"/>
    <s v="20034"/>
    <n v="2017"/>
    <n v="4"/>
    <x v="17"/>
    <s v="BA"/>
    <s v="BA-MD 372"/>
    <s v="1.22-2.47(W)"/>
    <s v="MD"/>
    <s v="372"/>
    <s v=""/>
    <n v="1.22"/>
    <n v="2.4700000000000002"/>
    <s v="W"/>
    <s v="RAMP 6 FR MD 372 TO IS 695"/>
    <s v="BALTO CITY LINE"/>
    <n v="2.7"/>
    <n v="3.38"/>
    <s v="DIVIDED"/>
    <s v="URBAN"/>
    <s v="NON-IS"/>
    <n v="16"/>
    <s v="F"/>
    <n v="145.16999999999999"/>
    <n v="111.74"/>
    <n v="97.5"/>
    <n v="95.7"/>
    <n v="98.1"/>
    <n v="0.18"/>
    <n v="44"/>
    <n v="126.58"/>
    <n v="126.58"/>
    <n v="89.4"/>
    <n v="90"/>
    <n v="89.2"/>
    <n v="0.18"/>
    <n v="44"/>
    <n v="53.66"/>
    <n v="53.66"/>
    <n v="100"/>
    <n v="100"/>
    <n v="100"/>
    <n v="0.08"/>
    <n v="49"/>
    <x v="2"/>
    <m/>
    <s v="Structural Overlay"/>
    <n v="293390.70583873318"/>
    <n v="191325.29416126682"/>
    <n v="484716"/>
    <n v="20.7"/>
    <n v="50"/>
    <n v="50"/>
    <s v=""/>
    <s v=""/>
    <n v="20.7"/>
    <s v="C"/>
    <n v="50"/>
    <n v="50"/>
    <n v="50"/>
    <s v=""/>
    <s v=""/>
    <n v="50"/>
    <n v="29.3"/>
    <n v="6"/>
    <n v="99.034000000000006"/>
    <n v="21.85019585230236"/>
    <n v="73.853661980781979"/>
    <n v="6563.1952025091405"/>
    <n v="143407.10059171598"/>
    <n v="35.700000000000003"/>
    <n v="484716"/>
    <n v="484716"/>
    <n v="0"/>
    <s v=""/>
    <s v="1989"/>
    <s v="BA-MD 3721.222.47W"/>
  </r>
  <r>
    <s v="eGIS Link"/>
    <n v="104"/>
    <s v="NorthBound Visi-Data"/>
    <s v="21436"/>
    <n v="2017"/>
    <n v="4"/>
    <x v="17"/>
    <s v="BA"/>
    <s v="BA-US 1"/>
    <s v="0-0.9(N)"/>
    <s v="US"/>
    <s v="1"/>
    <s v=""/>
    <n v="0"/>
    <n v="0.9"/>
    <s v="N"/>
    <s v="STRUC #3010 PATAPSCO RIVER"/>
    <s v="WASHINGTON BLVD"/>
    <n v="2.9"/>
    <n v="2.61"/>
    <s v="DIVIDED"/>
    <s v="URBAN"/>
    <s v="NON-IS"/>
    <n v="14"/>
    <s v="F"/>
    <n v="131.55000000000001"/>
    <n v="151.52000000000001"/>
    <n v="89.7"/>
    <n v="83.8"/>
    <n v="91.6"/>
    <n v="0.17"/>
    <n v="30"/>
    <n v="146.65"/>
    <n v="146.65"/>
    <n v="85.25"/>
    <n v="82.4"/>
    <n v="86.2"/>
    <n v="0.17"/>
    <n v="30"/>
    <n v="57.8"/>
    <n v="57.8"/>
    <n v="100"/>
    <n v="100"/>
    <n v="100"/>
    <n v="0.08"/>
    <n v="49"/>
    <x v="2"/>
    <m/>
    <s v="Structural Overlay"/>
    <n v="226888.78830393802"/>
    <n v="147958.21169606198"/>
    <n v="374847"/>
    <n v="13.2"/>
    <n v="50"/>
    <n v="50"/>
    <s v=""/>
    <s v=""/>
    <n v="13.2"/>
    <s v="D"/>
    <n v="44.8"/>
    <n v="50"/>
    <n v="50"/>
    <s v=""/>
    <s v=""/>
    <n v="44.8"/>
    <n v="31.599999999999998"/>
    <n v="6"/>
    <n v="82.475999999999985"/>
    <n v="23.565398939684457"/>
    <n v="61.505691232576432"/>
    <n v="6094.5091826146754"/>
    <n v="143619.54022988505"/>
    <n v="31.6"/>
    <n v="374847"/>
    <n v="374847"/>
    <n v="0"/>
    <s v=""/>
    <s v="1989"/>
    <s v="BA-US 100.9N"/>
  </r>
  <r>
    <s v="eGIS Link"/>
    <n v="170"/>
    <s v="NorthBound Visi-Data"/>
    <s v="20040"/>
    <n v="2017"/>
    <n v="4"/>
    <x v="17"/>
    <s v="BA"/>
    <s v="BA-MD 648E"/>
    <s v="0-1.5(N)"/>
    <s v="MD"/>
    <s v="648"/>
    <s v="E"/>
    <n v="0"/>
    <n v="1.5"/>
    <s v="N"/>
    <s v="STRUC #2056 PATAPSCO RIVER"/>
    <s v="BALTO CITY LINE"/>
    <n v="2.1"/>
    <n v="3.15"/>
    <s v="UNDIVIDED"/>
    <s v="URBAN"/>
    <s v="NON-IS"/>
    <n v="16"/>
    <s v="FCJ"/>
    <n v="207.71"/>
    <n v="197.68"/>
    <n v="92.4"/>
    <n v="95.3"/>
    <n v="91.4"/>
    <n v="0.2"/>
    <n v="28"/>
    <n v="211.44"/>
    <n v="211.44"/>
    <n v="86.05"/>
    <n v="86.8"/>
    <n v="85.8"/>
    <n v="0.2"/>
    <n v="28"/>
    <n v="72.16"/>
    <n v="72.16"/>
    <n v="100"/>
    <n v="100"/>
    <n v="100"/>
    <n v="0.08"/>
    <n v="49"/>
    <x v="2"/>
    <m/>
    <s v="Structural Overlay"/>
    <n v="411093.57363491534"/>
    <n v="268081.42636508466"/>
    <n v="679175"/>
    <n v="4.2"/>
    <n v="40.700000000000003"/>
    <n v="49.1"/>
    <s v=""/>
    <s v=""/>
    <n v="4.2"/>
    <s v="E"/>
    <n v="35.700000000000003"/>
    <n v="48.5"/>
    <n v="50"/>
    <s v=""/>
    <s v=""/>
    <n v="35.700000000000003"/>
    <n v="31.500000000000004"/>
    <n v="6"/>
    <n v="99.225000000000009"/>
    <n v="23.49082489240698"/>
    <n v="73.996098411081988"/>
    <n v="9178.5244706670055"/>
    <n v="215611.11111111112"/>
    <n v="31.5"/>
    <n v="679175"/>
    <n v="679175"/>
    <n v="0"/>
    <s v="SKID_30"/>
    <s v="1988"/>
    <s v="BA-MD 648E01.5N"/>
  </r>
  <r>
    <s v="eGIS Link"/>
    <n v="85"/>
    <s v="NorthBound Visi-Data"/>
    <s v="20003"/>
    <n v="2017"/>
    <n v="4"/>
    <x v="17"/>
    <s v="BA"/>
    <s v="BA-MD 91"/>
    <s v="0-1.42(N)"/>
    <s v="MD"/>
    <s v="91"/>
    <s v=""/>
    <n v="0"/>
    <n v="1.42"/>
    <s v="N"/>
    <s v="CARROLL CO/L"/>
    <s v="HANOVER PIKE"/>
    <n v="2"/>
    <n v="2.84"/>
    <s v="UNDIVIDED"/>
    <s v="RURAL"/>
    <s v="NON-IS"/>
    <n v="7"/>
    <s v="FCJ"/>
    <n v="53.96"/>
    <n v="57.89"/>
    <s v=""/>
    <s v=""/>
    <s v=""/>
    <n v="0.26"/>
    <n v="42"/>
    <n v="60.22"/>
    <n v="60.22"/>
    <n v="84.95"/>
    <n v="86.6"/>
    <n v="84.4"/>
    <n v="0.26"/>
    <n v="40"/>
    <n v="65.22"/>
    <n v="65.22"/>
    <n v="97.1"/>
    <n v="99.2"/>
    <n v="96.4"/>
    <n v="0.26"/>
    <n v="55"/>
    <x v="4"/>
    <m/>
    <s v="Preventive Maintenance"/>
    <n v="63304.409272587705"/>
    <n v="18331.590727412295"/>
    <n v="81636"/>
    <n v="40"/>
    <n v="29"/>
    <n v="21.2"/>
    <s v=""/>
    <s v=""/>
    <n v="21.2"/>
    <s v="C"/>
    <n v="42.2"/>
    <n v="37.9"/>
    <n v="28.1"/>
    <s v=""/>
    <s v=""/>
    <n v="28.1"/>
    <n v="6.9000000000000021"/>
    <n v="4"/>
    <n v="22.72"/>
    <n v="5.9659237821985966"/>
    <n v="16.943223541444013"/>
    <n v="4818.209462934492"/>
    <n v="28745.070422535213"/>
    <n v="6.9"/>
    <n v="81636"/>
    <n v="81636"/>
    <n v="0"/>
    <s v=""/>
    <s v="2011"/>
    <s v="BA-MD 9101.42N"/>
  </r>
  <r>
    <s v="eGIS Link"/>
    <n v="86"/>
    <s v="EastBound Visi-Data"/>
    <s v="19992"/>
    <n v="2017"/>
    <n v="4"/>
    <x v="17"/>
    <s v="BA"/>
    <s v="BA-MD 26"/>
    <s v="0.87-2.307(E)"/>
    <s v="MD"/>
    <s v="26"/>
    <s v=""/>
    <n v="0.87"/>
    <n v="2.3069999999999999"/>
    <s v="E"/>
    <s v="SPEED LIMIT 40 MPH"/>
    <s v="SPUR TO LYONS MILL RD"/>
    <n v="2.2999999999999998"/>
    <n v="3.3"/>
    <s v="UNDIVIDED"/>
    <s v="RURAL"/>
    <s v="NON-IS"/>
    <n v="6"/>
    <s v="FCJ"/>
    <n v="84.78"/>
    <n v="88.06"/>
    <n v="87.6"/>
    <n v="93.3"/>
    <n v="85.6"/>
    <n v="0.26"/>
    <n v="37"/>
    <n v="92.48"/>
    <n v="92.48"/>
    <n v="84.05"/>
    <n v="90.2"/>
    <n v="82"/>
    <n v="0.26"/>
    <n v="35"/>
    <n v="100.15"/>
    <n v="100.15"/>
    <n v="97.1"/>
    <n v="99.5"/>
    <n v="96.3"/>
    <n v="0.26"/>
    <n v="55"/>
    <x v="4"/>
    <m/>
    <s v="Preventive Maintenance"/>
    <n v="73671.363160152323"/>
    <n v="21333.636839847677"/>
    <n v="95005"/>
    <n v="32.9"/>
    <n v="33.9"/>
    <n v="27.9"/>
    <s v=""/>
    <s v=""/>
    <n v="27.9"/>
    <s v="C"/>
    <n v="33.799999999999997"/>
    <n v="42.3"/>
    <n v="39"/>
    <s v=""/>
    <s v=""/>
    <n v="33.799999999999997"/>
    <n v="5.8999999999999986"/>
    <n v="4"/>
    <n v="26.4"/>
    <n v="5.9659237821985966"/>
    <n v="19.687548481255369"/>
    <n v="4825.6389103221672"/>
    <n v="28789.39393939394"/>
    <n v="5.9"/>
    <n v="95005"/>
    <n v="95005"/>
    <n v="0"/>
    <s v=""/>
    <s v="2012"/>
    <s v="BA-MD 260.872.307E"/>
  </r>
  <r>
    <s v="eGIS Link"/>
    <n v="156"/>
    <s v="NorthBound Visi-Data"/>
    <s v="20031"/>
    <n v="2017"/>
    <n v="4"/>
    <x v="17"/>
    <s v="BA"/>
    <s v="BA-MD 166"/>
    <s v="1.74-2.71(N)"/>
    <s v="MD"/>
    <s v="166"/>
    <s v=""/>
    <n v="1.74"/>
    <n v="2.71"/>
    <s v="N"/>
    <s v="BLOOMSBURY AVE"/>
    <s v="FREDERICK RD"/>
    <n v="2"/>
    <n v="1.94"/>
    <s v="UNDIVIDED"/>
    <s v="URBAN"/>
    <s v="NON-IS"/>
    <n v="14"/>
    <s v="F"/>
    <n v="168.75"/>
    <n v="181.55"/>
    <n v="97.7"/>
    <n v="94.8"/>
    <n v="98.7"/>
    <n v="0.16"/>
    <n v="30"/>
    <n v="162.78"/>
    <n v="162.78"/>
    <n v="90.825000000000003"/>
    <n v="90.3"/>
    <n v="91"/>
    <n v="0.16"/>
    <n v="30"/>
    <n v="105.52"/>
    <n v="105.52"/>
    <n v="100"/>
    <n v="100"/>
    <n v="100"/>
    <n v="0.14000000000000001"/>
    <n v="49"/>
    <x v="5"/>
    <m/>
    <s v="Preventive Maintenance"/>
    <n v="79332.116644508133"/>
    <n v="51733.883355491867"/>
    <n v="131066"/>
    <n v="10.4"/>
    <n v="50"/>
    <n v="50"/>
    <s v=""/>
    <s v=""/>
    <n v="10.4"/>
    <s v="D"/>
    <n v="21.1"/>
    <n v="50"/>
    <n v="50"/>
    <s v=""/>
    <s v=""/>
    <n v="21.1"/>
    <n v="10.700000000000001"/>
    <n v="4"/>
    <n v="20.758000000000003"/>
    <n v="7.9794230586906236"/>
    <n v="15.480080733859809"/>
    <n v="8466.7517084272949"/>
    <n v="67559.793814432996"/>
    <n v="10.7"/>
    <n v="131066"/>
    <n v="131066"/>
    <n v="0"/>
    <s v=""/>
    <s v="2006"/>
    <s v="BA-MD 1661.742.71N"/>
  </r>
  <r>
    <s v="eGIS Link"/>
    <n v="224"/>
    <s v="EastBound Visi-Data"/>
    <s v="19992"/>
    <n v="2017"/>
    <n v="4"/>
    <x v="17"/>
    <s v="BA"/>
    <s v="BA-MD 26"/>
    <s v="0-0.87(E)"/>
    <s v="MD"/>
    <s v="26"/>
    <s v=""/>
    <n v="0"/>
    <n v="0.87"/>
    <s v="E"/>
    <s v="CARROLL CO/L"/>
    <s v="LIBERTY RIDGE CT"/>
    <n v="2"/>
    <n v="1.74"/>
    <s v="UNDIVIDED"/>
    <s v="RURAL"/>
    <s v="NON-IS"/>
    <n v="6"/>
    <s v="FCJ"/>
    <n v="121.44"/>
    <n v="119.03"/>
    <n v="91.5"/>
    <n v="82.8"/>
    <n v="94.3"/>
    <n v="0.18"/>
    <n v="42"/>
    <n v="135.76"/>
    <n v="135.76"/>
    <n v="85.375"/>
    <n v="80.2"/>
    <n v="87.1"/>
    <n v="0.18"/>
    <n v="42"/>
    <n v="90.29"/>
    <n v="90.29"/>
    <n v="100"/>
    <n v="100"/>
    <n v="100"/>
    <n v="0.15"/>
    <n v="49"/>
    <x v="5"/>
    <m/>
    <s v="Preventive Maintenance"/>
    <n v="165739.43617359083"/>
    <n v="47994.563826409169"/>
    <n v="213734"/>
    <n v="19"/>
    <n v="21.1"/>
    <n v="33"/>
    <s v=""/>
    <s v=""/>
    <n v="19"/>
    <s v="D"/>
    <n v="31.8"/>
    <n v="43.9"/>
    <n v="42.1"/>
    <s v=""/>
    <s v=""/>
    <n v="31.8"/>
    <n v="12.8"/>
    <n v="4"/>
    <n v="22.272000000000002"/>
    <n v="9.5454780515177546"/>
    <n v="16.609131809640893"/>
    <n v="12868.463111114364"/>
    <n v="122835.63218390805"/>
    <n v="12.8"/>
    <n v="213734"/>
    <n v="213734"/>
    <n v="0"/>
    <s v=""/>
    <s v="1986"/>
    <s v="BA-MD 2600.87E"/>
  </r>
  <r>
    <s v="eGIS Link"/>
    <n v="167"/>
    <s v="SouthBound Visi-Data"/>
    <s v="20018"/>
    <n v="2017"/>
    <n v="4"/>
    <x v="17"/>
    <s v="BA"/>
    <s v="BA-MD 140"/>
    <s v="9.93-10.75(S)"/>
    <s v="MD"/>
    <s v="140"/>
    <s v=""/>
    <n v="9.93"/>
    <n v="10.75"/>
    <s v="S"/>
    <s v="HANOVER PIKE"/>
    <s v="RAMP 1 FR IS 795 TO MD 140"/>
    <n v="2.1"/>
    <n v="1.72"/>
    <s v="DIVIDED"/>
    <s v="URBAN"/>
    <s v="NON-IS"/>
    <n v="14"/>
    <s v="F"/>
    <n v="141.4"/>
    <n v="141.35"/>
    <n v="82.7"/>
    <n v="89.7"/>
    <n v="80.3"/>
    <n v="0.22"/>
    <n v="52"/>
    <n v="157.25"/>
    <n v="157.25"/>
    <n v="80.55"/>
    <n v="86.1"/>
    <n v="78.7"/>
    <n v="0.22"/>
    <n v="52"/>
    <n v="102.5"/>
    <n v="102.5"/>
    <n v="100"/>
    <n v="100"/>
    <n v="100"/>
    <n v="0.19"/>
    <n v="49"/>
    <x v="5"/>
    <m/>
    <s v="Preventive Maintenance"/>
    <n v="73489.918134957275"/>
    <n v="47924.081865042725"/>
    <n v="121414"/>
    <n v="11.3"/>
    <n v="50"/>
    <n v="50"/>
    <s v=""/>
    <s v=""/>
    <n v="11.3"/>
    <s v="D"/>
    <n v="21.8"/>
    <n v="50"/>
    <n v="50"/>
    <s v=""/>
    <s v=""/>
    <n v="21.8"/>
    <n v="10.5"/>
    <n v="4"/>
    <n v="18.059999999999999"/>
    <n v="7.8302749641356586"/>
    <n v="13.468072938313332"/>
    <n v="9014.9496929592078"/>
    <n v="70589.534883720931"/>
    <n v="10.4"/>
    <n v="121414"/>
    <n v="121414"/>
    <n v="0"/>
    <s v=""/>
    <s v="2007"/>
    <s v="BA-MD 1409.9310.75S"/>
  </r>
  <r>
    <s v="eGIS Link"/>
    <n v="199"/>
    <s v="EastBound Visi-Data"/>
    <s v="19992"/>
    <n v="2017"/>
    <n v="4"/>
    <x v="17"/>
    <s v="BA"/>
    <s v="BA-MD 26"/>
    <s v="2.307-3.43(E)"/>
    <s v="MD"/>
    <s v="26"/>
    <s v=""/>
    <n v="2.3069999999999999"/>
    <n v="3.43"/>
    <s v="E"/>
    <s v="FALLS RUN RD"/>
    <s v="KINGS POINT SQUARE"/>
    <n v="1.9"/>
    <n v="2.13"/>
    <s v="UNDIVIDED"/>
    <s v="URBAN"/>
    <s v="NON-IS"/>
    <n v="14"/>
    <s v="F"/>
    <n v="67.41"/>
    <n v="68.400000000000006"/>
    <n v="94.9"/>
    <n v="97.8"/>
    <n v="93.9"/>
    <n v="0.25"/>
    <n v="40"/>
    <n v="70.650000000000006"/>
    <n v="70.650000000000006"/>
    <n v="88.974999999999994"/>
    <n v="92.5"/>
    <n v="87.8"/>
    <n v="0.25"/>
    <n v="40"/>
    <n v="56.29"/>
    <n v="56.29"/>
    <n v="100"/>
    <n v="100"/>
    <n v="100"/>
    <n v="0.21"/>
    <n v="49"/>
    <x v="5"/>
    <m/>
    <s v="Preventive Maintenance"/>
    <n v="85577.434114622694"/>
    <n v="55806.565885377306"/>
    <n v="141384"/>
    <n v="32.6"/>
    <n v="50"/>
    <n v="50"/>
    <s v=""/>
    <s v=""/>
    <n v="32.6"/>
    <s v="B"/>
    <n v="36.4"/>
    <n v="50"/>
    <n v="50"/>
    <s v=""/>
    <s v=""/>
    <n v="36.4"/>
    <n v="4"/>
    <n v="4"/>
    <n v="17.04"/>
    <n v="5.9659237821985966"/>
    <n v="12.70741765608301"/>
    <n v="11126.100032788316"/>
    <n v="66377.464788732395"/>
    <n v="3.8"/>
    <n v="141384"/>
    <n v="141384"/>
    <n v="0"/>
    <s v=""/>
    <s v="2012"/>
    <s v="BA-MD 262.3073.43E"/>
  </r>
  <r>
    <s v="eGIS Link"/>
    <n v="1"/>
    <s v="NorthBound Visi-Data"/>
    <s v="40008"/>
    <n v="2017"/>
    <n v="4"/>
    <x v="4"/>
    <s v="HA"/>
    <s v="HA-IS 95"/>
    <s v="8.37-11.45(N)"/>
    <s v="IS"/>
    <s v="95"/>
    <s v=""/>
    <n v="8.3699999999999992"/>
    <n v="11.45"/>
    <s v="N"/>
    <s v="IS 95 SERVICE AREA"/>
    <s v="INTERSTATE MILE MARKER 84.0"/>
    <n v="3.1"/>
    <n v="9.5399999999999991"/>
    <s v="DIVIDED"/>
    <s v="RURAL"/>
    <s v="IS"/>
    <n v="1"/>
    <s v="FCJ"/>
    <n v="60.71"/>
    <n v="54.51"/>
    <n v="94.3"/>
    <n v="80.400000000000006"/>
    <n v="98.9"/>
    <n v="0.16"/>
    <s v=""/>
    <n v="66.150000000000006"/>
    <n v="66.150000000000006"/>
    <n v="88.825000000000003"/>
    <n v="88.6"/>
    <n v="88.9"/>
    <n v="0.17"/>
    <n v="66"/>
    <n v="68.790000000000006"/>
    <n v="68.790000000000006"/>
    <n v="87.6"/>
    <n v="89.7"/>
    <n v="86.9"/>
    <n v="0.17"/>
    <n v="64"/>
    <x v="0"/>
    <m/>
    <s v="Preventive Maintenance"/>
    <n v="3836.1373985924274"/>
    <n v="1110.8626014075726"/>
    <n v="4947"/>
    <n v="49.3"/>
    <n v="18"/>
    <n v="15.6"/>
    <s v=""/>
    <s v=""/>
    <n v="15.6"/>
    <s v="D"/>
    <n v="48.9"/>
    <n v="19.7"/>
    <n v="15.6"/>
    <s v=""/>
    <s v=""/>
    <n v="15.6"/>
    <n v="1"/>
    <n v="1"/>
    <n v="19.079999999999998"/>
    <n v="1.4914809455496492"/>
    <n v="14.228728220543651"/>
    <n v="347.67689166045403"/>
    <n v="518.55345911949689"/>
    <n v="0"/>
    <n v="4947"/>
    <n v="4947"/>
    <n v="0"/>
    <s v=""/>
    <s v="2004"/>
    <s v="HA-IS 958.3711.45N"/>
  </r>
  <r>
    <s v="eGIS Link"/>
    <n v="414"/>
    <s v="West Bound Visi-Data"/>
    <s v="40329"/>
    <n v="2017"/>
    <n v="4"/>
    <x v="4"/>
    <s v="HA"/>
    <s v="HA-US 1 RP7-6"/>
    <s v="0-0.03(W)"/>
    <s v="US"/>
    <s v="1"/>
    <s v=""/>
    <n v="0"/>
    <n v="0.03"/>
    <s v="W"/>
    <s v=""/>
    <s v=""/>
    <s v=""/>
    <n v="0.06"/>
    <s v="UNDIVIDED"/>
    <s v="URBAN"/>
    <s v="NON-IS"/>
    <n v="14"/>
    <s v=""/>
    <s v=""/>
    <s v=""/>
    <s v=""/>
    <s v=""/>
    <s v=""/>
    <s v=""/>
    <s v=""/>
    <n v="91.18"/>
    <n v="91.18"/>
    <n v="82.825000000000003"/>
    <n v="83.5"/>
    <n v="82.6"/>
    <n v="0.17"/>
    <n v="57"/>
    <n v="67.06"/>
    <n v="67.06"/>
    <n v="100"/>
    <n v="100"/>
    <n v="100"/>
    <n v="0.14000000000000001"/>
    <n v="49"/>
    <x v="5"/>
    <m/>
    <s v="Preventive Maintenance"/>
    <n v="105884.09779022586"/>
    <n v="69048.90220977414"/>
    <n v="174933"/>
    <n v="25.2"/>
    <n v="50"/>
    <n v="50"/>
    <s v=""/>
    <s v=""/>
    <n v="25.2"/>
    <s v="C"/>
    <n v="32.200000000000003"/>
    <n v="50"/>
    <n v="50"/>
    <s v=""/>
    <s v=""/>
    <n v="32.200000000000003"/>
    <n v="7.0000000000000036"/>
    <n v="4"/>
    <n v="0.48"/>
    <n v="5.9659237821985966"/>
    <n v="0.35795542693191579"/>
    <n v="488700.51084118022"/>
    <n v="2915550"/>
    <n v="6.9"/>
    <n v="174933"/>
    <n v="174933"/>
    <n v="0"/>
    <s v=""/>
    <s v=""/>
    <s v="HA-US 1 RP7-600.03W"/>
  </r>
  <r>
    <s v="eGIS Link"/>
    <n v="362"/>
    <s v="EastBound Visi-Data"/>
    <s v="40346"/>
    <n v="2017"/>
    <n v="4"/>
    <x v="4"/>
    <s v="HA"/>
    <s v="HA-US 40 RP2-14"/>
    <s v="0-0.17(E)"/>
    <s v="US"/>
    <s v="40"/>
    <s v=""/>
    <n v="0"/>
    <n v="0.17"/>
    <s v="E"/>
    <s v=""/>
    <s v=""/>
    <s v=""/>
    <n v="0.34"/>
    <s v="UNDIVIDED"/>
    <s v="URBAN"/>
    <s v="NON-IS"/>
    <n v="14"/>
    <s v=""/>
    <s v=""/>
    <s v=""/>
    <s v=""/>
    <s v=""/>
    <s v=""/>
    <s v=""/>
    <s v=""/>
    <n v="115.89"/>
    <n v="115.89"/>
    <n v="84.575000000000003"/>
    <n v="78.8"/>
    <n v="86.5"/>
    <n v="0.15"/>
    <n v="44"/>
    <n v="80.98"/>
    <n v="80.98"/>
    <n v="100"/>
    <n v="100"/>
    <n v="100"/>
    <n v="0.13"/>
    <n v="49"/>
    <x v="5"/>
    <m/>
    <s v="Preventive Maintenance"/>
    <n v="94213.017013064687"/>
    <n v="61437.982986935313"/>
    <n v="155651"/>
    <n v="14"/>
    <n v="33.200000000000003"/>
    <n v="46.2"/>
    <s v=""/>
    <s v=""/>
    <n v="14"/>
    <s v="D"/>
    <n v="20.2"/>
    <n v="47.1"/>
    <n v="50"/>
    <s v=""/>
    <s v=""/>
    <n v="20.2"/>
    <n v="6.1999999999999993"/>
    <n v="4"/>
    <n v="2.72"/>
    <n v="5.9659237821985966"/>
    <n v="2.028414085947523"/>
    <n v="76735.31803901447"/>
    <n v="457797.0588235294"/>
    <n v="6.2"/>
    <n v="155651"/>
    <n v="155651"/>
    <n v="0"/>
    <s v=""/>
    <s v=""/>
    <s v="HA-US 40 RP2-1400.17E"/>
  </r>
  <r>
    <s v="eGIS Link"/>
    <n v="237"/>
    <s v="SouthBound Visi-Data"/>
    <s v="9160"/>
    <n v="2017"/>
    <n v="5"/>
    <x v="18"/>
    <s v="AA"/>
    <s v="AA-IS 97"/>
    <s v="4.8-6.63(S)"/>
    <s v="IS"/>
    <s v="97"/>
    <s v=""/>
    <n v="4.8"/>
    <n v="6.63"/>
    <s v="S"/>
    <s v="INTERSTATE MILE MARKER 5.0"/>
    <s v="MD 32 (SB/L)"/>
    <n v="2.5"/>
    <n v="4.57"/>
    <s v="DIVIDED"/>
    <s v="URBAN"/>
    <s v="IS"/>
    <n v="11"/>
    <s v="F"/>
    <n v="52.03"/>
    <n v="70.59"/>
    <n v="84.3"/>
    <n v="95.5"/>
    <n v="80.599999999999994"/>
    <n v="0.1"/>
    <n v="35"/>
    <n v="84.35"/>
    <n v="84.35"/>
    <n v="84.325000000000003"/>
    <n v="93.4"/>
    <n v="81.3"/>
    <n v="0.1"/>
    <n v="35"/>
    <n v="87.12"/>
    <n v="87.12"/>
    <n v="86.924999999999997"/>
    <n v="94.2"/>
    <n v="84.5"/>
    <n v="0.1"/>
    <n v="35"/>
    <x v="6"/>
    <m/>
    <s v="Preventive Maintenance"/>
    <n v="164740.66663846435"/>
    <n v="80009.333361535653"/>
    <n v="244750"/>
    <n v="24.7"/>
    <n v="24.1"/>
    <n v="7.5"/>
    <s v=""/>
    <s v=""/>
    <n v="7.5"/>
    <s v="E"/>
    <n v="24.5"/>
    <n v="26.2"/>
    <n v="12.6"/>
    <s v=""/>
    <s v=""/>
    <n v="12.6"/>
    <n v="5.0999999999999996"/>
    <n v="2"/>
    <n v="23.306999999999999"/>
    <n v="3.8032764111516051"/>
    <n v="17.380973198962835"/>
    <n v="14081.489983230906"/>
    <n v="53555.798687089715"/>
    <n v="5.0999999999999996"/>
    <n v="244750"/>
    <n v="244750"/>
    <n v="0"/>
    <s v="SKID_35"/>
    <s v="2012"/>
    <s v="AA-IS 974.86.63S"/>
  </r>
  <r>
    <s v="eGIS Link"/>
    <n v="17"/>
    <s v="NorthBound Visi-Data"/>
    <s v="9177"/>
    <n v="2017"/>
    <n v="5"/>
    <x v="18"/>
    <s v="AA"/>
    <s v="AA-MD 32"/>
    <s v="6.08-8.32(N)"/>
    <s v="MD"/>
    <s v="32"/>
    <s v=""/>
    <n v="6.08"/>
    <n v="8.32"/>
    <s v="N"/>
    <s v="STRUC #2209"/>
    <s v="STRUC #2213 ROGUE HARBOR BRANCH"/>
    <n v="2.1"/>
    <n v="4.7"/>
    <s v="DIVIDED"/>
    <s v="URBAN"/>
    <s v="NON-IS"/>
    <n v="12"/>
    <s v="F"/>
    <n v="57.52"/>
    <n v="55.83"/>
    <n v="100"/>
    <n v="100"/>
    <n v="100"/>
    <n v="0.17"/>
    <n v="43"/>
    <n v="62.93"/>
    <n v="62.93"/>
    <n v="95.6"/>
    <n v="96.2"/>
    <n v="95.4"/>
    <n v="0.17"/>
    <n v="41"/>
    <n v="65.36"/>
    <n v="65.36"/>
    <n v="94.825000000000003"/>
    <n v="95.8"/>
    <n v="94.5"/>
    <n v="0.17"/>
    <n v="39"/>
    <x v="0"/>
    <m/>
    <s v="Preventive Maintenance"/>
    <n v="5431.8985894684665"/>
    <n v="2638.1014105315335"/>
    <n v="8070"/>
    <n v="41.1"/>
    <n v="35.5"/>
    <n v="37.4"/>
    <s v=""/>
    <s v=""/>
    <n v="35.5"/>
    <s v="B"/>
    <n v="40.6"/>
    <n v="36.200000000000003"/>
    <n v="37.4"/>
    <s v=""/>
    <s v=""/>
    <n v="36.200000000000003"/>
    <n v="1"/>
    <n v="1"/>
    <n v="9.4"/>
    <n v="1.4914809455496492"/>
    <n v="7.0099604440833509"/>
    <n v="1151.2190495755735"/>
    <n v="1717.0212765957447"/>
    <n v="0.7"/>
    <n v="8070"/>
    <n v="8070"/>
    <n v="0"/>
    <s v=""/>
    <s v="2012"/>
    <s v="AA-MD 326.088.32N"/>
  </r>
  <r>
    <s v="eGIS Link"/>
    <n v="11"/>
    <s v="EastBound Visi-Data"/>
    <s v="9162"/>
    <n v="2017"/>
    <n v="5"/>
    <x v="18"/>
    <s v="AA"/>
    <s v="AA-IS 595"/>
    <s v="6.2-7.78(E)"/>
    <s v="IS"/>
    <s v="595"/>
    <s v=""/>
    <n v="6.2"/>
    <n v="7.78"/>
    <s v="E"/>
    <s v="STRUC #2031"/>
    <s v="STRUC #2161"/>
    <n v="3.2"/>
    <n v="5.0599999999999996"/>
    <s v="DIVIDED"/>
    <s v="URBAN"/>
    <s v="IS"/>
    <n v="11"/>
    <s v="F"/>
    <n v="66.56"/>
    <n v="72.760000000000005"/>
    <n v="100"/>
    <n v="100"/>
    <n v="100"/>
    <n v="0.12"/>
    <n v="51"/>
    <n v="73.72"/>
    <n v="73.72"/>
    <n v="98.974999999999994"/>
    <n v="97.1"/>
    <n v="99.6"/>
    <n v="0.12"/>
    <n v="51"/>
    <n v="76.459999999999994"/>
    <n v="76.459999999999994"/>
    <n v="98.825000000000003"/>
    <n v="97.1"/>
    <n v="99.4"/>
    <n v="0.12"/>
    <n v="49"/>
    <x v="0"/>
    <m/>
    <s v="Preventive Maintenance"/>
    <n v="4167.8210738523849"/>
    <n v="2024.1789261476151"/>
    <n v="6192"/>
    <n v="29.6"/>
    <n v="29.3"/>
    <n v="39.1"/>
    <s v=""/>
    <s v=""/>
    <n v="29.3"/>
    <s v="C"/>
    <n v="29.3"/>
    <n v="30.3"/>
    <n v="39.1"/>
    <s v=""/>
    <s v=""/>
    <n v="29.3"/>
    <n v="1"/>
    <n v="1"/>
    <n v="10.119999999999999"/>
    <n v="1.4914809455496492"/>
    <n v="7.5468935844812242"/>
    <n v="820.47002924921196"/>
    <n v="1223.715415019763"/>
    <n v="0"/>
    <n v="6192"/>
    <n v="6192"/>
    <n v="0"/>
    <s v=""/>
    <s v="2007"/>
    <s v="AA-IS 5956.27.78E"/>
  </r>
  <r>
    <s v="eGIS Link"/>
    <n v="282"/>
    <s v="EastBound Visi-Data"/>
    <s v="9260"/>
    <n v="2017"/>
    <n v="5"/>
    <x v="18"/>
    <s v="AA"/>
    <s v="AA-MD 665"/>
    <s v="0-2.68(E)"/>
    <s v="MD"/>
    <s v="665"/>
    <s v=""/>
    <n v="0"/>
    <n v="2.68"/>
    <s v="E"/>
    <s v="RAMP 11 FR IS 595 TO IS 595"/>
    <s v="BYWATER RD"/>
    <n v="2.7"/>
    <n v="7.24"/>
    <s v="DIVIDED"/>
    <s v="URBAN"/>
    <s v="NON-IS"/>
    <n v="12"/>
    <s v="F"/>
    <n v="80.41"/>
    <n v="78.8"/>
    <n v="91.2"/>
    <n v="93.6"/>
    <n v="90.4"/>
    <n v="0.17"/>
    <n v="47"/>
    <n v="89.22"/>
    <n v="89.22"/>
    <n v="87.525000000000006"/>
    <n v="88.8"/>
    <n v="87.1"/>
    <n v="0.17"/>
    <n v="47"/>
    <n v="54.46"/>
    <n v="54.46"/>
    <n v="100"/>
    <n v="100"/>
    <n v="100"/>
    <n v="0.08"/>
    <n v="49"/>
    <x v="1"/>
    <m/>
    <s v="Minor Rehabilitation"/>
    <n v="969362.35260490736"/>
    <n v="470788.64739509264"/>
    <n v="1440151"/>
    <n v="27.1"/>
    <n v="29.7"/>
    <n v="27.6"/>
    <s v=""/>
    <s v=""/>
    <n v="27.1"/>
    <s v="C"/>
    <n v="47.9"/>
    <n v="40"/>
    <n v="42.4"/>
    <s v=""/>
    <s v=""/>
    <n v="40"/>
    <n v="12.899999999999999"/>
    <n v="6"/>
    <n v="93.395999999999987"/>
    <n v="9.6200520987952363"/>
    <n v="69.649177195277517"/>
    <n v="20677.21483575039"/>
    <n v="198915.88397790055"/>
    <n v="12.9"/>
    <n v="1440151"/>
    <n v="1440151"/>
    <n v="0"/>
    <s v=""/>
    <s v="2004"/>
    <s v="AA-MD 66502.68E"/>
  </r>
  <r>
    <s v="eGIS Link"/>
    <n v="145"/>
    <s v="EastBound Visi-Data"/>
    <s v="9302"/>
    <n v="2017"/>
    <n v="5"/>
    <x v="18"/>
    <s v="AA"/>
    <s v="AA-MD 908B"/>
    <s v="0-2.09(E)"/>
    <s v="MD"/>
    <s v="908"/>
    <s v="B"/>
    <n v="0"/>
    <n v="2.09"/>
    <s v="E"/>
    <s v="EAST COLLEGE PKWY"/>
    <s v="OCEANIC DR"/>
    <n v="2.1"/>
    <n v="4.3899999999999997"/>
    <s v="UNDIVIDED"/>
    <s v="URBAN"/>
    <s v="NON-IS"/>
    <n v="19"/>
    <s v="F"/>
    <n v="131.03"/>
    <n v="129.12"/>
    <n v="83.9"/>
    <n v="94"/>
    <n v="80.5"/>
    <n v="0.13"/>
    <n v="47"/>
    <n v="141.72"/>
    <n v="141.72"/>
    <n v="76.05"/>
    <n v="87"/>
    <n v="72.400000000000006"/>
    <n v="0.13"/>
    <n v="47"/>
    <n v="72.09"/>
    <n v="72.09"/>
    <n v="100"/>
    <n v="100"/>
    <n v="100"/>
    <n v="0.08"/>
    <n v="49"/>
    <x v="1"/>
    <m/>
    <s v="Minor Rehabilitation"/>
    <n v="334317.54038539599"/>
    <n v="162367.45961460401"/>
    <n v="496685"/>
    <n v="26.5"/>
    <n v="32.700000000000003"/>
    <n v="22.4"/>
    <s v=""/>
    <s v=""/>
    <n v="22.4"/>
    <s v="C"/>
    <n v="50"/>
    <n v="43.9"/>
    <n v="42.2"/>
    <s v=""/>
    <s v=""/>
    <n v="42.2"/>
    <n v="19.800000000000004"/>
    <n v="6"/>
    <n v="86.922000000000011"/>
    <n v="14.765661360941531"/>
    <n v="64.821253374533313"/>
    <n v="7662.3788363082685"/>
    <n v="113140.09111617313"/>
    <n v="19.8"/>
    <n v="496685"/>
    <n v="496685"/>
    <n v="0"/>
    <s v=""/>
    <s v="1998"/>
    <s v="AA-MD 908B02.09E"/>
  </r>
  <r>
    <s v="eGIS Link"/>
    <n v="123"/>
    <s v="EastBound Visi-Data"/>
    <s v="9303"/>
    <n v="2017"/>
    <n v="5"/>
    <x v="18"/>
    <s v="AA"/>
    <s v="AA-MD 908C"/>
    <s v="0-1.1(E)"/>
    <s v="MD"/>
    <s v="908"/>
    <s v="C"/>
    <n v="0"/>
    <n v="1.1000000000000001"/>
    <s v="E"/>
    <s v="BUSCHS FRONTAGE RD (BACK)"/>
    <s v="CEDAR LANE FARM RD"/>
    <n v="1.9"/>
    <n v="2.09"/>
    <s v="UNDIVIDED"/>
    <s v="URBAN"/>
    <s v="NON-IS"/>
    <n v="19"/>
    <s v="F"/>
    <n v="184.19"/>
    <n v="183.78"/>
    <n v="73.7"/>
    <n v="85"/>
    <n v="70"/>
    <n v="0.18"/>
    <n v="50"/>
    <n v="187.86"/>
    <n v="187.86"/>
    <n v="67.974999999999994"/>
    <n v="79"/>
    <n v="64.3"/>
    <n v="0.18"/>
    <n v="50"/>
    <n v="88.24"/>
    <n v="88.24"/>
    <n v="100"/>
    <n v="100"/>
    <n v="100"/>
    <n v="0.08"/>
    <n v="49"/>
    <x v="1"/>
    <m/>
    <s v="Minor Rehabilitation"/>
    <n v="175977.35995353083"/>
    <n v="85466.640046469169"/>
    <n v="261444"/>
    <n v="17.399999999999999"/>
    <n v="27.3"/>
    <n v="16.899999999999999"/>
    <s v=""/>
    <s v=""/>
    <n v="16.899999999999999"/>
    <s v="D"/>
    <n v="44.8"/>
    <n v="43.9"/>
    <n v="42.2"/>
    <s v=""/>
    <s v=""/>
    <n v="42.2"/>
    <n v="25.300000000000004"/>
    <n v="6"/>
    <n v="52.877000000000002"/>
    <n v="18.867233961203066"/>
    <n v="39.432518978914409"/>
    <n v="6630.1622815372484"/>
    <n v="125092.82296650718"/>
    <n v="25.4"/>
    <n v="261444"/>
    <n v="261444"/>
    <n v="0"/>
    <s v=""/>
    <s v="1992"/>
    <s v="AA-MD 908C01.1E"/>
  </r>
  <r>
    <s v="eGIS Link"/>
    <n v="265"/>
    <s v="SouthBound Visi-Data"/>
    <s v="9171"/>
    <n v="2017"/>
    <n v="5"/>
    <x v="18"/>
    <s v="AA"/>
    <s v="AA-MD 3"/>
    <s v="3.08-3.93(S)"/>
    <s v="MD"/>
    <s v="3"/>
    <s v=""/>
    <n v="3.08"/>
    <n v="3.93"/>
    <s v="S"/>
    <s v="SPUR TO JOHNS HOPKINS RD"/>
    <s v="BRICK HEAD RD"/>
    <n v="4"/>
    <n v="3.4"/>
    <s v="DIVIDED"/>
    <s v="URBAN"/>
    <s v="NON-IS"/>
    <n v="14"/>
    <s v="F"/>
    <n v="89.02"/>
    <n v="59.94"/>
    <n v="100"/>
    <n v="100"/>
    <n v="100"/>
    <n v="0.1"/>
    <n v="41"/>
    <n v="68.13"/>
    <n v="68.13"/>
    <n v="90.95"/>
    <n v="92.9"/>
    <n v="90.3"/>
    <n v="0.1"/>
    <n v="41"/>
    <n v="42.88"/>
    <n v="42.88"/>
    <n v="100"/>
    <n v="100"/>
    <n v="100"/>
    <n v="0.08"/>
    <n v="49"/>
    <x v="2"/>
    <m/>
    <s v="Structural Overlay"/>
    <n v="377329.15770455636"/>
    <n v="183256.84229544364"/>
    <n v="560586"/>
    <n v="40.299999999999997"/>
    <n v="50"/>
    <n v="50"/>
    <s v=""/>
    <s v=""/>
    <n v="40.299999999999997"/>
    <s v="A"/>
    <n v="50"/>
    <n v="50"/>
    <n v="50"/>
    <s v=""/>
    <s v=""/>
    <n v="50"/>
    <n v="9.7000000000000028"/>
    <n v="6"/>
    <n v="40.799999999999997"/>
    <n v="8.9488856732978945"/>
    <n v="30.426211289212841"/>
    <n v="18424.443144478766"/>
    <n v="164878.23529411765"/>
    <n v="13.7"/>
    <n v="560586"/>
    <n v="560586"/>
    <n v="0"/>
    <s v=""/>
    <s v="2008"/>
    <s v="AA-MD 33.083.93S"/>
  </r>
  <r>
    <s v="eGIS Link"/>
    <n v="171"/>
    <s v="EastBound Visi-Data"/>
    <s v="9240"/>
    <n v="2017"/>
    <n v="5"/>
    <x v="18"/>
    <s v="AA"/>
    <s v="AA-MD 450"/>
    <s v="14.4-15.83(E)"/>
    <s v="MD"/>
    <s v="450"/>
    <s v=""/>
    <n v="14.4"/>
    <n v="15.83"/>
    <s v="E"/>
    <s v="BALTO ANNAPOLIS BLVD"/>
    <s v="EXIT #27"/>
    <n v="2.1"/>
    <n v="3"/>
    <s v="DIVIDED"/>
    <s v="URBAN"/>
    <s v="NON-IS"/>
    <n v="14"/>
    <s v="FCJ"/>
    <n v="133.93"/>
    <n v="135.57"/>
    <n v="78.099999999999994"/>
    <n v="70.099999999999994"/>
    <n v="80.8"/>
    <n v="0.17"/>
    <n v="38"/>
    <n v="155.46"/>
    <n v="155.46"/>
    <n v="75.650000000000006"/>
    <n v="65.599999999999994"/>
    <n v="79"/>
    <n v="0.17"/>
    <n v="38"/>
    <n v="60.14"/>
    <n v="60.14"/>
    <n v="100"/>
    <n v="100"/>
    <n v="100"/>
    <n v="0.08"/>
    <n v="49"/>
    <x v="2"/>
    <m/>
    <s v="Structural Overlay"/>
    <n v="333270.2003351837"/>
    <n v="161858.7996648163"/>
    <n v="495129"/>
    <n v="7.9"/>
    <n v="11.9"/>
    <n v="36"/>
    <s v=""/>
    <s v=""/>
    <n v="7.9"/>
    <s v="E"/>
    <n v="32"/>
    <n v="47.1"/>
    <n v="50"/>
    <s v=""/>
    <s v=""/>
    <n v="32"/>
    <n v="24.1"/>
    <n v="6"/>
    <n v="72.300000000000011"/>
    <n v="17.972345393873276"/>
    <n v="53.917036181619828"/>
    <n v="9183.1642661543065"/>
    <n v="165043"/>
    <n v="24.1"/>
    <n v="495129"/>
    <n v="495129"/>
    <n v="0"/>
    <s v=""/>
    <s v="1998"/>
    <s v="AA-MD 45014.415.83E"/>
  </r>
  <r>
    <s v="eGIS Link"/>
    <n v="130"/>
    <s v="West Bound Visi-Data"/>
    <s v="9215"/>
    <n v="2017"/>
    <n v="5"/>
    <x v="18"/>
    <s v="AA"/>
    <s v="AA-MD 214"/>
    <s v="5.6-6.65(W)"/>
    <s v="MD"/>
    <s v="214"/>
    <s v=""/>
    <n v="5.6"/>
    <n v="6.65"/>
    <s v="W"/>
    <s v="SPUR FR MD 214A"/>
    <s v="SPUR TO MD 253"/>
    <n v="3.3"/>
    <n v="3.47"/>
    <s v="DIVIDED"/>
    <s v="URBAN"/>
    <s v="NON-IS"/>
    <n v="14"/>
    <s v="F"/>
    <n v="193.75"/>
    <n v="195.12"/>
    <n v="94.7"/>
    <n v="93.4"/>
    <n v="95.2"/>
    <n v="0.2"/>
    <n v="43"/>
    <n v="215.18"/>
    <n v="215.18"/>
    <n v="87.674999999999997"/>
    <n v="88.5"/>
    <n v="87.4"/>
    <n v="0.2"/>
    <n v="43"/>
    <n v="72.8"/>
    <n v="72.8"/>
    <n v="100"/>
    <n v="100"/>
    <n v="100"/>
    <n v="0.08"/>
    <n v="49"/>
    <x v="2"/>
    <m/>
    <s v="Structural Overlay"/>
    <n v="425068.61339948216"/>
    <n v="206442.38660051784"/>
    <n v="631511"/>
    <n v="2.8"/>
    <n v="50"/>
    <n v="50"/>
    <s v=""/>
    <s v=""/>
    <n v="2.8"/>
    <s v="E"/>
    <n v="37.799999999999997"/>
    <n v="50"/>
    <n v="50"/>
    <s v=""/>
    <s v=""/>
    <n v="37.799999999999997"/>
    <n v="35"/>
    <n v="6"/>
    <n v="121.45"/>
    <n v="26.10091654711886"/>
    <n v="90.570180418502446"/>
    <n v="6972.6150161338264"/>
    <n v="181991.64265129683"/>
    <n v="34.9"/>
    <n v="631511"/>
    <n v="631511"/>
    <n v="0"/>
    <s v=""/>
    <s v="1995"/>
    <s v="AA-MD 2145.66.65W"/>
  </r>
  <r>
    <s v="eGIS Link"/>
    <n v="138"/>
    <s v="EastBound Visi-Data"/>
    <s v="9215"/>
    <n v="2017"/>
    <n v="5"/>
    <x v="18"/>
    <s v="AA"/>
    <s v="AA-MD 214"/>
    <s v="5.6-6.65(E)"/>
    <s v="MD"/>
    <s v="214"/>
    <s v=""/>
    <n v="5.6"/>
    <n v="6.65"/>
    <s v="E"/>
    <s v="SPUR FR MD 214A"/>
    <s v="SPUR TO MD 253"/>
    <n v="3.4"/>
    <n v="3.57"/>
    <s v="DIVIDED"/>
    <s v="URBAN"/>
    <s v="NON-IS"/>
    <n v="14"/>
    <s v="F"/>
    <n v="154.87"/>
    <n v="157.22999999999999"/>
    <n v="90.5"/>
    <n v="91.1"/>
    <n v="90.2"/>
    <n v="0.16"/>
    <n v="41"/>
    <n v="169.4"/>
    <n v="169.4"/>
    <n v="85.9"/>
    <n v="87.7"/>
    <n v="85.3"/>
    <n v="0.16"/>
    <n v="41"/>
    <n v="62.6"/>
    <n v="62.6"/>
    <n v="100"/>
    <n v="100"/>
    <n v="100"/>
    <n v="0.08"/>
    <n v="49"/>
    <x v="2"/>
    <m/>
    <s v="Structural Overlay"/>
    <n v="437949.01134348073"/>
    <n v="212697.98865651927"/>
    <n v="650647"/>
    <n v="9.1"/>
    <n v="50"/>
    <n v="50"/>
    <s v=""/>
    <s v=""/>
    <n v="9.1"/>
    <s v="E"/>
    <n v="42.4"/>
    <n v="50"/>
    <n v="50"/>
    <s v=""/>
    <s v=""/>
    <n v="42.4"/>
    <n v="33.299999999999997"/>
    <n v="6"/>
    <n v="118.88099999999999"/>
    <n v="24.833157743401657"/>
    <n v="88.654373143943914"/>
    <n v="7339.1416229809129"/>
    <n v="182254.06162464985"/>
    <n v="33.299999999999997"/>
    <n v="650647"/>
    <n v="650647"/>
    <n v="0"/>
    <s v=""/>
    <s v="1995"/>
    <s v="AA-MD 2145.66.65E"/>
  </r>
  <r>
    <s v="eGIS Link"/>
    <n v="95"/>
    <s v="NorthBound Visi-Data"/>
    <s v="9167"/>
    <n v="2017"/>
    <n v="5"/>
    <x v="18"/>
    <s v="AA"/>
    <s v="AA-MD 2"/>
    <s v="9.9-12.95(N)"/>
    <s v="MD"/>
    <s v="2"/>
    <s v=""/>
    <n v="9.9"/>
    <n v="12.95"/>
    <s v="N"/>
    <s v="OLD SOLOMONS ISLAND RD"/>
    <s v="MARYS MOUNT RD"/>
    <n v="2"/>
    <n v="6.1"/>
    <s v="UNDIVIDED"/>
    <s v="RURAL"/>
    <s v="NON-IS"/>
    <n v="6"/>
    <s v="F"/>
    <n v="77.25"/>
    <n v="78.349999999999994"/>
    <n v="92.9"/>
    <n v="95.5"/>
    <n v="92.1"/>
    <n v="0.19"/>
    <n v="38"/>
    <n v="81.319999999999993"/>
    <n v="81.319999999999993"/>
    <n v="88.724999999999994"/>
    <n v="89.7"/>
    <n v="88.4"/>
    <n v="0.19"/>
    <n v="38"/>
    <n v="87.65"/>
    <n v="87.65"/>
    <n v="97.974999999999994"/>
    <n v="99.4"/>
    <n v="97.5"/>
    <n v="0.19"/>
    <n v="55"/>
    <x v="4"/>
    <m/>
    <s v="Preventive Maintenance"/>
    <n v="169618.9520316415"/>
    <n v="29932.0479683585"/>
    <n v="199551"/>
    <n v="43.2"/>
    <n v="50"/>
    <n v="50"/>
    <s v=""/>
    <s v=""/>
    <n v="43.2"/>
    <s v="A"/>
    <n v="46.5"/>
    <n v="46.5"/>
    <n v="49.4"/>
    <s v=""/>
    <s v=""/>
    <n v="46.5"/>
    <n v="4"/>
    <n v="4"/>
    <n v="48.8"/>
    <n v="5.9659237821985966"/>
    <n v="36.392135071411438"/>
    <n v="5483.3551152859191"/>
    <n v="32713.278688524591"/>
    <n v="3.3"/>
    <n v="199551"/>
    <n v="199551"/>
    <n v="0"/>
    <s v=""/>
    <s v="1997"/>
    <s v="AA-MD 29.912.95N"/>
  </r>
  <r>
    <s v="eGIS Link"/>
    <n v="229"/>
    <s v="EastBound Visi-Data"/>
    <s v="9223"/>
    <n v="2017"/>
    <n v="5"/>
    <x v="18"/>
    <s v="AA"/>
    <s v="AA-MD 256"/>
    <s v="3.31-5.28(E)"/>
    <s v="MD"/>
    <s v="256"/>
    <s v=""/>
    <n v="3.31"/>
    <n v="5.28"/>
    <s v="E"/>
    <s v="BAY FRONT RD"/>
    <s v="MUDDY CREEK RD"/>
    <n v="2.1"/>
    <n v="4.1399999999999997"/>
    <s v="UNDIVIDED"/>
    <s v="RURAL"/>
    <s v="NON-IS"/>
    <n v="6"/>
    <s v="F"/>
    <n v="97.27"/>
    <n v="101.7"/>
    <n v="99.3"/>
    <n v="99.1"/>
    <n v="99.3"/>
    <n v="0.15"/>
    <n v="39"/>
    <n v="97.99"/>
    <n v="97.99"/>
    <n v="93.375"/>
    <n v="93"/>
    <n v="93.5"/>
    <n v="0.15"/>
    <n v="39"/>
    <n v="59.81"/>
    <n v="59.81"/>
    <n v="100"/>
    <n v="100"/>
    <n v="100"/>
    <n v="0.08"/>
    <n v="49"/>
    <x v="9"/>
    <m/>
    <s v="Structural Overlay"/>
    <n v="487968.03195383982"/>
    <n v="86109.968046160182"/>
    <n v="574078"/>
    <n v="35.799999999999997"/>
    <n v="41.3"/>
    <n v="45.5"/>
    <s v=""/>
    <s v=""/>
    <n v="35.799999999999997"/>
    <s v="B"/>
    <n v="50"/>
    <n v="50"/>
    <n v="50"/>
    <s v=""/>
    <s v=""/>
    <n v="50"/>
    <n v="14.200000000000003"/>
    <n v="4"/>
    <n v="58.788000000000004"/>
    <n v="10.589514713402512"/>
    <n v="43.840590913486395"/>
    <n v="13094.668389230132"/>
    <n v="138666.18357487925"/>
    <n v="20.399999999999999"/>
    <n v="574078"/>
    <n v="574078"/>
    <n v="0"/>
    <s v=""/>
    <s v="2005"/>
    <s v="AA-MD 2563.315.28E"/>
  </r>
  <r>
    <s v="eGIS Link"/>
    <n v="218"/>
    <s v="SouthBound Visi-Data"/>
    <s v="9171"/>
    <n v="2017"/>
    <n v="5"/>
    <x v="18"/>
    <s v="AA"/>
    <s v="AA-MD 3"/>
    <s v="0-1.47(S)"/>
    <s v="MD"/>
    <s v="3"/>
    <s v=""/>
    <n v="0"/>
    <n v="1.47"/>
    <s v="S"/>
    <s v="STRUC #16053 PATUXENT RIVER"/>
    <s v="CLUB HOUSE GATE"/>
    <n v="3.1"/>
    <n v="4.5599999999999996"/>
    <s v="DIVIDED"/>
    <s v="URBAN"/>
    <s v="NON-IS"/>
    <n v="14"/>
    <s v="FCJ"/>
    <n v="77.540000000000006"/>
    <n v="71.459999999999994"/>
    <n v="99.7"/>
    <n v="99.4"/>
    <n v="99.8"/>
    <n v="0.11"/>
    <n v="41"/>
    <n v="90.04"/>
    <n v="90.04"/>
    <n v="91"/>
    <n v="89.5"/>
    <n v="91.5"/>
    <n v="0.11"/>
    <n v="41"/>
    <n v="67.069999999999993"/>
    <n v="67.069999999999993"/>
    <n v="100"/>
    <n v="100"/>
    <n v="100"/>
    <n v="0.09"/>
    <n v="49"/>
    <x v="5"/>
    <m/>
    <s v="Preventive Maintenance"/>
    <n v="233333.3627547436"/>
    <n v="113322.6372452564"/>
    <n v="346656"/>
    <n v="18.899999999999999"/>
    <n v="40.700000000000003"/>
    <n v="49.7"/>
    <s v=""/>
    <s v=""/>
    <n v="18.899999999999999"/>
    <s v="D"/>
    <n v="23.6"/>
    <n v="47.1"/>
    <n v="50"/>
    <s v=""/>
    <s v=""/>
    <n v="23.6"/>
    <n v="4.7000000000000028"/>
    <n v="4"/>
    <n v="36.479999999999997"/>
    <n v="5.9659237821985966"/>
    <n v="27.2046124468256"/>
    <n v="12742.545062076411"/>
    <n v="76021.052631578961"/>
    <n v="4.7"/>
    <n v="346656"/>
    <n v="346656"/>
    <n v="0"/>
    <s v=""/>
    <s v="2010"/>
    <s v="AA-MD 301.47S"/>
  </r>
  <r>
    <s v="eGIS Link"/>
    <n v="192"/>
    <s v="NorthBound Visi-Data"/>
    <s v="9205"/>
    <n v="2017"/>
    <n v="5"/>
    <x v="18"/>
    <s v="AA"/>
    <s v="AA-MD 175"/>
    <s v="7.006-8.05(N)"/>
    <s v="MD"/>
    <s v="175"/>
    <s v=""/>
    <n v="7.0060000000000002"/>
    <n v="8.0500000000000007"/>
    <s v="N"/>
    <s v="DISNEY RD"/>
    <s v="MCCARRON CT"/>
    <n v="3.9"/>
    <n v="4.07"/>
    <s v="UNDIVIDED"/>
    <s v="URBAN"/>
    <s v="NON-IS"/>
    <n v="16"/>
    <s v="FCJ"/>
    <n v="145.15"/>
    <n v="137.65"/>
    <n v="90.6"/>
    <n v="93.6"/>
    <n v="89.6"/>
    <n v="0.25"/>
    <n v="41"/>
    <n v="159.22999999999999"/>
    <n v="159.22999999999999"/>
    <n v="84.7"/>
    <n v="85.3"/>
    <n v="84.5"/>
    <n v="0.25"/>
    <n v="41"/>
    <n v="104.05"/>
    <n v="104.05"/>
    <n v="100"/>
    <n v="100"/>
    <n v="100"/>
    <n v="0.21"/>
    <n v="49"/>
    <x v="5"/>
    <m/>
    <s v="Preventive Maintenance"/>
    <n v="208479.22949376178"/>
    <n v="101251.77050623822"/>
    <n v="309731"/>
    <n v="10.9"/>
    <n v="40"/>
    <n v="47.9"/>
    <s v=""/>
    <s v=""/>
    <n v="10.9"/>
    <s v="D"/>
    <n v="20.399999999999999"/>
    <n v="48.5"/>
    <n v="50"/>
    <s v=""/>
    <s v=""/>
    <n v="20.399999999999999"/>
    <n v="9.4999999999999982"/>
    <n v="4"/>
    <n v="38.664999999999992"/>
    <n v="7.0845344913608326"/>
    <n v="28.834055379838592"/>
    <n v="10741.846608804488"/>
    <n v="76100.982800982791"/>
    <n v="9.6"/>
    <n v="309731"/>
    <n v="309731"/>
    <n v="0"/>
    <s v=""/>
    <s v="2012"/>
    <s v="AA-MD 1757.0068.05N"/>
  </r>
  <r>
    <s v="eGIS Link"/>
    <n v="168"/>
    <s v="NorthBound Visi-Data"/>
    <s v="9241"/>
    <n v="2017"/>
    <n v="5"/>
    <x v="18"/>
    <s v="AA"/>
    <s v="AA-MD 468"/>
    <s v="2.8-3.9(N)"/>
    <s v="MD"/>
    <s v="468"/>
    <s v=""/>
    <n v="2.8"/>
    <n v="3.9"/>
    <s v="N"/>
    <s v="DEALE CHURCHTON RD"/>
    <s v="PLANTATION BLVD"/>
    <n v="2.6"/>
    <n v="2.86"/>
    <s v="UNDIVIDED"/>
    <s v="RURAL"/>
    <s v="NON-IS"/>
    <n v="7"/>
    <s v="F"/>
    <n v="103.97"/>
    <n v="99.49"/>
    <n v="94.7"/>
    <n v="99.9"/>
    <n v="93"/>
    <n v="0.14000000000000001"/>
    <n v="40"/>
    <n v="103.36"/>
    <n v="103.36"/>
    <n v="90.5"/>
    <n v="96.8"/>
    <n v="88.4"/>
    <n v="0.14000000000000001"/>
    <n v="40"/>
    <n v="72.900000000000006"/>
    <n v="72.900000000000006"/>
    <n v="100"/>
    <n v="100"/>
    <n v="100"/>
    <n v="0.12"/>
    <n v="49"/>
    <x v="5"/>
    <m/>
    <s v="Preventive Maintenance"/>
    <n v="189004.12083577484"/>
    <n v="33352.87916422516"/>
    <n v="222357"/>
    <n v="33.4"/>
    <n v="50"/>
    <n v="49.5"/>
    <s v=""/>
    <s v=""/>
    <n v="33.4"/>
    <s v="B"/>
    <n v="44.9"/>
    <n v="50"/>
    <n v="50"/>
    <s v=""/>
    <s v=""/>
    <n v="44.9"/>
    <n v="11.5"/>
    <n v="4"/>
    <n v="32.89"/>
    <n v="8.5760154369104828"/>
    <n v="24.527404149563981"/>
    <n v="9065.6556496604553"/>
    <n v="77747.202797202801"/>
    <n v="11.6"/>
    <n v="222357"/>
    <n v="222357"/>
    <n v="0"/>
    <s v=""/>
    <s v="2002"/>
    <s v="AA-MD 4682.83.9N"/>
  </r>
  <r>
    <s v="eGIS Link"/>
    <n v="208"/>
    <s v="NorthBound Visi-Data"/>
    <s v="9205"/>
    <n v="2017"/>
    <n v="5"/>
    <x v="18"/>
    <s v="AA"/>
    <s v="AA-MD 175"/>
    <s v="0-2.15(N)"/>
    <s v="MD"/>
    <s v="175"/>
    <s v=""/>
    <n v="0"/>
    <n v="2.15"/>
    <s v="N"/>
    <s v="ROBERT CRAIN HWY"/>
    <s v="WATTS RD"/>
    <n v="2.2000000000000002"/>
    <n v="4.7300000000000004"/>
    <s v="UNDIVIDED"/>
    <s v="URBAN"/>
    <s v="NON-IS"/>
    <n v="16"/>
    <s v="FCJ"/>
    <n v="115.4"/>
    <n v="116.42"/>
    <n v="95.5"/>
    <n v="94.7"/>
    <n v="95.8"/>
    <n v="0.19"/>
    <n v="38"/>
    <n v="124.3"/>
    <n v="124.3"/>
    <n v="88.525000000000006"/>
    <n v="86.2"/>
    <n v="89.3"/>
    <n v="0.19"/>
    <n v="38"/>
    <n v="85.04"/>
    <n v="85.04"/>
    <n v="100"/>
    <n v="100"/>
    <n v="100"/>
    <n v="0.16"/>
    <n v="49"/>
    <x v="5"/>
    <m/>
    <s v="Preventive Maintenance"/>
    <n v="242191.3287321172"/>
    <n v="117624.6712678828"/>
    <n v="359816"/>
    <n v="16.399999999999999"/>
    <n v="40.5"/>
    <n v="50"/>
    <s v=""/>
    <s v=""/>
    <n v="16.399999999999999"/>
    <s v="D"/>
    <n v="24.9"/>
    <n v="48.5"/>
    <n v="50"/>
    <s v=""/>
    <s v=""/>
    <n v="24.9"/>
    <n v="8.5"/>
    <n v="4"/>
    <n v="40.205000000000005"/>
    <n v="6.3387940185860092"/>
    <n v="29.982495707911827"/>
    <n v="12000.868890479027"/>
    <n v="76071.035940803369"/>
    <n v="8.5"/>
    <n v="359816"/>
    <n v="359816"/>
    <n v="0"/>
    <s v=""/>
    <s v="2006"/>
    <s v="AA-MD 17502.15N"/>
  </r>
  <r>
    <s v="eGIS Link"/>
    <n v="180"/>
    <s v="NorthBound Visi-Data"/>
    <s v="9241"/>
    <n v="2017"/>
    <n v="5"/>
    <x v="18"/>
    <s v="AA"/>
    <s v="AA-MD 468"/>
    <s v="1.07-2.8(N)"/>
    <s v="MD"/>
    <s v="468"/>
    <s v=""/>
    <n v="1.07"/>
    <n v="2.8"/>
    <s v="N"/>
    <s v="COLUMBIA BEACH RD"/>
    <s v="BROWNS WAY"/>
    <n v="2"/>
    <n v="3.46"/>
    <s v="UNDIVIDED"/>
    <s v="URBAN"/>
    <s v="NON-IS"/>
    <n v="16"/>
    <s v="F"/>
    <n v="104.33"/>
    <n v="94.46"/>
    <n v="97.8"/>
    <n v="99.4"/>
    <n v="97.3"/>
    <n v="0.13"/>
    <n v="32"/>
    <n v="112.72"/>
    <n v="112.72"/>
    <n v="91"/>
    <n v="93.7"/>
    <n v="90.1"/>
    <n v="0.13"/>
    <n v="32"/>
    <n v="78.22"/>
    <n v="78.22"/>
    <n v="100"/>
    <n v="100"/>
    <n v="100"/>
    <n v="0.11"/>
    <n v="49"/>
    <x v="5"/>
    <m/>
    <s v="Preventive Maintenance"/>
    <n v="177163.35813378406"/>
    <n v="86042.641866215941"/>
    <n v="263206"/>
    <n v="24.1"/>
    <n v="50"/>
    <n v="50"/>
    <s v=""/>
    <s v=""/>
    <n v="24.1"/>
    <s v="C"/>
    <n v="34.4"/>
    <n v="50"/>
    <n v="50"/>
    <s v=""/>
    <s v=""/>
    <n v="34.4"/>
    <n v="10.299999999999997"/>
    <n v="4"/>
    <n v="35.637999999999991"/>
    <n v="7.6811268695806909"/>
    <n v="26.576698968749191"/>
    <n v="9903.6377809560436"/>
    <n v="76071.098265895955"/>
    <n v="10.3"/>
    <n v="263206"/>
    <n v="263206"/>
    <n v="0"/>
    <s v="SKID_30"/>
    <s v="2006"/>
    <s v="AA-MD 4681.072.8N"/>
  </r>
  <r>
    <s v="eGIS Link"/>
    <n v="220"/>
    <s v="NorthBound Visi-Data"/>
    <s v="9237"/>
    <n v="2017"/>
    <n v="5"/>
    <x v="18"/>
    <s v="AA"/>
    <s v="AA-MD 424"/>
    <s v="5.85-8.24(N)"/>
    <s v="MD"/>
    <s v="424"/>
    <s v=""/>
    <n v="5.85"/>
    <n v="8.24"/>
    <s v="N"/>
    <s v="DEFENSE HWY"/>
    <s v="ROBERT CRAIN HWY"/>
    <n v="3"/>
    <n v="7.17"/>
    <s v="UNDIVIDED"/>
    <s v="URBAN"/>
    <s v="NON-IS"/>
    <n v="14"/>
    <s v="F"/>
    <n v="97.65"/>
    <n v="99.58"/>
    <n v="94.8"/>
    <n v="94.3"/>
    <n v="95"/>
    <n v="0.21"/>
    <n v="37"/>
    <n v="102.86"/>
    <n v="102.86"/>
    <n v="88.875"/>
    <n v="90"/>
    <n v="88.5"/>
    <n v="0.21"/>
    <n v="37"/>
    <n v="73.19"/>
    <n v="73.19"/>
    <n v="100"/>
    <n v="100"/>
    <n v="100"/>
    <n v="0.18"/>
    <n v="49"/>
    <x v="5"/>
    <m/>
    <s v="Preventive Maintenance"/>
    <n v="367127.01558304788"/>
    <n v="178301.98441695212"/>
    <n v="545429"/>
    <n v="22.6"/>
    <n v="50"/>
    <n v="50"/>
    <s v=""/>
    <s v=""/>
    <n v="22.6"/>
    <s v="C"/>
    <n v="30"/>
    <n v="50"/>
    <n v="50"/>
    <s v=""/>
    <s v=""/>
    <n v="30"/>
    <n v="7.3999999999999986"/>
    <n v="4"/>
    <n v="57.36"/>
    <n v="5.9659237821985966"/>
    <n v="42.775673518363938"/>
    <n v="12750.915535341435"/>
    <n v="76070.990237099031"/>
    <n v="7.4"/>
    <n v="545429"/>
    <n v="545429"/>
    <n v="0"/>
    <s v=""/>
    <s v="2008"/>
    <s v="AA-MD 4245.858.24N"/>
  </r>
  <r>
    <s v="eGIS Link"/>
    <n v="231"/>
    <s v="NorthBound Visi-Data"/>
    <s v="9210"/>
    <n v="2017"/>
    <n v="5"/>
    <x v="18"/>
    <s v="AA"/>
    <s v="AA-MD 178"/>
    <s v="0.34-1(N)"/>
    <s v="MD"/>
    <s v="178"/>
    <s v=""/>
    <n v="0.34"/>
    <n v="1"/>
    <s v="N"/>
    <s v="BESTGATE RD"/>
    <s v="EPPING FOREST RD"/>
    <n v="2.2000000000000002"/>
    <n v="1.45"/>
    <s v="UNDIVIDED"/>
    <s v="URBAN"/>
    <s v="NON-IS"/>
    <n v="16"/>
    <s v="FCJ"/>
    <n v="127.23"/>
    <n v="118.62"/>
    <n v="89.1"/>
    <n v="89.4"/>
    <n v="89"/>
    <n v="0.18"/>
    <n v="39"/>
    <n v="130.02000000000001"/>
    <n v="130.02000000000001"/>
    <n v="83.65"/>
    <n v="82.3"/>
    <n v="84.1"/>
    <n v="0.18"/>
    <n v="39"/>
    <n v="88.14"/>
    <n v="88.14"/>
    <n v="100"/>
    <n v="100"/>
    <n v="100"/>
    <n v="0.15"/>
    <n v="49"/>
    <x v="5"/>
    <m/>
    <s v="Preventive Maintenance"/>
    <n v="84773.965272514935"/>
    <n v="41172.034727485065"/>
    <n v="125946"/>
    <n v="15.3"/>
    <n v="38"/>
    <n v="47.5"/>
    <s v=""/>
    <s v=""/>
    <n v="15.3"/>
    <s v="D"/>
    <n v="24.1"/>
    <n v="48.5"/>
    <n v="50"/>
    <s v=""/>
    <s v=""/>
    <n v="24.1"/>
    <n v="8.8000000000000007"/>
    <n v="4"/>
    <n v="12.76"/>
    <n v="6.5625161604184568"/>
    <n v="9.5156484326067616"/>
    <n v="13235.671840126795"/>
    <n v="86859.310344827594"/>
    <n v="8.8000000000000007"/>
    <n v="125946"/>
    <n v="125946"/>
    <n v="0"/>
    <s v=""/>
    <s v="1996"/>
    <s v="AA-MD 1780.341N"/>
  </r>
  <r>
    <s v="eGIS Link"/>
    <n v="140"/>
    <s v="EastBound Visi-Data"/>
    <s v="9224"/>
    <n v="2017"/>
    <n v="5"/>
    <x v="18"/>
    <s v="AA"/>
    <s v="AA-MD 258"/>
    <s v="0-4.18(E)"/>
    <s v="MD"/>
    <s v="258"/>
    <s v=""/>
    <n v="0"/>
    <n v="4.18"/>
    <s v="E"/>
    <s v="WRIGHTON RD"/>
    <s v="STRUC #X0249 LYONS CREEK"/>
    <n v="2.1"/>
    <n v="8.7799999999999994"/>
    <s v="UNDIVIDED"/>
    <s v="RURAL"/>
    <s v="NON-IS"/>
    <n v="6"/>
    <s v="F"/>
    <n v="108.99"/>
    <n v="114.74"/>
    <s v=""/>
    <s v=""/>
    <s v=""/>
    <n v="0.15"/>
    <n v="43"/>
    <n v="118.5"/>
    <n v="118.5"/>
    <n v="87.6"/>
    <n v="85.5"/>
    <n v="88.3"/>
    <n v="0.15"/>
    <n v="43"/>
    <n v="80.760000000000005"/>
    <n v="80.760000000000005"/>
    <n v="100"/>
    <n v="100"/>
    <n v="100"/>
    <n v="0.13"/>
    <n v="49"/>
    <x v="5"/>
    <m/>
    <s v="Preventive Maintenance"/>
    <n v="580097.30894996377"/>
    <n v="102367.69105003623"/>
    <n v="682465"/>
    <n v="28.4"/>
    <n v="49.3"/>
    <n v="50"/>
    <s v=""/>
    <s v=""/>
    <n v="28.4"/>
    <s v="C"/>
    <n v="42.4"/>
    <n v="46.8"/>
    <n v="50"/>
    <s v=""/>
    <s v=""/>
    <n v="42.4"/>
    <n v="14"/>
    <n v="4"/>
    <n v="122.91999999999999"/>
    <n v="10.440366618847545"/>
    <n v="91.666418913481436"/>
    <n v="7445.0928495869221"/>
    <n v="77729.498861047847"/>
    <n v="14"/>
    <n v="682465"/>
    <n v="682465"/>
    <n v="0"/>
    <s v=""/>
    <s v="1987"/>
    <s v="AA-MD 25804.18E"/>
  </r>
  <r>
    <s v="eGIS Link"/>
    <n v="308"/>
    <s v="NorthBound Visi-Data"/>
    <s v="9163"/>
    <n v="2017"/>
    <n v="5"/>
    <x v="19"/>
    <s v="AA"/>
    <s v="AA-IS 695"/>
    <s v="2.05-2.92(N)"/>
    <s v="IS"/>
    <s v="695"/>
    <s v=""/>
    <n v="2.0499999999999998"/>
    <n v="2.92"/>
    <s v="N"/>
    <s v="EXIT #7"/>
    <s v="BALTIMORE CO/L"/>
    <n v="3.4"/>
    <n v="2.96"/>
    <s v="DIVIDED"/>
    <s v="URBAN"/>
    <s v="IS"/>
    <n v="11"/>
    <s v="FCJ"/>
    <n v="113.48"/>
    <n v="108.97"/>
    <n v="99.9"/>
    <n v="99.8"/>
    <n v="100"/>
    <n v="0.14000000000000001"/>
    <n v="44"/>
    <n v="122.74"/>
    <n v="122.74"/>
    <n v="94.825000000000003"/>
    <n v="89.5"/>
    <n v="96.6"/>
    <n v="0.14000000000000001"/>
    <n v="44"/>
    <n v="65.62"/>
    <n v="65.62"/>
    <n v="100"/>
    <n v="100"/>
    <n v="100"/>
    <n v="0.08"/>
    <n v="49"/>
    <x v="7"/>
    <m/>
    <s v="Minor Rehabilitation"/>
    <n v="493643.13587735797"/>
    <n v="239746.86412264203"/>
    <n v="733390"/>
    <n v="10"/>
    <n v="12.9"/>
    <n v="24.5"/>
    <s v=""/>
    <s v=""/>
    <n v="10"/>
    <s v="D"/>
    <n v="32.200000000000003"/>
    <n v="18"/>
    <n v="29.5"/>
    <s v=""/>
    <s v=""/>
    <n v="18"/>
    <n v="8"/>
    <n v="6"/>
    <n v="35.519999999999996"/>
    <n v="8.9488856732978945"/>
    <n v="26.488701592961768"/>
    <n v="27686.898786872469"/>
    <n v="247766.89189189189"/>
    <n v="8"/>
    <n v="733390"/>
    <n v="733390"/>
    <n v="0"/>
    <s v=""/>
    <s v="2009"/>
    <s v="AA-IS 6952.052.92N"/>
  </r>
  <r>
    <s v="eGIS Link"/>
    <n v="111"/>
    <s v="NorthBound Visi-Data"/>
    <s v="9172"/>
    <n v="2017"/>
    <n v="5"/>
    <x v="19"/>
    <s v="AA"/>
    <s v="AA-MD 3BU"/>
    <s v="0-0.85(N)"/>
    <s v="MD"/>
    <s v="3"/>
    <s v="BU"/>
    <n v="0"/>
    <n v="0.85"/>
    <s v="N"/>
    <s v="NEW CUT RD (BACK)"/>
    <s v="GREEN BRANCH LA"/>
    <n v="3.4"/>
    <n v="2.89"/>
    <s v="DIVIDED"/>
    <s v="URBAN"/>
    <s v="NON-IS"/>
    <n v="16"/>
    <s v="F"/>
    <n v="200.44"/>
    <n v="178.86"/>
    <n v="84.7"/>
    <n v="90.6"/>
    <n v="82.7"/>
    <n v="0.22"/>
    <n v="36"/>
    <n v="177.01"/>
    <n v="177.01"/>
    <n v="82.2"/>
    <n v="87.3"/>
    <n v="80.5"/>
    <n v="0.22"/>
    <n v="36"/>
    <n v="64.05"/>
    <n v="64.05"/>
    <n v="100"/>
    <n v="100"/>
    <n v="100"/>
    <n v="0.12"/>
    <n v="49"/>
    <x v="2"/>
    <m/>
    <s v="Structural Overlay"/>
    <n v="354529.99177859904"/>
    <n v="172184.00822140096"/>
    <n v="526714"/>
    <n v="11.1"/>
    <n v="50"/>
    <n v="50"/>
    <s v=""/>
    <s v=""/>
    <n v="11.1"/>
    <s v="D"/>
    <n v="50"/>
    <n v="50"/>
    <n v="50"/>
    <s v=""/>
    <s v=""/>
    <n v="50"/>
    <n v="38.9"/>
    <n v="6"/>
    <n v="112.42100000000001"/>
    <n v="29.009304390940677"/>
    <n v="83.836889689818562"/>
    <n v="6282.6042562975226"/>
    <n v="182253.97923875431"/>
    <n v="39"/>
    <n v="526714"/>
    <n v="526714"/>
    <n v="0"/>
    <s v=""/>
    <s v="1990"/>
    <s v="AA-MD 3BU00.85N"/>
  </r>
  <r>
    <s v="eGIS Link"/>
    <n v="103"/>
    <s v="SouthBound Visi-Data"/>
    <s v="9172"/>
    <n v="2017"/>
    <n v="5"/>
    <x v="19"/>
    <s v="AA"/>
    <s v="AA-MD 3BU"/>
    <s v="0-0.85(S)"/>
    <s v="MD"/>
    <s v="3"/>
    <s v="BU"/>
    <n v="0"/>
    <n v="0.85"/>
    <s v="S"/>
    <s v="NEW CUT RD (BACK)"/>
    <s v="GREEN BRANCH LA"/>
    <n v="3.4"/>
    <n v="2.89"/>
    <s v="DIVIDED"/>
    <s v="URBAN"/>
    <s v="NON-IS"/>
    <n v="16"/>
    <s v="F"/>
    <n v="175.75"/>
    <n v="196.98"/>
    <n v="91.3"/>
    <n v="91.7"/>
    <n v="91.2"/>
    <n v="0.15"/>
    <n v="37"/>
    <n v="213.88"/>
    <n v="213.88"/>
    <n v="85.6"/>
    <n v="87.4"/>
    <n v="85"/>
    <n v="0.15"/>
    <n v="37"/>
    <n v="72.22"/>
    <n v="72.22"/>
    <n v="100"/>
    <n v="100"/>
    <n v="100"/>
    <n v="0.08"/>
    <n v="49"/>
    <x v="2"/>
    <m/>
    <s v="Structural Overlay"/>
    <n v="354529.99177859904"/>
    <n v="172184.00822140096"/>
    <n v="526714"/>
    <n v="5.4"/>
    <n v="50"/>
    <n v="50"/>
    <s v=""/>
    <s v=""/>
    <n v="5.4"/>
    <s v="E"/>
    <n v="45.9"/>
    <n v="50"/>
    <n v="50"/>
    <s v=""/>
    <s v=""/>
    <n v="45.9"/>
    <n v="40.5"/>
    <n v="6"/>
    <n v="117.045"/>
    <n v="30.202489147380394"/>
    <n v="87.285193635929346"/>
    <n v="6034.4026066660163"/>
    <n v="182253.97923875431"/>
    <n v="40.4"/>
    <n v="526714"/>
    <n v="526714"/>
    <n v="0"/>
    <s v=""/>
    <s v="1990"/>
    <s v="AA-MD 3BU00.85S"/>
  </r>
  <r>
    <s v="eGIS Link"/>
    <n v="182"/>
    <s v="SouthBound Visi-Data"/>
    <s v="9167"/>
    <n v="2017"/>
    <n v="5"/>
    <x v="19"/>
    <s v="AA"/>
    <s v="AA-MD 2"/>
    <s v="40-41.4(S)"/>
    <s v="MD"/>
    <s v="2"/>
    <s v=""/>
    <n v="40"/>
    <n v="41.4"/>
    <s v="S"/>
    <s v="CAMROSE AVE"/>
    <s v="POTEE ST (AHEAD)"/>
    <n v="2.2000000000000002"/>
    <n v="3.08"/>
    <s v="DIVIDED"/>
    <s v="URBAN"/>
    <s v="NON-IS"/>
    <n v="14"/>
    <s v="FCJ"/>
    <n v="148.43"/>
    <n v="259.27"/>
    <n v="100"/>
    <n v="100"/>
    <n v="100"/>
    <n v="0.23"/>
    <n v="37"/>
    <n v="258.33999999999997"/>
    <n v="258.33999999999997"/>
    <n v="91.375"/>
    <n v="90.4"/>
    <n v="91.7"/>
    <n v="0.23"/>
    <n v="37"/>
    <n v="83.72"/>
    <n v="83.72"/>
    <n v="100"/>
    <n v="100"/>
    <n v="100"/>
    <n v="0.12"/>
    <n v="49"/>
    <x v="2"/>
    <m/>
    <s v="Structural Overlay"/>
    <n v="377839.3657752896"/>
    <n v="183504.6342247104"/>
    <n v="561344"/>
    <n v="0"/>
    <n v="41.1"/>
    <n v="49.8"/>
    <s v=""/>
    <s v=""/>
    <n v="0"/>
    <s v="F"/>
    <n v="24.6"/>
    <n v="47.1"/>
    <n v="50"/>
    <s v=""/>
    <s v=""/>
    <n v="24.6"/>
    <n v="24.6"/>
    <n v="6"/>
    <n v="75.768000000000001"/>
    <n v="18.345215630260686"/>
    <n v="56.503264141202912"/>
    <n v="9934.7180827852499"/>
    <n v="182254.54545454544"/>
    <n v="24.6"/>
    <n v="561344"/>
    <n v="561344"/>
    <n v="0"/>
    <s v=""/>
    <s v="2010"/>
    <s v="AA-MD 24041.4S"/>
  </r>
  <r>
    <s v="eGIS Link"/>
    <n v="105"/>
    <s v="SouthBound Visi-Data"/>
    <s v="9228"/>
    <n v="2017"/>
    <n v="5"/>
    <x v="19"/>
    <s v="AA"/>
    <s v="AA-MD 270"/>
    <s v="1.1-2.16(S)"/>
    <s v="MD"/>
    <s v="270"/>
    <s v=""/>
    <n v="1.1000000000000001"/>
    <n v="2.16"/>
    <s v="S"/>
    <s v="RENFRO DR"/>
    <s v="CRAIN HWY"/>
    <n v="2.7"/>
    <n v="2.86"/>
    <s v="DIVIDED"/>
    <s v="URBAN"/>
    <s v="NON-IS"/>
    <n v="16"/>
    <s v="F"/>
    <n v="202.36"/>
    <n v="179.81"/>
    <s v=""/>
    <s v=""/>
    <s v=""/>
    <n v="0.13"/>
    <n v="41"/>
    <n v="198.29"/>
    <n v="198.29"/>
    <n v="86.974999999999994"/>
    <n v="87.2"/>
    <n v="86.9"/>
    <n v="0.13"/>
    <n v="41"/>
    <n v="68.75"/>
    <n v="68.75"/>
    <n v="100"/>
    <n v="100"/>
    <n v="100"/>
    <n v="0.08"/>
    <n v="49"/>
    <x v="2"/>
    <m/>
    <s v="Structural Overlay"/>
    <n v="351095.1741203515"/>
    <n v="170515.8258796485"/>
    <n v="521611"/>
    <n v="7.5"/>
    <n v="50"/>
    <n v="50"/>
    <s v=""/>
    <s v=""/>
    <n v="7.5"/>
    <s v="E"/>
    <n v="47.6"/>
    <n v="50"/>
    <n v="50"/>
    <s v=""/>
    <s v=""/>
    <n v="47.6"/>
    <n v="40.1"/>
    <n v="6"/>
    <n v="114.68599999999999"/>
    <n v="29.904192958270468"/>
    <n v="85.525991860653534"/>
    <n v="6098.8594069724968"/>
    <n v="182381.46853146853"/>
    <n v="40.1"/>
    <n v="521611"/>
    <n v="521611"/>
    <n v="0"/>
    <s v=""/>
    <s v="1995"/>
    <s v="AA-MD 2701.12.16S"/>
  </r>
  <r>
    <s v="eGIS Link"/>
    <n v="178"/>
    <s v="NorthBound Visi-Data"/>
    <s v="9167"/>
    <n v="2017"/>
    <n v="5"/>
    <x v="19"/>
    <s v="AA"/>
    <s v="AA-MD 2"/>
    <s v="40-41.4(N)"/>
    <s v="MD"/>
    <s v="2"/>
    <s v=""/>
    <n v="40"/>
    <n v="41.4"/>
    <s v="N"/>
    <s v="CAMROSE AVE"/>
    <s v="POTEE ST (AHEAD)"/>
    <n v="2.2999999999999998"/>
    <n v="3.22"/>
    <s v="DIVIDED"/>
    <s v="URBAN"/>
    <s v="NON-IS"/>
    <n v="14"/>
    <s v="FCJ"/>
    <n v="242.47"/>
    <n v="288.93"/>
    <n v="97.3"/>
    <n v="98"/>
    <n v="97"/>
    <n v="0.23"/>
    <n v="41"/>
    <n v="249.45"/>
    <n v="249.45"/>
    <n v="90.2"/>
    <n v="89.6"/>
    <n v="90.4"/>
    <n v="0.23"/>
    <n v="41"/>
    <n v="81.55"/>
    <n v="81.55"/>
    <n v="100"/>
    <n v="100"/>
    <n v="100"/>
    <n v="0.12"/>
    <n v="49"/>
    <x v="2"/>
    <m/>
    <s v="Structural Overlay"/>
    <n v="395013.45406652725"/>
    <n v="191845.54593347275"/>
    <n v="586859"/>
    <n v="0"/>
    <n v="40.799999999999997"/>
    <n v="49"/>
    <s v=""/>
    <s v=""/>
    <n v="0"/>
    <s v="F"/>
    <n v="25.2"/>
    <n v="47.1"/>
    <n v="50"/>
    <s v=""/>
    <s v=""/>
    <n v="25.2"/>
    <n v="25.2"/>
    <n v="6"/>
    <n v="81.144000000000005"/>
    <n v="18.792659913925579"/>
    <n v="60.512364922840369"/>
    <n v="9698.1666597943567"/>
    <n v="182254.34782608695"/>
    <n v="25.2"/>
    <n v="586859"/>
    <n v="586859"/>
    <n v="0"/>
    <s v=""/>
    <s v="2010"/>
    <s v="AA-MD 24041.4N"/>
  </r>
  <r>
    <s v="eGIS Link"/>
    <n v="160"/>
    <s v="EastBound Visi-Data"/>
    <s v="9209"/>
    <n v="2017"/>
    <n v="5"/>
    <x v="19"/>
    <s v="AA"/>
    <s v="AA-MD 177"/>
    <s v="0-1.08(E)"/>
    <s v="MD"/>
    <s v="177"/>
    <s v=""/>
    <n v="0"/>
    <n v="1.08"/>
    <s v="E"/>
    <s v="GOV RITCHIE HWY"/>
    <s v="FREETOWN RD"/>
    <n v="2.7"/>
    <n v="2.92"/>
    <s v="DIVIDED"/>
    <s v="URBAN"/>
    <s v="NON-IS"/>
    <n v="16"/>
    <s v="FCJ"/>
    <n v="110.17"/>
    <n v="101.25"/>
    <n v="93.6"/>
    <n v="97"/>
    <n v="92.4"/>
    <n v="0.16"/>
    <n v="32"/>
    <n v="111.21"/>
    <n v="111.21"/>
    <n v="87.05"/>
    <n v="88.4"/>
    <n v="86.6"/>
    <n v="0.16"/>
    <n v="32"/>
    <n v="50.86"/>
    <n v="50.86"/>
    <n v="100"/>
    <n v="100"/>
    <n v="100"/>
    <n v="0.08"/>
    <n v="49"/>
    <x v="2"/>
    <m/>
    <s v="Structural Overlay"/>
    <n v="323615.28665893391"/>
    <n v="157169.71334106609"/>
    <n v="480785"/>
    <n v="19.7"/>
    <n v="41.6"/>
    <n v="49.7"/>
    <s v=""/>
    <s v=""/>
    <n v="19.7"/>
    <s v="D"/>
    <n v="45.2"/>
    <n v="48.5"/>
    <n v="50"/>
    <s v=""/>
    <s v=""/>
    <n v="45.2"/>
    <n v="25.500000000000004"/>
    <n v="6"/>
    <n v="74.460000000000008"/>
    <n v="19.016382055758029"/>
    <n v="55.527835602813447"/>
    <n v="8658.4502129530138"/>
    <n v="164652.39726027398"/>
    <n v="25.6"/>
    <n v="480785"/>
    <n v="480785"/>
    <n v="0"/>
    <s v="SKID_30"/>
    <s v="2008"/>
    <s v="AA-MD 17701.08E"/>
  </r>
  <r>
    <s v="eGIS Link"/>
    <n v="187"/>
    <s v="NorthBound Visi-Data"/>
    <s v="9202"/>
    <n v="2017"/>
    <n v="5"/>
    <x v="19"/>
    <s v="AA"/>
    <s v="AA-MD 173"/>
    <s v="3-3.8(N)"/>
    <s v="MD"/>
    <s v="173"/>
    <s v=""/>
    <n v="3"/>
    <n v="3.8"/>
    <s v="N"/>
    <s v="HOG NECK RD"/>
    <s v="MARINERS COVE DR"/>
    <n v="2.1"/>
    <n v="1.68"/>
    <s v="UNDIVIDED"/>
    <s v="URBAN"/>
    <s v="NON-IS"/>
    <n v="14"/>
    <s v="FCJ"/>
    <n v="155.81"/>
    <n v="154.36000000000001"/>
    <n v="70.599999999999994"/>
    <n v="66.599999999999994"/>
    <n v="72"/>
    <n v="0.14000000000000001"/>
    <n v="33"/>
    <n v="182.92"/>
    <n v="182.92"/>
    <n v="66.900000000000006"/>
    <n v="62.4"/>
    <n v="68.400000000000006"/>
    <n v="0.14000000000000001"/>
    <n v="33"/>
    <n v="66.150000000000006"/>
    <n v="66.150000000000006"/>
    <n v="100"/>
    <n v="100"/>
    <n v="100"/>
    <n v="0.08"/>
    <n v="49"/>
    <x v="2"/>
    <m/>
    <s v="Structural Overlay"/>
    <n v="221423.57172103171"/>
    <n v="107538.42827896829"/>
    <n v="328962"/>
    <n v="4.8"/>
    <n v="8.8000000000000007"/>
    <n v="16.600000000000001"/>
    <s v=""/>
    <s v=""/>
    <n v="4.8"/>
    <s v="E"/>
    <n v="29.9"/>
    <n v="47.1"/>
    <n v="50"/>
    <s v=""/>
    <s v=""/>
    <n v="29.9"/>
    <n v="25.099999999999998"/>
    <n v="6"/>
    <n v="42.167999999999992"/>
    <n v="18.718085866648096"/>
    <n v="31.446384255968798"/>
    <n v="10461.04370290394"/>
    <n v="195810.71428571429"/>
    <n v="25"/>
    <n v="328962"/>
    <n v="328962"/>
    <n v="0"/>
    <s v="SKID_35"/>
    <s v="1996"/>
    <s v="AA-MD 17333.8N"/>
  </r>
  <r>
    <s v="eGIS Link"/>
    <n v="146"/>
    <s v="EastBound Visi-Data"/>
    <s v="9196"/>
    <n v="2017"/>
    <n v="5"/>
    <x v="19"/>
    <s v="AA"/>
    <s v="AA-MD 168"/>
    <s v="0-1.28(E)"/>
    <s v="MD"/>
    <s v="168"/>
    <s v=""/>
    <n v="0"/>
    <n v="1.28"/>
    <s v="E"/>
    <s v="W NURSERY RD (BACK)"/>
    <s v="SHENANDOAH AVE (AHEAD)"/>
    <n v="2.2000000000000002"/>
    <n v="2.81"/>
    <s v="UNDIVIDED"/>
    <s v="URBAN"/>
    <s v="NON-IS"/>
    <n v="16"/>
    <s v="FCJ"/>
    <n v="227.41"/>
    <n v="221.98"/>
    <n v="90.4"/>
    <n v="89.7"/>
    <n v="90.6"/>
    <n v="0.19"/>
    <n v="31"/>
    <n v="236.98"/>
    <n v="236.98"/>
    <n v="83.375"/>
    <n v="81.2"/>
    <n v="84.1"/>
    <n v="0.19"/>
    <n v="31"/>
    <n v="78.12"/>
    <n v="78.12"/>
    <n v="100"/>
    <n v="100"/>
    <n v="100"/>
    <n v="0.08"/>
    <n v="49"/>
    <x v="2"/>
    <m/>
    <s v="Structural Overlay"/>
    <n v="345452.59594494698"/>
    <n v="167775.40405505302"/>
    <n v="513228"/>
    <n v="1.6"/>
    <n v="37.200000000000003"/>
    <n v="47.6"/>
    <s v=""/>
    <s v=""/>
    <n v="1.6"/>
    <s v="E"/>
    <n v="33.5"/>
    <n v="48.5"/>
    <n v="50"/>
    <s v=""/>
    <s v=""/>
    <n v="33.5"/>
    <n v="31.9"/>
    <n v="6"/>
    <n v="89.638999999999996"/>
    <n v="23.789121081516903"/>
    <n v="66.847430239062504"/>
    <n v="7677.6025370694597"/>
    <n v="182643.41637010674"/>
    <n v="31.9"/>
    <n v="513228"/>
    <n v="513228"/>
    <n v="0"/>
    <s v="SKID_30"/>
    <s v="1997"/>
    <s v="AA-MD 16801.28E"/>
  </r>
  <r>
    <s v="eGIS Link"/>
    <n v="106"/>
    <s v="SouthBound Visi-Data"/>
    <s v="9254"/>
    <n v="2017"/>
    <n v="5"/>
    <x v="19"/>
    <s v="AA"/>
    <s v="AA-MD 648E"/>
    <s v="1.5-2.35(S)"/>
    <s v="MD"/>
    <s v="648"/>
    <s v="E"/>
    <n v="1.5"/>
    <n v="2.35"/>
    <s v="S"/>
    <s v="HOLLAWAY RD"/>
    <s v="GLEN OAK RD"/>
    <n v="2.4"/>
    <n v="2.04"/>
    <s v="DIVIDED"/>
    <s v="URBAN"/>
    <s v="NON-IS"/>
    <n v="16"/>
    <s v="F"/>
    <n v="189.87"/>
    <n v="179.3"/>
    <n v="71"/>
    <n v="78.2"/>
    <n v="68.7"/>
    <n v="0.16"/>
    <n v="43"/>
    <n v="193.28"/>
    <n v="193.28"/>
    <n v="68.7"/>
    <n v="76.8"/>
    <n v="66"/>
    <n v="0.16"/>
    <n v="43"/>
    <n v="67.62"/>
    <n v="67.62"/>
    <n v="100"/>
    <n v="100"/>
    <n v="100"/>
    <n v="0.08"/>
    <n v="49"/>
    <x v="2"/>
    <m/>
    <s v="Structural Overlay"/>
    <n v="250256.38559692653"/>
    <n v="121541.61440307347"/>
    <n v="371798"/>
    <n v="8.3000000000000007"/>
    <n v="50"/>
    <n v="50"/>
    <s v=""/>
    <s v=""/>
    <n v="8.3000000000000007"/>
    <s v="E"/>
    <n v="48.2"/>
    <n v="50"/>
    <n v="50"/>
    <s v=""/>
    <s v=""/>
    <n v="48.2"/>
    <n v="39.900000000000006"/>
    <n v="6"/>
    <n v="81.396000000000015"/>
    <n v="29.755044863715504"/>
    <n v="60.700291521979629"/>
    <n v="6125.1435648438628"/>
    <n v="182253.92156862744"/>
    <n v="39.9"/>
    <n v="371798"/>
    <n v="371798"/>
    <n v="0"/>
    <s v=""/>
    <s v="2000"/>
    <s v="AA-MD 648E1.52.35S"/>
  </r>
  <r>
    <s v="eGIS Link"/>
    <n v="149"/>
    <s v="NorthBound Visi-Data"/>
    <s v="9194"/>
    <n v="2017"/>
    <n v="5"/>
    <x v="19"/>
    <s v="AA"/>
    <s v="AA-MD 162"/>
    <s v="0-0.8(N)"/>
    <s v="MD"/>
    <s v="162"/>
    <s v=""/>
    <n v="0"/>
    <n v="0.8"/>
    <s v="N"/>
    <s v="DORSEY RD"/>
    <s v="HOLLINS FERRY RD"/>
    <n v="3.3"/>
    <n v="2.64"/>
    <s v="DIVIDED"/>
    <s v="URBAN"/>
    <s v="NON-IS"/>
    <n v="16"/>
    <s v="F"/>
    <n v="132.02000000000001"/>
    <n v="111.9"/>
    <n v="66.2"/>
    <n v="85.6"/>
    <n v="59.7"/>
    <n v="0.2"/>
    <n v="41"/>
    <n v="125"/>
    <n v="125"/>
    <n v="64.3"/>
    <n v="83.8"/>
    <n v="57.8"/>
    <n v="0.2"/>
    <n v="41"/>
    <n v="53.33"/>
    <n v="53.33"/>
    <n v="100"/>
    <n v="100"/>
    <n v="100"/>
    <n v="0.08"/>
    <n v="49"/>
    <x v="2"/>
    <m/>
    <s v="Structural Overlay"/>
    <n v="292985.30187425588"/>
    <n v="142293.69812574412"/>
    <n v="435279"/>
    <n v="21.5"/>
    <n v="50"/>
    <n v="50"/>
    <s v=""/>
    <s v=""/>
    <n v="21.5"/>
    <s v="C"/>
    <n v="50"/>
    <n v="50"/>
    <n v="50"/>
    <s v=""/>
    <s v=""/>
    <n v="50"/>
    <n v="28.5"/>
    <n v="6"/>
    <n v="75.240000000000009"/>
    <n v="21.253603474082503"/>
    <n v="56.109513171577809"/>
    <n v="7757.6684486453523"/>
    <n v="164878.40909090909"/>
    <n v="35"/>
    <n v="435279"/>
    <n v="435279"/>
    <n v="0"/>
    <s v=""/>
    <s v="1997"/>
    <s v="AA-MD 16200.8N"/>
  </r>
  <r>
    <s v="eGIS Link"/>
    <n v="195"/>
    <s v="NorthBound Visi-Data"/>
    <s v="9270"/>
    <n v="2017"/>
    <n v="5"/>
    <x v="19"/>
    <s v="AA"/>
    <s v="AA-MD 713"/>
    <s v="0-2(N)"/>
    <s v="MD"/>
    <s v="713"/>
    <s v=""/>
    <n v="0"/>
    <n v="2"/>
    <s v="N"/>
    <s v="BEGIN STATE MAINTENANCE"/>
    <s v="RIDGE FOREST WAY"/>
    <n v="2.6"/>
    <n v="5.2"/>
    <s v="UNDIVIDED"/>
    <s v="URBAN"/>
    <s v="NON-IS"/>
    <n v="16"/>
    <s v="FCJ"/>
    <n v="140.53"/>
    <n v="124.51"/>
    <n v="80.5"/>
    <n v="77.900000000000006"/>
    <n v="81.3"/>
    <n v="0.16"/>
    <n v="35"/>
    <n v="143.13999999999999"/>
    <n v="143.13999999999999"/>
    <n v="78.7"/>
    <n v="76.900000000000006"/>
    <n v="79.3"/>
    <n v="0.16"/>
    <n v="35"/>
    <n v="95.28"/>
    <n v="95.28"/>
    <n v="100"/>
    <n v="100"/>
    <n v="100"/>
    <n v="0.14000000000000001"/>
    <n v="49"/>
    <x v="5"/>
    <m/>
    <s v="Preventive Maintenance"/>
    <n v="266256.59146684658"/>
    <n v="129312.40853315342"/>
    <n v="395569"/>
    <n v="13.1"/>
    <n v="28.9"/>
    <n v="40.200000000000003"/>
    <s v=""/>
    <s v=""/>
    <n v="13.1"/>
    <s v="D"/>
    <n v="22.4"/>
    <n v="48.5"/>
    <n v="50"/>
    <s v=""/>
    <s v=""/>
    <n v="22.4"/>
    <n v="9.2999999999999989"/>
    <n v="4"/>
    <n v="48.36"/>
    <n v="6.9353863968058675"/>
    <n v="36.06400926339051"/>
    <n v="10968.525354765592"/>
    <n v="76070.961538461532"/>
    <n v="9.3000000000000007"/>
    <n v="395569"/>
    <n v="395569"/>
    <n v="0"/>
    <s v=""/>
    <s v="2000"/>
    <s v="AA-MD 71302N"/>
  </r>
  <r>
    <s v="eGIS Link"/>
    <n v="223"/>
    <s v="EastBound Visi-Data"/>
    <s v="9209"/>
    <n v="2017"/>
    <n v="5"/>
    <x v="19"/>
    <s v="AA"/>
    <s v="AA-MD 177"/>
    <s v="7.8-8.89(E)"/>
    <s v="MD"/>
    <s v="177"/>
    <s v=""/>
    <n v="7.8"/>
    <n v="8.89"/>
    <s v="E"/>
    <s v="LONG POINT RD"/>
    <s v="PINEHURST RD"/>
    <n v="1.9"/>
    <n v="2.0699999999999998"/>
    <s v="UNDIVIDED"/>
    <s v="URBAN"/>
    <s v="NON-IS"/>
    <n v="14"/>
    <s v="FCJ"/>
    <n v="99.24"/>
    <n v="93"/>
    <n v="100"/>
    <n v="100"/>
    <n v="100"/>
    <n v="0.17"/>
    <n v="42"/>
    <n v="110.38"/>
    <n v="110.38"/>
    <n v="93.125"/>
    <n v="92.6"/>
    <n v="93.3"/>
    <n v="0.17"/>
    <n v="42"/>
    <n v="77.989999999999995"/>
    <n v="77.989999999999995"/>
    <n v="100"/>
    <n v="100"/>
    <n v="100"/>
    <n v="0.14000000000000001"/>
    <n v="49"/>
    <x v="5"/>
    <m/>
    <s v="Preventive Maintenance"/>
    <n v="106041.83388855399"/>
    <n v="51501.166111446015"/>
    <n v="157543"/>
    <n v="15"/>
    <n v="42.1"/>
    <n v="50"/>
    <s v=""/>
    <s v=""/>
    <n v="15"/>
    <s v="D"/>
    <n v="20.9"/>
    <n v="47.1"/>
    <n v="50"/>
    <s v=""/>
    <s v=""/>
    <n v="20.9"/>
    <n v="5.8999999999999986"/>
    <n v="4"/>
    <n v="16.559999999999999"/>
    <n v="5.9659237821985966"/>
    <n v="12.349462229151094"/>
    <n v="12757.073715170962"/>
    <n v="76107.729468599035"/>
    <n v="5.9"/>
    <n v="157543"/>
    <n v="157543"/>
    <n v="0"/>
    <s v=""/>
    <s v="2012"/>
    <s v="AA-MD 1777.88.89E"/>
  </r>
  <r>
    <s v="eGIS Link"/>
    <n v="222"/>
    <s v="EastBound Visi-Data"/>
    <s v="9209"/>
    <n v="2017"/>
    <n v="5"/>
    <x v="19"/>
    <s v="AA"/>
    <s v="AA-MD 177"/>
    <s v="5.07-6.9(E)"/>
    <s v="MD"/>
    <s v="177"/>
    <s v=""/>
    <n v="5.07"/>
    <n v="6.9"/>
    <s v="E"/>
    <s v="NO NAME"/>
    <s v="SOUTH CAROLINA AVE"/>
    <n v="2"/>
    <n v="3.66"/>
    <s v="UNDIVIDED"/>
    <s v="URBAN"/>
    <s v="NON-IS"/>
    <n v="14"/>
    <s v="FCJ"/>
    <n v="84.58"/>
    <n v="95.58"/>
    <n v="100"/>
    <n v="100"/>
    <n v="100"/>
    <n v="0.14000000000000001"/>
    <n v="42"/>
    <n v="97.45"/>
    <n v="97.45"/>
    <n v="93.125"/>
    <n v="92.6"/>
    <n v="93.3"/>
    <n v="0.14000000000000001"/>
    <n v="42"/>
    <n v="71.03"/>
    <n v="71.03"/>
    <n v="100"/>
    <n v="100"/>
    <n v="100"/>
    <n v="0.12"/>
    <n v="49"/>
    <x v="5"/>
    <m/>
    <s v="Preventive Maintenance"/>
    <n v="187403.86682525533"/>
    <n v="91016.133174744667"/>
    <n v="278420"/>
    <n v="17.399999999999999"/>
    <n v="42.1"/>
    <n v="50"/>
    <s v=""/>
    <s v=""/>
    <n v="17.399999999999999"/>
    <s v="D"/>
    <n v="22.6"/>
    <n v="47.1"/>
    <n v="50"/>
    <s v=""/>
    <s v=""/>
    <n v="22.6"/>
    <n v="5.2000000000000028"/>
    <n v="4"/>
    <n v="29.28"/>
    <n v="5.9659237821985966"/>
    <n v="21.835281042846866"/>
    <n v="12750.923583427339"/>
    <n v="76071.038251366117"/>
    <n v="5.2"/>
    <n v="278420"/>
    <n v="278420"/>
    <n v="0"/>
    <s v=""/>
    <s v="2012"/>
    <s v="AA-MD 1775.076.9E"/>
  </r>
  <r>
    <s v="eGIS Link"/>
    <n v="219"/>
    <s v="NorthBound Visi-Data"/>
    <s v="9254"/>
    <n v="2017"/>
    <n v="5"/>
    <x v="19"/>
    <s v="AA"/>
    <s v="AA-MD 648E"/>
    <s v="4.05-6.25(N)"/>
    <s v="MD"/>
    <s v="648"/>
    <s v="E"/>
    <n v="4.05"/>
    <n v="6.25"/>
    <s v="N"/>
    <s v="EASTERN ST"/>
    <s v="SPUR FR MD 169"/>
    <n v="2.6"/>
    <n v="5.72"/>
    <s v="UNDIVIDED"/>
    <s v="URBAN"/>
    <s v="NON-IS"/>
    <n v="16"/>
    <s v="FCJ"/>
    <n v="115"/>
    <n v="118.4"/>
    <n v="97.7"/>
    <n v="98.6"/>
    <n v="97.4"/>
    <n v="0.22"/>
    <n v="33"/>
    <n v="123.44"/>
    <n v="123.44"/>
    <n v="90.7"/>
    <n v="90.4"/>
    <n v="90.8"/>
    <n v="0.22"/>
    <n v="33"/>
    <n v="84.46"/>
    <n v="84.46"/>
    <n v="100"/>
    <n v="100"/>
    <n v="100"/>
    <n v="0.19"/>
    <n v="49"/>
    <x v="5"/>
    <m/>
    <s v="Preventive Maintenance"/>
    <n v="292882.31792330311"/>
    <n v="142243.68207669689"/>
    <n v="435126"/>
    <n v="17.2"/>
    <n v="42.5"/>
    <n v="50"/>
    <s v=""/>
    <s v=""/>
    <n v="17.2"/>
    <s v="D"/>
    <n v="25"/>
    <n v="48.5"/>
    <n v="50"/>
    <s v=""/>
    <s v=""/>
    <n v="25"/>
    <n v="7.8000000000000007"/>
    <n v="4"/>
    <n v="45.76"/>
    <n v="5.9659237821985966"/>
    <n v="34.12508403417597"/>
    <n v="12750.913655310715"/>
    <n v="76070.979020979023"/>
    <n v="7.8"/>
    <n v="435126"/>
    <n v="435126"/>
    <n v="0"/>
    <s v="SKID_30"/>
    <s v="2005"/>
    <s v="AA-MD 648E4.056.25N"/>
  </r>
  <r>
    <s v="eGIS Link"/>
    <n v="225"/>
    <s v="EastBound Visi-Data"/>
    <s v="9209"/>
    <n v="2017"/>
    <n v="5"/>
    <x v="19"/>
    <s v="AA"/>
    <s v="AA-MD 177"/>
    <s v="6.9-7.8(E)"/>
    <s v="MD"/>
    <s v="177"/>
    <s v=""/>
    <n v="6.9"/>
    <n v="7.8"/>
    <s v="E"/>
    <s v="SOUTH CAROLINA AVE"/>
    <s v="LONG POINT RD"/>
    <n v="2.2000000000000002"/>
    <n v="1.98"/>
    <s v="UNDIVIDED"/>
    <s v="URBAN"/>
    <s v="NON-IS"/>
    <n v="14"/>
    <s v="FCJ"/>
    <n v="107.05"/>
    <n v="102.43"/>
    <n v="99.7"/>
    <n v="100"/>
    <n v="99.6"/>
    <n v="0.22"/>
    <n v="38"/>
    <n v="114.12"/>
    <n v="114.12"/>
    <n v="92.825000000000003"/>
    <n v="92.6"/>
    <n v="92.9"/>
    <n v="0.22"/>
    <n v="38"/>
    <n v="80.02"/>
    <n v="80.02"/>
    <n v="100"/>
    <n v="100"/>
    <n v="100"/>
    <n v="0.19"/>
    <n v="49"/>
    <x v="5"/>
    <m/>
    <s v="Preventive Maintenance"/>
    <n v="102706.63469266598"/>
    <n v="49881.365307334025"/>
    <n v="152588"/>
    <n v="14.3"/>
    <n v="42.1"/>
    <n v="50"/>
    <s v=""/>
    <s v=""/>
    <n v="14.3"/>
    <s v="D"/>
    <n v="20.399999999999999"/>
    <n v="47.1"/>
    <n v="50"/>
    <s v=""/>
    <s v=""/>
    <n v="20.399999999999999"/>
    <n v="6.0999999999999979"/>
    <n v="4"/>
    <n v="15.84"/>
    <n v="5.9659237821985966"/>
    <n v="11.812529088753221"/>
    <n v="12917.470835714592"/>
    <n v="77064.646464646459"/>
    <n v="6.1"/>
    <n v="152588"/>
    <n v="152588"/>
    <n v="0"/>
    <s v=""/>
    <s v="2010"/>
    <s v="AA-MD 1776.97.8E"/>
  </r>
  <r>
    <s v="eGIS Link"/>
    <n v="221"/>
    <s v="SouthBound Visi-Data"/>
    <s v="9167"/>
    <n v="2017"/>
    <n v="5"/>
    <x v="19"/>
    <s v="AA"/>
    <s v="AA-MD 2"/>
    <s v="29.45-32(S)"/>
    <s v="MD"/>
    <s v="2"/>
    <s v=""/>
    <n v="29.45"/>
    <n v="32"/>
    <s v="S"/>
    <s v="TOWN NECK RD"/>
    <s v="HASTINGS LA"/>
    <n v="2.8"/>
    <n v="7.14"/>
    <s v="DIVIDED"/>
    <s v="URBAN"/>
    <s v="NON-IS"/>
    <n v="14"/>
    <s v="FCJ"/>
    <n v="71.069999999999993"/>
    <n v="75.58"/>
    <n v="99.8"/>
    <n v="99.7"/>
    <n v="99.8"/>
    <n v="0.14000000000000001"/>
    <n v="39"/>
    <n v="96.46"/>
    <n v="96.46"/>
    <n v="91.1"/>
    <n v="89.9"/>
    <n v="91.5"/>
    <n v="0.14000000000000001"/>
    <n v="39"/>
    <n v="70.5"/>
    <n v="70.5"/>
    <n v="100"/>
    <n v="100"/>
    <n v="100"/>
    <n v="0.12"/>
    <n v="49"/>
    <x v="5"/>
    <m/>
    <s v="Preventive Maintenance"/>
    <n v="365591.00658909907"/>
    <n v="177555.99341090093"/>
    <n v="543147"/>
    <n v="17.600000000000001"/>
    <n v="40.9"/>
    <n v="49.7"/>
    <s v=""/>
    <s v=""/>
    <n v="17.600000000000001"/>
    <s v="D"/>
    <n v="22.7"/>
    <n v="47.1"/>
    <n v="50"/>
    <s v=""/>
    <s v=""/>
    <n v="22.7"/>
    <n v="5.0999999999999979"/>
    <n v="4"/>
    <n v="57.12"/>
    <n v="5.9659237821985966"/>
    <n v="42.596695804897976"/>
    <n v="12750.918580345528"/>
    <n v="76071.008403361353"/>
    <n v="5.0999999999999996"/>
    <n v="543147"/>
    <n v="543147"/>
    <n v="0"/>
    <s v=""/>
    <s v="2007"/>
    <s v="AA-MD 229.4532S"/>
  </r>
  <r>
    <s v="eGIS Link"/>
    <n v="314"/>
    <s v="West Bound Visi-Data"/>
    <s v="30905"/>
    <n v="2017"/>
    <n v="5"/>
    <x v="20"/>
    <s v="CH"/>
    <s v="CH-MD 6"/>
    <s v="0-1.5(W)"/>
    <s v="MD"/>
    <s v="6"/>
    <s v=""/>
    <n v="0"/>
    <n v="1.5"/>
    <s v="W"/>
    <s v="ROAD END"/>
    <s v="BENNY GRAY POINT RD"/>
    <n v="2"/>
    <n v="3"/>
    <s v="UNDIVIDED"/>
    <s v="URBAN"/>
    <s v="NON-IS"/>
    <n v="8"/>
    <s v="F"/>
    <n v="192.26"/>
    <n v="212.04"/>
    <s v=""/>
    <s v=""/>
    <s v=""/>
    <n v="0.21"/>
    <n v="60"/>
    <n v="105.93"/>
    <n v="105.93"/>
    <n v="90.474999999999994"/>
    <n v="87.4"/>
    <n v="91.5"/>
    <n v="0.15"/>
    <n v="43"/>
    <n v="109.3"/>
    <n v="109.3"/>
    <n v="91.075000000000003"/>
    <n v="89.2"/>
    <n v="91.7"/>
    <n v="0.15"/>
    <n v="43"/>
    <x v="6"/>
    <m/>
    <s v="Preventive Maintenance"/>
    <n v="183456.82180311866"/>
    <n v="89099.178196881345"/>
    <n v="272556"/>
    <n v="29.5"/>
    <n v="18.3"/>
    <n v="20.2"/>
    <s v=""/>
    <s v=""/>
    <n v="18.3"/>
    <s v="D"/>
    <n v="29.4"/>
    <n v="21.1"/>
    <n v="21.4"/>
    <s v=""/>
    <s v=""/>
    <n v="21.1"/>
    <n v="2.8000000000000007"/>
    <n v="2"/>
    <n v="12"/>
    <n v="2.9829618910992983"/>
    <n v="8.9488856732978945"/>
    <n v="30456.976427050064"/>
    <n v="90852"/>
    <n v="2.9"/>
    <n v="272556"/>
    <n v="272556"/>
    <n v="0"/>
    <s v=""/>
    <s v="1997"/>
    <s v="CH-MD 601.5W"/>
  </r>
  <r>
    <s v="eGIS Link"/>
    <n v="2"/>
    <s v="SouthBound Visi-Data"/>
    <s v="31211"/>
    <n v="2017"/>
    <n v="5"/>
    <x v="20"/>
    <s v="CH"/>
    <s v="CH-US 301"/>
    <s v="20.81-21.87(S)"/>
    <s v="US"/>
    <s v="301"/>
    <s v=""/>
    <n v="20.81"/>
    <n v="21.87"/>
    <s v="S"/>
    <s v="SPEED LIMIT 45 MPH"/>
    <s v="SPEED LIMIT 45 MPH"/>
    <n v="2.9"/>
    <n v="3.07"/>
    <s v="DIVIDED"/>
    <s v="URBAN"/>
    <s v="NON-IS"/>
    <n v="14"/>
    <s v="F"/>
    <n v="91.28"/>
    <n v="106.9"/>
    <n v="81.2"/>
    <n v="84.5"/>
    <n v="80.2"/>
    <n v="0.2"/>
    <n v="37"/>
    <n v="69.349999999999994"/>
    <n v="69.349999999999994"/>
    <n v="95.65"/>
    <n v="94"/>
    <n v="96.2"/>
    <n v="0.21"/>
    <n v="42"/>
    <n v="72.91"/>
    <n v="72.91"/>
    <n v="94.474999999999994"/>
    <n v="93.5"/>
    <n v="94.8"/>
    <n v="0.21"/>
    <n v="40"/>
    <x v="0"/>
    <m/>
    <s v="Preventive Maintenance"/>
    <n v="1270.1353950838907"/>
    <n v="616.86460491610933"/>
    <n v="1887"/>
    <n v="31.2"/>
    <n v="45.3"/>
    <n v="27.9"/>
    <s v=""/>
    <s v=""/>
    <n v="27.9"/>
    <s v="C"/>
    <n v="31"/>
    <n v="46"/>
    <n v="27.9"/>
    <s v=""/>
    <s v=""/>
    <n v="27.9"/>
    <n v="1"/>
    <n v="1"/>
    <n v="6.14"/>
    <n v="1.4914809455496492"/>
    <n v="4.5788465028374228"/>
    <n v="412.11252633838296"/>
    <n v="614.65798045602605"/>
    <n v="0"/>
    <n v="1887"/>
    <n v="1887"/>
    <n v="0"/>
    <s v=""/>
    <s v="1999"/>
    <s v="CH-US 30120.8121.87S"/>
  </r>
  <r>
    <s v="eGIS Link"/>
    <n v="382"/>
    <s v="NorthBound Visi-Data"/>
    <s v="30903"/>
    <n v="2017"/>
    <n v="5"/>
    <x v="20"/>
    <s v="CH"/>
    <s v="CH-MD 5K"/>
    <s v="0-0.2(N)"/>
    <s v="MD"/>
    <s v="5"/>
    <s v="K"/>
    <n v="0"/>
    <n v="0.2"/>
    <s v="N"/>
    <s v="MATTAWOMAN-BEANTOWN RD"/>
    <s v="MATTAWOMAN DR (AHEAD)"/>
    <n v="3.5"/>
    <n v="0.7"/>
    <s v="UNDIVIDED"/>
    <s v="URBAN"/>
    <s v="NON-IS"/>
    <n v="14"/>
    <s v="F"/>
    <n v="437.02"/>
    <s v=""/>
    <s v=""/>
    <s v=""/>
    <s v=""/>
    <s v=""/>
    <s v=""/>
    <n v="102.26"/>
    <n v="102.26"/>
    <n v="80.775000000000006"/>
    <n v="85.8"/>
    <n v="79.099999999999994"/>
    <n v="0.13"/>
    <n v="44"/>
    <n v="58.8"/>
    <n v="58.8"/>
    <n v="100"/>
    <n v="100"/>
    <n v="100"/>
    <n v="0.08"/>
    <n v="49"/>
    <x v="1"/>
    <m/>
    <s v="Minor Rehabilitation"/>
    <n v="791651.0929281459"/>
    <n v="384479.9070718541"/>
    <n v="1176131"/>
    <n v="30"/>
    <n v="16.5"/>
    <n v="13.7"/>
    <s v=""/>
    <s v=""/>
    <n v="13.7"/>
    <s v="D"/>
    <n v="50"/>
    <n v="32.1"/>
    <n v="28.3"/>
    <s v=""/>
    <s v=""/>
    <n v="28.3"/>
    <n v="14.600000000000001"/>
    <n v="6"/>
    <n v="10.220000000000001"/>
    <n v="10.88781090251244"/>
    <n v="7.6214676317587076"/>
    <n v="154318.17818120148"/>
    <n v="1680187.142857143"/>
    <n v="14.6"/>
    <n v="1176131"/>
    <n v="1176131"/>
    <n v="0"/>
    <s v=""/>
    <s v="1988"/>
    <s v="CH-MD 5K00.2N"/>
  </r>
  <r>
    <s v="eGIS Link"/>
    <n v="154"/>
    <s v="NorthBound Visi-Data"/>
    <s v="30924"/>
    <n v="2017"/>
    <n v="5"/>
    <x v="20"/>
    <s v="CH"/>
    <s v="CH-MD 925"/>
    <s v="1.2-2.49(N)"/>
    <s v="MD"/>
    <s v="925"/>
    <s v=""/>
    <n v="1.2"/>
    <n v="2.4900000000000002"/>
    <s v="N"/>
    <s v="PEMBROOKE SQ"/>
    <s v="LEONARDTOWN RD"/>
    <n v="2.2999999999999998"/>
    <n v="2.96"/>
    <s v="UNDIVIDED"/>
    <s v="RURAL"/>
    <s v="NON-IS"/>
    <n v="17"/>
    <s v="FCJ"/>
    <n v="136.65"/>
    <n v="155.08000000000001"/>
    <n v="85.4"/>
    <n v="82.5"/>
    <n v="86.4"/>
    <n v="0.16"/>
    <n v="28"/>
    <n v="94.76"/>
    <n v="94.76"/>
    <n v="70.924999999999997"/>
    <n v="74.900000000000006"/>
    <n v="69.599999999999994"/>
    <n v="0.1"/>
    <n v="46"/>
    <n v="47.6"/>
    <n v="47.6"/>
    <n v="100"/>
    <n v="100"/>
    <n v="100"/>
    <n v="0.08"/>
    <n v="49"/>
    <x v="2"/>
    <m/>
    <s v="Structural Overlay"/>
    <n v="668763.67365510983"/>
    <n v="118014.32634489017"/>
    <n v="786778"/>
    <n v="28.2"/>
    <n v="7.8"/>
    <n v="6.8"/>
    <s v=""/>
    <s v=""/>
    <n v="6.8"/>
    <s v="E"/>
    <n v="50"/>
    <n v="50"/>
    <n v="50"/>
    <s v=""/>
    <s v=""/>
    <n v="50"/>
    <n v="43.2"/>
    <n v="6"/>
    <n v="127.872"/>
    <n v="32.215988423872425"/>
    <n v="95.359325734662377"/>
    <n v="8250.6665597574829"/>
    <n v="265803.3783783784"/>
    <n v="46.8"/>
    <n v="786778"/>
    <n v="786778"/>
    <n v="0"/>
    <s v="SKID_30"/>
    <s v="2000"/>
    <s v="CH-MD 9251.22.49N"/>
  </r>
  <r>
    <s v="eGIS Link"/>
    <n v="69"/>
    <s v="EastBound Visi-Data"/>
    <s v="30911"/>
    <n v="2017"/>
    <n v="5"/>
    <x v="20"/>
    <s v="CH"/>
    <s v="CH-MD 228"/>
    <s v="0-2.49(E)"/>
    <s v="MD"/>
    <s v="228"/>
    <s v=""/>
    <n v="0"/>
    <n v="2.4900000000000002"/>
    <s v="E"/>
    <s v="PRINCE GEORGES CO/L"/>
    <s v="IRONWOOD DR"/>
    <n v="2.5"/>
    <n v="6.23"/>
    <s v="DIVIDED"/>
    <s v="RURAL"/>
    <s v="NON-IS"/>
    <n v="14"/>
    <s v="F"/>
    <n v="70.06"/>
    <n v="58.93"/>
    <n v="100"/>
    <n v="100"/>
    <n v="100"/>
    <n v="0.17"/>
    <n v="39"/>
    <n v="90.71"/>
    <n v="90.71"/>
    <n v="92.224999999999994"/>
    <n v="92.9"/>
    <n v="92"/>
    <n v="0.14000000000000001"/>
    <n v="30"/>
    <n v="98.49"/>
    <n v="98.49"/>
    <n v="98.474999999999994"/>
    <n v="99.6"/>
    <n v="98.1"/>
    <n v="0.14000000000000001"/>
    <n v="55"/>
    <x v="4"/>
    <m/>
    <s v="Preventive Maintenance"/>
    <n v="125406.89510898112"/>
    <n v="22130.104891018884"/>
    <n v="147537"/>
    <n v="30.7"/>
    <n v="20.5"/>
    <n v="19.600000000000001"/>
    <s v=""/>
    <s v=""/>
    <n v="19.600000000000001"/>
    <s v="D"/>
    <n v="31.7"/>
    <n v="27.3"/>
    <n v="25.8"/>
    <s v=""/>
    <s v=""/>
    <n v="25.8"/>
    <n v="6.1999999999999993"/>
    <n v="4"/>
    <n v="49.84"/>
    <n v="5.9659237821985966"/>
    <n v="37.16770516309726"/>
    <n v="3969.4944671075691"/>
    <n v="23681.701444622791"/>
    <n v="6.2"/>
    <n v="147537"/>
    <n v="147537"/>
    <n v="0"/>
    <s v=""/>
    <s v="2009"/>
    <s v="CH-MD 22802.49E"/>
  </r>
  <r>
    <s v="eGIS Link"/>
    <n v="58"/>
    <s v="NorthBound Visi-Data"/>
    <s v="30918"/>
    <n v="2017"/>
    <n v="5"/>
    <x v="20"/>
    <s v="CH"/>
    <s v="CH-MD 381"/>
    <s v="0-1.38(N)"/>
    <s v="MD"/>
    <s v="381"/>
    <s v=""/>
    <n v="0"/>
    <n v="1.38"/>
    <s v="N"/>
    <s v="PRINCE FREDERICK RD"/>
    <s v="STRUC #16060 SWANSON CREEK"/>
    <n v="2.2000000000000002"/>
    <n v="3.03"/>
    <s v="UNDIVIDED"/>
    <s v="RURAL"/>
    <s v="NON-IS"/>
    <n v="7"/>
    <s v="F"/>
    <n v="94.4"/>
    <n v="91.55"/>
    <n v="48"/>
    <n v="61.2"/>
    <n v="43.6"/>
    <n v="0.11"/>
    <n v="39"/>
    <n v="107.82"/>
    <n v="107.82"/>
    <n v="96.375"/>
    <n v="92.1"/>
    <n v="97.8"/>
    <n v="0.16"/>
    <n v="41"/>
    <n v="117.15"/>
    <n v="117.15"/>
    <n v="99.424999999999997"/>
    <n v="99.5"/>
    <n v="99.4"/>
    <n v="0.16"/>
    <n v="55"/>
    <x v="4"/>
    <m/>
    <s v="Preventive Maintenance"/>
    <n v="54305.842748718591"/>
    <n v="9583.1572512814091"/>
    <n v="63889"/>
    <n v="24.3"/>
    <n v="19.8"/>
    <n v="24.4"/>
    <s v=""/>
    <s v=""/>
    <n v="19.8"/>
    <s v="D"/>
    <n v="25.8"/>
    <n v="27.2"/>
    <n v="27.6"/>
    <s v=""/>
    <s v=""/>
    <n v="25.8"/>
    <n v="6"/>
    <n v="4"/>
    <n v="24.24"/>
    <n v="5.9659237821985966"/>
    <n v="18.076749060061747"/>
    <n v="3534.3191293812079"/>
    <n v="21085.478547854786"/>
    <n v="5.9"/>
    <n v="63889"/>
    <n v="63889"/>
    <n v="0"/>
    <s v=""/>
    <s v="1999"/>
    <s v="CH-MD 38101.38N"/>
  </r>
  <r>
    <s v="eGIS Link"/>
    <n v="266"/>
    <s v="EastBound Visi-Data"/>
    <s v="30913"/>
    <n v="2017"/>
    <n v="5"/>
    <x v="20"/>
    <s v="CH"/>
    <s v="CH-MD 231"/>
    <s v="10.2-10.52(E)"/>
    <s v="MD"/>
    <s v="231"/>
    <s v=""/>
    <n v="10.199999999999999"/>
    <n v="10.52"/>
    <s v="E"/>
    <s v="BEG BR"/>
    <s v="STRUC #4008 PATUXENT RIVER"/>
    <n v="2"/>
    <n v="0.64"/>
    <s v="UNDIVIDED"/>
    <s v="RURAL"/>
    <s v="NON-IS"/>
    <n v="2"/>
    <s v="UNKNOWN"/>
    <n v="161.06"/>
    <n v="154.18"/>
    <s v=""/>
    <s v=""/>
    <s v=""/>
    <n v="0.3"/>
    <n v="57"/>
    <n v="68.33"/>
    <n v="68.33"/>
    <n v="84.75"/>
    <n v="84.3"/>
    <n v="84.9"/>
    <n v="0.16"/>
    <n v="39"/>
    <n v="74.27"/>
    <n v="74.27"/>
    <n v="97.224999999999994"/>
    <n v="99.1"/>
    <n v="96.6"/>
    <n v="0.16"/>
    <n v="55"/>
    <x v="4"/>
    <m/>
    <s v="Preventive Maintenance"/>
    <n v="59850.412428160926"/>
    <n v="10561.587571839074"/>
    <n v="70412"/>
    <n v="37.700000000000003"/>
    <n v="35.5"/>
    <n v="35.200000000000003"/>
    <s v=""/>
    <s v=""/>
    <n v="35.200000000000003"/>
    <s v="B"/>
    <n v="41.4"/>
    <n v="46.4"/>
    <n v="42.4"/>
    <s v=""/>
    <s v=""/>
    <n v="41.4"/>
    <n v="6.1999999999999957"/>
    <n v="4"/>
    <n v="5.12"/>
    <n v="5.9659237821985966"/>
    <n v="3.818191220607102"/>
    <n v="18441.192683064291"/>
    <n v="110018.75"/>
    <n v="6.2"/>
    <n v="70412"/>
    <n v="70412"/>
    <n v="0"/>
    <s v=""/>
    <s v="2003"/>
    <s v="CH-MD 23110.210.52E"/>
  </r>
  <r>
    <s v="eGIS Link"/>
    <n v="71"/>
    <s v="West Bound Visi-Data"/>
    <s v="30921"/>
    <n v="2017"/>
    <n v="5"/>
    <x v="20"/>
    <s v="CH"/>
    <s v="CH-MD 488"/>
    <s v="0-1.07(W)"/>
    <s v="MD"/>
    <s v="488"/>
    <s v=""/>
    <n v="0"/>
    <n v="1.07"/>
    <s v="W"/>
    <s v="CHARLES ST"/>
    <s v="SUFFOLK DR"/>
    <n v="2.7"/>
    <n v="2.89"/>
    <s v="UNDIVIDED"/>
    <s v="RURAL"/>
    <s v="NON-IS"/>
    <n v="16"/>
    <s v="F"/>
    <n v="74.849999999999994"/>
    <n v="67.59"/>
    <s v=""/>
    <s v=""/>
    <s v=""/>
    <n v="0.14000000000000001"/>
    <n v="47"/>
    <n v="136.56"/>
    <n v="136.56"/>
    <n v="50.1"/>
    <n v="53.4"/>
    <n v="49"/>
    <n v="0.2"/>
    <n v="48"/>
    <n v="87.31"/>
    <n v="87.31"/>
    <n v="100"/>
    <n v="100"/>
    <n v="100"/>
    <n v="0.2"/>
    <n v="49"/>
    <x v="8"/>
    <m/>
    <s v="Minor Rehabilitation"/>
    <n v="287234.71948743105"/>
    <n v="50687.280512568948"/>
    <n v="337922"/>
    <n v="21.5"/>
    <n v="3.3"/>
    <n v="0.6"/>
    <s v=""/>
    <s v=""/>
    <n v="0.6"/>
    <s v="F"/>
    <n v="37.700000000000003"/>
    <n v="47.5"/>
    <n v="45.1"/>
    <s v=""/>
    <s v=""/>
    <n v="37.700000000000003"/>
    <n v="37.1"/>
    <n v="4"/>
    <n v="107.21900000000001"/>
    <n v="27.666971539945994"/>
    <n v="79.957547750443922"/>
    <n v="4226.267682129157"/>
    <n v="116928.0276816609"/>
    <n v="37.1"/>
    <n v="337922"/>
    <n v="337922"/>
    <n v="0"/>
    <s v=""/>
    <s v="2009"/>
    <s v="CH-MD 48801.07W"/>
  </r>
  <r>
    <s v="eGIS Link"/>
    <n v="46"/>
    <s v="West Bound Visi-Data"/>
    <s v="30905"/>
    <n v="2017"/>
    <n v="5"/>
    <x v="20"/>
    <s v="CH"/>
    <s v="CH-MD 6"/>
    <s v="32.1-35.8(W)"/>
    <s v="MD"/>
    <s v="6"/>
    <s v=""/>
    <n v="32.1"/>
    <n v="35.799999999999997"/>
    <s v="W"/>
    <s v="PENNS HILL RD"/>
    <s v="DUBOIS RD"/>
    <n v="2.2000000000000002"/>
    <n v="8.14"/>
    <s v="UNDIVIDED"/>
    <s v="RURAL"/>
    <s v="NON-IS"/>
    <n v="6"/>
    <s v="F"/>
    <n v="69.19"/>
    <n v="66.81"/>
    <s v=""/>
    <s v=""/>
    <s v=""/>
    <n v="0.17"/>
    <n v="48"/>
    <n v="90.86"/>
    <n v="90.86"/>
    <n v="52.774999999999999"/>
    <n v="73.7"/>
    <n v="45.8"/>
    <n v="0.13"/>
    <n v="55"/>
    <n v="64.64"/>
    <n v="64.64"/>
    <n v="100"/>
    <n v="100"/>
    <n v="100"/>
    <n v="0.13"/>
    <n v="49"/>
    <x v="8"/>
    <m/>
    <s v="Minor Rehabilitation"/>
    <n v="658247.43632963684"/>
    <n v="116158.56367036316"/>
    <n v="774406"/>
    <n v="35.6"/>
    <n v="29"/>
    <n v="0"/>
    <s v=""/>
    <s v=""/>
    <n v="0"/>
    <s v="F"/>
    <n v="47.9"/>
    <n v="47.5"/>
    <n v="45.1"/>
    <s v=""/>
    <s v=""/>
    <n v="45.1"/>
    <n v="45.1"/>
    <n v="4"/>
    <n v="367.11400000000003"/>
    <n v="33.632895322144591"/>
    <n v="273.77176792225697"/>
    <n v="2828.6554376195145"/>
    <n v="95135.87223587223"/>
    <n v="45.1"/>
    <n v="774406"/>
    <n v="774406"/>
    <n v="0"/>
    <s v=""/>
    <s v="2002"/>
    <s v="CH-MD 632.135.8W"/>
  </r>
  <r>
    <s v="eGIS Link"/>
    <n v="292"/>
    <s v="NorthBound Visi-Data"/>
    <s v="30924"/>
    <n v="2017"/>
    <n v="5"/>
    <x v="20"/>
    <s v="CH"/>
    <s v="CH-MD 925"/>
    <s v="0-1.2(N)"/>
    <s v="MD"/>
    <s v="925"/>
    <s v=""/>
    <n v="0"/>
    <n v="1.2"/>
    <s v="N"/>
    <s v="BILLINGSLEY RD"/>
    <s v="SMALLWOOD DR"/>
    <n v="2.1"/>
    <n v="2.52"/>
    <s v="UNDIVIDED"/>
    <s v="RURAL"/>
    <s v="NON-IS"/>
    <n v="17"/>
    <s v="FCJ"/>
    <n v="107.56"/>
    <n v="102.33"/>
    <n v="97.9"/>
    <n v="96.3"/>
    <n v="98.4"/>
    <n v="0.27"/>
    <n v="31"/>
    <n v="75.12"/>
    <n v="75.12"/>
    <n v="93.375"/>
    <n v="93.9"/>
    <n v="93.2"/>
    <n v="0.16"/>
    <n v="49"/>
    <n v="52.04"/>
    <n v="52.04"/>
    <n v="100"/>
    <n v="100"/>
    <n v="100"/>
    <n v="0.08"/>
    <n v="49"/>
    <x v="9"/>
    <m/>
    <s v="Structural Overlay"/>
    <n v="960131.1078108605"/>
    <n v="169430.8921891395"/>
    <n v="1129562"/>
    <n v="35"/>
    <n v="21.2"/>
    <n v="20.399999999999999"/>
    <s v=""/>
    <s v=""/>
    <n v="20.399999999999999"/>
    <s v="C"/>
    <n v="47.3"/>
    <n v="50"/>
    <n v="50"/>
    <s v=""/>
    <s v=""/>
    <n v="47.3"/>
    <n v="26.9"/>
    <n v="4"/>
    <n v="67.787999999999997"/>
    <n v="20.060418717642779"/>
    <n v="50.552255168459801"/>
    <n v="22344.443313871154"/>
    <n v="448238.88888888888"/>
    <n v="26.9"/>
    <n v="1129562"/>
    <n v="1129562"/>
    <n v="0"/>
    <s v="SKID_30"/>
    <s v="2005"/>
    <s v="CH-MD 92501.2N"/>
  </r>
  <r>
    <s v="eGIS Link"/>
    <n v="197"/>
    <s v="West Bound Visi-Data"/>
    <s v="30910"/>
    <n v="2017"/>
    <n v="5"/>
    <x v="20"/>
    <s v="CH"/>
    <s v="CH-MD 227"/>
    <s v="12.81-13.96(W)"/>
    <s v="MD"/>
    <s v="227"/>
    <s v=""/>
    <n v="12.81"/>
    <n v="13.96"/>
    <s v="W"/>
    <s v="STRUC #8029 PAGES SWAMP"/>
    <s v="CRAIN HWY"/>
    <n v="2.1"/>
    <n v="2.41"/>
    <s v="UNDIVIDED"/>
    <s v="RURAL"/>
    <s v="NON-IS"/>
    <n v="16"/>
    <s v="F"/>
    <n v="155.4"/>
    <n v="147.94"/>
    <n v="95.8"/>
    <n v="96.8"/>
    <n v="95.4"/>
    <n v="0.14000000000000001"/>
    <n v="38"/>
    <n v="93.53"/>
    <n v="93.53"/>
    <n v="94.55"/>
    <n v="95.3"/>
    <n v="94.3"/>
    <n v="0.22"/>
    <n v="38"/>
    <n v="58.45"/>
    <n v="58.45"/>
    <n v="100"/>
    <n v="100"/>
    <n v="100"/>
    <n v="0.12"/>
    <n v="49"/>
    <x v="9"/>
    <m/>
    <s v="Structural Overlay"/>
    <n v="383934.46270559414"/>
    <n v="67751.537294405862"/>
    <n v="451686"/>
    <n v="29.8"/>
    <n v="22.3"/>
    <n v="21.2"/>
    <s v=""/>
    <s v=""/>
    <n v="21.2"/>
    <s v="C"/>
    <n v="43.8"/>
    <n v="50"/>
    <n v="50"/>
    <s v=""/>
    <s v=""/>
    <n v="43.8"/>
    <n v="22.599999999999998"/>
    <n v="4"/>
    <n v="54.466000000000001"/>
    <n v="16.853734684711032"/>
    <n v="40.61750059015359"/>
    <n v="11120.477465063343"/>
    <n v="187421.57676348547"/>
    <n v="22.5"/>
    <n v="451686"/>
    <n v="451686"/>
    <n v="0"/>
    <s v=""/>
    <s v="1991"/>
    <s v="CH-MD 22712.8113.96W"/>
  </r>
  <r>
    <s v="eGIS Link"/>
    <n v="125"/>
    <s v="SouthBound Visi-Data"/>
    <s v="30918"/>
    <n v="2017"/>
    <n v="5"/>
    <x v="20"/>
    <s v="CH"/>
    <s v="CH-MD 381"/>
    <s v="0-1.38(S)"/>
    <s v="MD"/>
    <s v="381"/>
    <s v=""/>
    <n v="0"/>
    <n v="1.38"/>
    <s v="S"/>
    <s v="PRINCE FREDERICK RD"/>
    <s v="PRINCE GEORGES CO/L"/>
    <n v="2.2000000000000002"/>
    <n v="3.03"/>
    <s v="UNDIVIDED"/>
    <s v="RURAL"/>
    <s v="NON-IS"/>
    <n v="7"/>
    <s v="F"/>
    <n v="80.38"/>
    <n v="82.9"/>
    <s v=""/>
    <s v=""/>
    <s v=""/>
    <n v="0.16"/>
    <n v="39"/>
    <n v="65.25"/>
    <n v="65.25"/>
    <n v="91.2"/>
    <n v="92.1"/>
    <n v="90.9"/>
    <n v="0.16"/>
    <n v="48"/>
    <n v="48.61"/>
    <n v="48.61"/>
    <n v="100"/>
    <n v="100"/>
    <n v="100"/>
    <n v="0.08"/>
    <n v="49"/>
    <x v="9"/>
    <m/>
    <s v="Structural Overlay"/>
    <n v="391836.94075400371"/>
    <n v="69146.059245996294"/>
    <n v="460983"/>
    <n v="41"/>
    <n v="19.8"/>
    <n v="18.8"/>
    <s v=""/>
    <s v=""/>
    <n v="18.8"/>
    <s v="D"/>
    <n v="49.3"/>
    <n v="50"/>
    <n v="50"/>
    <s v=""/>
    <s v=""/>
    <n v="49.3"/>
    <n v="30.499999999999996"/>
    <n v="4"/>
    <n v="92.414999999999978"/>
    <n v="22.74508441963215"/>
    <n v="68.917605791485414"/>
    <n v="6688.9003862776844"/>
    <n v="152139.60396039605"/>
    <n v="30.5"/>
    <n v="460983"/>
    <n v="460983"/>
    <n v="0"/>
    <s v=""/>
    <s v="1999"/>
    <s v="CH-MD 38101.38S"/>
  </r>
  <r>
    <s v="eGIS Link"/>
    <n v="239"/>
    <s v="NorthBound Visi-Data"/>
    <s v="30908"/>
    <n v="2017"/>
    <n v="5"/>
    <x v="20"/>
    <s v="CH"/>
    <s v="CH-MD 224"/>
    <s v="19.5-20.85(N)"/>
    <s v="MD"/>
    <s v="224"/>
    <s v=""/>
    <n v="19.5"/>
    <n v="20.85"/>
    <s v="N"/>
    <s v="ENT SMALLWOOD STATE PARK"/>
    <s v="MARBURY RUN RD"/>
    <n v="2.1"/>
    <n v="2.84"/>
    <s v="UNDIVIDED"/>
    <s v="URBAN"/>
    <s v="NON-IS"/>
    <n v="7"/>
    <s v="F"/>
    <n v="46.68"/>
    <n v="49.17"/>
    <s v=""/>
    <s v=""/>
    <s v=""/>
    <n v="0.16"/>
    <n v="28"/>
    <n v="140.94"/>
    <n v="140.94"/>
    <n v="86.224999999999994"/>
    <n v="76.7"/>
    <n v="89.4"/>
    <n v="0.12"/>
    <n v="49"/>
    <n v="93.39"/>
    <n v="93.39"/>
    <n v="100"/>
    <n v="100"/>
    <n v="100"/>
    <n v="0.1"/>
    <n v="49"/>
    <x v="5"/>
    <m/>
    <s v="Preventive Maintenance"/>
    <n v="163612.55486201463"/>
    <n v="79461.445137985371"/>
    <n v="243074"/>
    <n v="15.6"/>
    <n v="35.6"/>
    <n v="22.3"/>
    <s v=""/>
    <s v=""/>
    <n v="15.6"/>
    <s v="D"/>
    <n v="22.7"/>
    <n v="50"/>
    <n v="32.9"/>
    <s v=""/>
    <s v=""/>
    <n v="22.7"/>
    <n v="7.1"/>
    <n v="4"/>
    <n v="22.72"/>
    <n v="5.9659237821985966"/>
    <n v="16.943223541444013"/>
    <n v="14346.38452390292"/>
    <n v="85589.436619718312"/>
    <n v="7.1"/>
    <n v="243074"/>
    <n v="243074"/>
    <n v="0"/>
    <s v="SKID_30"/>
    <s v="1995"/>
    <s v="CH-MD 22419.520.85N"/>
  </r>
  <r>
    <s v="eGIS Link"/>
    <n v="127"/>
    <s v="NorthBound Visi-Data"/>
    <s v="30908"/>
    <n v="2017"/>
    <n v="5"/>
    <x v="20"/>
    <s v="CH"/>
    <s v="CH-MD 224"/>
    <s v="14.82-15.85(N)"/>
    <s v="MD"/>
    <s v="224"/>
    <s v=""/>
    <n v="14.82"/>
    <n v="15.85"/>
    <s v="N"/>
    <s v="CHICAMUXEN RD"/>
    <s v="STRUC #8018 REEDER RUN"/>
    <n v="2"/>
    <n v="2.06"/>
    <s v="UNDIVIDED"/>
    <s v="URBAN"/>
    <s v="NON-IS"/>
    <n v="7"/>
    <s v="F"/>
    <n v="205.19"/>
    <n v="214.15"/>
    <s v=""/>
    <s v=""/>
    <s v=""/>
    <n v="0.11"/>
    <n v="40"/>
    <n v="125.96"/>
    <n v="125.96"/>
    <n v="76.724999999999994"/>
    <n v="60.6"/>
    <n v="82.1"/>
    <n v="0.1"/>
    <n v="51"/>
    <n v="85.78"/>
    <n v="85.78"/>
    <n v="100"/>
    <n v="100"/>
    <n v="100"/>
    <n v="0.09"/>
    <n v="49"/>
    <x v="5"/>
    <m/>
    <s v="Preventive Maintenance"/>
    <n v="104519.28684897807"/>
    <n v="50761.713151021933"/>
    <n v="155281"/>
    <n v="15.6"/>
    <n v="9.6999999999999993"/>
    <n v="15.1"/>
    <s v=""/>
    <s v=""/>
    <n v="9.6999999999999993"/>
    <s v="E"/>
    <n v="24.7"/>
    <n v="50"/>
    <n v="32.9"/>
    <s v=""/>
    <s v=""/>
    <n v="24.7"/>
    <n v="15"/>
    <n v="4"/>
    <n v="30.900000000000002"/>
    <n v="11.186107091622368"/>
    <n v="23.04338060874208"/>
    <n v="6738.6379905164731"/>
    <n v="75379.12621359223"/>
    <n v="15"/>
    <n v="155281"/>
    <n v="155281"/>
    <n v="0"/>
    <s v=""/>
    <s v="1999"/>
    <s v="CH-MD 22414.8215.85N"/>
  </r>
  <r>
    <s v="eGIS Link"/>
    <n v="33"/>
    <s v="NorthBound Visi-Data"/>
    <s v="31211"/>
    <n v="2017"/>
    <n v="5"/>
    <x v="20"/>
    <s v="CH"/>
    <s v="CH-US 301"/>
    <s v="21.85-25.15(N)"/>
    <s v="US"/>
    <s v="301"/>
    <s v=""/>
    <n v="21.85"/>
    <n v="25.15"/>
    <s v="N"/>
    <s v="SPUR FR SMALLWOOD DR"/>
    <s v="HOLLY TREE LA"/>
    <n v="4.3"/>
    <n v="14.19"/>
    <s v="DIVIDED"/>
    <s v="URBAN"/>
    <s v="NON-IS"/>
    <n v="14"/>
    <s v="F"/>
    <n v="110.47"/>
    <n v="122.33"/>
    <n v="82.4"/>
    <n v="81.8"/>
    <n v="82.6"/>
    <n v="0.26"/>
    <n v="41"/>
    <n v="104.11"/>
    <n v="104.11"/>
    <n v="88.474999999999994"/>
    <n v="83.9"/>
    <n v="90"/>
    <n v="0.27"/>
    <n v="29"/>
    <n v="74.03"/>
    <n v="74.03"/>
    <n v="100"/>
    <n v="100"/>
    <n v="100"/>
    <n v="0.23"/>
    <n v="49"/>
    <x v="5"/>
    <m/>
    <s v="Preventive Maintenance"/>
    <n v="106276.07189464259"/>
    <n v="51614.928105357409"/>
    <n v="157891"/>
    <n v="23.2"/>
    <n v="17.7"/>
    <n v="19.3"/>
    <s v=""/>
    <s v=""/>
    <n v="17.7"/>
    <s v="D"/>
    <n v="31"/>
    <n v="25"/>
    <n v="25.1"/>
    <s v=""/>
    <s v=""/>
    <n v="25"/>
    <n v="7.3000000000000007"/>
    <n v="4"/>
    <n v="113.52"/>
    <n v="5.9659237821985966"/>
    <n v="84.656458469398089"/>
    <n v="1865.0792019261589"/>
    <n v="11126.92036645525"/>
    <n v="7.3"/>
    <n v="157891"/>
    <n v="157891"/>
    <n v="0"/>
    <s v=""/>
    <s v="1992"/>
    <s v="CH-US 30121.8525.15N"/>
  </r>
  <r>
    <s v="eGIS Link"/>
    <n v="287"/>
    <s v="West Bound Visi-Data"/>
    <s v="30914"/>
    <n v="2017"/>
    <n v="5"/>
    <x v="20"/>
    <s v="CH"/>
    <s v="CH-MD 234"/>
    <s v="4.9-6.36(W)"/>
    <s v="MD"/>
    <s v="234"/>
    <s v=""/>
    <n v="4.9000000000000004"/>
    <n v="6.36"/>
    <s v="W"/>
    <s v="JENKINS RD"/>
    <s v="STRUC #18014 BUDDS CREEK"/>
    <n v="2.2999999999999998"/>
    <n v="3.36"/>
    <s v="UNDIVIDED"/>
    <s v="URBAN"/>
    <s v="NON-IS"/>
    <n v="6"/>
    <s v="F"/>
    <n v="96.84"/>
    <n v="94.94"/>
    <s v=""/>
    <s v=""/>
    <s v=""/>
    <n v="0.1"/>
    <n v="45"/>
    <n v="64.739999999999995"/>
    <n v="64.739999999999995"/>
    <n v="95.05"/>
    <n v="95.2"/>
    <n v="95"/>
    <n v="0.16"/>
    <n v="47"/>
    <n v="52.96"/>
    <n v="52.96"/>
    <n v="100"/>
    <n v="100"/>
    <n v="100"/>
    <n v="0.14000000000000001"/>
    <n v="49"/>
    <x v="5"/>
    <m/>
    <s v="Preventive Maintenance"/>
    <n v="293241.07900734112"/>
    <n v="142417.92099265888"/>
    <n v="435659"/>
    <n v="44.9"/>
    <n v="26.1"/>
    <n v="22.3"/>
    <s v=""/>
    <s v=""/>
    <n v="22.3"/>
    <s v="C"/>
    <n v="50"/>
    <n v="32.1"/>
    <n v="28.3"/>
    <s v=""/>
    <s v=""/>
    <n v="28.3"/>
    <n v="6"/>
    <n v="4"/>
    <n v="26.88"/>
    <n v="5.9659237821985966"/>
    <n v="20.045503908187285"/>
    <n v="21733.502035938425"/>
    <n v="129660.41666666667"/>
    <n v="6"/>
    <n v="435659"/>
    <n v="435659"/>
    <n v="0"/>
    <s v=""/>
    <s v="1993"/>
    <s v="CH-MD 2344.96.36W"/>
  </r>
  <r>
    <s v="eGIS Link"/>
    <n v="373"/>
    <s v="SouthBound Visi-Data"/>
    <s v="30907"/>
    <n v="2017"/>
    <n v="5"/>
    <x v="20"/>
    <s v="CH"/>
    <s v="CH-MD 210J"/>
    <s v="0-0.15(S)"/>
    <s v="MD"/>
    <s v="210"/>
    <s v="J"/>
    <n v="0"/>
    <n v="0.15"/>
    <s v="S"/>
    <s v=""/>
    <s v=""/>
    <n v="2"/>
    <n v="0.3"/>
    <s v="UNDIVIDED"/>
    <s v="URBAN"/>
    <s v="NON-IS"/>
    <n v="19"/>
    <s v="F"/>
    <s v=""/>
    <s v=""/>
    <s v=""/>
    <s v=""/>
    <s v=""/>
    <s v=""/>
    <s v=""/>
    <n v="128.19999999999999"/>
    <n v="128.19999999999999"/>
    <n v="81"/>
    <n v="73.2"/>
    <n v="83.6"/>
    <n v="0.11"/>
    <n v="42"/>
    <n v="86.52"/>
    <n v="86.52"/>
    <n v="100"/>
    <n v="100"/>
    <n v="100"/>
    <n v="0.09"/>
    <n v="49"/>
    <x v="5"/>
    <m/>
    <s v="Preventive Maintenance"/>
    <n v="150246.18036515405"/>
    <n v="72969.819634845946"/>
    <n v="223216"/>
    <n v="18.3"/>
    <n v="27.5"/>
    <n v="16.3"/>
    <s v=""/>
    <s v=""/>
    <n v="16.3"/>
    <s v="D"/>
    <n v="24.5"/>
    <n v="50"/>
    <n v="32.9"/>
    <s v=""/>
    <s v=""/>
    <n v="24.5"/>
    <n v="8.1999999999999993"/>
    <n v="4"/>
    <n v="2.4599999999999995"/>
    <n v="6.1150718767535608"/>
    <n v="1.8345215630260681"/>
    <n v="121675.32096586654"/>
    <n v="744053.33333333337"/>
    <n v="8.1999999999999993"/>
    <n v="223216"/>
    <n v="223216"/>
    <n v="0"/>
    <s v=""/>
    <s v="1972"/>
    <s v="CH-MD 210J00.15S"/>
  </r>
  <r>
    <s v="eGIS Link"/>
    <n v="20"/>
    <s v="EastBound Visi-Data"/>
    <s v="69199"/>
    <n v="2017"/>
    <n v="5"/>
    <x v="21"/>
    <s v="SM"/>
    <s v="SM-MD 239"/>
    <s v="0-1.64(E)"/>
    <s v="MD"/>
    <s v="239"/>
    <s v=""/>
    <n v="0"/>
    <n v="1.64"/>
    <s v="E"/>
    <s v="ROAD END"/>
    <s v="COLTON POINT RD"/>
    <n v="2"/>
    <n v="3.28"/>
    <s v="UNDIVIDED"/>
    <s v="URBAN"/>
    <s v="NON-IS"/>
    <n v="9"/>
    <s v="F"/>
    <n v="182.44"/>
    <n v="173.78"/>
    <n v="70"/>
    <n v="79.099999999999994"/>
    <n v="67"/>
    <n v="0.17"/>
    <n v="51"/>
    <n v="93.75"/>
    <n v="93.75"/>
    <n v="83.7"/>
    <n v="89.4"/>
    <n v="81.8"/>
    <n v="0.16"/>
    <n v="37"/>
    <n v="96.56"/>
    <n v="96.56"/>
    <n v="82.625"/>
    <n v="90.8"/>
    <n v="79.900000000000006"/>
    <n v="0.16"/>
    <n v="35"/>
    <x v="0"/>
    <m/>
    <s v="Preventive Maintenance"/>
    <n v="4064.8371228996371"/>
    <n v="1974.1628771003629"/>
    <n v="6039"/>
    <n v="39.1"/>
    <n v="20.399999999999999"/>
    <n v="15.1"/>
    <s v=""/>
    <s v=""/>
    <n v="15.1"/>
    <s v="D"/>
    <n v="38.9"/>
    <n v="22.7"/>
    <n v="15.1"/>
    <s v=""/>
    <s v=""/>
    <n v="15.1"/>
    <n v="1"/>
    <n v="1"/>
    <n v="6.56"/>
    <n v="1.4914809455496492"/>
    <n v="4.8920575014028493"/>
    <n v="1234.4499217902187"/>
    <n v="1841.1585365853659"/>
    <n v="0"/>
    <n v="6039"/>
    <n v="6039"/>
    <n v="0"/>
    <s v=""/>
    <s v="1991"/>
    <s v="SM-MD 23901.64E"/>
  </r>
  <r>
    <s v="eGIS Link"/>
    <n v="15"/>
    <s v="SouthBound Visi-Data"/>
    <s v="69194"/>
    <n v="2017"/>
    <n v="5"/>
    <x v="21"/>
    <s v="SM"/>
    <s v="SM-MD 235"/>
    <s v="11.8-12.9(S)"/>
    <s v="MD"/>
    <s v="235"/>
    <s v=""/>
    <n v="11.8"/>
    <n v="12.9"/>
    <s v="S"/>
    <s v="LEI DR"/>
    <s v="VALLEY DR"/>
    <n v="3.2"/>
    <n v="3.52"/>
    <s v="DIVIDED"/>
    <s v="RURAL"/>
    <s v="NON-IS"/>
    <n v="14"/>
    <s v="F"/>
    <n v="79.239999999999995"/>
    <n v="89.74"/>
    <n v="92.1"/>
    <n v="94.5"/>
    <n v="91.3"/>
    <n v="0.16"/>
    <n v="37"/>
    <n v="84.25"/>
    <n v="84.25"/>
    <n v="96.025000000000006"/>
    <n v="91.9"/>
    <n v="97.4"/>
    <n v="0.15"/>
    <n v="38"/>
    <n v="87.7"/>
    <n v="87.7"/>
    <n v="95.424999999999997"/>
    <n v="92.5"/>
    <n v="96.4"/>
    <n v="0.15"/>
    <n v="36"/>
    <x v="0"/>
    <m/>
    <s v="Preventive Maintenance"/>
    <n v="4379.2155432296349"/>
    <n v="772.78445677036507"/>
    <n v="5152"/>
    <n v="31.5"/>
    <n v="19.7"/>
    <n v="24"/>
    <s v=""/>
    <s v=""/>
    <n v="19.7"/>
    <s v="D"/>
    <n v="31.3"/>
    <n v="21.1"/>
    <n v="24"/>
    <s v=""/>
    <s v=""/>
    <n v="21.1"/>
    <n v="1.4000000000000021"/>
    <n v="1"/>
    <n v="7.04"/>
    <n v="1.4914809455496492"/>
    <n v="5.2500129283347654"/>
    <n v="981.33091676674144"/>
    <n v="1463.6363636363637"/>
    <n v="1.4"/>
    <n v="5152"/>
    <n v="5152"/>
    <n v="0"/>
    <s v=""/>
    <s v="2004"/>
    <s v="SM-MD 23511.812.9S"/>
  </r>
  <r>
    <s v="eGIS Link"/>
    <n v="55"/>
    <s v="West Bound Visi-Data"/>
    <s v="69199"/>
    <n v="2017"/>
    <n v="5"/>
    <x v="21"/>
    <s v="SM"/>
    <s v="SM-MD 239"/>
    <s v="0-1.64(W)"/>
    <s v="MD"/>
    <s v="239"/>
    <s v=""/>
    <n v="0"/>
    <n v="1.64"/>
    <s v="W"/>
    <s v="ROAD END"/>
    <s v="COLTON POINT RD"/>
    <n v="2"/>
    <n v="3.28"/>
    <s v="UNDIVIDED"/>
    <s v="URBAN"/>
    <s v="NON-IS"/>
    <n v="9"/>
    <s v="F"/>
    <n v="174.54"/>
    <n v="173.56"/>
    <s v=""/>
    <s v=""/>
    <s v=""/>
    <n v="0.19"/>
    <n v="53"/>
    <n v="65.7"/>
    <n v="65.7"/>
    <n v="81.474999999999994"/>
    <n v="86.5"/>
    <n v="79.8"/>
    <n v="0.18"/>
    <n v="33"/>
    <n v="68.45"/>
    <n v="68.45"/>
    <n v="80.525000000000006"/>
    <n v="88.4"/>
    <n v="77.900000000000006"/>
    <n v="0.18"/>
    <n v="31"/>
    <x v="0"/>
    <m/>
    <s v="Preventive Maintenance"/>
    <n v="11172.075934076533"/>
    <n v="5425.9240659234674"/>
    <n v="16598"/>
    <n v="44.7"/>
    <n v="17.3"/>
    <n v="14.1"/>
    <s v=""/>
    <s v=""/>
    <n v="14.1"/>
    <s v="D"/>
    <n v="44.3"/>
    <n v="20.3"/>
    <n v="14.1"/>
    <s v=""/>
    <s v=""/>
    <n v="14.1"/>
    <n v="1"/>
    <n v="1"/>
    <n v="6.56"/>
    <n v="1.4914809455496492"/>
    <n v="4.8920575014028493"/>
    <n v="3392.8464649567891"/>
    <n v="5060.3658536585372"/>
    <n v="0"/>
    <n v="16598"/>
    <n v="16598"/>
    <n v="0"/>
    <s v=""/>
    <s v="1991"/>
    <s v="SM-MD 23901.64W"/>
  </r>
  <r>
    <s v="eGIS Link"/>
    <n v="35"/>
    <s v="NorthBound Visi-Data"/>
    <s v="69179"/>
    <n v="2017"/>
    <n v="5"/>
    <x v="21"/>
    <s v="SM"/>
    <s v="SM-MD 4"/>
    <s v="2.3-3.18(N)"/>
    <s v="MD"/>
    <s v="4"/>
    <s v=""/>
    <n v="2.2999999999999998"/>
    <n v="3.18"/>
    <s v="N"/>
    <s v="LACEYS LA"/>
    <s v="BENSWOOD RD"/>
    <n v="2.1"/>
    <n v="1.85"/>
    <s v="UNDIVIDED"/>
    <s v="RURAL"/>
    <s v="NON-IS"/>
    <n v="6"/>
    <s v="F"/>
    <n v="74.599999999999994"/>
    <n v="94.62"/>
    <n v="65.599999999999994"/>
    <n v="80.8"/>
    <n v="60.6"/>
    <n v="0.1"/>
    <n v="42"/>
    <n v="72.12"/>
    <n v="72.12"/>
    <n v="94.75"/>
    <n v="95.8"/>
    <n v="94.4"/>
    <n v="0.17"/>
    <n v="41"/>
    <n v="74.98"/>
    <n v="74.98"/>
    <n v="93.325000000000003"/>
    <n v="95.5"/>
    <n v="92.6"/>
    <n v="0.17"/>
    <n v="39"/>
    <x v="0"/>
    <m/>
    <s v="Preventive Maintenance"/>
    <n v="4520.316044040218"/>
    <n v="797.683955959782"/>
    <n v="5318"/>
    <n v="43.5"/>
    <n v="42.5"/>
    <n v="40.1"/>
    <s v=""/>
    <s v=""/>
    <n v="40.1"/>
    <s v="A"/>
    <n v="43.1"/>
    <n v="43.3"/>
    <n v="40.1"/>
    <s v=""/>
    <s v=""/>
    <n v="40.1"/>
    <n v="1"/>
    <n v="1"/>
    <n v="3.7"/>
    <n v="1.4914809455496492"/>
    <n v="2.7592397492668512"/>
    <n v="1927.3424867893516"/>
    <n v="2874.5945945945946"/>
    <n v="0"/>
    <n v="5318"/>
    <n v="5318"/>
    <n v="0"/>
    <s v=""/>
    <s v="2000"/>
    <s v="SM-MD 42.33.18N"/>
  </r>
  <r>
    <s v="eGIS Link"/>
    <n v="318"/>
    <s v="SouthBound Visi-Data"/>
    <s v="69203"/>
    <n v="2017"/>
    <n v="5"/>
    <x v="21"/>
    <s v="SM"/>
    <s v="SM-MD 245"/>
    <s v="4.55-5.35(S)"/>
    <s v="MD"/>
    <s v="245"/>
    <s v=""/>
    <n v="4.55"/>
    <n v="5.35"/>
    <s v="S"/>
    <s v="SPEED LIMIT 40 MPH"/>
    <s v="SPEED LIMIT 30 MPH"/>
    <n v="2.1"/>
    <n v="1.68"/>
    <s v="UNDIVIDED"/>
    <s v="RURAL"/>
    <s v="NON-IS"/>
    <n v="7"/>
    <s v="F"/>
    <n v="239.79"/>
    <n v="170.4"/>
    <s v=""/>
    <s v=""/>
    <s v=""/>
    <n v="0.18"/>
    <n v="53"/>
    <n v="148.77000000000001"/>
    <n v="148.77000000000001"/>
    <n v="65.55"/>
    <n v="76.5"/>
    <n v="61.9"/>
    <n v="0.15"/>
    <n v="48"/>
    <n v="74.47"/>
    <n v="74.47"/>
    <n v="100"/>
    <n v="100"/>
    <n v="100"/>
    <n v="0.08"/>
    <n v="49"/>
    <x v="1"/>
    <m/>
    <s v="Minor Rehabilitation"/>
    <n v="903883.00816845405"/>
    <n v="159504.99183154595"/>
    <n v="1063388"/>
    <n v="18.7"/>
    <n v="30.8"/>
    <n v="20.9"/>
    <s v=""/>
    <s v=""/>
    <n v="18.7"/>
    <s v="D"/>
    <n v="45.1"/>
    <n v="47.5"/>
    <n v="45.1"/>
    <s v=""/>
    <s v=""/>
    <n v="45.1"/>
    <n v="26.400000000000002"/>
    <n v="6"/>
    <n v="44.352000000000004"/>
    <n v="19.687548481255373"/>
    <n v="33.075081448509025"/>
    <n v="32150.729595495402"/>
    <n v="632969.04761904769"/>
    <n v="26.3"/>
    <n v="1063388"/>
    <n v="1063388"/>
    <n v="0"/>
    <s v=""/>
    <s v="1988"/>
    <s v="SM-MD 2454.555.35S"/>
  </r>
  <r>
    <s v="eGIS Link"/>
    <n v="188"/>
    <s v="NorthBound Visi-Data"/>
    <s v="69200"/>
    <n v="2017"/>
    <n v="5"/>
    <x v="21"/>
    <s v="SM"/>
    <s v="SM-MD 242"/>
    <s v="0-2.9(N)"/>
    <s v="MD"/>
    <s v="242"/>
    <s v=""/>
    <n v="0"/>
    <n v="2.9"/>
    <s v="N"/>
    <s v="POINT BREEZE RD"/>
    <s v="HATCHET THICKET RD"/>
    <n v="2"/>
    <n v="5.8"/>
    <s v="UNDIVIDED"/>
    <s v="URBAN"/>
    <s v="NON-IS"/>
    <n v="8"/>
    <s v="F"/>
    <n v="116.88"/>
    <n v="122.66"/>
    <s v=""/>
    <s v=""/>
    <s v=""/>
    <n v="0.14000000000000001"/>
    <n v="44"/>
    <n v="119.69"/>
    <n v="119.69"/>
    <n v="63.774999999999999"/>
    <n v="71.8"/>
    <n v="61.1"/>
    <n v="0.13"/>
    <n v="45"/>
    <n v="64.59"/>
    <n v="64.59"/>
    <n v="100"/>
    <n v="100"/>
    <n v="100"/>
    <n v="0.08"/>
    <n v="49"/>
    <x v="1"/>
    <m/>
    <s v="Minor Rehabilitation"/>
    <n v="755583.15167453152"/>
    <n v="366962.84832546848"/>
    <n v="1122546"/>
    <n v="24.2"/>
    <n v="5.7"/>
    <n v="3.5"/>
    <s v=""/>
    <s v=""/>
    <n v="3.5"/>
    <s v="E"/>
    <n v="48.1"/>
    <n v="32.1"/>
    <n v="28.3"/>
    <s v=""/>
    <s v=""/>
    <n v="28.3"/>
    <n v="24.8"/>
    <n v="6"/>
    <n v="143.84"/>
    <n v="18.494363724815649"/>
    <n v="107.26730960393076"/>
    <n v="10464.940382534447"/>
    <n v="193542.41379310345"/>
    <n v="24.8"/>
    <n v="1122546"/>
    <n v="1122546"/>
    <n v="0"/>
    <s v=""/>
    <s v="2002"/>
    <s v="SM-MD 24202.9N"/>
  </r>
  <r>
    <s v="eGIS Link"/>
    <n v="243"/>
    <s v="SouthBound Visi-Data"/>
    <s v="69194"/>
    <n v="2017"/>
    <n v="5"/>
    <x v="21"/>
    <s v="SM"/>
    <s v="SM-MD 235"/>
    <s v="25.85-28.11(S)"/>
    <s v="MD"/>
    <s v="235"/>
    <s v=""/>
    <n v="25.85"/>
    <n v="28.11"/>
    <s v="S"/>
    <s v="NORTH SANDGATES RD"/>
    <s v="LORETTA LA"/>
    <n v="2.4"/>
    <n v="5.42"/>
    <s v="DIVIDED"/>
    <s v="URBAN"/>
    <s v="NON-IS"/>
    <n v="2"/>
    <s v="F"/>
    <n v="47.52"/>
    <n v="44.93"/>
    <n v="100"/>
    <n v="100"/>
    <n v="99.9"/>
    <n v="0.15"/>
    <n v="52"/>
    <n v="117.16"/>
    <n v="117.16"/>
    <n v="79.224999999999994"/>
    <n v="78.400000000000006"/>
    <n v="79.5"/>
    <n v="0.14000000000000001"/>
    <n v="48"/>
    <n v="63.74"/>
    <n v="63.74"/>
    <n v="100"/>
    <n v="100"/>
    <n v="100"/>
    <n v="0.08"/>
    <n v="49"/>
    <x v="1"/>
    <m/>
    <s v="Minor Rehabilitation"/>
    <n v="755583.15167453152"/>
    <n v="366962.84832546848"/>
    <n v="1122546"/>
    <n v="24.9"/>
    <n v="9.6"/>
    <n v="13.9"/>
    <s v=""/>
    <s v=""/>
    <n v="9.6"/>
    <s v="E"/>
    <n v="48.5"/>
    <n v="32.1"/>
    <n v="28.3"/>
    <s v=""/>
    <s v=""/>
    <n v="28.3"/>
    <n v="18.700000000000003"/>
    <n v="6"/>
    <n v="101.35400000000001"/>
    <n v="13.945346840889224"/>
    <n v="75.583779877619591"/>
    <n v="14851.678519089075"/>
    <n v="207111.80811808119"/>
    <n v="18.600000000000001"/>
    <n v="1122546"/>
    <n v="1122546"/>
    <n v="0"/>
    <s v=""/>
    <s v="2008"/>
    <s v="SM-MD 23525.8528.11S"/>
  </r>
  <r>
    <s v="eGIS Link"/>
    <n v="247"/>
    <s v="EastBound Visi-Data"/>
    <s v="69192"/>
    <n v="2017"/>
    <n v="5"/>
    <x v="21"/>
    <s v="SM"/>
    <s v="SM-MD 6"/>
    <s v="0-1.18(E)"/>
    <s v="MD"/>
    <s v="6"/>
    <s v=""/>
    <n v="0"/>
    <n v="1.18"/>
    <s v="E"/>
    <s v="CHARLES CO/L"/>
    <s v="MD 5 (SB/L) THREE NOTCH RD"/>
    <n v="2.2000000000000002"/>
    <n v="2.59"/>
    <s v="UNDIVIDED"/>
    <s v="RURAL"/>
    <s v="NON-IS"/>
    <n v="6"/>
    <s v="F"/>
    <n v="74.430000000000007"/>
    <n v="60.96"/>
    <s v=""/>
    <s v=""/>
    <s v=""/>
    <n v="0.12"/>
    <n v="32"/>
    <n v="59.87"/>
    <n v="59.87"/>
    <n v="91.724999999999994"/>
    <n v="92.1"/>
    <n v="91.6"/>
    <n v="0.15"/>
    <n v="35"/>
    <n v="65.14"/>
    <n v="65.14"/>
    <n v="98.15"/>
    <n v="99.5"/>
    <n v="97.7"/>
    <n v="0.15"/>
    <n v="55"/>
    <x v="4"/>
    <m/>
    <s v="Preventive Maintenance"/>
    <n v="198899.8559588881"/>
    <n v="35099.144041111897"/>
    <n v="233999"/>
    <n v="26"/>
    <n v="26.7"/>
    <n v="13.2"/>
    <s v=""/>
    <s v=""/>
    <n v="13.2"/>
    <s v="D"/>
    <n v="27.1"/>
    <n v="32"/>
    <n v="17"/>
    <s v=""/>
    <s v=""/>
    <n v="17"/>
    <n v="4"/>
    <n v="4"/>
    <n v="20.72"/>
    <n v="5.9659237821985966"/>
    <n v="15.451742595894364"/>
    <n v="15143.858276682344"/>
    <n v="90347.104247104246"/>
    <n v="3.8"/>
    <n v="233999"/>
    <n v="233999"/>
    <n v="0"/>
    <s v="SKID_30"/>
    <s v="2012"/>
    <s v="SM-MD 601.18E"/>
  </r>
  <r>
    <s v="eGIS Link"/>
    <n v="39"/>
    <s v="SouthBound Visi-Data"/>
    <s v="69194"/>
    <n v="2017"/>
    <n v="5"/>
    <x v="21"/>
    <s v="SM"/>
    <s v="SM-MD 235"/>
    <s v="15.05-16.95(S)"/>
    <s v="MD"/>
    <s v="235"/>
    <s v=""/>
    <n v="15.05"/>
    <n v="16.95"/>
    <s v="S"/>
    <s v="GUNSTON DR"/>
    <s v="SPEED LIMIT 55 MPH"/>
    <n v="4.3"/>
    <n v="8.17"/>
    <s v="DIVIDED"/>
    <s v="RURAL"/>
    <s v="NON-IS"/>
    <n v="14"/>
    <s v="F"/>
    <n v="54.13"/>
    <n v="96.09"/>
    <n v="72.5"/>
    <n v="79.8"/>
    <n v="70"/>
    <n v="0.13"/>
    <n v="45"/>
    <n v="93.55"/>
    <n v="93.55"/>
    <n v="93.474999999999994"/>
    <n v="93.4"/>
    <n v="93.5"/>
    <n v="0.13"/>
    <n v="46"/>
    <n v="101.72"/>
    <n v="101.72"/>
    <n v="98.7"/>
    <n v="99.6"/>
    <n v="98.4"/>
    <n v="0.13"/>
    <n v="55"/>
    <x v="4"/>
    <m/>
    <s v="Preventive Maintenance"/>
    <n v="92984.380031156732"/>
    <n v="16408.619968843268"/>
    <n v="109393"/>
    <n v="28.4"/>
    <n v="20.8"/>
    <n v="20.6"/>
    <s v=""/>
    <s v=""/>
    <n v="20.6"/>
    <s v="C"/>
    <n v="30.6"/>
    <n v="27.3"/>
    <n v="26.1"/>
    <s v=""/>
    <s v=""/>
    <n v="26.1"/>
    <n v="5.5"/>
    <n v="4"/>
    <n v="65.36"/>
    <n v="5.9659237821985966"/>
    <n v="48.741597300562532"/>
    <n v="2244.3458166837195"/>
    <n v="13389.596083231334"/>
    <n v="5.5"/>
    <n v="109393"/>
    <n v="109393"/>
    <n v="0"/>
    <s v=""/>
    <s v="2000"/>
    <s v="SM-MD 23515.0516.95S"/>
  </r>
  <r>
    <s v="eGIS Link"/>
    <n v="206"/>
    <s v="NorthBound Visi-Data"/>
    <s v="69206"/>
    <n v="2017"/>
    <n v="5"/>
    <x v="21"/>
    <s v="SM"/>
    <s v="SM-MD 249"/>
    <s v="1.55-2.46(N)"/>
    <s v="MD"/>
    <s v="249"/>
    <s v=""/>
    <n v="1.55"/>
    <n v="2.46"/>
    <s v="N"/>
    <s v="END BR"/>
    <s v="LIGHTHOUSE RD"/>
    <n v="2"/>
    <n v="1.82"/>
    <s v="UNDIVIDED"/>
    <s v="RURAL"/>
    <s v="NON-IS"/>
    <n v="8"/>
    <s v="F"/>
    <n v="118.13"/>
    <n v="111.76"/>
    <s v=""/>
    <s v=""/>
    <s v=""/>
    <n v="0.16"/>
    <n v="50"/>
    <n v="84.63"/>
    <n v="84.63"/>
    <n v="94.674999999999997"/>
    <n v="95.8"/>
    <n v="94.3"/>
    <n v="0.19"/>
    <n v="45"/>
    <n v="91.62"/>
    <n v="91.62"/>
    <n v="98.8"/>
    <n v="99.7"/>
    <n v="98.5"/>
    <n v="0.19"/>
    <n v="55"/>
    <x v="4"/>
    <m/>
    <s v="Preventive Maintenance"/>
    <n v="109501.63865616417"/>
    <n v="19323.36134383583"/>
    <n v="128825"/>
    <n v="37.700000000000003"/>
    <n v="42.5"/>
    <n v="40"/>
    <s v=""/>
    <s v=""/>
    <n v="37.700000000000003"/>
    <s v="B"/>
    <n v="41"/>
    <n v="47.1"/>
    <n v="43.7"/>
    <s v=""/>
    <s v=""/>
    <n v="41"/>
    <n v="4"/>
    <n v="4"/>
    <n v="14.56"/>
    <n v="5.9659237821985966"/>
    <n v="10.857981283601447"/>
    <n v="11864.544304801977"/>
    <n v="70782.967032967033"/>
    <n v="3.2"/>
    <n v="128825"/>
    <n v="128825"/>
    <n v="0"/>
    <s v=""/>
    <s v="1997"/>
    <s v="SM-MD 2491.552.46N"/>
  </r>
  <r>
    <s v="eGIS Link"/>
    <n v="367"/>
    <s v="West Bound Visi-Data"/>
    <s v="69220"/>
    <n v="2017"/>
    <n v="5"/>
    <x v="21"/>
    <s v="SM"/>
    <s v="SM-MD 944D"/>
    <s v="0-0.06(W)"/>
    <s v="MD"/>
    <s v="944"/>
    <s v="D"/>
    <n v="0"/>
    <n v="0.06"/>
    <s v="W"/>
    <s v=""/>
    <s v=""/>
    <n v="2.2999999999999998"/>
    <n v="0.14000000000000001"/>
    <s v="UNDIVIDED"/>
    <s v="RURAL"/>
    <s v="NON-IS"/>
    <n v="19"/>
    <s v=""/>
    <s v=""/>
    <s v=""/>
    <s v=""/>
    <s v=""/>
    <s v=""/>
    <s v=""/>
    <s v=""/>
    <n v="67.25"/>
    <n v="67.25"/>
    <n v="86.724999999999994"/>
    <n v="88"/>
    <n v="86.3"/>
    <n v="0.12"/>
    <n v="30"/>
    <n v="72.739999999999995"/>
    <n v="72.739999999999995"/>
    <n v="97.5"/>
    <n v="99.3"/>
    <n v="96.9"/>
    <n v="0.12"/>
    <n v="55"/>
    <x v="4"/>
    <m/>
    <s v="Preventive Maintenance"/>
    <n v="72185.656209866764"/>
    <n v="12738.343790133236"/>
    <n v="84924"/>
    <n v="40.1"/>
    <n v="16.899999999999999"/>
    <n v="15.9"/>
    <s v=""/>
    <s v=""/>
    <n v="15.9"/>
    <s v="D"/>
    <n v="42"/>
    <n v="26.9"/>
    <n v="24.5"/>
    <s v=""/>
    <s v=""/>
    <n v="24.5"/>
    <n v="8.6"/>
    <n v="4"/>
    <n v="1.204"/>
    <n v="6.4133680658634908"/>
    <n v="0.89787152922088875"/>
    <n v="94583.687349671527"/>
    <n v="606600"/>
    <n v="8.6"/>
    <n v="84924"/>
    <n v="84924"/>
    <n v="0"/>
    <s v=""/>
    <s v=""/>
    <s v="SM-MD 944D00.06W"/>
  </r>
  <r>
    <s v="eGIS Link"/>
    <n v="22"/>
    <s v="West Bound Visi-Data"/>
    <s v="69192"/>
    <n v="2017"/>
    <n v="5"/>
    <x v="21"/>
    <s v="SM"/>
    <s v="SM-MD 6"/>
    <s v="3.8-9.55(W)"/>
    <s v="MD"/>
    <s v="6"/>
    <s v=""/>
    <n v="3.8"/>
    <n v="9.5500000000000007"/>
    <s v="W"/>
    <s v="COONEY NECK RD"/>
    <s v="THREE NOTCH RD"/>
    <n v="2"/>
    <n v="11.5"/>
    <s v="UNDIVIDED"/>
    <s v="RURAL"/>
    <s v="NON-IS"/>
    <n v="8"/>
    <s v="F"/>
    <n v="132.55000000000001"/>
    <n v="146.63999999999999"/>
    <n v="78.7"/>
    <n v="91.4"/>
    <n v="74.5"/>
    <n v="0.16"/>
    <n v="47"/>
    <n v="163"/>
    <n v="163"/>
    <n v="84.75"/>
    <n v="84.3"/>
    <n v="84.9"/>
    <n v="0.14000000000000001"/>
    <n v="44"/>
    <n v="104.81"/>
    <n v="104.81"/>
    <n v="100"/>
    <n v="100"/>
    <n v="100"/>
    <n v="0.12"/>
    <n v="49"/>
    <x v="5"/>
    <m/>
    <s v="Preventive Maintenance"/>
    <n v="129805.66072160017"/>
    <n v="22906.339278399828"/>
    <n v="152712"/>
    <n v="16.3"/>
    <n v="35.5"/>
    <n v="35.200000000000003"/>
    <s v=""/>
    <s v=""/>
    <n v="16.3"/>
    <s v="D"/>
    <n v="30.2"/>
    <n v="47.5"/>
    <n v="45.1"/>
    <s v=""/>
    <s v=""/>
    <n v="30.2"/>
    <n v="13.899999999999999"/>
    <n v="4"/>
    <n v="159.85"/>
    <n v="10.365792571570061"/>
    <n v="119.2066145730557"/>
    <n v="1281.0698512573774"/>
    <n v="13279.304347826086"/>
    <n v="14"/>
    <n v="152712"/>
    <n v="152712"/>
    <n v="0"/>
    <s v=""/>
    <s v="1999"/>
    <s v="SM-MD 63.89.55W"/>
  </r>
  <r>
    <s v="eGIS Link"/>
    <n v="112"/>
    <s v="EastBound Visi-Data"/>
    <s v="69192"/>
    <n v="2017"/>
    <n v="5"/>
    <x v="21"/>
    <s v="SM"/>
    <s v="SM-MD 6"/>
    <s v="3.8-9.55(E)"/>
    <s v="MD"/>
    <s v="6"/>
    <s v=""/>
    <n v="3.8"/>
    <n v="9.5500000000000007"/>
    <s v="E"/>
    <s v="COONEY NECK RD"/>
    <s v="THREE NOTCH RD"/>
    <n v="2"/>
    <n v="11.5"/>
    <s v="UNDIVIDED"/>
    <s v="URBAN"/>
    <s v="NON-IS"/>
    <n v="8"/>
    <s v="F"/>
    <n v="126.59"/>
    <n v="139.25"/>
    <s v=""/>
    <s v=""/>
    <s v=""/>
    <n v="0.12"/>
    <n v="48"/>
    <n v="98.67"/>
    <n v="98.67"/>
    <n v="90.75"/>
    <n v="78.599999999999994"/>
    <n v="94.8"/>
    <n v="0.13"/>
    <n v="32"/>
    <n v="71.09"/>
    <n v="71.09"/>
    <n v="100"/>
    <n v="100"/>
    <n v="100"/>
    <n v="0.11"/>
    <n v="49"/>
    <x v="5"/>
    <m/>
    <s v="Preventive Maintenance"/>
    <n v="290885.91008980083"/>
    <n v="141274.08991019917"/>
    <n v="432160"/>
    <n v="22.4"/>
    <n v="37.299999999999997"/>
    <n v="26.9"/>
    <s v=""/>
    <s v=""/>
    <n v="22.4"/>
    <s v="C"/>
    <n v="29"/>
    <n v="50"/>
    <n v="32.9"/>
    <s v=""/>
    <s v=""/>
    <n v="29"/>
    <n v="6.6000000000000014"/>
    <n v="4"/>
    <n v="92"/>
    <n v="5.9659237821985966"/>
    <n v="68.608123495283863"/>
    <n v="6298.9625423832904"/>
    <n v="37579.130434782608"/>
    <n v="6.7"/>
    <n v="432160"/>
    <n v="432160"/>
    <n v="0"/>
    <s v=""/>
    <s v="1999"/>
    <s v="SM-MD 63.89.55E"/>
  </r>
  <r>
    <s v="eGIS Link"/>
    <n v="232"/>
    <s v="SouthBound Visi-Data"/>
    <s v="69182"/>
    <n v="2017"/>
    <n v="5"/>
    <x v="21"/>
    <s v="SM"/>
    <s v="SM-MD 5"/>
    <s v="42.76-45.23(S)"/>
    <s v="MD"/>
    <s v="5"/>
    <s v=""/>
    <n v="42.76"/>
    <n v="45.23"/>
    <s v="S"/>
    <s v="NEW MARKET RD/NEW MARKET TURNER RD"/>
    <s v="CHARLES CO/L"/>
    <n v="2.2999999999999998"/>
    <n v="5.68"/>
    <s v="DIVIDED"/>
    <s v="URBAN"/>
    <s v="NON-IS"/>
    <n v="14"/>
    <s v="FCJ"/>
    <n v="91.23"/>
    <n v="80.13"/>
    <n v="96.9"/>
    <n v="87.5"/>
    <n v="100"/>
    <n v="0.13"/>
    <n v="32"/>
    <n v="68.13"/>
    <n v="68.13"/>
    <n v="94.974999999999994"/>
    <n v="94.9"/>
    <n v="95"/>
    <n v="0.16"/>
    <n v="39"/>
    <n v="54.65"/>
    <n v="54.65"/>
    <n v="100"/>
    <n v="100"/>
    <n v="100"/>
    <n v="0.14000000000000001"/>
    <n v="49"/>
    <x v="5"/>
    <m/>
    <s v="Preventive Maintenance"/>
    <n v="303532.74312542944"/>
    <n v="147416.25687457056"/>
    <n v="450949"/>
    <n v="45.2"/>
    <n v="25.8"/>
    <n v="22.3"/>
    <s v=""/>
    <s v=""/>
    <n v="22.3"/>
    <s v="C"/>
    <n v="49.6"/>
    <n v="32.1"/>
    <n v="28.3"/>
    <s v=""/>
    <s v=""/>
    <n v="28.3"/>
    <n v="6"/>
    <n v="4"/>
    <n v="45.44"/>
    <n v="5.9659237821985966"/>
    <n v="33.886447082888026"/>
    <n v="13307.650663315488"/>
    <n v="79392.429577464791"/>
    <n v="6"/>
    <n v="450949"/>
    <n v="450949"/>
    <n v="0"/>
    <s v="SKID_35"/>
    <s v="2007"/>
    <s v="SM-MD 542.7645.23S"/>
  </r>
  <r>
    <s v="eGIS Link"/>
    <n v="190"/>
    <s v="SouthBound Visi-Data"/>
    <s v="23194"/>
    <n v="2017"/>
    <n v="5"/>
    <x v="22"/>
    <s v="CA"/>
    <s v="CA-MD 2A"/>
    <s v="0-0.13(S)"/>
    <s v="MD"/>
    <s v="2"/>
    <s v="A"/>
    <n v="0"/>
    <n v="0.13"/>
    <s v="S"/>
    <s v=""/>
    <s v=""/>
    <n v="2"/>
    <n v="0.26"/>
    <s v="UNDIVIDED"/>
    <s v="RURAL"/>
    <s v="NON-IS"/>
    <n v="9"/>
    <s v=""/>
    <n v="141.16"/>
    <n v="168.25"/>
    <s v=""/>
    <s v=""/>
    <s v=""/>
    <n v="0.17"/>
    <s v=""/>
    <n v="53.1"/>
    <n v="53.1"/>
    <n v="97.5"/>
    <n v="96.6"/>
    <n v="97.8"/>
    <n v="0.18"/>
    <n v="39"/>
    <n v="55.78"/>
    <n v="55.78"/>
    <n v="96.674999999999997"/>
    <n v="96.3"/>
    <n v="96.8"/>
    <n v="0.18"/>
    <n v="37"/>
    <x v="0"/>
    <m/>
    <s v="Preventive Maintenance"/>
    <n v="3464.6122970116448"/>
    <n v="611.38770298835516"/>
    <n v="4076"/>
    <n v="37.200000000000003"/>
    <n v="22.1"/>
    <n v="22.7"/>
    <s v=""/>
    <s v=""/>
    <n v="22.1"/>
    <s v="C"/>
    <n v="36.700000000000003"/>
    <n v="22.9"/>
    <n v="22.7"/>
    <s v=""/>
    <s v=""/>
    <n v="22.7"/>
    <n v="1"/>
    <n v="1"/>
    <n v="0.52"/>
    <n v="1.4914809455496492"/>
    <n v="0.38778504584290879"/>
    <n v="10510.977779300913"/>
    <n v="15676.923076923076"/>
    <n v="0.5"/>
    <n v="4076"/>
    <n v="4076"/>
    <n v="0"/>
    <s v=""/>
    <s v=""/>
    <s v="CA-MD 2A00.13S"/>
  </r>
  <r>
    <s v="eGIS Link"/>
    <n v="269"/>
    <s v="NorthBound Visi-Data"/>
    <s v="23194"/>
    <n v="2017"/>
    <n v="5"/>
    <x v="22"/>
    <s v="CA"/>
    <s v="CA-MD 2A"/>
    <s v="0-0.13(N)"/>
    <s v="MD"/>
    <s v="2"/>
    <s v="A"/>
    <n v="0"/>
    <n v="0.13"/>
    <s v="N"/>
    <s v=""/>
    <s v=""/>
    <n v="2"/>
    <n v="0.26"/>
    <s v="UNDIVIDED"/>
    <s v="RURAL"/>
    <s v="NON-IS"/>
    <n v="9"/>
    <s v=""/>
    <n v="139.46"/>
    <n v="107.57"/>
    <s v=""/>
    <s v=""/>
    <s v=""/>
    <n v="0.22"/>
    <s v=""/>
    <n v="56.4"/>
    <n v="56.4"/>
    <n v="97.5"/>
    <n v="96.6"/>
    <n v="97.8"/>
    <n v="0.16"/>
    <n v="41"/>
    <n v="59.14"/>
    <n v="59.14"/>
    <n v="96.674999999999997"/>
    <n v="96.3"/>
    <n v="96.8"/>
    <n v="0.16"/>
    <n v="39"/>
    <x v="0"/>
    <m/>
    <s v="Preventive Maintenance"/>
    <n v="6225.4220960042412"/>
    <n v="1098.5779039957588"/>
    <n v="7324"/>
    <n v="35.299999999999997"/>
    <n v="22.1"/>
    <n v="22.7"/>
    <s v=""/>
    <s v=""/>
    <n v="22.1"/>
    <s v="C"/>
    <n v="34.799999999999997"/>
    <n v="22.9"/>
    <n v="22.7"/>
    <s v=""/>
    <s v=""/>
    <n v="22.7"/>
    <n v="1"/>
    <n v="1"/>
    <n v="0.52"/>
    <n v="1.4914809455496492"/>
    <n v="0.38778504584290879"/>
    <n v="18886.752025417049"/>
    <n v="28169.23076923077"/>
    <n v="0.5"/>
    <n v="7324"/>
    <n v="7324"/>
    <n v="0"/>
    <s v=""/>
    <s v=""/>
    <s v="CA-MD 2A00.13N"/>
  </r>
  <r>
    <s v="eGIS Link"/>
    <n v="213"/>
    <s v="West Bound Visi-Data"/>
    <s v="23272"/>
    <n v="2017"/>
    <n v="5"/>
    <x v="22"/>
    <s v="CA"/>
    <s v="CA-MD 768"/>
    <s v="0-0.68(W)"/>
    <s v="MD"/>
    <s v="768"/>
    <s v=""/>
    <n v="0"/>
    <n v="0.68"/>
    <s v="W"/>
    <s v=""/>
    <s v=""/>
    <n v="2"/>
    <n v="1.36"/>
    <s v="UNDIVIDED"/>
    <s v="URBAN"/>
    <s v="NON-IS"/>
    <n v="9"/>
    <s v=""/>
    <n v="233.89"/>
    <n v="236.3"/>
    <s v=""/>
    <s v=""/>
    <s v=""/>
    <n v="0.18"/>
    <s v=""/>
    <n v="200.17"/>
    <n v="200.17"/>
    <n v="85.55"/>
    <n v="85.1"/>
    <n v="85.7"/>
    <n v="0.19"/>
    <n v="41"/>
    <n v="91.96"/>
    <n v="91.96"/>
    <n v="100"/>
    <n v="100"/>
    <n v="100"/>
    <n v="0.08"/>
    <n v="49"/>
    <x v="1"/>
    <m/>
    <s v="Minor Rehabilitation"/>
    <n v="185239.85765981034"/>
    <n v="89965.142340189661"/>
    <n v="275205"/>
    <n v="23.4"/>
    <n v="36.6"/>
    <n v="36.5"/>
    <s v=""/>
    <s v=""/>
    <n v="23.4"/>
    <s v="C"/>
    <n v="50"/>
    <n v="48"/>
    <n v="45"/>
    <s v=""/>
    <s v=""/>
    <n v="45"/>
    <n v="21.6"/>
    <n v="6"/>
    <n v="29.376000000000005"/>
    <n v="16.107994211936212"/>
    <n v="21.90687212823325"/>
    <n v="12562.496297466396"/>
    <n v="202356.6176470588"/>
    <n v="21.6"/>
    <n v="275205"/>
    <n v="275205"/>
    <n v="0"/>
    <s v=""/>
    <s v=""/>
    <s v="CA-MD 76800.68W"/>
  </r>
  <r>
    <s v="eGIS Link"/>
    <n v="201"/>
    <s v="SouthBound Visi-Data"/>
    <s v="23195"/>
    <n v="2017"/>
    <n v="5"/>
    <x v="22"/>
    <s v="CA"/>
    <s v="CA-MD 2AC"/>
    <s v="0-0.39(S)"/>
    <s v="MD"/>
    <s v="2"/>
    <s v="AC"/>
    <n v="0"/>
    <n v="0.39"/>
    <s v="S"/>
    <s v=""/>
    <s v=""/>
    <n v="2"/>
    <n v="0.78"/>
    <s v="UNDIVIDED"/>
    <s v="RURAL"/>
    <s v="NON-IS"/>
    <n v="19"/>
    <s v=""/>
    <n v="110.85"/>
    <n v="113.8"/>
    <s v=""/>
    <s v=""/>
    <s v=""/>
    <n v="0.14000000000000001"/>
    <s v=""/>
    <n v="66.34"/>
    <n v="66.34"/>
    <n v="92.625"/>
    <n v="96.6"/>
    <n v="91.3"/>
    <n v="0.15"/>
    <n v="29"/>
    <n v="71.73"/>
    <n v="71.73"/>
    <n v="98.45"/>
    <n v="99.8"/>
    <n v="98"/>
    <n v="0.15"/>
    <n v="55"/>
    <x v="4"/>
    <m/>
    <s v="Preventive Maintenance"/>
    <n v="45627.311945850852"/>
    <n v="8051.6880541491482"/>
    <n v="53679"/>
    <n v="30.2"/>
    <n v="22.1"/>
    <n v="17.399999999999999"/>
    <s v=""/>
    <s v=""/>
    <n v="17.399999999999999"/>
    <s v="D"/>
    <n v="31.3"/>
    <n v="26.3"/>
    <n v="23.9"/>
    <s v=""/>
    <s v=""/>
    <n v="23.9"/>
    <n v="6.5"/>
    <n v="4"/>
    <n v="6.24"/>
    <n v="5.9659237821985966"/>
    <n v="4.6534205501149053"/>
    <n v="11535.385513066194"/>
    <n v="68819.230769230766"/>
    <n v="6.5"/>
    <n v="53679"/>
    <n v="53679"/>
    <n v="0"/>
    <s v=""/>
    <s v=""/>
    <s v="CA-MD 2AC00.39S"/>
  </r>
  <r>
    <s v="eGIS Link"/>
    <n v="257"/>
    <s v="SouthBound Visi-Data"/>
    <s v="23193"/>
    <n v="2017"/>
    <n v="5"/>
    <x v="22"/>
    <s v="CA"/>
    <s v="CA-MD 2"/>
    <s v="23.55-24.96(S)"/>
    <s v="MD"/>
    <s v="2"/>
    <s v=""/>
    <n v="23.55"/>
    <n v="24.96"/>
    <s v="S"/>
    <s v="ARMIGER RD"/>
    <s v="SCARLETT DR"/>
    <n v="2.8"/>
    <n v="3.95"/>
    <s v="DIVIDED"/>
    <s v="RURAL"/>
    <s v="NON-IS"/>
    <n v="2"/>
    <s v="F"/>
    <n v="156.75"/>
    <n v="49.98"/>
    <n v="95.7"/>
    <n v="97.3"/>
    <n v="95.1"/>
    <n v="0.17"/>
    <n v="51"/>
    <n v="56.77"/>
    <n v="56.77"/>
    <n v="94.625"/>
    <n v="94.1"/>
    <n v="94.8"/>
    <n v="0.16"/>
    <n v="42"/>
    <n v="61.11"/>
    <n v="61.11"/>
    <n v="98.924999999999997"/>
    <n v="99.6"/>
    <n v="98.7"/>
    <n v="0.16"/>
    <n v="55"/>
    <x v="4"/>
    <m/>
    <s v="Preventive Maintenance"/>
    <n v="344221.47175155074"/>
    <n v="60743.528248449264"/>
    <n v="404965"/>
    <n v="35.1"/>
    <n v="20.2"/>
    <n v="20"/>
    <s v=""/>
    <s v=""/>
    <n v="20"/>
    <s v="C"/>
    <n v="36.700000000000003"/>
    <n v="26.2"/>
    <n v="24.8"/>
    <s v=""/>
    <s v=""/>
    <n v="24.8"/>
    <n v="4.8000000000000007"/>
    <n v="4"/>
    <n v="31.6"/>
    <n v="5.9659237821985966"/>
    <n v="23.565398939684457"/>
    <n v="17184.729231043628"/>
    <n v="102522.78481012658"/>
    <n v="4.9000000000000004"/>
    <n v="404965"/>
    <n v="404965"/>
    <n v="0"/>
    <s v=""/>
    <s v="2001"/>
    <s v="CA-MD 223.5524.96S"/>
  </r>
  <r>
    <s v="eGIS Link"/>
    <n v="172"/>
    <s v="West Bound Visi-Data"/>
    <s v="23230"/>
    <n v="2017"/>
    <n v="5"/>
    <x v="22"/>
    <s v="CA"/>
    <s v="CA-MD 263"/>
    <s v="0-1.7(W)"/>
    <s v="MD"/>
    <s v="263"/>
    <s v=""/>
    <n v="0"/>
    <n v="1.7"/>
    <s v="W"/>
    <s v="SOLOMONS ISLAND RD"/>
    <s v="OLD PLUM POINT RD"/>
    <n v="2.2999999999999998"/>
    <n v="3.91"/>
    <s v="UNDIVIDED"/>
    <s v="RURAL"/>
    <s v="NON-IS"/>
    <n v="7"/>
    <s v="F"/>
    <n v="56.32"/>
    <n v="111.1"/>
    <n v="54.3"/>
    <n v="54.3"/>
    <n v="54.3"/>
    <n v="0.15"/>
    <n v="32"/>
    <n v="65.069999999999993"/>
    <n v="65.069999999999993"/>
    <n v="84.75"/>
    <n v="84.3"/>
    <n v="84.9"/>
    <n v="0.19"/>
    <n v="34"/>
    <n v="70.13"/>
    <n v="70.13"/>
    <n v="97.224999999999994"/>
    <n v="99.1"/>
    <n v="96.6"/>
    <n v="0.19"/>
    <n v="55"/>
    <x v="4"/>
    <m/>
    <s v="Preventive Maintenance"/>
    <n v="183180.75016677906"/>
    <n v="32325.249833220936"/>
    <n v="215506"/>
    <n v="47"/>
    <n v="35.5"/>
    <n v="35.200000000000003"/>
    <s v=""/>
    <s v=""/>
    <n v="35.200000000000003"/>
    <s v="B"/>
    <n v="50"/>
    <n v="46.4"/>
    <n v="42.4"/>
    <s v=""/>
    <s v=""/>
    <n v="42.4"/>
    <n v="7.1999999999999957"/>
    <n v="4"/>
    <n v="31.28"/>
    <n v="5.9659237821985966"/>
    <n v="23.326761988396512"/>
    <n v="9238.5732793604038"/>
    <n v="55116.624040920717"/>
    <n v="7.1"/>
    <n v="215506"/>
    <n v="215506"/>
    <n v="0"/>
    <s v=""/>
    <s v="1996"/>
    <s v="CA-MD 26301.7W"/>
  </r>
  <r>
    <s v="eGIS Link"/>
    <n v="389"/>
    <s v="NorthBound Visi-Data"/>
    <s v="23198"/>
    <n v="2017"/>
    <n v="5"/>
    <x v="22"/>
    <s v="CA"/>
    <s v="CA-MD 2AG"/>
    <s v="0-0.2(N)"/>
    <s v="MD"/>
    <s v="2"/>
    <s v="AG"/>
    <n v="0"/>
    <n v="0.2"/>
    <s v="N"/>
    <s v=""/>
    <s v=""/>
    <n v="1.8"/>
    <n v="0.36"/>
    <s v="UNDIVIDED"/>
    <s v="RURAL"/>
    <s v="NON-IS"/>
    <n v="19"/>
    <s v=""/>
    <n v="99.39"/>
    <n v="107.41"/>
    <s v=""/>
    <s v=""/>
    <s v=""/>
    <n v="0.15"/>
    <s v=""/>
    <n v="56.53"/>
    <n v="56.53"/>
    <n v="95.224999999999994"/>
    <n v="95"/>
    <n v="95.3"/>
    <n v="0.17"/>
    <n v="44"/>
    <n v="60.84"/>
    <n v="60.84"/>
    <n v="99.025000000000006"/>
    <n v="99.7"/>
    <n v="98.8"/>
    <n v="0.17"/>
    <n v="55"/>
    <x v="4"/>
    <m/>
    <s v="Preventive Maintenance"/>
    <n v="344221.47175155074"/>
    <n v="60743.528248449264"/>
    <n v="404965"/>
    <n v="35.200000000000003"/>
    <n v="20.9"/>
    <n v="20.399999999999999"/>
    <s v=""/>
    <s v=""/>
    <n v="20.399999999999999"/>
    <s v="C"/>
    <n v="36.9"/>
    <n v="26.2"/>
    <n v="25"/>
    <s v=""/>
    <s v=""/>
    <n v="25"/>
    <n v="4.6000000000000014"/>
    <n v="4"/>
    <n v="2.88"/>
    <n v="5.9659237821985966"/>
    <n v="2.1477325615914946"/>
    <n v="188554.66795172871"/>
    <n v="1124902.7777777778"/>
    <n v="4.5999999999999996"/>
    <n v="404965"/>
    <n v="404965"/>
    <n v="0"/>
    <s v=""/>
    <s v=""/>
    <s v="CA-MD 2AG00.2N"/>
  </r>
  <r>
    <s v="eGIS Link"/>
    <n v="350"/>
    <s v="SouthBound Visi-Data"/>
    <s v="23201"/>
    <n v="2017"/>
    <n v="5"/>
    <x v="22"/>
    <s v="CA"/>
    <s v="CA-MD 2D"/>
    <s v="0-0.18(S)"/>
    <s v="MD"/>
    <s v="2"/>
    <s v="D"/>
    <n v="0"/>
    <n v="0.18"/>
    <s v="S"/>
    <s v=""/>
    <s v=""/>
    <n v="2"/>
    <n v="0.36"/>
    <s v="UNDIVIDED"/>
    <s v="RURAL"/>
    <s v="NON-IS"/>
    <n v="9"/>
    <s v=""/>
    <n v="159.30000000000001"/>
    <n v="170.88"/>
    <s v=""/>
    <s v=""/>
    <s v=""/>
    <n v="0.24"/>
    <s v=""/>
    <n v="63.45"/>
    <n v="63.45"/>
    <n v="88.625"/>
    <n v="90.8"/>
    <n v="87.9"/>
    <n v="0.17"/>
    <n v="51"/>
    <n v="68.53"/>
    <n v="68.53"/>
    <n v="97.85"/>
    <n v="99.5"/>
    <n v="97.3"/>
    <n v="0.17"/>
    <n v="55"/>
    <x v="4"/>
    <m/>
    <s v="Preventive Maintenance"/>
    <n v="109779.58964270067"/>
    <n v="19372.410357299334"/>
    <n v="129152"/>
    <n v="31.6"/>
    <n v="17.8"/>
    <n v="15.2"/>
    <s v=""/>
    <s v=""/>
    <n v="15.2"/>
    <s v="D"/>
    <n v="32.799999999999997"/>
    <n v="26"/>
    <n v="23.1"/>
    <s v=""/>
    <s v=""/>
    <n v="23.1"/>
    <n v="7.9000000000000021"/>
    <n v="4"/>
    <n v="2.88"/>
    <n v="5.9659237821985966"/>
    <n v="2.1477325615914946"/>
    <n v="60134.116467600077"/>
    <n v="358755.55555555556"/>
    <n v="7.9"/>
    <n v="129152"/>
    <n v="129152"/>
    <n v="0"/>
    <s v=""/>
    <s v=""/>
    <s v="CA-MD 2D00.18S"/>
  </r>
  <r>
    <s v="eGIS Link"/>
    <n v="403"/>
    <s v="NorthBound Visi-Data"/>
    <s v="23249"/>
    <n v="2017"/>
    <n v="5"/>
    <x v="22"/>
    <s v="CA"/>
    <s v="CA-MD 765C"/>
    <s v="0-0.05(N)"/>
    <s v="MD"/>
    <s v="765"/>
    <s v="C"/>
    <n v="0"/>
    <n v="0.05"/>
    <s v="N"/>
    <s v=""/>
    <s v=""/>
    <n v="2"/>
    <n v="0.1"/>
    <s v="UNDIVIDED"/>
    <s v="URBAN"/>
    <s v="NON-IS"/>
    <n v="9"/>
    <s v=""/>
    <s v=""/>
    <s v=""/>
    <s v=""/>
    <s v=""/>
    <s v=""/>
    <s v=""/>
    <s v=""/>
    <n v="137.26"/>
    <n v="137.26"/>
    <n v="85.625"/>
    <n v="86.6"/>
    <n v="85.3"/>
    <n v="0.2"/>
    <n v="37"/>
    <n v="91.25"/>
    <n v="91.25"/>
    <n v="100"/>
    <n v="100"/>
    <n v="100"/>
    <n v="0.17"/>
    <n v="49"/>
    <x v="5"/>
    <m/>
    <s v="Preventive Maintenance"/>
    <n v="177982.51805737551"/>
    <n v="86440.481942624494"/>
    <n v="264423"/>
    <n v="19.2"/>
    <n v="18.399999999999999"/>
    <n v="18.399999999999999"/>
    <s v=""/>
    <s v=""/>
    <n v="18.399999999999999"/>
    <s v="D"/>
    <n v="30"/>
    <n v="33"/>
    <n v="29.7"/>
    <s v=""/>
    <s v=""/>
    <n v="29.7"/>
    <n v="11.3"/>
    <n v="4"/>
    <n v="1.1300000000000001"/>
    <n v="8.4268673423555178"/>
    <n v="0.84268673423555185"/>
    <n v="313785.6444837391"/>
    <n v="2644230"/>
    <n v="11.3"/>
    <n v="264423"/>
    <n v="264423"/>
    <n v="0"/>
    <s v=""/>
    <s v=""/>
    <s v="CA-MD 765C00.05N"/>
  </r>
  <r>
    <s v="eGIS Link"/>
    <n v="233"/>
    <s v="NorthBound Visi-Data"/>
    <s v="23242"/>
    <n v="2017"/>
    <n v="5"/>
    <x v="22"/>
    <s v="CA"/>
    <s v="CA-MD 760"/>
    <s v="3.07-4.65(N)"/>
    <s v="MD"/>
    <s v="760"/>
    <s v=""/>
    <n v="3.07"/>
    <n v="4.6500000000000004"/>
    <s v="N"/>
    <s v="SPUR TO MD 760"/>
    <s v="MYSTIC LA (AHEAD)"/>
    <n v="2.2000000000000002"/>
    <n v="3.48"/>
    <s v="UNDIVIDED"/>
    <s v="URBAN"/>
    <s v="NON-IS"/>
    <n v="16"/>
    <s v="F"/>
    <n v="142.44999999999999"/>
    <n v="124.59"/>
    <s v=""/>
    <s v=""/>
    <s v=""/>
    <n v="0.2"/>
    <n v="37"/>
    <n v="132.88999999999999"/>
    <n v="132.88999999999999"/>
    <n v="85.55"/>
    <n v="85.1"/>
    <n v="85.7"/>
    <n v="0.16"/>
    <n v="50"/>
    <n v="88.35"/>
    <n v="88.35"/>
    <n v="100"/>
    <n v="100"/>
    <n v="100"/>
    <n v="0.14000000000000001"/>
    <n v="49"/>
    <x v="5"/>
    <m/>
    <s v="Preventive Maintenance"/>
    <n v="237350.40993961942"/>
    <n v="115273.59006038058"/>
    <n v="352624"/>
    <n v="29"/>
    <n v="33"/>
    <n v="33.200000000000003"/>
    <s v=""/>
    <s v=""/>
    <n v="29"/>
    <s v="C"/>
    <n v="39.200000000000003"/>
    <n v="44.5"/>
    <n v="41.6"/>
    <s v=""/>
    <s v=""/>
    <n v="39.200000000000003"/>
    <n v="10.200000000000003"/>
    <n v="4"/>
    <n v="35.496000000000009"/>
    <n v="7.6065528223032128"/>
    <n v="26.470803821615181"/>
    <n v="13321.242617954009"/>
    <n v="101328.7356321839"/>
    <n v="10.199999999999999"/>
    <n v="352624"/>
    <n v="352624"/>
    <n v="0"/>
    <s v=""/>
    <s v="2010"/>
    <s v="CA-MD 7603.074.65N"/>
  </r>
  <r>
    <s v="eGIS Link"/>
    <n v="75"/>
    <s v="SouthBound Visi-Data"/>
    <s v="23193"/>
    <n v="2017"/>
    <n v="5"/>
    <x v="22"/>
    <s v="CA"/>
    <s v="CA-MD 2"/>
    <s v="19.05-21.6(S)"/>
    <s v="MD"/>
    <s v="2"/>
    <s v=""/>
    <n v="19.05"/>
    <n v="21.6"/>
    <s v="S"/>
    <s v="MAIN ST"/>
    <s v="SOUTH VIEW DR"/>
    <n v="2.7"/>
    <n v="6.89"/>
    <s v="DIVIDED"/>
    <s v="URBAN"/>
    <s v="NON-IS"/>
    <n v="2"/>
    <s v="FCJ"/>
    <n v="107.51"/>
    <n v="81.319999999999993"/>
    <n v="97.2"/>
    <n v="89.1"/>
    <n v="99.9"/>
    <n v="0.15"/>
    <n v="47"/>
    <n v="73.63"/>
    <n v="73.63"/>
    <n v="83.174999999999997"/>
    <n v="85.8"/>
    <n v="82.3"/>
    <n v="0.16"/>
    <n v="37"/>
    <n v="57.47"/>
    <n v="57.47"/>
    <n v="100"/>
    <n v="100"/>
    <n v="100"/>
    <n v="0.14000000000000001"/>
    <n v="49"/>
    <x v="5"/>
    <m/>
    <s v="Preventive Maintenance"/>
    <n v="202293.46145941046"/>
    <n v="98247.538540589536"/>
    <n v="300541"/>
    <n v="42.4"/>
    <n v="16.5"/>
    <n v="15.4"/>
    <s v=""/>
    <s v=""/>
    <n v="15.4"/>
    <s v="D"/>
    <n v="47.9"/>
    <n v="32.1"/>
    <n v="28.3"/>
    <s v=""/>
    <s v=""/>
    <n v="28.3"/>
    <n v="12.9"/>
    <n v="4"/>
    <n v="88.881"/>
    <n v="9.620052098795238"/>
    <n v="66.282158960699192"/>
    <n v="4534.2669085085226"/>
    <n v="43619.883889695215"/>
    <n v="12.9"/>
    <n v="300541"/>
    <n v="300541"/>
    <n v="0"/>
    <s v=""/>
    <s v="2002"/>
    <s v="CA-MD 219.0521.6S"/>
  </r>
  <r>
    <s v="eGIS Link"/>
    <n v="74"/>
    <s v="SouthBound Visi-Data"/>
    <s v="23247"/>
    <n v="2017"/>
    <n v="5"/>
    <x v="22"/>
    <s v="CA"/>
    <s v="CA-MD 765A"/>
    <s v="0-2.15(S)"/>
    <s v="MD"/>
    <s v="765"/>
    <s v="A"/>
    <n v="0"/>
    <n v="2.15"/>
    <s v="S"/>
    <s v="SOLOMONS ISLAND RD"/>
    <s v="SOLOMONS ISLAND RD"/>
    <n v="2.1"/>
    <n v="4.5199999999999996"/>
    <s v="UNDIVIDED"/>
    <s v="URBAN"/>
    <s v="NON-IS"/>
    <n v="8"/>
    <s v="FCJ"/>
    <n v="164.56"/>
    <n v="129.37"/>
    <n v="84.7"/>
    <n v="89.8"/>
    <n v="82.9"/>
    <n v="0.2"/>
    <n v="46"/>
    <n v="88.86"/>
    <n v="88.86"/>
    <n v="86.224999999999994"/>
    <n v="87.8"/>
    <n v="85.7"/>
    <n v="0.15"/>
    <n v="59"/>
    <n v="65.209999999999994"/>
    <n v="65.209999999999994"/>
    <n v="100"/>
    <n v="100"/>
    <n v="100"/>
    <n v="0.13"/>
    <n v="49"/>
    <x v="5"/>
    <m/>
    <s v="Preventive Maintenance"/>
    <n v="85189.9396626378"/>
    <n v="41374.0603373622"/>
    <n v="126564"/>
    <n v="45.2"/>
    <n v="34.9"/>
    <n v="33.200000000000003"/>
    <s v=""/>
    <s v=""/>
    <n v="33.200000000000003"/>
    <s v="B"/>
    <n v="49.6"/>
    <n v="44.5"/>
    <n v="41.6"/>
    <s v=""/>
    <s v=""/>
    <n v="41.6"/>
    <n v="8.3999999999999986"/>
    <n v="4"/>
    <n v="37.967999999999989"/>
    <n v="6.2642199713085258"/>
    <n v="28.314274270314534"/>
    <n v="4469.9715342057407"/>
    <n v="28000.884955752215"/>
    <n v="8.4"/>
    <n v="126564"/>
    <n v="126564"/>
    <n v="0"/>
    <s v=""/>
    <s v="2005"/>
    <s v="CA-MD 765A02.15S"/>
  </r>
  <r>
    <s v="eGIS Link"/>
    <n v="320"/>
    <s v="SouthBound Visi-Data"/>
    <s v="23269"/>
    <n v="2017"/>
    <n v="5"/>
    <x v="22"/>
    <s v="CA"/>
    <s v="CA-MD 765X"/>
    <s v="0-0.24(S)"/>
    <s v="MD"/>
    <s v="765"/>
    <s v="X"/>
    <n v="0"/>
    <n v="0.24"/>
    <s v="S"/>
    <s v=""/>
    <s v=""/>
    <n v="2"/>
    <n v="0.48"/>
    <s v="UNDIVIDED"/>
    <s v="URBAN"/>
    <s v="NON-IS"/>
    <n v="19"/>
    <s v=""/>
    <n v="185.17"/>
    <n v="192.27"/>
    <s v=""/>
    <s v=""/>
    <s v=""/>
    <n v="0.21"/>
    <s v=""/>
    <n v="96.55"/>
    <n v="96.55"/>
    <n v="82.15"/>
    <n v="87.1"/>
    <n v="80.5"/>
    <n v="0.15"/>
    <n v="46"/>
    <n v="69.36"/>
    <n v="69.36"/>
    <n v="100"/>
    <n v="100"/>
    <n v="100"/>
    <n v="0.13"/>
    <n v="49"/>
    <x v="5"/>
    <m/>
    <s v="Preventive Maintenance"/>
    <n v="92781.135733520743"/>
    <n v="45060.864266479257"/>
    <n v="137842"/>
    <n v="37"/>
    <n v="34.4"/>
    <n v="29.8"/>
    <s v=""/>
    <s v=""/>
    <n v="29.8"/>
    <s v="C"/>
    <n v="47.5"/>
    <n v="44.5"/>
    <n v="41.6"/>
    <s v=""/>
    <s v=""/>
    <n v="41.6"/>
    <n v="11.8"/>
    <n v="4"/>
    <n v="5.6639999999999997"/>
    <n v="8.7997375787429313"/>
    <n v="4.2238740377966071"/>
    <n v="32634.022408467838"/>
    <n v="287170.83333333337"/>
    <n v="11.8"/>
    <n v="137842"/>
    <n v="137842"/>
    <n v="0"/>
    <s v=""/>
    <s v=""/>
    <s v="CA-MD 765X00.24S"/>
  </r>
  <r>
    <s v="eGIS Link"/>
    <n v="358"/>
    <s v="SouthBound Visi-Data"/>
    <s v="23248"/>
    <n v="2017"/>
    <n v="5"/>
    <x v="22"/>
    <s v="CA"/>
    <s v="CA-MD 765B"/>
    <s v="0-0.13(S)"/>
    <s v="MD"/>
    <s v="765"/>
    <s v="B"/>
    <n v="0"/>
    <n v="0.13"/>
    <s v="S"/>
    <s v=""/>
    <s v=""/>
    <n v="2"/>
    <n v="0.26"/>
    <s v="UNDIVIDED"/>
    <s v="URBAN"/>
    <s v="NON-IS"/>
    <n v="19"/>
    <s v=""/>
    <n v="103.17"/>
    <n v="97.34"/>
    <s v=""/>
    <s v=""/>
    <s v=""/>
    <n v="0.15"/>
    <s v=""/>
    <n v="103.78"/>
    <n v="103.78"/>
    <n v="85.625"/>
    <n v="86.6"/>
    <n v="85.3"/>
    <n v="0.17"/>
    <n v="52"/>
    <n v="73.260000000000005"/>
    <n v="73.260000000000005"/>
    <n v="100"/>
    <n v="100"/>
    <n v="100"/>
    <n v="0.14000000000000001"/>
    <n v="49"/>
    <x v="5"/>
    <m/>
    <s v="Preventive Maintenance"/>
    <n v="105478.45109804778"/>
    <n v="51227.548901952221"/>
    <n v="156706"/>
    <n v="30.2"/>
    <n v="18.399999999999999"/>
    <n v="18.399999999999999"/>
    <s v=""/>
    <s v=""/>
    <n v="18.399999999999999"/>
    <s v="D"/>
    <n v="36.200000000000003"/>
    <n v="33"/>
    <n v="29.7"/>
    <s v=""/>
    <s v=""/>
    <n v="29.7"/>
    <n v="11.3"/>
    <n v="4"/>
    <n v="2.9380000000000002"/>
    <n v="8.4268673423555178"/>
    <n v="2.1909855090124348"/>
    <n v="71523.065467755514"/>
    <n v="602715.38461538462"/>
    <n v="11.3"/>
    <n v="156706"/>
    <n v="156706"/>
    <n v="0"/>
    <s v=""/>
    <s v=""/>
    <s v="CA-MD 765B00.13S"/>
  </r>
  <r>
    <s v="eGIS Link"/>
    <n v="359"/>
    <s v="SouthBound Visi-Data"/>
    <s v="23266"/>
    <n v="2017"/>
    <n v="5"/>
    <x v="22"/>
    <s v="CA"/>
    <s v="CA-MD 765U"/>
    <s v="0-0.11(S)"/>
    <s v="MD"/>
    <s v="765"/>
    <s v="U"/>
    <n v="0"/>
    <n v="0.11"/>
    <s v="S"/>
    <s v=""/>
    <s v=""/>
    <n v="2.2999999999999998"/>
    <n v="0.25"/>
    <s v="UNDIVIDED"/>
    <s v="URBAN"/>
    <s v="NON-IS"/>
    <n v="19"/>
    <s v=""/>
    <n v="126.45"/>
    <n v="125.66"/>
    <s v=""/>
    <s v=""/>
    <s v=""/>
    <n v="0.26"/>
    <s v=""/>
    <n v="106.85"/>
    <n v="106.85"/>
    <n v="85.55"/>
    <n v="85.1"/>
    <n v="85.7"/>
    <n v="0.24"/>
    <n v="44"/>
    <n v="74.33"/>
    <n v="74.33"/>
    <n v="100"/>
    <n v="100"/>
    <n v="100"/>
    <n v="0.2"/>
    <n v="49"/>
    <x v="5"/>
    <m/>
    <s v="Preventive Maintenance"/>
    <n v="78877.629257181135"/>
    <n v="38308.370742818865"/>
    <n v="117186"/>
    <n v="50"/>
    <n v="36.6"/>
    <n v="36.5"/>
    <s v=""/>
    <s v=""/>
    <n v="36.5"/>
    <s v="B"/>
    <n v="50"/>
    <n v="48"/>
    <n v="45"/>
    <s v=""/>
    <s v=""/>
    <n v="45"/>
    <n v="8.5"/>
    <n v="4"/>
    <n v="2.125"/>
    <n v="6.3387940185860092"/>
    <n v="1.5846985046465023"/>
    <n v="73948.451176295275"/>
    <n v="468744"/>
    <n v="8.4"/>
    <n v="117186"/>
    <n v="117186"/>
    <n v="0"/>
    <s v=""/>
    <s v=""/>
    <s v="CA-MD 765U00.11S"/>
  </r>
  <r>
    <s v="eGIS Link"/>
    <n v="361"/>
    <s v="NorthBound Visi-Data"/>
    <s v="23248"/>
    <n v="2017"/>
    <n v="5"/>
    <x v="22"/>
    <s v="CA"/>
    <s v="CA-MD 765B"/>
    <s v="0-0.13(N)"/>
    <s v="MD"/>
    <s v="765"/>
    <s v="B"/>
    <n v="0"/>
    <n v="0.13"/>
    <s v="N"/>
    <s v=""/>
    <s v=""/>
    <n v="2"/>
    <n v="0.26"/>
    <s v="UNDIVIDED"/>
    <s v="URBAN"/>
    <s v="NON-IS"/>
    <n v="19"/>
    <s v=""/>
    <n v="120.23"/>
    <n v="121.02"/>
    <s v=""/>
    <s v=""/>
    <s v=""/>
    <n v="0.13"/>
    <s v=""/>
    <n v="102.85"/>
    <n v="102.85"/>
    <n v="85.625"/>
    <n v="86.6"/>
    <n v="85.3"/>
    <n v="0.14000000000000001"/>
    <n v="55"/>
    <n v="72.77"/>
    <n v="72.77"/>
    <n v="100"/>
    <n v="100"/>
    <n v="100"/>
    <n v="0.12"/>
    <n v="49"/>
    <x v="5"/>
    <m/>
    <s v="Preventive Maintenance"/>
    <n v="111827.78187802994"/>
    <n v="54311.218121970058"/>
    <n v="166139"/>
    <n v="30.5"/>
    <n v="18.399999999999999"/>
    <n v="18.399999999999999"/>
    <s v=""/>
    <s v=""/>
    <n v="18.399999999999999"/>
    <s v="D"/>
    <n v="36.4"/>
    <n v="33"/>
    <n v="29.7"/>
    <s v=""/>
    <s v=""/>
    <n v="29.7"/>
    <n v="11.3"/>
    <n v="4"/>
    <n v="2.9380000000000002"/>
    <n v="8.4268673423555178"/>
    <n v="2.1909855090124348"/>
    <n v="75828.433970284692"/>
    <n v="638996.15384615387"/>
    <n v="11.3"/>
    <n v="166139"/>
    <n v="166139"/>
    <n v="0"/>
    <s v=""/>
    <s v=""/>
    <s v="CA-MD 765B00.13N"/>
  </r>
  <r>
    <s v="eGIS Link"/>
    <n v="348"/>
    <s v="NorthBound Visi-Data"/>
    <s v="23195"/>
    <n v="2017"/>
    <n v="5"/>
    <x v="22"/>
    <s v="CA"/>
    <s v="CA-MD 2AC"/>
    <s v="0-0.39(N)"/>
    <s v="MD"/>
    <s v="2"/>
    <s v="AC"/>
    <n v="0"/>
    <n v="0.39"/>
    <s v="N"/>
    <s v=""/>
    <s v=""/>
    <n v="2"/>
    <n v="0.78"/>
    <s v="UNDIVIDED"/>
    <s v="URBAN"/>
    <s v="NON-IS"/>
    <n v="19"/>
    <s v=""/>
    <n v="104.42"/>
    <n v="100.75"/>
    <s v=""/>
    <s v=""/>
    <s v=""/>
    <n v="0.15"/>
    <s v=""/>
    <n v="73.17"/>
    <n v="73.17"/>
    <n v="92.474999999999994"/>
    <n v="90.9"/>
    <n v="93"/>
    <n v="0.15"/>
    <n v="34"/>
    <n v="57.68"/>
    <n v="57.68"/>
    <n v="100"/>
    <n v="100"/>
    <n v="100"/>
    <n v="0.13"/>
    <n v="49"/>
    <x v="5"/>
    <m/>
    <s v="Preventive Maintenance"/>
    <n v="176855.75247636309"/>
    <n v="85893.247523636906"/>
    <n v="262749"/>
    <n v="29.9"/>
    <n v="43.9"/>
    <n v="25.6"/>
    <s v=""/>
    <s v=""/>
    <n v="25.6"/>
    <s v="C"/>
    <n v="33.799999999999997"/>
    <n v="50"/>
    <n v="32.9"/>
    <s v=""/>
    <s v=""/>
    <n v="32.9"/>
    <n v="7.2999999999999972"/>
    <n v="4"/>
    <n v="6.24"/>
    <n v="5.9659237821985966"/>
    <n v="4.6534205501149053"/>
    <n v="56463.626523829233"/>
    <n v="336857.69230769231"/>
    <n v="7.4"/>
    <n v="262749"/>
    <n v="262749"/>
    <n v="0"/>
    <s v=""/>
    <s v=""/>
    <s v="CA-MD 2AC00.39N"/>
  </r>
  <r>
    <s v="eGIS Link"/>
    <n v="27"/>
    <s v="NorthBound Visi-Data"/>
    <s v="23227"/>
    <n v="2017"/>
    <n v="5"/>
    <x v="4"/>
    <s v="CA"/>
    <s v="CA-MD 261"/>
    <s v="6.579-7.45(N)"/>
    <s v="MD"/>
    <s v="261"/>
    <s v=""/>
    <n v="6.5789999999999997"/>
    <n v="7.45"/>
    <s v="N"/>
    <s v="OUT CORP LMTS CHESAPEAKE BEACH"/>
    <s v="OUT CORP LMTS NORTH BEACH"/>
    <n v="2"/>
    <n v="1.74"/>
    <s v="UNDIVIDED"/>
    <s v="URBAN"/>
    <s v="NON-IS"/>
    <n v="16"/>
    <s v="F"/>
    <n v="157.11000000000001"/>
    <n v="136.99"/>
    <s v=""/>
    <s v=""/>
    <s v=""/>
    <n v="0.14000000000000001"/>
    <n v="39"/>
    <n v="59.99"/>
    <n v="59.99"/>
    <n v="97.35"/>
    <n v="97.8"/>
    <n v="97.2"/>
    <n v="0.16"/>
    <n v="49"/>
    <n v="60.88"/>
    <n v="60.88"/>
    <n v="97.45"/>
    <n v="98.2"/>
    <n v="97.2"/>
    <n v="0.16"/>
    <n v="47"/>
    <x v="0"/>
    <m/>
    <s v="Preventive Maintenance"/>
    <n v="2520.7509563270642"/>
    <n v="1224.2490436729358"/>
    <n v="3745"/>
    <n v="0"/>
    <n v="0"/>
    <n v="0"/>
    <n v="0"/>
    <n v="0"/>
    <n v="0"/>
    <s v="F"/>
    <n v="0"/>
    <n v="0"/>
    <n v="0"/>
    <n v="0"/>
    <n v="0"/>
    <n v="0"/>
    <n v="1"/>
    <n v="1"/>
    <n v="3.48"/>
    <n v="1.4914809455496492"/>
    <n v="2.5951768452563897"/>
    <n v="1443.0615805028169"/>
    <n v="2152.2988505747126"/>
    <n v="100"/>
    <n v="3745"/>
    <n v="3745"/>
    <n v="0"/>
    <s v=""/>
    <s v="1999"/>
    <s v="CA-MD 2616.5797.45N"/>
  </r>
  <r>
    <s v="eGIS Link"/>
    <n v="411"/>
    <s v="NorthBound Visi-Data"/>
    <s v="23494"/>
    <n v="2017"/>
    <n v="5"/>
    <x v="4"/>
    <s v="CA"/>
    <s v="CA-MD 260 RP8-6"/>
    <s v="0-0.08(N)"/>
    <s v="MD"/>
    <s v="260"/>
    <s v=""/>
    <n v="0"/>
    <n v="0.08"/>
    <s v="N"/>
    <s v=""/>
    <s v=""/>
    <s v=""/>
    <n v="0.16"/>
    <s v="UNDIVIDED"/>
    <s v="RURAL"/>
    <s v="NON-IS"/>
    <n v="6"/>
    <s v=""/>
    <s v=""/>
    <s v=""/>
    <s v=""/>
    <s v=""/>
    <s v=""/>
    <s v=""/>
    <s v=""/>
    <n v="65.53"/>
    <n v="65.53"/>
    <n v="94.075000000000003"/>
    <n v="94"/>
    <n v="94.1"/>
    <n v="0.15"/>
    <n v="41"/>
    <n v="70.84"/>
    <n v="70.84"/>
    <n v="98.85"/>
    <n v="99.6"/>
    <n v="98.6"/>
    <n v="0.15"/>
    <n v="55"/>
    <x v="4"/>
    <m/>
    <s v="Preventive Maintenance"/>
    <n v="300587.41688040359"/>
    <n v="53043.583119596413"/>
    <n v="353631"/>
    <n v="30.6"/>
    <n v="20.100000000000001"/>
    <n v="19.399999999999999"/>
    <s v=""/>
    <s v=""/>
    <n v="19.399999999999999"/>
    <s v="D"/>
    <n v="31.7"/>
    <n v="26.2"/>
    <n v="24.6"/>
    <s v=""/>
    <s v=""/>
    <n v="24.6"/>
    <n v="5.2000000000000028"/>
    <n v="4"/>
    <n v="1.28"/>
    <n v="5.9659237821985966"/>
    <n v="0.95454780515177551"/>
    <n v="370469.65913223359"/>
    <n v="2210193.75"/>
    <n v="5.2"/>
    <n v="353631"/>
    <n v="353631"/>
    <n v="0"/>
    <s v=""/>
    <s v=""/>
    <s v="CA-MD 260 RP8-600.08N"/>
  </r>
  <r>
    <s v="eGIS Link"/>
    <n v="14"/>
    <s v="EastBound Visi-Data"/>
    <s v="72596"/>
    <n v="2017"/>
    <n v="6"/>
    <x v="23"/>
    <s v="WA"/>
    <s v="WA-IS 68"/>
    <s v="0-1.54(E)"/>
    <s v="IS"/>
    <s v="68"/>
    <s v=""/>
    <n v="0"/>
    <n v="1.54"/>
    <s v="E"/>
    <s v="ALLEGANY CO/L"/>
    <s v="EXIT #74"/>
    <n v="3.1"/>
    <n v="4.7699999999999996"/>
    <s v="DIVIDED"/>
    <s v="URBAN"/>
    <s v="IS"/>
    <n v="1"/>
    <s v="F"/>
    <n v="93.25"/>
    <n v="90.01"/>
    <n v="87.5"/>
    <n v="74.099999999999994"/>
    <n v="91.9"/>
    <n v="0.17"/>
    <n v="46"/>
    <n v="85.33"/>
    <n v="85.33"/>
    <n v="96.45"/>
    <n v="96.3"/>
    <n v="96.5"/>
    <n v="0.21"/>
    <n v="51"/>
    <n v="88.35"/>
    <n v="88.35"/>
    <n v="95.3"/>
    <n v="96.2"/>
    <n v="95"/>
    <n v="0.21"/>
    <n v="49"/>
    <x v="0"/>
    <m/>
    <s v="Preventive Maintenance"/>
    <n v="4173.7986339348909"/>
    <n v="2502.2013660651091"/>
    <n v="6676"/>
    <n v="37.200000000000003"/>
    <n v="27.1"/>
    <n v="23.3"/>
    <s v=""/>
    <s v=""/>
    <n v="23.3"/>
    <s v="C"/>
    <n v="36.9"/>
    <n v="28"/>
    <n v="23.3"/>
    <s v=""/>
    <s v=""/>
    <n v="23.3"/>
    <n v="1"/>
    <n v="1"/>
    <n v="9.5399999999999991"/>
    <n v="1.4914809455496492"/>
    <n v="7.1143641102718256"/>
    <n v="938.38323376801748"/>
    <n v="1399.5807127882601"/>
    <n v="0"/>
    <n v="6676"/>
    <n v="6676"/>
    <n v="0"/>
    <s v=""/>
    <s v="1996"/>
    <s v="WA-IS 6801.54E"/>
  </r>
  <r>
    <s v="eGIS Link"/>
    <n v="49"/>
    <s v="EastBound Visi-Data"/>
    <s v="72603"/>
    <n v="2017"/>
    <n v="6"/>
    <x v="23"/>
    <s v="WA"/>
    <s v="WA-MD 60"/>
    <s v="4.89-5.35(E)"/>
    <s v="MD"/>
    <s v="60"/>
    <s v=""/>
    <n v="4.8899999999999997"/>
    <n v="5.35"/>
    <s v="E"/>
    <s v="LEITER ST"/>
    <s v="RINGGOLD PIKE"/>
    <n v="2.5"/>
    <n v="1.1499999999999999"/>
    <s v="UNDIVIDED"/>
    <s v="RURAL"/>
    <s v="NON-IS"/>
    <n v="6"/>
    <s v="F"/>
    <n v="127.21"/>
    <n v="144.32"/>
    <n v="64.2"/>
    <n v="76.3"/>
    <n v="60.1"/>
    <n v="0.16"/>
    <n v="53"/>
    <n v="93.4"/>
    <n v="93.4"/>
    <n v="85.9"/>
    <n v="85.6"/>
    <n v="86"/>
    <n v="7.0000000000000007E-2"/>
    <n v="48"/>
    <n v="97.88"/>
    <n v="97.88"/>
    <n v="85.275000000000006"/>
    <n v="87.6"/>
    <n v="84.5"/>
    <n v="7.0000000000000007E-2"/>
    <n v="46"/>
    <x v="0"/>
    <m/>
    <s v="Preventive Maintenance"/>
    <n v="3082.9484240160687"/>
    <n v="2138.0515759839313"/>
    <n v="5221"/>
    <n v="25.2"/>
    <n v="48.7"/>
    <n v="41.5"/>
    <s v=""/>
    <s v=""/>
    <n v="25.2"/>
    <s v="C"/>
    <n v="25"/>
    <n v="50"/>
    <n v="41.5"/>
    <s v=""/>
    <s v=""/>
    <n v="25"/>
    <n v="1"/>
    <n v="1"/>
    <n v="2.2999999999999998"/>
    <n v="1.4914809455496492"/>
    <n v="1.7152030873820965"/>
    <n v="3043.9544089025508"/>
    <n v="4540"/>
    <n v="-0.1"/>
    <n v="5221"/>
    <n v="5221"/>
    <n v="0"/>
    <s v=""/>
    <s v="2012"/>
    <s v="WA-MD 604.895.35E"/>
  </r>
  <r>
    <s v="eGIS Link"/>
    <n v="4"/>
    <s v="SouthBound Visi-Data"/>
    <s v="72601"/>
    <n v="2017"/>
    <n v="6"/>
    <x v="23"/>
    <s v="WA"/>
    <s v="WA-MD 57"/>
    <s v="0-1.85(S)"/>
    <s v="MD"/>
    <s v="57"/>
    <s v=""/>
    <n v="0"/>
    <n v="1.85"/>
    <s v="S"/>
    <s v="NATIONAL PIKE"/>
    <s v="BROADFORDING RD"/>
    <n v="2"/>
    <n v="3.7"/>
    <s v="UNDIVIDED"/>
    <s v="RURAL"/>
    <s v="NON-IS"/>
    <n v="8"/>
    <s v="F"/>
    <n v="100.79"/>
    <n v="91.18"/>
    <s v=""/>
    <s v=""/>
    <s v=""/>
    <n v="0.11"/>
    <n v="45"/>
    <n v="80.05"/>
    <n v="80.05"/>
    <n v="89.2"/>
    <n v="96.1"/>
    <n v="86.9"/>
    <n v="0.22"/>
    <n v="55"/>
    <n v="82.66"/>
    <n v="82.66"/>
    <n v="87.525000000000006"/>
    <n v="96"/>
    <n v="84.7"/>
    <n v="0.22"/>
    <n v="53"/>
    <x v="0"/>
    <m/>
    <s v="Preventive Maintenance"/>
    <n v="1413.6331214507697"/>
    <n v="980.36687854923025"/>
    <n v="2394"/>
    <n v="48.3"/>
    <n v="24"/>
    <n v="14.6"/>
    <s v=""/>
    <s v=""/>
    <n v="14.6"/>
    <s v="D"/>
    <n v="48"/>
    <n v="25"/>
    <n v="14.6"/>
    <s v=""/>
    <s v=""/>
    <n v="14.6"/>
    <n v="1"/>
    <n v="1"/>
    <n v="7.4"/>
    <n v="1.4914809455496492"/>
    <n v="5.5184794985337025"/>
    <n v="433.81514792908121"/>
    <n v="647.02702702702697"/>
    <n v="0"/>
    <n v="2394"/>
    <n v="2394"/>
    <n v="0"/>
    <s v=""/>
    <s v="1999"/>
    <s v="WA-MD 5701.85S"/>
  </r>
  <r>
    <s v="eGIS Link"/>
    <n v="57"/>
    <s v="EastBound Visi-Data"/>
    <s v="72618"/>
    <n v="2017"/>
    <n v="6"/>
    <x v="23"/>
    <s v="WA"/>
    <s v="WA-MD 68"/>
    <s v="3.57-6.78(E)"/>
    <s v="MD"/>
    <s v="68"/>
    <s v=""/>
    <n v="3.57"/>
    <n v="6.78"/>
    <s v="E"/>
    <s v="SPEED LIMIT 30 MPH"/>
    <s v="R/R #CSX 832 401 X"/>
    <n v="2"/>
    <n v="6.42"/>
    <s v="UNDIVIDED"/>
    <s v="URBAN"/>
    <s v="NON-IS"/>
    <n v="7"/>
    <s v="F"/>
    <n v="120.22"/>
    <n v="130.87"/>
    <n v="99.7"/>
    <n v="99.6"/>
    <n v="99.7"/>
    <n v="0.14000000000000001"/>
    <n v="43"/>
    <n v="177.15"/>
    <n v="177.15"/>
    <n v="85.65"/>
    <n v="90.6"/>
    <n v="84"/>
    <n v="0.18"/>
    <n v="37"/>
    <n v="84.25"/>
    <n v="84.25"/>
    <n v="100"/>
    <n v="100"/>
    <n v="100"/>
    <n v="0.08"/>
    <n v="49"/>
    <x v="1"/>
    <m/>
    <s v="Minor Rehabilitation"/>
    <n v="207714.6282412415"/>
    <n v="124525.3717587585"/>
    <n v="332240"/>
    <n v="16"/>
    <n v="30.1"/>
    <n v="25.2"/>
    <s v=""/>
    <s v=""/>
    <n v="16"/>
    <s v="D"/>
    <n v="44.5"/>
    <n v="36.9"/>
    <n v="36.1"/>
    <s v=""/>
    <s v=""/>
    <n v="36.1"/>
    <n v="20.100000000000001"/>
    <n v="6"/>
    <n v="129.042"/>
    <n v="14.989383502773975"/>
    <n v="96.231842087808928"/>
    <n v="3452.495481660219"/>
    <n v="51750.778816199374"/>
    <n v="20.2"/>
    <n v="332240"/>
    <n v="332240"/>
    <n v="0"/>
    <s v=""/>
    <s v="2008"/>
    <s v="WA-MD 683.576.78E"/>
  </r>
  <r>
    <s v="eGIS Link"/>
    <n v="50"/>
    <s v="NorthBound Visi-Data"/>
    <s v="72611"/>
    <n v="2017"/>
    <n v="6"/>
    <x v="23"/>
    <s v="WA"/>
    <s v="WA-MD 67"/>
    <s v="0-5.1(N)"/>
    <s v="MD"/>
    <s v="67"/>
    <s v=""/>
    <n v="0"/>
    <n v="5.0999999999999996"/>
    <s v="N"/>
    <s v="STRUC #21138"/>
    <s v="GAPLAND RD"/>
    <n v="2"/>
    <n v="10.199999999999999"/>
    <s v="UNDIVIDED"/>
    <s v="RURAL"/>
    <s v="NON-IS"/>
    <n v="6"/>
    <s v="F"/>
    <n v="86.05"/>
    <n v="90.1"/>
    <n v="99.6"/>
    <n v="98.5"/>
    <n v="100"/>
    <n v="0.13"/>
    <n v="55"/>
    <n v="173.88"/>
    <n v="173.88"/>
    <n v="82.775000000000006"/>
    <n v="90.5"/>
    <n v="80.2"/>
    <n v="0.2"/>
    <n v="58"/>
    <n v="63.04"/>
    <n v="63.04"/>
    <n v="100"/>
    <n v="100"/>
    <n v="100"/>
    <n v="0.08"/>
    <n v="49"/>
    <x v="2"/>
    <m/>
    <s v="Structural Overlay"/>
    <n v="327502.89244658267"/>
    <n v="227126.10755341733"/>
    <n v="554629"/>
    <n v="16.399999999999999"/>
    <n v="50"/>
    <n v="23.8"/>
    <s v=""/>
    <s v=""/>
    <n v="16.399999999999999"/>
    <s v="D"/>
    <n v="50"/>
    <n v="50"/>
    <n v="39.1"/>
    <s v=""/>
    <s v=""/>
    <n v="39.1"/>
    <n v="22.700000000000003"/>
    <n v="6"/>
    <n v="231.54000000000002"/>
    <n v="16.928308731988519"/>
    <n v="172.66874906628288"/>
    <n v="3212.0983269942662"/>
    <n v="54375.392156862748"/>
    <n v="22.7"/>
    <n v="554629"/>
    <n v="554629"/>
    <n v="0"/>
    <s v=""/>
    <s v="2006"/>
    <s v="WA-MD 6705.1N"/>
  </r>
  <r>
    <s v="eGIS Link"/>
    <n v="207"/>
    <s v="West Bound Visi-Data"/>
    <s v="72619"/>
    <n v="2017"/>
    <n v="6"/>
    <x v="23"/>
    <s v="WA"/>
    <s v="WA-MD 77"/>
    <s v="0-2.07(W)"/>
    <s v="MD"/>
    <s v="77"/>
    <s v=""/>
    <n v="0"/>
    <n v="2.0699999999999998"/>
    <s v="W"/>
    <s v="LEITERSBURG SMITHSBURG RD (BACK)"/>
    <s v="HOPKINS LA"/>
    <n v="2"/>
    <n v="4.1399999999999997"/>
    <s v="UNDIVIDED"/>
    <s v="RURAL"/>
    <s v="NON-IS"/>
    <n v="7"/>
    <s v="F"/>
    <n v="121.04"/>
    <n v="107.46"/>
    <s v=""/>
    <s v=""/>
    <s v=""/>
    <n v="0.15"/>
    <n v="52"/>
    <n v="212.54"/>
    <n v="212.54"/>
    <n v="55.15"/>
    <n v="80.5"/>
    <n v="46.7"/>
    <n v="0.17"/>
    <n v="29"/>
    <n v="71.64"/>
    <n v="71.64"/>
    <n v="100"/>
    <n v="100"/>
    <n v="100"/>
    <n v="0.08"/>
    <n v="49"/>
    <x v="2"/>
    <m/>
    <s v="Structural Overlay"/>
    <n v="852546.54661028157"/>
    <n v="591248.45338971843"/>
    <n v="1443795"/>
    <n v="7"/>
    <n v="13.2"/>
    <n v="0"/>
    <s v=""/>
    <s v=""/>
    <n v="0"/>
    <s v="F"/>
    <n v="50"/>
    <n v="50"/>
    <n v="39.1"/>
    <s v=""/>
    <s v=""/>
    <n v="39.1"/>
    <n v="39.1"/>
    <n v="6"/>
    <n v="161.874"/>
    <n v="29.158452485495644"/>
    <n v="120.71599328995195"/>
    <n v="11960.262767602786"/>
    <n v="348742.75362318842"/>
    <n v="39.1"/>
    <n v="1443795"/>
    <n v="1443795"/>
    <n v="0"/>
    <s v=""/>
    <s v="2005"/>
    <s v="WA-MD 7702.07W"/>
  </r>
  <r>
    <s v="eGIS Link"/>
    <n v="410"/>
    <s v="NorthBound Visi-Data"/>
    <s v="72642"/>
    <n v="2017"/>
    <n v="6"/>
    <x v="23"/>
    <s v="WA"/>
    <s v="WA-MD 858A"/>
    <s v="0-0.02(N)"/>
    <s v="MD"/>
    <s v="858"/>
    <s v="A"/>
    <n v="0"/>
    <n v="0.02"/>
    <s v="N"/>
    <s v=""/>
    <s v=""/>
    <n v="2"/>
    <n v="0.04"/>
    <s v="UNDIVIDED"/>
    <s v="RURAL"/>
    <s v="NON-IS"/>
    <n v="9"/>
    <s v=""/>
    <s v=""/>
    <s v=""/>
    <s v=""/>
    <s v=""/>
    <s v=""/>
    <s v=""/>
    <s v=""/>
    <n v="100.88"/>
    <n v="100.88"/>
    <n v="94.375"/>
    <n v="95.8"/>
    <n v="93.9"/>
    <n v="0.12"/>
    <n v="47"/>
    <n v="108.92"/>
    <n v="108.92"/>
    <n v="98.8"/>
    <n v="99.7"/>
    <n v="98.5"/>
    <n v="0.12"/>
    <n v="55"/>
    <x v="4"/>
    <m/>
    <s v="Preventive Maintenance"/>
    <n v="51829.081023015213"/>
    <n v="35943.918976984787"/>
    <n v="87773"/>
    <n v="35.6"/>
    <n v="23.7"/>
    <n v="18.5"/>
    <s v=""/>
    <s v=""/>
    <n v="18.5"/>
    <s v="D"/>
    <n v="36.6"/>
    <n v="29.7"/>
    <n v="23.8"/>
    <s v=""/>
    <s v=""/>
    <n v="23.8"/>
    <n v="5.3000000000000007"/>
    <n v="4"/>
    <n v="0.32"/>
    <n v="5.9659237821985966"/>
    <n v="0.23863695128794388"/>
    <n v="367809.76092043443"/>
    <n v="2194325"/>
    <n v="5.3"/>
    <n v="87773"/>
    <n v="87773"/>
    <n v="0"/>
    <s v=""/>
    <s v=""/>
    <s v="WA-MD 858A00.02N"/>
  </r>
  <r>
    <s v="eGIS Link"/>
    <n v="341"/>
    <s v="EastBound Visi-Data"/>
    <s v="72958"/>
    <n v="2017"/>
    <n v="6"/>
    <x v="23"/>
    <s v="WA"/>
    <s v="WA-IS 68 RP4-77"/>
    <s v="0-0.29(E)"/>
    <s v="IS"/>
    <s v="68"/>
    <s v=""/>
    <n v="0"/>
    <n v="0.28999999999999998"/>
    <s v="E"/>
    <s v=""/>
    <s v=""/>
    <s v=""/>
    <n v="0.57999999999999996"/>
    <s v=""/>
    <s v="RURAL"/>
    <s v="IS"/>
    <n v="1"/>
    <s v=""/>
    <s v=""/>
    <s v=""/>
    <s v=""/>
    <s v=""/>
    <s v=""/>
    <s v=""/>
    <n v="54"/>
    <n v="98.09"/>
    <n v="98.09"/>
    <n v="77.400000000000006"/>
    <n v="70.5"/>
    <n v="79.7"/>
    <n v="7.0000000000000007E-2"/>
    <n v="59"/>
    <n v="106.86"/>
    <n v="106.86"/>
    <n v="96.224999999999994"/>
    <n v="98.4"/>
    <n v="95.5"/>
    <n v="7.0000000000000007E-2"/>
    <n v="55"/>
    <x v="4"/>
    <m/>
    <s v="Preventive Maintenance"/>
    <n v="101414.29994848951"/>
    <n v="70331.700051510488"/>
    <n v="171746"/>
    <n v="16.2"/>
    <n v="17.600000000000001"/>
    <n v="12.2"/>
    <s v=""/>
    <s v=""/>
    <n v="12.2"/>
    <s v="D"/>
    <n v="13.9"/>
    <n v="31"/>
    <n v="15.8"/>
    <s v=""/>
    <s v=""/>
    <n v="13.9"/>
    <n v="4"/>
    <n v="4"/>
    <n v="4.6399999999999997"/>
    <n v="5.9659237821985966"/>
    <n v="3.460235793675186"/>
    <n v="49634.189760688278"/>
    <n v="296113.79310344829"/>
    <n v="1.7"/>
    <n v="171746"/>
    <n v="171746"/>
    <n v="0"/>
    <s v=""/>
    <s v=""/>
    <s v="WA-IS 68 RP4-7700.29E"/>
  </r>
  <r>
    <s v="eGIS Link"/>
    <n v="370"/>
    <s v="West Bound Visi-Data"/>
    <s v="72618"/>
    <n v="2017"/>
    <n v="6"/>
    <x v="23"/>
    <s v="WA"/>
    <s v="WA-MD 68"/>
    <s v="13.35-14.46(W)"/>
    <s v="MD"/>
    <s v="68"/>
    <s v=""/>
    <n v="13.35"/>
    <n v="14.46"/>
    <s v="W"/>
    <s v="SHARPSBURG PIKE"/>
    <s v="BREATHEDSVILLE RD"/>
    <n v="2.1"/>
    <n v="2.33"/>
    <s v="UNDIVIDED"/>
    <s v="RURAL"/>
    <s v="NON-IS"/>
    <n v="16"/>
    <s v="F"/>
    <n v="156.82"/>
    <n v="157.66999999999999"/>
    <s v=""/>
    <s v=""/>
    <s v=""/>
    <n v="0.12"/>
    <n v="33"/>
    <n v="80.56"/>
    <n v="80.56"/>
    <n v="75.45"/>
    <n v="81.900000000000006"/>
    <n v="73.3"/>
    <n v="0.16"/>
    <n v="51"/>
    <n v="59.49"/>
    <n v="59.49"/>
    <n v="100"/>
    <n v="100"/>
    <n v="100"/>
    <n v="0.16"/>
    <n v="49"/>
    <x v="8"/>
    <m/>
    <s v="Minor Rehabilitation"/>
    <n v="1411466.6135465915"/>
    <n v="978864.38645340852"/>
    <n v="2390331"/>
    <n v="43.5"/>
    <n v="36.200000000000003"/>
    <n v="36.700000000000003"/>
    <s v=""/>
    <s v=""/>
    <n v="36.200000000000003"/>
    <s v="B"/>
    <n v="50"/>
    <n v="49.8"/>
    <n v="50"/>
    <s v=""/>
    <s v=""/>
    <n v="49.8"/>
    <n v="13.599999999999994"/>
    <n v="4"/>
    <n v="31.687999999999988"/>
    <n v="10.142070429737611"/>
    <n v="23.631024101288634"/>
    <n v="101152.2390969781"/>
    <n v="1025893.1330472103"/>
    <n v="13.6"/>
    <n v="2390331"/>
    <n v="2390331"/>
    <n v="0"/>
    <s v=""/>
    <s v="1998"/>
    <s v="WA-MD 6813.3514.46W"/>
  </r>
  <r>
    <s v="eGIS Link"/>
    <n v="28"/>
    <s v="NorthBound Visi-Data"/>
    <s v="72611"/>
    <n v="2017"/>
    <n v="6"/>
    <x v="23"/>
    <s v="WA"/>
    <s v="WA-MD 67"/>
    <s v="5.1-12.2(N)"/>
    <s v="MD"/>
    <s v="67"/>
    <s v=""/>
    <n v="5.0999999999999996"/>
    <n v="12.2"/>
    <s v="N"/>
    <s v="GAPLAND RD"/>
    <s v="BOONSBORO PIKE"/>
    <n v="2.5"/>
    <n v="17.75"/>
    <s v="UNDIVIDED"/>
    <s v="RURAL"/>
    <s v="NON-IS"/>
    <n v="6"/>
    <s v="F"/>
    <n v="75.27"/>
    <n v="80.19"/>
    <n v="80.599999999999994"/>
    <n v="90"/>
    <n v="77.5"/>
    <n v="0.16"/>
    <n v="51"/>
    <n v="155.16999999999999"/>
    <n v="155.16999999999999"/>
    <n v="70.825000000000003"/>
    <n v="71.5"/>
    <n v="70.599999999999994"/>
    <n v="0.21"/>
    <n v="60"/>
    <n v="80.66"/>
    <n v="80.66"/>
    <n v="100"/>
    <n v="100"/>
    <n v="100"/>
    <n v="0.12"/>
    <n v="49"/>
    <x v="9"/>
    <m/>
    <s v="Structural Overlay"/>
    <n v="241382.28416291144"/>
    <n v="167400.71583708856"/>
    <n v="408783"/>
    <n v="21"/>
    <n v="38.1"/>
    <n v="18.3"/>
    <s v=""/>
    <s v=""/>
    <n v="18.3"/>
    <s v="D"/>
    <n v="43.4"/>
    <n v="50"/>
    <n v="39.1"/>
    <s v=""/>
    <s v=""/>
    <n v="39.1"/>
    <n v="20.8"/>
    <n v="4"/>
    <n v="369.2"/>
    <n v="15.51140183371635"/>
    <n v="275.32738254846521"/>
    <n v="1484.7161085695604"/>
    <n v="23030.028169014084"/>
    <n v="20.7"/>
    <n v="408783"/>
    <n v="408783"/>
    <n v="0"/>
    <s v=""/>
    <s v="2001"/>
    <s v="WA-MD 675.112.2N"/>
  </r>
  <r>
    <s v="eGIS Link"/>
    <n v="241"/>
    <s v="West Bound Visi-Data"/>
    <s v="72631"/>
    <n v="2017"/>
    <n v="6"/>
    <x v="23"/>
    <s v="WA"/>
    <s v="WA-MD 804B"/>
    <s v="0-0.79(W)"/>
    <s v="MD"/>
    <s v="804"/>
    <s v="B"/>
    <n v="0"/>
    <n v="0.79"/>
    <s v="W"/>
    <s v="JEFFERSON BLVD"/>
    <s v="JEFFERSON BLVD"/>
    <n v="2"/>
    <n v="1.58"/>
    <s v="UNDIVIDED"/>
    <s v="RURAL"/>
    <s v="NON-IS"/>
    <n v="19"/>
    <s v="F"/>
    <s v=""/>
    <s v=""/>
    <s v=""/>
    <s v=""/>
    <s v=""/>
    <s v=""/>
    <s v=""/>
    <n v="162.71"/>
    <n v="162.71"/>
    <n v="82.85"/>
    <n v="92.9"/>
    <n v="79.5"/>
    <n v="0.17"/>
    <n v="39"/>
    <n v="104.6"/>
    <n v="104.6"/>
    <n v="100"/>
    <n v="100"/>
    <n v="100"/>
    <n v="0.14000000000000001"/>
    <n v="49"/>
    <x v="5"/>
    <m/>
    <s v="Preventive Maintenance"/>
    <n v="159827.93524773594"/>
    <n v="110842.06475226406"/>
    <n v="270670"/>
    <n v="16.7"/>
    <n v="21.1"/>
    <n v="11.4"/>
    <s v=""/>
    <s v=""/>
    <n v="11.4"/>
    <s v="D"/>
    <n v="32.4"/>
    <n v="30.2"/>
    <n v="27.1"/>
    <s v=""/>
    <s v=""/>
    <n v="27.1"/>
    <n v="15.700000000000001"/>
    <n v="4"/>
    <n v="24.806000000000004"/>
    <n v="11.708125422564747"/>
    <n v="18.498838167652302"/>
    <n v="14631.72970902047"/>
    <n v="171310.12658227846"/>
    <n v="15.7"/>
    <n v="270670"/>
    <n v="270670"/>
    <n v="0"/>
    <s v=""/>
    <s v="1957"/>
    <s v="WA-MD 804B00.79W"/>
  </r>
  <r>
    <s v="eGIS Link"/>
    <n v="377"/>
    <s v="West Bound Visi-Data"/>
    <s v="72964"/>
    <n v="2017"/>
    <n v="6"/>
    <x v="23"/>
    <s v="WA"/>
    <s v="WA-IS 68 RP1-77"/>
    <s v="0-0.272(W)"/>
    <s v="IS"/>
    <s v="68"/>
    <s v=""/>
    <n v="0"/>
    <n v="0.27200000000000002"/>
    <s v="W"/>
    <s v=""/>
    <s v=""/>
    <s v=""/>
    <n v="0.54"/>
    <s v=""/>
    <s v="URBAN"/>
    <s v="IS"/>
    <n v="1"/>
    <s v=""/>
    <s v=""/>
    <s v=""/>
    <s v=""/>
    <s v=""/>
    <s v=""/>
    <s v=""/>
    <n v="54"/>
    <n v="66.98"/>
    <n v="66.98"/>
    <n v="92.8"/>
    <n v="86.8"/>
    <n v="94.8"/>
    <n v="0.08"/>
    <n v="46"/>
    <n v="54.46"/>
    <n v="54.46"/>
    <n v="100"/>
    <n v="100"/>
    <n v="100"/>
    <n v="7.0000000000000007E-2"/>
    <n v="49"/>
    <x v="5"/>
    <m/>
    <s v="Preventive Maintenance"/>
    <n v="257170.01576951976"/>
    <n v="154173.98423048024"/>
    <n v="411344"/>
    <n v="32.1"/>
    <n v="42"/>
    <n v="26.9"/>
    <s v=""/>
    <s v=""/>
    <n v="26.9"/>
    <s v="C"/>
    <n v="35.1"/>
    <n v="50"/>
    <n v="32.9"/>
    <s v=""/>
    <s v=""/>
    <n v="32.9"/>
    <n v="6"/>
    <n v="4"/>
    <n v="4.32"/>
    <n v="5.9659237821985966"/>
    <n v="3.2215988423872424"/>
    <n v="127683.18469322186"/>
    <n v="761748.14814814809"/>
    <n v="6"/>
    <n v="411344"/>
    <n v="411344"/>
    <n v="0"/>
    <s v=""/>
    <s v=""/>
    <s v="WA-IS 68 RP1-7700.272W"/>
  </r>
  <r>
    <s v="eGIS Link"/>
    <n v="354"/>
    <s v="NorthBound Visi-Data"/>
    <s v="72610"/>
    <n v="2017"/>
    <n v="6"/>
    <x v="23"/>
    <s v="WA"/>
    <s v="WA-MD 66"/>
    <s v="10.32-11.07(N)"/>
    <s v="MD"/>
    <s v="66"/>
    <s v=""/>
    <n v="10.32"/>
    <n v="11.07"/>
    <s v="N"/>
    <s v="SMITHBURG PIKE"/>
    <s v="RAILROAD LA"/>
    <n v="2"/>
    <n v="1.5"/>
    <s v="UNDIVIDED"/>
    <s v="URBAN"/>
    <s v="NON-IS"/>
    <n v="17"/>
    <s v="F"/>
    <n v="182.3"/>
    <n v="180.63"/>
    <n v="93.3"/>
    <n v="96.9"/>
    <n v="92.1"/>
    <n v="0.18"/>
    <n v="37"/>
    <n v="61.03"/>
    <n v="61.03"/>
    <n v="94.174999999999997"/>
    <n v="92.6"/>
    <n v="94.7"/>
    <n v="0.17"/>
    <n v="37"/>
    <n v="50.78"/>
    <n v="50.78"/>
    <n v="100"/>
    <n v="100"/>
    <n v="100"/>
    <n v="0.14000000000000001"/>
    <n v="49"/>
    <x v="5"/>
    <m/>
    <s v="Preventive Maintenance"/>
    <n v="359092.35284220334"/>
    <n v="215276.64715779666"/>
    <n v="574369"/>
    <n v="50"/>
    <n v="36"/>
    <n v="28"/>
    <s v=""/>
    <s v=""/>
    <n v="28"/>
    <s v="C"/>
    <n v="50"/>
    <n v="42.2"/>
    <n v="33"/>
    <s v=""/>
    <s v=""/>
    <n v="33"/>
    <n v="5"/>
    <n v="4"/>
    <n v="12"/>
    <n v="5.9659237821985966"/>
    <n v="8.9488856732978945"/>
    <n v="64183.298453999611"/>
    <n v="382912.66666666669"/>
    <n v="5"/>
    <n v="574369"/>
    <n v="574369"/>
    <n v="0"/>
    <s v=""/>
    <s v="2008"/>
    <s v="WA-MD 6610.3211.07N"/>
  </r>
  <r>
    <s v="eGIS Link"/>
    <n v="102"/>
    <s v="SouthBound Visi-Data"/>
    <s v="36829"/>
    <n v="2017"/>
    <n v="6"/>
    <x v="24"/>
    <s v="GA"/>
    <s v="GA-MD 826E"/>
    <s v="0-0.35(S)"/>
    <s v="MD"/>
    <s v="826"/>
    <s v="E"/>
    <n v="0"/>
    <n v="0.35"/>
    <s v="S"/>
    <s v=""/>
    <s v=""/>
    <n v="2"/>
    <n v="0.7"/>
    <s v="UNDIVIDED"/>
    <s v="RURAL"/>
    <s v="NON-IS"/>
    <n v="9"/>
    <s v=""/>
    <n v="371.56"/>
    <n v="386.55"/>
    <s v=""/>
    <s v=""/>
    <s v=""/>
    <n v="0.25"/>
    <s v=""/>
    <n v="96.45"/>
    <n v="96.45"/>
    <n v="86.924999999999997"/>
    <n v="90"/>
    <n v="85.9"/>
    <n v="0.14000000000000001"/>
    <n v="59"/>
    <n v="100.45"/>
    <n v="100.45"/>
    <n v="86.025000000000006"/>
    <n v="90.9"/>
    <n v="84.4"/>
    <n v="0.14000000000000001"/>
    <n v="57"/>
    <x v="0"/>
    <m/>
    <s v="Preventive Maintenance"/>
    <n v="3668.7145294793786"/>
    <n v="2544.2854705206214"/>
    <n v="6213"/>
    <n v="27"/>
    <n v="50"/>
    <n v="41.5"/>
    <s v=""/>
    <s v=""/>
    <n v="27"/>
    <s v="C"/>
    <n v="26.9"/>
    <n v="50"/>
    <n v="41.5"/>
    <s v=""/>
    <s v=""/>
    <n v="26.9"/>
    <n v="1"/>
    <n v="1"/>
    <n v="1.4"/>
    <n v="1.4914809455496492"/>
    <n v="1.0440366618847543"/>
    <n v="5950.9404476121936"/>
    <n v="8875.7142857142862"/>
    <n v="-0.1"/>
    <n v="6213"/>
    <n v="6213"/>
    <n v="0"/>
    <s v=""/>
    <s v=""/>
    <s v="GA-MD 826E00.35S"/>
  </r>
  <r>
    <s v="eGIS Link"/>
    <n v="32"/>
    <s v="SouthBound Visi-Data"/>
    <s v="36818"/>
    <n v="2017"/>
    <n v="6"/>
    <x v="24"/>
    <s v="GA"/>
    <s v="GA-MD 560"/>
    <s v="0-1.49(S)"/>
    <s v="MD"/>
    <s v="560"/>
    <s v=""/>
    <n v="0"/>
    <n v="1.49"/>
    <s v="S"/>
    <s v="GEORGE WASHINGTON HWY"/>
    <s v="SPEED LIMIT 50 MPH"/>
    <n v="2"/>
    <n v="2.98"/>
    <s v="UNDIVIDED"/>
    <s v="RURAL"/>
    <s v="NON-IS"/>
    <n v="7"/>
    <s v="FCJ"/>
    <n v="127.89"/>
    <n v="136.02000000000001"/>
    <s v=""/>
    <s v=""/>
    <s v=""/>
    <n v="0.1"/>
    <n v="60"/>
    <n v="86.36"/>
    <n v="86.36"/>
    <n v="96.95"/>
    <n v="96.2"/>
    <n v="97.2"/>
    <n v="0.12"/>
    <n v="61"/>
    <n v="89.34"/>
    <n v="89.34"/>
    <n v="96.125"/>
    <n v="96.2"/>
    <n v="96.1"/>
    <n v="0.12"/>
    <n v="59"/>
    <x v="0"/>
    <m/>
    <s v="Preventive Maintenance"/>
    <n v="4557.992508136379"/>
    <n v="3161.007491863621"/>
    <n v="7719"/>
    <n v="39.6"/>
    <n v="24.2"/>
    <n v="21.1"/>
    <s v=""/>
    <s v=""/>
    <n v="21.1"/>
    <s v="C"/>
    <n v="39.4"/>
    <n v="25.1"/>
    <n v="21.1"/>
    <s v=""/>
    <s v=""/>
    <n v="21.1"/>
    <n v="1"/>
    <n v="1"/>
    <n v="5.96"/>
    <n v="1.4914809455496492"/>
    <n v="4.4446132177379543"/>
    <n v="1736.709050226088"/>
    <n v="2590.2684563758389"/>
    <n v="0"/>
    <n v="7719"/>
    <n v="7719"/>
    <n v="0"/>
    <s v=""/>
    <s v="1994"/>
    <s v="GA-MD 56001.49S"/>
  </r>
  <r>
    <s v="eGIS Link"/>
    <n v="378"/>
    <s v="SouthBound Visi-Data"/>
    <s v="36813"/>
    <n v="2017"/>
    <n v="6"/>
    <x v="24"/>
    <s v="GA"/>
    <s v="GA-MD 219"/>
    <s v="0-0.16(S)"/>
    <s v="MD"/>
    <s v="219"/>
    <s v=""/>
    <n v="0"/>
    <n v="0.16"/>
    <s v="S"/>
    <s v=""/>
    <s v=""/>
    <n v="2"/>
    <n v="0.32"/>
    <s v="UNDIVIDED"/>
    <s v="RURAL"/>
    <s v="NON-IS"/>
    <n v="2"/>
    <s v=""/>
    <n v="235.54"/>
    <n v="208.29"/>
    <s v=""/>
    <s v=""/>
    <s v=""/>
    <n v="0.2"/>
    <s v=""/>
    <n v="156.71"/>
    <n v="156.71"/>
    <n v="55.1"/>
    <n v="65.3"/>
    <n v="51.7"/>
    <n v="0.14000000000000001"/>
    <n v="60"/>
    <n v="77.290000000000006"/>
    <n v="77.290000000000006"/>
    <n v="100"/>
    <n v="100"/>
    <n v="100"/>
    <n v="0.08"/>
    <n v="49"/>
    <x v="1"/>
    <m/>
    <s v="Minor Rehabilitation"/>
    <n v="737240.96880793688"/>
    <n v="511283.03119206312"/>
    <n v="1248524"/>
    <n v="14.3"/>
    <n v="13.6"/>
    <n v="0.6"/>
    <s v=""/>
    <s v=""/>
    <n v="0.6"/>
    <s v="F"/>
    <n v="40"/>
    <n v="49.4"/>
    <n v="43.6"/>
    <s v=""/>
    <s v=""/>
    <n v="40"/>
    <n v="39.4"/>
    <n v="6"/>
    <n v="12.608000000000001"/>
    <n v="29.382174627328087"/>
    <n v="9.4022958807449886"/>
    <n v="132789.26932695863"/>
    <n v="3901637.5"/>
    <n v="39.4"/>
    <n v="1248524"/>
    <n v="1248524"/>
    <n v="0"/>
    <s v=""/>
    <s v=""/>
    <s v="GA-MD 21900.16S"/>
  </r>
  <r>
    <s v="eGIS Link"/>
    <n v="260"/>
    <s v="NorthBound Visi-Data"/>
    <s v="36804"/>
    <n v="2017"/>
    <n v="6"/>
    <x v="24"/>
    <s v="GA"/>
    <s v="GA-MD 38"/>
    <s v="3.07-5.67(N)"/>
    <s v="MD"/>
    <s v="38"/>
    <s v=""/>
    <n v="3.07"/>
    <n v="5.67"/>
    <s v="N"/>
    <s v="VINDEX RD"/>
    <s v="MARYLAND HWY"/>
    <n v="2"/>
    <n v="5.2"/>
    <s v="UNDIVIDED"/>
    <s v="RURAL"/>
    <s v="NON-IS"/>
    <n v="7"/>
    <s v="FCJ"/>
    <n v="124.04"/>
    <n v="120.5"/>
    <n v="64.400000000000006"/>
    <n v="80.2"/>
    <n v="59.1"/>
    <n v="0.18"/>
    <n v="61"/>
    <n v="99.36"/>
    <n v="99.36"/>
    <n v="79.900000000000006"/>
    <n v="86.2"/>
    <n v="77.8"/>
    <n v="0.13"/>
    <n v="58"/>
    <n v="70.7"/>
    <n v="70.7"/>
    <n v="100"/>
    <n v="100"/>
    <n v="100"/>
    <n v="0.11"/>
    <n v="49"/>
    <x v="5"/>
    <m/>
    <s v="Preventive Maintenance"/>
    <n v="485631.9878904699"/>
    <n v="336790.0121095301"/>
    <n v="822422"/>
    <n v="35.299999999999997"/>
    <n v="38.799999999999997"/>
    <n v="42.1"/>
    <s v=""/>
    <s v=""/>
    <n v="35.299999999999997"/>
    <s v="B"/>
    <n v="47.4"/>
    <n v="49.8"/>
    <n v="50"/>
    <s v=""/>
    <s v=""/>
    <n v="47.4"/>
    <n v="12.100000000000001"/>
    <n v="4"/>
    <n v="62.920000000000009"/>
    <n v="9.0234597205753797"/>
    <n v="46.921990546991978"/>
    <n v="17527.432029473501"/>
    <n v="158158.07692307691"/>
    <n v="12.1"/>
    <n v="822422"/>
    <n v="822422"/>
    <n v="0"/>
    <s v=""/>
    <s v="1999"/>
    <s v="GA-MD 383.075.67N"/>
  </r>
  <r>
    <s v="eGIS Link"/>
    <n v="18"/>
    <s v="NorthBound Visi-Data"/>
    <s v="854"/>
    <n v="2017"/>
    <n v="6"/>
    <x v="25"/>
    <s v="AL"/>
    <s v="AL-MD 936"/>
    <s v="0-0.75(N)"/>
    <s v="MD"/>
    <s v="936"/>
    <s v=""/>
    <n v="0"/>
    <n v="0.75"/>
    <s v="N"/>
    <s v="GEORGES CREEK RD (BACK)"/>
    <s v="SPEED LIMIT 50 MPH"/>
    <n v="2"/>
    <n v="1.5"/>
    <s v="UNDIVIDED"/>
    <s v="RURAL"/>
    <s v="NON-IS"/>
    <n v="7"/>
    <s v="FCJ"/>
    <n v="97.31"/>
    <n v="90.48"/>
    <n v="98.2"/>
    <n v="98.6"/>
    <n v="98"/>
    <n v="0.14000000000000001"/>
    <n v="37"/>
    <n v="88.39"/>
    <n v="88.39"/>
    <n v="91.85"/>
    <n v="93.5"/>
    <n v="91.3"/>
    <n v="0.14000000000000001"/>
    <n v="37"/>
    <n v="92.17"/>
    <n v="92.17"/>
    <n v="90.55"/>
    <n v="93.7"/>
    <n v="89.5"/>
    <n v="0.14000000000000001"/>
    <n v="35"/>
    <x v="0"/>
    <m/>
    <s v="Preventive Maintenance"/>
    <n v="1627.981000768493"/>
    <n v="1129.018999231507"/>
    <n v="2757"/>
    <n v="29.4"/>
    <n v="50"/>
    <n v="44.7"/>
    <s v=""/>
    <s v=""/>
    <n v="29.4"/>
    <s v="C"/>
    <n v="29.2"/>
    <n v="50"/>
    <n v="44.7"/>
    <s v=""/>
    <s v=""/>
    <n v="29.2"/>
    <n v="1"/>
    <n v="1"/>
    <n v="3"/>
    <n v="1.4914809455496492"/>
    <n v="2.2372214183244736"/>
    <n v="1232.332203427949"/>
    <n v="1838"/>
    <n v="-0.2"/>
    <n v="2757"/>
    <n v="2757"/>
    <n v="0"/>
    <s v=""/>
    <s v="2010"/>
    <s v="AL-MD 93600.75N"/>
  </r>
  <r>
    <s v="eGIS Link"/>
    <n v="13"/>
    <s v="EastBound Visi-Data"/>
    <s v="1399"/>
    <n v="2017"/>
    <n v="6"/>
    <x v="25"/>
    <s v="AL"/>
    <s v="AL-US 40AL"/>
    <s v="0-0.8(E)"/>
    <s v="US"/>
    <s v="40"/>
    <s v="AL"/>
    <n v="0"/>
    <n v="0.8"/>
    <s v="E"/>
    <s v="GARRETT CO/L"/>
    <s v="SHAW ST"/>
    <n v="2.2000000000000002"/>
    <n v="1.76"/>
    <s v="UNDIVIDED"/>
    <s v="RURAL"/>
    <s v="NON-IS"/>
    <n v="7"/>
    <s v="F"/>
    <n v="68.3"/>
    <n v="75.22"/>
    <n v="99.8"/>
    <n v="99.8"/>
    <n v="99.9"/>
    <n v="0.14000000000000001"/>
    <n v="47"/>
    <n v="75.41"/>
    <n v="75.41"/>
    <n v="97.6"/>
    <n v="97.3"/>
    <n v="97.7"/>
    <n v="0.14000000000000001"/>
    <n v="45"/>
    <n v="78.2"/>
    <n v="78.2"/>
    <n v="96.9"/>
    <n v="97.2"/>
    <n v="96.8"/>
    <n v="0.14000000000000001"/>
    <n v="43"/>
    <x v="0"/>
    <m/>
    <s v="Preventive Maintenance"/>
    <n v="1364.0319592946023"/>
    <n v="945.9680407053977"/>
    <n v="2310"/>
    <n v="44.5"/>
    <n v="25.4"/>
    <n v="21.8"/>
    <s v=""/>
    <s v=""/>
    <n v="21.8"/>
    <s v="C"/>
    <n v="44.2"/>
    <n v="26.2"/>
    <n v="21.8"/>
    <s v=""/>
    <s v=""/>
    <n v="21.8"/>
    <n v="1"/>
    <n v="1"/>
    <n v="3.52"/>
    <n v="1.4914809455496492"/>
    <n v="2.6250064641673827"/>
    <n v="879.99783297017575"/>
    <n v="1312.5"/>
    <n v="0"/>
    <n v="2310"/>
    <n v="2310"/>
    <n v="0"/>
    <s v=""/>
    <s v="2009"/>
    <s v="AL-US 40AL00.8E"/>
  </r>
  <r>
    <s v="eGIS Link"/>
    <n v="19"/>
    <s v="EastBound Visi-Data"/>
    <s v="818"/>
    <n v="2017"/>
    <n v="6"/>
    <x v="25"/>
    <s v="AL"/>
    <s v="AL-MD 55"/>
    <s v="0-2.53(E)"/>
    <s v="MD"/>
    <s v="55"/>
    <s v=""/>
    <n v="0"/>
    <n v="2.5299999999999998"/>
    <s v="E"/>
    <s v="CABIN RUN RD (BACK)"/>
    <s v="NATIONAL PIKE"/>
    <n v="2.1"/>
    <n v="5.31"/>
    <s v="UNDIVIDED"/>
    <s v="RURAL"/>
    <s v="NON-IS"/>
    <n v="7"/>
    <s v="F"/>
    <n v="87.46"/>
    <n v="85.56"/>
    <n v="94.9"/>
    <n v="89.6"/>
    <n v="96.6"/>
    <n v="0.17"/>
    <n v="45"/>
    <n v="89.13"/>
    <n v="89.13"/>
    <n v="87.924999999999997"/>
    <n v="84.7"/>
    <n v="89"/>
    <n v="0.17"/>
    <n v="43"/>
    <n v="92.05"/>
    <n v="92.05"/>
    <n v="86.85"/>
    <n v="86.4"/>
    <n v="87"/>
    <n v="0.17"/>
    <n v="41"/>
    <x v="0"/>
    <m/>
    <s v="Preventive Maintenance"/>
    <n v="5767.316080705793"/>
    <n v="3999.683919294207"/>
    <n v="9767"/>
    <n v="40.299999999999997"/>
    <n v="15.5"/>
    <n v="15.6"/>
    <s v=""/>
    <s v=""/>
    <n v="15.5"/>
    <s v="D"/>
    <n v="40.1"/>
    <n v="17.5"/>
    <n v="15.6"/>
    <s v=""/>
    <s v=""/>
    <n v="15.6"/>
    <n v="1"/>
    <n v="1"/>
    <n v="10.62"/>
    <n v="1.4914809455496492"/>
    <n v="7.9197638208686367"/>
    <n v="1233.2438467753145"/>
    <n v="1839.3596986817327"/>
    <n v="0.1"/>
    <n v="9767"/>
    <n v="9767"/>
    <n v="0"/>
    <s v=""/>
    <s v="2009"/>
    <s v="AL-MD 5502.53E"/>
  </r>
  <r>
    <s v="eGIS Link"/>
    <n v="142"/>
    <s v="EastBound Visi-Data"/>
    <s v="1399"/>
    <n v="2017"/>
    <n v="6"/>
    <x v="25"/>
    <s v="AL"/>
    <s v="AL-US 40AL"/>
    <s v="6.4-7.45(E)"/>
    <s v="US"/>
    <s v="40"/>
    <s v="AL"/>
    <n v="6.4"/>
    <n v="7.45"/>
    <s v="E"/>
    <s v="ENT LAVALE PLAZA"/>
    <s v="RAMP 2 FR IS 68 TO US 40 AL"/>
    <n v="3.6"/>
    <n v="3.78"/>
    <s v="UNDIVIDED"/>
    <s v="URBAN"/>
    <s v="NON-IS"/>
    <n v="14"/>
    <s v="F"/>
    <n v="114.98"/>
    <n v="102.09"/>
    <n v="69.099999999999994"/>
    <n v="60"/>
    <n v="72.099999999999994"/>
    <n v="0.22"/>
    <n v="41"/>
    <n v="102.56"/>
    <n v="102.56"/>
    <n v="62.524999999999999"/>
    <n v="52.7"/>
    <n v="65.8"/>
    <n v="0.22"/>
    <n v="41"/>
    <n v="58.69"/>
    <n v="58.69"/>
    <n v="100"/>
    <n v="100"/>
    <n v="100"/>
    <n v="0.12"/>
    <n v="49"/>
    <x v="1"/>
    <m/>
    <s v="Minor Rehabilitation"/>
    <n v="431554.89880798967"/>
    <n v="258718.10119201033"/>
    <n v="690273"/>
    <n v="38.9"/>
    <n v="0.3"/>
    <n v="8.1999999999999993"/>
    <s v=""/>
    <s v=""/>
    <n v="0.3"/>
    <s v="F"/>
    <n v="50"/>
    <n v="42.2"/>
    <n v="33"/>
    <s v=""/>
    <s v=""/>
    <n v="33"/>
    <n v="32.700000000000003"/>
    <n v="6"/>
    <n v="123.60600000000001"/>
    <n v="24.385713459736767"/>
    <n v="92.177996877804972"/>
    <n v="7488.4790663769245"/>
    <n v="182611.90476190476"/>
    <n v="32.700000000000003"/>
    <n v="690273"/>
    <n v="690273"/>
    <n v="0"/>
    <s v=""/>
    <s v="2004"/>
    <s v="AL-US 40AL6.47.45E"/>
  </r>
  <r>
    <s v="eGIS Link"/>
    <n v="329"/>
    <s v="EastBound Visi-Data"/>
    <s v="805"/>
    <n v="2017"/>
    <n v="6"/>
    <x v="25"/>
    <s v="AL"/>
    <s v="AL-IS 68"/>
    <s v="8.03-11.43(E)"/>
    <s v="IS"/>
    <s v="68"/>
    <s v=""/>
    <n v="8.0299999999999994"/>
    <n v="11.43"/>
    <s v="E"/>
    <s v="RAMP 7 FR IS 68 TO MD 658"/>
    <s v="STRUC #1102"/>
    <n v="2.2999999999999998"/>
    <n v="7.82"/>
    <s v="DIVIDED"/>
    <s v="URBAN"/>
    <s v="IS"/>
    <n v="11"/>
    <s v="FCJ"/>
    <n v="117.58"/>
    <n v="126.84"/>
    <n v="98.1"/>
    <n v="97.4"/>
    <n v="98.3"/>
    <n v="0.18"/>
    <n v="51"/>
    <n v="137.29"/>
    <n v="137.29"/>
    <n v="94.15"/>
    <n v="90.4"/>
    <n v="95.4"/>
    <n v="0.18"/>
    <n v="51"/>
    <n v="70.55"/>
    <n v="70.55"/>
    <n v="100"/>
    <n v="100"/>
    <n v="100"/>
    <n v="0.08"/>
    <n v="49"/>
    <x v="7"/>
    <m/>
    <s v="Minor Rehabilitation"/>
    <n v="1700222.7565866201"/>
    <n v="1019287.2434133799"/>
    <n v="2719510"/>
    <n v="6.2"/>
    <n v="5.5"/>
    <n v="15.7"/>
    <s v=""/>
    <s v=""/>
    <n v="5.5"/>
    <s v="E"/>
    <n v="29.7"/>
    <n v="13.7"/>
    <n v="26"/>
    <s v=""/>
    <s v=""/>
    <n v="13.7"/>
    <n v="8.1999999999999993"/>
    <n v="6"/>
    <n v="93.84"/>
    <n v="8.9488856732978945"/>
    <n v="69.980285965189537"/>
    <n v="38861.087268959898"/>
    <n v="347763.42710997444"/>
    <n v="8.1999999999999993"/>
    <n v="2719510"/>
    <n v="2719510"/>
    <n v="0"/>
    <s v=""/>
    <s v="2010"/>
    <s v="AL-IS 688.0311.43E"/>
  </r>
  <r>
    <s v="eGIS Link"/>
    <n v="179"/>
    <s v="EastBound Visi-Data"/>
    <s v="1399"/>
    <n v="2017"/>
    <n v="6"/>
    <x v="25"/>
    <s v="AL"/>
    <s v="AL-US 40AL"/>
    <s v="4.23-6.4(E)"/>
    <s v="US"/>
    <s v="40"/>
    <s v="AL"/>
    <n v="4.2300000000000004"/>
    <n v="6.4"/>
    <s v="E"/>
    <s v="SPUR FR MD 55"/>
    <s v="SPEED LIMIT 40 MPH"/>
    <n v="2.2999999999999998"/>
    <n v="4.99"/>
    <s v="UNDIVIDED"/>
    <s v="URBAN"/>
    <s v="NON-IS"/>
    <n v="14"/>
    <s v="FCJ"/>
    <n v="104.48"/>
    <n v="115"/>
    <n v="78.7"/>
    <n v="82.5"/>
    <n v="77.400000000000006"/>
    <n v="0.14000000000000001"/>
    <n v="45"/>
    <n v="119.41"/>
    <n v="119.41"/>
    <n v="74.075000000000003"/>
    <n v="77.900000000000006"/>
    <n v="72.8"/>
    <n v="0.14000000000000001"/>
    <n v="45"/>
    <n v="52.38"/>
    <n v="52.38"/>
    <n v="100"/>
    <n v="100"/>
    <n v="100"/>
    <n v="0.08"/>
    <n v="49"/>
    <x v="2"/>
    <m/>
    <s v="Structural Overlay"/>
    <n v="683773.37395726307"/>
    <n v="409923.62604273693"/>
    <n v="1093697"/>
    <n v="17.899999999999999"/>
    <n v="26.9"/>
    <n v="22.3"/>
    <s v=""/>
    <s v=""/>
    <n v="17.899999999999999"/>
    <s v="D"/>
    <n v="47.9"/>
    <n v="49.4"/>
    <n v="50"/>
    <s v=""/>
    <s v=""/>
    <n v="47.9"/>
    <n v="30"/>
    <n v="6"/>
    <n v="149.70000000000002"/>
    <n v="22.372214183244736"/>
    <n v="111.63734877439124"/>
    <n v="9796.8736449506741"/>
    <n v="219177.75551102203"/>
    <n v="30"/>
    <n v="1093697"/>
    <n v="1093697"/>
    <n v="0"/>
    <s v=""/>
    <s v="2000"/>
    <s v="AL-US 40AL4.236.4E"/>
  </r>
  <r>
    <s v="eGIS Link"/>
    <n v="226"/>
    <s v="NorthBound Visi-Data"/>
    <s v="807"/>
    <n v="2017"/>
    <n v="6"/>
    <x v="25"/>
    <s v="AL"/>
    <s v="AL-MD 36"/>
    <s v="8.45-8.94(N)"/>
    <s v="MD"/>
    <s v="36"/>
    <s v=""/>
    <n v="8.4499999999999993"/>
    <n v="8.94"/>
    <s v="N"/>
    <s v="D ST"/>
    <s v="SPEED LIMIT 35 MPH"/>
    <n v="2"/>
    <n v="0.98"/>
    <s v="UNDIVIDED"/>
    <s v="RURAL"/>
    <s v="NON-IS"/>
    <n v="6"/>
    <s v="FCJ"/>
    <n v="170.59"/>
    <n v="182.3"/>
    <n v="90.4"/>
    <n v="93.8"/>
    <n v="89.2"/>
    <n v="0.15"/>
    <n v="38"/>
    <n v="184.41"/>
    <n v="184.41"/>
    <n v="86.974999999999994"/>
    <n v="89.9"/>
    <n v="86"/>
    <n v="0.15"/>
    <n v="38"/>
    <n v="65.55"/>
    <n v="65.55"/>
    <n v="100"/>
    <n v="100"/>
    <n v="100"/>
    <n v="0.08"/>
    <n v="49"/>
    <x v="2"/>
    <m/>
    <s v="Structural Overlay"/>
    <n v="193512.4387620046"/>
    <n v="134202.5612379954"/>
    <n v="327715"/>
    <n v="8.9"/>
    <n v="38"/>
    <n v="26.3"/>
    <s v=""/>
    <s v=""/>
    <n v="8.9"/>
    <s v="E"/>
    <n v="50"/>
    <n v="49.4"/>
    <n v="43.6"/>
    <s v=""/>
    <s v=""/>
    <n v="43.6"/>
    <n v="34.700000000000003"/>
    <n v="6"/>
    <n v="34.006"/>
    <n v="25.877194405286417"/>
    <n v="25.35965051718069"/>
    <n v="12922.693858812416"/>
    <n v="334403.06122448982"/>
    <n v="34.700000000000003"/>
    <n v="327715"/>
    <n v="327715"/>
    <n v="0"/>
    <s v=""/>
    <s v="1999"/>
    <s v="AL-MD 368.458.94N"/>
  </r>
  <r>
    <s v="eGIS Link"/>
    <n v="277"/>
    <s v="EastBound Visi-Data"/>
    <s v="812"/>
    <n v="2017"/>
    <n v="6"/>
    <x v="25"/>
    <s v="AL"/>
    <s v="AL-MD 51"/>
    <s v="0.99-2.74(E)"/>
    <s v="MD"/>
    <s v="51"/>
    <s v=""/>
    <n v="0.99"/>
    <n v="2.74"/>
    <s v="E"/>
    <s v="W THIRD ST"/>
    <s v="STRUC #1044 EVITTS CREEK"/>
    <n v="2.2000000000000002"/>
    <n v="3.85"/>
    <s v="DIVIDED"/>
    <s v="URBAN"/>
    <s v="NON-IS"/>
    <n v="14"/>
    <s v="F"/>
    <n v="98.83"/>
    <n v="82.04"/>
    <n v="94.7"/>
    <n v="98.3"/>
    <n v="93.4"/>
    <n v="0.14000000000000001"/>
    <n v="42"/>
    <n v="97.77"/>
    <n v="97.77"/>
    <n v="89.4"/>
    <n v="93.9"/>
    <n v="87.9"/>
    <n v="0.14000000000000001"/>
    <n v="40"/>
    <n v="47.96"/>
    <n v="47.96"/>
    <n v="100"/>
    <n v="100"/>
    <n v="100"/>
    <n v="0.08"/>
    <n v="49"/>
    <x v="2"/>
    <m/>
    <s v="Structural Overlay"/>
    <n v="527454.73704294185"/>
    <n v="316210.26295705815"/>
    <n v="843665"/>
    <n v="41"/>
    <n v="37"/>
    <n v="23.1"/>
    <s v=""/>
    <s v=""/>
    <n v="23.1"/>
    <s v="C"/>
    <n v="50"/>
    <n v="38"/>
    <n v="50"/>
    <s v=""/>
    <s v=""/>
    <n v="38"/>
    <n v="14.899999999999999"/>
    <n v="6"/>
    <n v="57.364999999999995"/>
    <n v="11.111533044344885"/>
    <n v="42.77940222072781"/>
    <n v="19721.290064946745"/>
    <n v="219133.76623376622"/>
    <n v="14.9"/>
    <n v="843665"/>
    <n v="843665"/>
    <n v="0"/>
    <s v=""/>
    <s v="2006"/>
    <s v="AL-MD 510.992.74E"/>
  </r>
  <r>
    <s v="eGIS Link"/>
    <n v="129"/>
    <s v="NorthBound Visi-Data"/>
    <s v="807"/>
    <n v="2017"/>
    <n v="6"/>
    <x v="25"/>
    <s v="AL"/>
    <s v="AL-MD 36"/>
    <s v="4.05-7.07(N)"/>
    <s v="MD"/>
    <s v="36"/>
    <s v=""/>
    <n v="4.05"/>
    <n v="7.07"/>
    <s v="N"/>
    <s v="SUGAR MAPLE RD"/>
    <s v="PVT ROAD"/>
    <n v="2.8"/>
    <n v="8.4499999999999993"/>
    <s v="UNDIVIDED"/>
    <s v="RURAL"/>
    <s v="NON-IS"/>
    <n v="6"/>
    <s v="F"/>
    <n v="98.92"/>
    <n v="98.76"/>
    <n v="76.400000000000006"/>
    <n v="77.7"/>
    <n v="75.900000000000006"/>
    <n v="0.15"/>
    <n v="52"/>
    <n v="105.02"/>
    <n v="105.02"/>
    <n v="73.45"/>
    <n v="74.2"/>
    <n v="73.2"/>
    <n v="0.15"/>
    <n v="52"/>
    <n v="71.39"/>
    <n v="71.39"/>
    <n v="100"/>
    <n v="100"/>
    <n v="100"/>
    <n v="0.15"/>
    <n v="49"/>
    <x v="8"/>
    <m/>
    <s v="Minor Rehabilitation"/>
    <n v="672414.61182992882"/>
    <n v="466325.38817007118"/>
    <n v="1138740"/>
    <n v="33.1"/>
    <n v="22.8"/>
    <n v="26.3"/>
    <s v=""/>
    <s v=""/>
    <n v="22.8"/>
    <s v="C"/>
    <n v="48.9"/>
    <n v="49.8"/>
    <n v="50"/>
    <s v=""/>
    <s v=""/>
    <n v="48.9"/>
    <n v="26.099999999999998"/>
    <n v="4"/>
    <n v="220.54499999999996"/>
    <n v="19.463826339422919"/>
    <n v="164.46933256812366"/>
    <n v="6923.7223877486749"/>
    <n v="134762.1301775148"/>
    <n v="26.1"/>
    <n v="1138740"/>
    <n v="1138740"/>
    <n v="0"/>
    <s v=""/>
    <s v="2003"/>
    <s v="AL-MD 364.057.07N"/>
  </r>
  <r>
    <s v="eGIS Link"/>
    <n v="249"/>
    <s v="NorthBound Visi-Data"/>
    <s v="836"/>
    <n v="2017"/>
    <n v="6"/>
    <x v="25"/>
    <s v="AL"/>
    <s v="AL-MD 807"/>
    <s v="0-2.67(N)"/>
    <s v="MD"/>
    <s v="807"/>
    <s v=""/>
    <n v="0"/>
    <n v="2.67"/>
    <s v="N"/>
    <s v="BEDFORD ST (BACK)"/>
    <s v="PEA VINE RUN RD"/>
    <n v="2"/>
    <n v="5.34"/>
    <s v="UNDIVIDED"/>
    <s v="URBAN"/>
    <s v="NON-IS"/>
    <n v="16"/>
    <s v="FCJ"/>
    <n v="112.69"/>
    <n v="125.41"/>
    <n v="99.9"/>
    <n v="99.9"/>
    <n v="99.9"/>
    <n v="0.16"/>
    <n v="44"/>
    <n v="128.86000000000001"/>
    <n v="128.86000000000001"/>
    <n v="97.9"/>
    <n v="96.7"/>
    <n v="98.3"/>
    <n v="0.16"/>
    <n v="44"/>
    <n v="87.51"/>
    <n v="87.51"/>
    <n v="100"/>
    <n v="100"/>
    <n v="100"/>
    <n v="0.14000000000000001"/>
    <n v="49"/>
    <x v="5"/>
    <m/>
    <s v="Preventive Maintenance"/>
    <n v="337538.1464755857"/>
    <n v="202354.8535244143"/>
    <n v="539893"/>
    <n v="15.5"/>
    <n v="48.9"/>
    <n v="50"/>
    <s v=""/>
    <s v=""/>
    <n v="15.5"/>
    <s v="D"/>
    <n v="24.2"/>
    <n v="50"/>
    <n v="50"/>
    <s v=""/>
    <s v=""/>
    <n v="24.2"/>
    <n v="8.6999999999999993"/>
    <n v="4"/>
    <n v="46.457999999999998"/>
    <n v="6.4879421131409734"/>
    <n v="34.645610884172797"/>
    <n v="15583.301498275503"/>
    <n v="101103.55805243446"/>
    <n v="8.6999999999999993"/>
    <n v="539893"/>
    <n v="539893"/>
    <n v="0"/>
    <s v=""/>
    <s v="2000"/>
    <s v="AL-MD 80702.67N"/>
  </r>
  <r>
    <s v="eGIS Link"/>
    <n v="255"/>
    <s v="EastBound Visi-Data"/>
    <s v="812"/>
    <n v="2017"/>
    <n v="6"/>
    <x v="25"/>
    <s v="AL"/>
    <s v="AL-MD 51"/>
    <s v="2.74-5.63(E)"/>
    <s v="MD"/>
    <s v="51"/>
    <s v=""/>
    <n v="2.74"/>
    <n v="5.63"/>
    <s v="E"/>
    <s v="STRUC #1044 EVITTS CREEK"/>
    <s v="UHL HWY"/>
    <n v="2"/>
    <n v="5.78"/>
    <s v="UNDIVIDED"/>
    <s v="URBAN"/>
    <s v="NON-IS"/>
    <n v="14"/>
    <s v="F"/>
    <n v="74.56"/>
    <n v="80.03"/>
    <n v="99.8"/>
    <n v="99.5"/>
    <n v="99.9"/>
    <n v="0.18"/>
    <n v="43"/>
    <n v="79.400000000000006"/>
    <n v="79.400000000000006"/>
    <n v="94.6"/>
    <n v="94.6"/>
    <n v="94.6"/>
    <n v="0.18"/>
    <n v="41"/>
    <n v="60.22"/>
    <n v="60.22"/>
    <n v="100"/>
    <n v="100"/>
    <n v="100"/>
    <n v="0.15"/>
    <n v="49"/>
    <x v="5"/>
    <m/>
    <s v="Preventive Maintenance"/>
    <n v="365349.92482049187"/>
    <n v="219028.07517950813"/>
    <n v="584378"/>
    <n v="50"/>
    <n v="37.6"/>
    <n v="28"/>
    <s v=""/>
    <s v=""/>
    <n v="28"/>
    <s v="C"/>
    <n v="50"/>
    <n v="42.2"/>
    <n v="33"/>
    <s v=""/>
    <s v=""/>
    <n v="33"/>
    <n v="5"/>
    <n v="4"/>
    <n v="46.24"/>
    <n v="5.9659237821985966"/>
    <n v="34.483039461107893"/>
    <n v="16946.823978759116"/>
    <n v="101103.46020761246"/>
    <n v="5.0999999999999996"/>
    <n v="584378"/>
    <n v="584378"/>
    <n v="0"/>
    <s v=""/>
    <s v="2012"/>
    <s v="AL-MD 512.745.63E"/>
  </r>
  <r>
    <s v="eGIS Link"/>
    <n v="212"/>
    <s v="NorthBound Visi-Data"/>
    <s v="72021"/>
    <n v="2017"/>
    <n v="6"/>
    <x v="4"/>
    <s v="WA"/>
    <s v="WA-CO 869"/>
    <s v="0-0.63(N)"/>
    <s v="CO"/>
    <s v="869"/>
    <s v=""/>
    <n v="0"/>
    <n v="0.63"/>
    <s v="N"/>
    <s v=""/>
    <s v=""/>
    <s v=""/>
    <n v="1.26"/>
    <s v=""/>
    <s v="RURAL"/>
    <s v="NON-IS"/>
    <n v="19"/>
    <s v=""/>
    <n v="69.709999999999994"/>
    <n v="68.819999999999993"/>
    <s v=""/>
    <s v=""/>
    <s v=""/>
    <n v="0.13"/>
    <s v=""/>
    <n v="46"/>
    <n v="46"/>
    <n v="94.35"/>
    <n v="87.9"/>
    <n v="96.5"/>
    <n v="0.12"/>
    <n v="49"/>
    <n v="48.54"/>
    <n v="48.54"/>
    <n v="93.775000000000006"/>
    <n v="89.2"/>
    <n v="95.3"/>
    <n v="0.12"/>
    <n v="47"/>
    <x v="0"/>
    <m/>
    <s v="Preventive Maintenance"/>
    <n v="13909.583044650932"/>
    <n v="9646.4169553490683"/>
    <n v="23556"/>
    <n v="41.7"/>
    <n v="15.6"/>
    <n v="21.4"/>
    <s v=""/>
    <s v=""/>
    <n v="15.6"/>
    <s v="D"/>
    <n v="41"/>
    <n v="17.600000000000001"/>
    <n v="21.4"/>
    <s v=""/>
    <s v=""/>
    <n v="17.600000000000001"/>
    <n v="2.0000000000000018"/>
    <n v="1"/>
    <n v="2.5200000000000022"/>
    <n v="1.4914809455496505"/>
    <n v="1.8792659913925596"/>
    <n v="12534.681150987419"/>
    <n v="18695.238095238095"/>
    <n v="2"/>
    <n v="23556"/>
    <n v="23556"/>
    <n v="0"/>
    <s v=""/>
    <s v=""/>
    <s v="WA-CO 86900.63N"/>
  </r>
  <r>
    <s v="eGIS Link"/>
    <n v="413"/>
    <s v="NorthBound Visi-Data"/>
    <s v="72961"/>
    <n v="2017"/>
    <n v="6"/>
    <x v="4"/>
    <s v="WA"/>
    <s v="WA-IS 68 RP8-74"/>
    <s v="0-0.12(N)"/>
    <s v="IS"/>
    <s v="68"/>
    <s v=""/>
    <n v="0"/>
    <n v="0.12"/>
    <s v="N"/>
    <s v=""/>
    <s v=""/>
    <s v=""/>
    <n v="0.24"/>
    <s v=""/>
    <s v="RURAL"/>
    <s v="IS"/>
    <n v="1"/>
    <s v=""/>
    <s v=""/>
    <s v=""/>
    <s v=""/>
    <s v=""/>
    <s v=""/>
    <s v=""/>
    <s v=""/>
    <n v="108.87"/>
    <n v="108.87"/>
    <n v="89.275000000000006"/>
    <n v="73.900000000000006"/>
    <n v="94.4"/>
    <n v="0.15"/>
    <n v="40"/>
    <n v="60.92"/>
    <n v="60.92"/>
    <n v="100"/>
    <n v="100"/>
    <n v="100"/>
    <n v="0.08"/>
    <n v="49"/>
    <x v="7"/>
    <m/>
    <s v="Minor Rehabilitation"/>
    <n v="883221.32246371708"/>
    <n v="612521.67753628292"/>
    <n v="1495743"/>
    <n v="15.3"/>
    <n v="0"/>
    <n v="15.3"/>
    <s v=""/>
    <s v=""/>
    <n v="0"/>
    <s v="F"/>
    <n v="37.6"/>
    <n v="20.6"/>
    <n v="28.7"/>
    <s v=""/>
    <s v=""/>
    <n v="20.6"/>
    <n v="20.6"/>
    <n v="6"/>
    <n v="4.944"/>
    <n v="15.362253739161387"/>
    <n v="3.686940897398733"/>
    <n v="405686.7309848388"/>
    <n v="6232262.5"/>
    <n v="20.6"/>
    <n v="1495743"/>
    <n v="1495743"/>
    <n v="0"/>
    <s v=""/>
    <s v=""/>
    <s v="WA-IS 68 RP8-7400.12N"/>
  </r>
  <r>
    <s v="eGIS Link"/>
    <n v="366"/>
    <s v="EastBound Visi-Data"/>
    <s v="72964"/>
    <n v="2017"/>
    <n v="6"/>
    <x v="4"/>
    <s v="WA"/>
    <s v="WA-IS 68 RP1-77"/>
    <s v="0-0.272(E)"/>
    <s v="IS"/>
    <s v="68"/>
    <s v=""/>
    <n v="0"/>
    <n v="0.27200000000000002"/>
    <s v="E"/>
    <s v=""/>
    <s v=""/>
    <s v=""/>
    <n v="0.54"/>
    <s v=""/>
    <s v="RURAL"/>
    <s v="IS"/>
    <n v="1"/>
    <s v=""/>
    <s v=""/>
    <s v=""/>
    <s v=""/>
    <s v=""/>
    <s v=""/>
    <s v=""/>
    <s v=""/>
    <n v="66.67"/>
    <n v="66.67"/>
    <n v="91.625"/>
    <n v="88.7"/>
    <n v="92.6"/>
    <n v="0.08"/>
    <n v="52"/>
    <n v="72.75"/>
    <n v="72.75"/>
    <n v="98.325000000000003"/>
    <n v="99.3"/>
    <n v="98"/>
    <n v="0.08"/>
    <n v="55"/>
    <x v="4"/>
    <m/>
    <s v="Preventive Maintenance"/>
    <n v="178151.43123426009"/>
    <n v="123549.56876573991"/>
    <n v="301701"/>
    <n v="23.4"/>
    <n v="25.2"/>
    <n v="13.6"/>
    <s v=""/>
    <s v=""/>
    <n v="13.6"/>
    <s v="D"/>
    <n v="24.2"/>
    <n v="31.8"/>
    <n v="17.100000000000001"/>
    <s v=""/>
    <s v=""/>
    <n v="17.100000000000001"/>
    <n v="4"/>
    <n v="4"/>
    <n v="4.32"/>
    <n v="5.9659237821985966"/>
    <n v="3.2215988423872424"/>
    <n v="93649.46250614991"/>
    <n v="558705.5555555555"/>
    <n v="3.5"/>
    <n v="301701"/>
    <n v="301701"/>
    <n v="0"/>
    <s v=""/>
    <s v=""/>
    <s v="WA-IS 68 RP1-7700.272E"/>
  </r>
  <r>
    <s v="eGIS Link"/>
    <n v="338"/>
    <s v="SouthBound Visi-Data"/>
    <s v="72021"/>
    <n v="2017"/>
    <n v="6"/>
    <x v="4"/>
    <s v="WA"/>
    <s v="WA-CO 869"/>
    <s v="0-0.63(S)"/>
    <s v="CO"/>
    <s v="869"/>
    <s v=""/>
    <n v="0"/>
    <n v="0.63"/>
    <s v="S"/>
    <s v=""/>
    <s v=""/>
    <s v=""/>
    <n v="1.26"/>
    <s v=""/>
    <s v="URBAN"/>
    <s v="NON-IS"/>
    <n v="19"/>
    <s v=""/>
    <s v=""/>
    <s v=""/>
    <s v=""/>
    <s v=""/>
    <s v=""/>
    <s v=""/>
    <s v=""/>
    <n v="45.01"/>
    <n v="45.01"/>
    <n v="96.45"/>
    <n v="96.3"/>
    <n v="96.5"/>
    <n v="0.13"/>
    <n v="45"/>
    <n v="42.89"/>
    <n v="42.89"/>
    <n v="100"/>
    <n v="100"/>
    <n v="100"/>
    <n v="0.11"/>
    <n v="49"/>
    <x v="5"/>
    <m/>
    <s v="Preventive Maintenance"/>
    <n v="212830.59502097327"/>
    <n v="127592.40497902673"/>
    <n v="340423"/>
    <n v="50"/>
    <n v="27.1"/>
    <n v="23.3"/>
    <s v=""/>
    <s v=""/>
    <n v="23.3"/>
    <s v="C"/>
    <n v="50"/>
    <n v="32.1"/>
    <n v="28.3"/>
    <s v=""/>
    <s v=""/>
    <n v="28.3"/>
    <n v="5"/>
    <n v="4"/>
    <n v="10.08"/>
    <n v="5.9659237821985966"/>
    <n v="7.517063965570232"/>
    <n v="45286.697247650212"/>
    <n v="270176.98412698414"/>
    <n v="5"/>
    <n v="340423"/>
    <n v="340423"/>
    <n v="0"/>
    <s v=""/>
    <s v=""/>
    <s v="WA-CO 86900.63S"/>
  </r>
  <r>
    <s v="eGIS Link"/>
    <n v="343"/>
    <s v="NorthBound Visi-Data"/>
    <s v="44525"/>
    <n v="2017"/>
    <n v="7"/>
    <x v="26"/>
    <s v="HO"/>
    <s v="HO-MD 216"/>
    <s v="3.95-4.75(N)"/>
    <s v="MD"/>
    <s v="216"/>
    <s v=""/>
    <n v="3.95"/>
    <n v="4.75"/>
    <s v="N"/>
    <s v="SWEET CHERRY LA"/>
    <s v="SPUR TO PARK &amp; RIDE"/>
    <n v="2"/>
    <n v="1.6"/>
    <s v="DIVIDED"/>
    <s v="URBAN"/>
    <s v="NON-IS"/>
    <n v="7"/>
    <s v="F"/>
    <n v="169.64"/>
    <n v="143.68"/>
    <n v="67"/>
    <n v="74.400000000000006"/>
    <n v="64.5"/>
    <n v="0.21"/>
    <n v="38"/>
    <n v="84.65"/>
    <n v="84.65"/>
    <n v="86.724999999999994"/>
    <n v="92.2"/>
    <n v="84.9"/>
    <n v="0.17"/>
    <n v="35"/>
    <n v="87.27"/>
    <n v="87.27"/>
    <n v="88.6"/>
    <n v="92.8"/>
    <n v="87.2"/>
    <n v="0.17"/>
    <n v="35"/>
    <x v="6"/>
    <m/>
    <s v="Preventive Maintenance"/>
    <n v="177062.61261670003"/>
    <n v="75565.387383299967"/>
    <n v="252628"/>
    <n v="28.5"/>
    <n v="32.799999999999997"/>
    <n v="25"/>
    <s v=""/>
    <s v=""/>
    <n v="25"/>
    <s v="C"/>
    <n v="28.3"/>
    <n v="34.200000000000003"/>
    <n v="28.7"/>
    <s v=""/>
    <s v=""/>
    <n v="28.3"/>
    <n v="3.3000000000000007"/>
    <n v="2"/>
    <n v="6.4"/>
    <n v="2.9829618910992983"/>
    <n v="4.7727390257588773"/>
    <n v="52931.450606568942"/>
    <n v="157892.5"/>
    <n v="3.3"/>
    <n v="252628"/>
    <n v="252628"/>
    <n v="0"/>
    <s v=""/>
    <s v="2001"/>
    <s v="HO-MD 2163.954.75N"/>
  </r>
  <r>
    <s v="eGIS Link"/>
    <n v="279"/>
    <s v="NorthBound Visi-Data"/>
    <s v="44525"/>
    <n v="2017"/>
    <n v="7"/>
    <x v="26"/>
    <s v="HO"/>
    <s v="HO-MD 216"/>
    <s v="4.75-6.84(N)"/>
    <s v="MD"/>
    <s v="216"/>
    <s v=""/>
    <n v="4.75"/>
    <n v="6.84"/>
    <s v="N"/>
    <s v="MURPHY RD"/>
    <s v="FULTON ESTATES CT"/>
    <n v="2.2000000000000002"/>
    <n v="4.5999999999999996"/>
    <s v="UNDIVIDED"/>
    <s v="URBAN"/>
    <s v="NON-IS"/>
    <n v="7"/>
    <s v="F"/>
    <n v="103.47"/>
    <n v="105.66"/>
    <n v="96.4"/>
    <n v="97"/>
    <n v="96.2"/>
    <n v="0.23"/>
    <n v="36"/>
    <n v="92.46"/>
    <n v="92.46"/>
    <n v="86.875"/>
    <n v="87.4"/>
    <n v="86.7"/>
    <n v="0.25"/>
    <n v="40"/>
    <n v="94.89"/>
    <n v="94.89"/>
    <n v="88.924999999999997"/>
    <n v="89.6"/>
    <n v="88.7"/>
    <n v="0.25"/>
    <n v="40"/>
    <x v="6"/>
    <m/>
    <s v="Preventive Maintenance"/>
    <n v="193888.00441205327"/>
    <n v="82745.995587946731"/>
    <n v="276634"/>
    <n v="29.7"/>
    <n v="27.8"/>
    <n v="27.1"/>
    <s v=""/>
    <s v=""/>
    <n v="27.1"/>
    <s v="C"/>
    <n v="29.5"/>
    <n v="31.6"/>
    <n v="30.5"/>
    <s v=""/>
    <s v=""/>
    <n v="29.5"/>
    <n v="2.3999999999999986"/>
    <n v="2"/>
    <n v="18.399999999999999"/>
    <n v="2.9829618910992983"/>
    <n v="13.721624699056772"/>
    <n v="20160.440623260591"/>
    <n v="60137.826086956527"/>
    <n v="2.4"/>
    <n v="276634"/>
    <n v="276634"/>
    <n v="0"/>
    <s v=""/>
    <s v="2002"/>
    <s v="HO-MD 2164.756.84N"/>
  </r>
  <r>
    <s v="eGIS Link"/>
    <n v="186"/>
    <s v="NorthBound Visi-Data"/>
    <s v="44967"/>
    <n v="2017"/>
    <n v="7"/>
    <x v="26"/>
    <s v="HO"/>
    <s v="HO-US 1"/>
    <s v="9.6-11.01(N)"/>
    <s v="US"/>
    <s v="1"/>
    <s v=""/>
    <n v="9.6"/>
    <n v="11.01"/>
    <s v="N"/>
    <s v="MONTGOMERY RD"/>
    <s v="BALTIMORE CO/L"/>
    <n v="3.6"/>
    <n v="5.07"/>
    <s v="UNDIVIDED"/>
    <s v="RURAL"/>
    <s v="NON-IS"/>
    <n v="14"/>
    <s v="FCJ"/>
    <n v="203.63"/>
    <n v="212.85"/>
    <n v="84.8"/>
    <n v="85.2"/>
    <n v="84.7"/>
    <n v="0.18"/>
    <n v="33"/>
    <n v="157.22999999999999"/>
    <n v="157.22999999999999"/>
    <n v="60.024999999999999"/>
    <n v="65.2"/>
    <n v="58.3"/>
    <n v="0.12"/>
    <n v="46"/>
    <n v="77.86"/>
    <n v="77.86"/>
    <n v="100"/>
    <n v="100"/>
    <n v="100"/>
    <n v="0.08"/>
    <n v="49"/>
    <x v="1"/>
    <m/>
    <s v="Minor Rehabilitation"/>
    <n v="654579.58155069395"/>
    <n v="296033.41844930605"/>
    <n v="950613"/>
    <n v="12.9"/>
    <n v="16.7"/>
    <n v="7.4"/>
    <s v=""/>
    <s v=""/>
    <n v="7.4"/>
    <s v="E"/>
    <n v="33.9"/>
    <n v="38.700000000000003"/>
    <n v="31.6"/>
    <s v=""/>
    <s v=""/>
    <n v="31.6"/>
    <n v="24.200000000000003"/>
    <n v="6"/>
    <n v="122.69400000000002"/>
    <n v="18.046919441150759"/>
    <n v="91.497881566634362"/>
    <n v="10389.453654265268"/>
    <n v="187497.63313609466"/>
    <n v="24.2"/>
    <n v="950613"/>
    <n v="950613"/>
    <n v="0"/>
    <s v="SKID_35"/>
    <s v="1994"/>
    <s v="HO-US 19.611.01N"/>
  </r>
  <r>
    <s v="eGIS Link"/>
    <n v="158"/>
    <s v="SouthBound Visi-Data"/>
    <s v="44967"/>
    <n v="2017"/>
    <n v="7"/>
    <x v="26"/>
    <s v="HO"/>
    <s v="HO-US 1"/>
    <s v="1.8-3.2(S)"/>
    <s v="US"/>
    <s v="1"/>
    <s v=""/>
    <n v="1.8"/>
    <n v="3.2"/>
    <s v="S"/>
    <s v="FREESTATE DR"/>
    <s v="RAMP 2 FR COLLECTOR A TO US 1"/>
    <n v="2.9"/>
    <n v="4.0599999999999996"/>
    <s v="DIVIDED"/>
    <s v="URBAN"/>
    <s v="NON-IS"/>
    <n v="14"/>
    <s v="F"/>
    <n v="171.57"/>
    <n v="85.57"/>
    <n v="88.5"/>
    <n v="91.3"/>
    <n v="87.6"/>
    <n v="0.2"/>
    <n v="45"/>
    <n v="144.19"/>
    <n v="144.19"/>
    <n v="75.075000000000003"/>
    <n v="62.1"/>
    <n v="79.400000000000006"/>
    <n v="0.22"/>
    <n v="38"/>
    <n v="57.47"/>
    <n v="57.47"/>
    <n v="100"/>
    <n v="100"/>
    <n v="100"/>
    <n v="0.12"/>
    <n v="49"/>
    <x v="2"/>
    <m/>
    <s v="Structural Overlay"/>
    <n v="587385.31929403986"/>
    <n v="250679.68070596014"/>
    <n v="838065"/>
    <n v="13"/>
    <n v="9.8000000000000007"/>
    <n v="40.700000000000003"/>
    <s v=""/>
    <s v=""/>
    <n v="9.8000000000000007"/>
    <s v="E"/>
    <n v="41.9"/>
    <n v="48.5"/>
    <n v="50"/>
    <s v=""/>
    <s v=""/>
    <n v="41.9"/>
    <n v="32.099999999999994"/>
    <n v="6"/>
    <n v="130.32599999999996"/>
    <n v="23.938269176071866"/>
    <n v="97.189372854851769"/>
    <n v="8623.010678869332"/>
    <n v="206419.95073891629"/>
    <n v="32.1"/>
    <n v="838065"/>
    <n v="838065"/>
    <n v="0"/>
    <s v=""/>
    <s v="2006"/>
    <s v="HO-US 11.83.2S"/>
  </r>
  <r>
    <s v="eGIS Link"/>
    <n v="323"/>
    <s v="SouthBound Visi-Data"/>
    <s v="44522"/>
    <n v="2017"/>
    <n v="7"/>
    <x v="26"/>
    <s v="HO"/>
    <s v="HO-MD 175"/>
    <s v="0-0.54(S)"/>
    <s v="MD"/>
    <s v="175"/>
    <s v=""/>
    <n v="0"/>
    <n v="0.54"/>
    <s v="S"/>
    <s v="ANNE ARUNDEL CO/L"/>
    <s v="OCEANO AVE"/>
    <n v="2.7"/>
    <n v="1.46"/>
    <s v="UNDIVIDED"/>
    <s v="RURAL"/>
    <s v="NON-IS"/>
    <n v="16"/>
    <s v="FCJ"/>
    <n v="110.03"/>
    <n v="114.31"/>
    <n v="93.5"/>
    <n v="76"/>
    <n v="99.3"/>
    <n v="0.17"/>
    <n v="32"/>
    <n v="172.1"/>
    <n v="172.1"/>
    <n v="73.275000000000006"/>
    <n v="88.8"/>
    <n v="68.099999999999994"/>
    <n v="0.14000000000000001"/>
    <n v="43"/>
    <n v="62.78"/>
    <n v="62.78"/>
    <n v="100"/>
    <n v="100"/>
    <n v="100"/>
    <n v="0.08"/>
    <n v="49"/>
    <x v="2"/>
    <m/>
    <s v="Structural Overlay"/>
    <n v="928229.49202414451"/>
    <n v="419791.50797585549"/>
    <n v="1348021"/>
    <n v="14.8"/>
    <n v="50"/>
    <n v="26.6"/>
    <s v=""/>
    <s v=""/>
    <n v="14.8"/>
    <s v="D"/>
    <n v="50"/>
    <n v="50"/>
    <n v="50"/>
    <s v=""/>
    <s v=""/>
    <n v="50"/>
    <n v="35.200000000000003"/>
    <n v="6"/>
    <n v="51.392000000000003"/>
    <n v="26.250064641673827"/>
    <n v="38.325094376843786"/>
    <n v="35173.324995501665"/>
    <n v="923302.05479452061"/>
    <n v="45.2"/>
    <n v="1348021"/>
    <n v="1348021"/>
    <n v="0"/>
    <s v=""/>
    <s v="2002"/>
    <s v="HO-MD 17500.54S"/>
  </r>
  <r>
    <s v="eGIS Link"/>
    <n v="216"/>
    <s v="NorthBound Visi-Data"/>
    <s v="44522"/>
    <n v="2017"/>
    <n v="7"/>
    <x v="26"/>
    <s v="HO"/>
    <s v="HO-MD 175"/>
    <s v="3.25-4.15(N)"/>
    <s v="MD"/>
    <s v="175"/>
    <s v=""/>
    <n v="3.25"/>
    <n v="4.1500000000000004"/>
    <s v="N"/>
    <s v="SPUR TO SNOWDEN RIVER PKWY"/>
    <s v="SPUR TO SNOWDEN RIVER PKWY"/>
    <n v="3.3"/>
    <n v="2.97"/>
    <s v="DIVIDED"/>
    <s v="RURAL"/>
    <s v="NON-IS"/>
    <n v="12"/>
    <s v="F"/>
    <n v="93.45"/>
    <n v="85.79"/>
    <n v="91.9"/>
    <n v="71.5"/>
    <n v="98.6"/>
    <n v="0.2"/>
    <n v="41"/>
    <n v="206.45"/>
    <n v="206.45"/>
    <n v="86.1"/>
    <n v="87.6"/>
    <n v="85.6"/>
    <n v="0.18"/>
    <n v="56"/>
    <n v="70.099999999999994"/>
    <n v="70.099999999999994"/>
    <n v="100"/>
    <n v="100"/>
    <n v="100"/>
    <n v="0.08"/>
    <n v="49"/>
    <x v="2"/>
    <m/>
    <s v="Structural Overlay"/>
    <n v="739816.98949886451"/>
    <n v="334582.01050113549"/>
    <n v="1074399"/>
    <n v="11.7"/>
    <n v="50"/>
    <n v="46.9"/>
    <s v=""/>
    <s v=""/>
    <n v="11.7"/>
    <s v="D"/>
    <n v="50"/>
    <n v="50"/>
    <n v="50"/>
    <s v=""/>
    <s v=""/>
    <n v="50"/>
    <n v="38.299999999999997"/>
    <n v="6"/>
    <n v="113.751"/>
    <n v="28.561860107275777"/>
    <n v="84.828724518609064"/>
    <n v="12665.509308280436"/>
    <n v="361750.50505050505"/>
    <n v="48.2"/>
    <n v="1074399"/>
    <n v="1074399"/>
    <n v="0"/>
    <s v=""/>
    <s v="2001"/>
    <s v="HO-MD 1753.254.15N"/>
  </r>
  <r>
    <s v="eGIS Link"/>
    <n v="203"/>
    <s v="NorthBound Visi-Data"/>
    <s v="44970"/>
    <n v="2017"/>
    <n v="7"/>
    <x v="26"/>
    <s v="HO"/>
    <s v="HO-US 29"/>
    <s v="4.7-5.65(N)"/>
    <s v="US"/>
    <s v="29"/>
    <s v=""/>
    <n v="4.7"/>
    <n v="5.65"/>
    <s v="N"/>
    <s v="EXIT # 17"/>
    <s v="RAMP 1 FR US 29 TO CO 1161"/>
    <n v="3.2"/>
    <n v="3.04"/>
    <s v="DIVIDED"/>
    <s v="URBAN"/>
    <s v="NON-IS"/>
    <n v="12"/>
    <s v="F"/>
    <n v="135.58000000000001"/>
    <n v="122.35"/>
    <n v="92"/>
    <n v="76.5"/>
    <n v="97.2"/>
    <n v="0.13"/>
    <n v="47"/>
    <n v="82.84"/>
    <n v="82.84"/>
    <n v="83.75"/>
    <n v="90.8"/>
    <n v="81.400000000000006"/>
    <n v="0.16"/>
    <n v="42"/>
    <n v="62.64"/>
    <n v="62.64"/>
    <n v="100"/>
    <n v="100"/>
    <n v="100"/>
    <n v="0.14000000000000001"/>
    <n v="49"/>
    <x v="5"/>
    <m/>
    <s v="Preventive Maintenance"/>
    <n v="148882.21905193423"/>
    <n v="63538.780948065774"/>
    <n v="212421"/>
    <n v="28.4"/>
    <n v="50"/>
    <n v="50"/>
    <s v=""/>
    <s v=""/>
    <n v="28.4"/>
    <s v="C"/>
    <n v="33.799999999999997"/>
    <n v="50"/>
    <n v="50"/>
    <s v=""/>
    <s v=""/>
    <n v="33.799999999999997"/>
    <n v="5.3999999999999986"/>
    <n v="4"/>
    <n v="24.32"/>
    <n v="5.9659237821985966"/>
    <n v="18.136408297883733"/>
    <n v="11712.407247954745"/>
    <n v="69875.328947368427"/>
    <n v="5.4"/>
    <n v="212421"/>
    <n v="212421"/>
    <n v="0"/>
    <s v=""/>
    <s v="1992"/>
    <s v="HO-US 294.75.65N"/>
  </r>
  <r>
    <s v="eGIS Link"/>
    <n v="185"/>
    <s v="NorthBound Visi-Data"/>
    <s v="44498"/>
    <n v="2017"/>
    <n v="7"/>
    <x v="26"/>
    <s v="HO"/>
    <s v="HO-MD 27"/>
    <s v="0-1.26(N)"/>
    <s v="MD"/>
    <s v="27"/>
    <s v=""/>
    <n v="0"/>
    <n v="1.26"/>
    <s v="N"/>
    <s v="MONTGOMERY CO/L"/>
    <s v="FREDERICK CO/L"/>
    <n v="2"/>
    <n v="2.52"/>
    <s v="UNDIVIDED"/>
    <s v="RURAL"/>
    <s v="NON-IS"/>
    <n v="6"/>
    <s v="F"/>
    <n v="141.53"/>
    <n v="142.26"/>
    <n v="82.9"/>
    <n v="85.3"/>
    <n v="82.1"/>
    <n v="0.18"/>
    <n v="45"/>
    <n v="139.16999999999999"/>
    <n v="139.16999999999999"/>
    <n v="79.125"/>
    <n v="83.1"/>
    <n v="77.8"/>
    <n v="0.22"/>
    <n v="40"/>
    <n v="91.89"/>
    <n v="91.89"/>
    <n v="100"/>
    <n v="100"/>
    <n v="100"/>
    <n v="0.19"/>
    <n v="49"/>
    <x v="5"/>
    <m/>
    <s v="Preventive Maintenance"/>
    <n v="189535.58762669264"/>
    <n v="85717.412373307365"/>
    <n v="275253"/>
    <n v="22.5"/>
    <n v="50"/>
    <n v="38.799999999999997"/>
    <s v=""/>
    <s v=""/>
    <n v="22.5"/>
    <s v="C"/>
    <n v="36.9"/>
    <n v="50"/>
    <n v="50"/>
    <s v=""/>
    <s v=""/>
    <n v="36.9"/>
    <n v="14.399999999999999"/>
    <n v="4"/>
    <n v="36.287999999999997"/>
    <n v="10.738662807957473"/>
    <n v="27.061430276052832"/>
    <n v="10171.413602021492"/>
    <n v="109227.38095238095"/>
    <n v="14.4"/>
    <n v="275253"/>
    <n v="275253"/>
    <n v="0"/>
    <s v=""/>
    <s v="1979"/>
    <s v="HO-MD 2701.26N"/>
  </r>
  <r>
    <s v="eGIS Link"/>
    <n v="422"/>
    <s v="SouthBound Visi-Data"/>
    <s v="44531"/>
    <n v="2017"/>
    <n v="7"/>
    <x v="26"/>
    <s v="HO"/>
    <s v="HO-MD 216J"/>
    <s v="0-0.032(S)"/>
    <s v="MD"/>
    <s v="216"/>
    <s v="J"/>
    <n v="0"/>
    <n v="3.2000000000000001E-2"/>
    <s v="S"/>
    <s v=""/>
    <s v=""/>
    <n v="2"/>
    <n v="0.06"/>
    <s v="DIVIDED"/>
    <s v="RURAL"/>
    <s v="NON-IS"/>
    <n v="9"/>
    <s v=""/>
    <s v=""/>
    <s v=""/>
    <s v=""/>
    <s v=""/>
    <s v=""/>
    <s v=""/>
    <s v=""/>
    <n v="105.89"/>
    <n v="105.89"/>
    <n v="91.575000000000003"/>
    <n v="92.4"/>
    <n v="91.3"/>
    <n v="0.23"/>
    <n v="36"/>
    <n v="74.23"/>
    <n v="74.23"/>
    <n v="100"/>
    <n v="100"/>
    <n v="100"/>
    <n v="0.2"/>
    <n v="49"/>
    <x v="5"/>
    <m/>
    <s v="Preventive Maintenance"/>
    <n v="342027.27016405587"/>
    <n v="154681.72983594413"/>
    <n v="496709"/>
    <n v="32.5"/>
    <n v="50"/>
    <n v="50"/>
    <s v=""/>
    <s v=""/>
    <n v="32.5"/>
    <s v="B"/>
    <n v="44.3"/>
    <n v="50"/>
    <n v="50"/>
    <s v=""/>
    <s v=""/>
    <n v="44.3"/>
    <n v="11.799999999999997"/>
    <n v="4"/>
    <n v="0.70799999999999985"/>
    <n v="8.7997375787429277"/>
    <n v="0.52798425472457566"/>
    <n v="940764.79659248458"/>
    <n v="8278483.333333334"/>
    <n v="11.8"/>
    <n v="496709"/>
    <n v="496709"/>
    <n v="0"/>
    <s v=""/>
    <s v=""/>
    <s v="HO-MD 216J00.032S"/>
  </r>
  <r>
    <s v="eGIS Link"/>
    <n v="97"/>
    <s v="EastBound Visi-Data"/>
    <s v="44503"/>
    <n v="2017"/>
    <n v="7"/>
    <x v="26"/>
    <s v="HO"/>
    <s v="HO-MD 99"/>
    <s v="0-2.32(E)"/>
    <s v="MD"/>
    <s v="99"/>
    <s v=""/>
    <n v="0"/>
    <n v="2.3199999999999998"/>
    <s v="E"/>
    <s v="OLD FREDERICK RD (BACK)"/>
    <s v="MARIOTT MANOR FARM RD"/>
    <n v="2.1"/>
    <n v="4.87"/>
    <s v="UNDIVIDED"/>
    <s v="RURAL"/>
    <s v="NON-IS"/>
    <n v="7"/>
    <s v="FCJ"/>
    <n v="148.07"/>
    <n v="152.97"/>
    <n v="65.900000000000006"/>
    <n v="71"/>
    <n v="64.3"/>
    <n v="0.12"/>
    <n v="46"/>
    <n v="105.65"/>
    <n v="105.65"/>
    <n v="84.075000000000003"/>
    <n v="79.8"/>
    <n v="85.5"/>
    <n v="0.16"/>
    <n v="37"/>
    <n v="74.099999999999994"/>
    <n v="74.099999999999994"/>
    <n v="100"/>
    <n v="100"/>
    <n v="100"/>
    <n v="0.14000000000000001"/>
    <n v="49"/>
    <x v="5"/>
    <m/>
    <s v="Preventive Maintenance"/>
    <n v="163649.54334870019"/>
    <n v="74010.456651299814"/>
    <n v="237660"/>
    <n v="32.6"/>
    <n v="50"/>
    <n v="46.8"/>
    <s v=""/>
    <s v=""/>
    <n v="32.6"/>
    <s v="B"/>
    <n v="44.4"/>
    <n v="50"/>
    <n v="50"/>
    <s v=""/>
    <s v=""/>
    <n v="44.4"/>
    <n v="11.799999999999997"/>
    <n v="4"/>
    <n v="57.465999999999987"/>
    <n v="8.7997375787429277"/>
    <n v="42.854722008478056"/>
    <n v="5545.7132577591601"/>
    <n v="48800.821355236141"/>
    <n v="11.8"/>
    <n v="237660"/>
    <n v="237660"/>
    <n v="0"/>
    <s v=""/>
    <s v="2000"/>
    <s v="HO-MD 9902.32E"/>
  </r>
  <r>
    <s v="eGIS Link"/>
    <n v="227"/>
    <s v="NorthBound Visi-Data"/>
    <s v="44525"/>
    <n v="2017"/>
    <n v="7"/>
    <x v="26"/>
    <s v="HO"/>
    <s v="HO-MD 216"/>
    <s v="0-0.88(N)"/>
    <s v="MD"/>
    <s v="216"/>
    <s v=""/>
    <n v="0"/>
    <n v="0.88"/>
    <s v="N"/>
    <s v="STRUC #13044 PATUXENT RIVER"/>
    <s v="SPEED LIMIT 55 MPH"/>
    <n v="2.5"/>
    <n v="2.2000000000000002"/>
    <s v="DIVIDED"/>
    <s v="URBAN"/>
    <s v="NON-IS"/>
    <n v="16"/>
    <s v="F"/>
    <n v="140.31"/>
    <n v="120.54"/>
    <n v="84.3"/>
    <n v="92.6"/>
    <n v="81.5"/>
    <n v="0.22"/>
    <n v="30"/>
    <n v="115.3"/>
    <n v="115.3"/>
    <n v="79.55"/>
    <n v="79.099999999999994"/>
    <n v="79.7"/>
    <n v="0.21"/>
    <n v="36"/>
    <n v="80.180000000000007"/>
    <n v="80.180000000000007"/>
    <n v="100"/>
    <n v="100"/>
    <n v="100"/>
    <n v="0.18"/>
    <n v="49"/>
    <x v="5"/>
    <m/>
    <s v="Preventive Maintenance"/>
    <n v="121486.11330767162"/>
    <n v="51846.886692328379"/>
    <n v="173333"/>
    <n v="18.100000000000001"/>
    <n v="35"/>
    <n v="41.3"/>
    <s v=""/>
    <s v=""/>
    <n v="18.100000000000001"/>
    <s v="D"/>
    <n v="26.2"/>
    <n v="48.5"/>
    <n v="50"/>
    <s v=""/>
    <s v=""/>
    <n v="26.2"/>
    <n v="8.0999999999999979"/>
    <n v="4"/>
    <n v="17.819999999999997"/>
    <n v="6.0404978294760774"/>
    <n v="13.289095224847371"/>
    <n v="13043.250655312449"/>
    <n v="78787.727272727265"/>
    <n v="8.1"/>
    <n v="173333"/>
    <n v="173333"/>
    <n v="0"/>
    <s v="SKID_30"/>
    <s v="2001"/>
    <s v="HO-MD 21600.88N"/>
  </r>
  <r>
    <s v="eGIS Link"/>
    <n v="81"/>
    <s v="West Bound Visi-Data"/>
    <s v="44503"/>
    <n v="2017"/>
    <n v="7"/>
    <x v="26"/>
    <s v="HO"/>
    <s v="HO-MD 99"/>
    <s v="0-2.32(W)"/>
    <s v="MD"/>
    <s v="99"/>
    <s v=""/>
    <n v="0"/>
    <n v="2.3199999999999998"/>
    <s v="W"/>
    <s v="OLD FREDERICK RD (BACK)"/>
    <s v="MARIOTT MANOR FARM RD"/>
    <n v="2.1"/>
    <n v="4.87"/>
    <s v="UNDIVIDED"/>
    <s v="RURAL"/>
    <s v="NON-IS"/>
    <n v="7"/>
    <s v="FCJ"/>
    <n v="148.84"/>
    <n v="159.5"/>
    <n v="76.599999999999994"/>
    <n v="81.7"/>
    <n v="74.900000000000006"/>
    <n v="0.15"/>
    <n v="43"/>
    <n v="112.36"/>
    <n v="112.36"/>
    <n v="85.724999999999994"/>
    <n v="86.1"/>
    <n v="85.6"/>
    <n v="0.17"/>
    <n v="41"/>
    <n v="77.63"/>
    <n v="77.63"/>
    <n v="100"/>
    <n v="100"/>
    <n v="100"/>
    <n v="0.14000000000000001"/>
    <n v="49"/>
    <x v="5"/>
    <m/>
    <s v="Preventive Maintenance"/>
    <n v="148772.62512919054"/>
    <n v="67282.374870809464"/>
    <n v="216055"/>
    <n v="30.3"/>
    <n v="50"/>
    <n v="46.9"/>
    <s v=""/>
    <s v=""/>
    <n v="30.3"/>
    <s v="B"/>
    <n v="42.7"/>
    <n v="50"/>
    <n v="50"/>
    <s v=""/>
    <s v=""/>
    <n v="42.7"/>
    <n v="12.400000000000002"/>
    <n v="4"/>
    <n v="60.388000000000012"/>
    <n v="9.2471818624078264"/>
    <n v="45.033775669926115"/>
    <n v="4797.6212695015738"/>
    <n v="44364.476386036957"/>
    <n v="12.4"/>
    <n v="216055"/>
    <n v="216055"/>
    <n v="0"/>
    <s v=""/>
    <s v="2000"/>
    <s v="HO-MD 9902.32W"/>
  </r>
  <r>
    <s v="eGIS Link"/>
    <n v="92"/>
    <s v="NorthBound Visi-Data"/>
    <s v="44522"/>
    <n v="2017"/>
    <n v="7"/>
    <x v="26"/>
    <s v="HO"/>
    <s v="HO-MD 175"/>
    <s v="2.3-3.25(N)"/>
    <s v="MD"/>
    <s v="175"/>
    <s v=""/>
    <n v="2.2999999999999998"/>
    <n v="3.25"/>
    <s v="N"/>
    <s v="RAMP 8 FR IS 95 TO MD 175"/>
    <s v="STRUC #13092"/>
    <n v="4.2"/>
    <n v="3.99"/>
    <s v="DIVIDED"/>
    <s v="RURAL"/>
    <s v="NON-IS"/>
    <n v="12"/>
    <s v="F"/>
    <n v="77.87"/>
    <n v="72.06"/>
    <n v="97.9"/>
    <n v="94.3"/>
    <n v="99.1"/>
    <n v="0.2"/>
    <n v="32"/>
    <n v="116.27"/>
    <n v="116.27"/>
    <n v="95.174999999999997"/>
    <n v="96.3"/>
    <n v="94.8"/>
    <n v="0.21"/>
    <n v="44"/>
    <n v="79.61"/>
    <n v="79.61"/>
    <n v="100"/>
    <n v="100"/>
    <n v="100"/>
    <n v="0.18"/>
    <n v="49"/>
    <x v="5"/>
    <m/>
    <s v="Preventive Maintenance"/>
    <n v="128132.23523658223"/>
    <n v="57947.76476341777"/>
    <n v="186080"/>
    <n v="32.799999999999997"/>
    <n v="50"/>
    <n v="50"/>
    <s v=""/>
    <s v=""/>
    <n v="32.799999999999997"/>
    <s v="B"/>
    <n v="44.5"/>
    <n v="50"/>
    <n v="50"/>
    <s v=""/>
    <s v=""/>
    <n v="44.5"/>
    <n v="11.700000000000003"/>
    <n v="4"/>
    <n v="46.683000000000014"/>
    <n v="8.7251635314654497"/>
    <n v="34.813402490547148"/>
    <n v="5345.0678959210072"/>
    <n v="46636.591478696741"/>
    <n v="11.6"/>
    <n v="186080"/>
    <n v="186080"/>
    <n v="0"/>
    <s v="SKID_35"/>
    <s v="1994"/>
    <s v="HO-MD 1752.33.25N"/>
  </r>
  <r>
    <s v="eGIS Link"/>
    <n v="250"/>
    <s v="SouthBound Visi-Data"/>
    <s v="44970"/>
    <n v="2017"/>
    <n v="7"/>
    <x v="26"/>
    <s v="HO"/>
    <s v="HO-US 29"/>
    <s v="8.45-9.75(S)"/>
    <s v="US"/>
    <s v="29"/>
    <s v=""/>
    <n v="8.4499999999999993"/>
    <n v="9.75"/>
    <s v="S"/>
    <s v="RAMP 4 FR US 29 TO MD 108"/>
    <s v="RAMP 4 FR US 29 TO MD 100"/>
    <n v="3.3"/>
    <n v="4.29"/>
    <s v="DIVIDED"/>
    <s v="URBAN"/>
    <s v="NON-IS"/>
    <n v="12"/>
    <s v="FCJ"/>
    <n v="59.8"/>
    <n v="55.96"/>
    <n v="98.6"/>
    <n v="95.4"/>
    <n v="99.7"/>
    <n v="0.14000000000000001"/>
    <n v="46"/>
    <n v="146.08000000000001"/>
    <n v="146.08000000000001"/>
    <n v="78.724999999999994"/>
    <n v="79.400000000000006"/>
    <n v="78.5"/>
    <n v="0.17"/>
    <n v="43"/>
    <n v="97.49"/>
    <n v="97.49"/>
    <n v="100"/>
    <n v="100"/>
    <n v="100"/>
    <n v="0.14000000000000001"/>
    <n v="49"/>
    <x v="5"/>
    <m/>
    <s v="Preventive Maintenance"/>
    <n v="282325.39242911874"/>
    <n v="120488.60757088126"/>
    <n v="402814"/>
    <n v="9.5"/>
    <n v="34.1"/>
    <n v="34.6"/>
    <s v=""/>
    <s v=""/>
    <n v="9.5"/>
    <s v="E"/>
    <n v="16.899999999999999"/>
    <n v="47.1"/>
    <n v="50"/>
    <s v=""/>
    <s v=""/>
    <n v="16.899999999999999"/>
    <n v="7.3999999999999986"/>
    <n v="4"/>
    <n v="34.32"/>
    <n v="5.9659237821985966"/>
    <n v="25.593813025631981"/>
    <n v="15738.725589523738"/>
    <n v="93896.037296037292"/>
    <n v="7.4"/>
    <n v="402814"/>
    <n v="402814"/>
    <n v="0"/>
    <s v=""/>
    <s v="2002"/>
    <s v="HO-US 298.459.75S"/>
  </r>
  <r>
    <s v="eGIS Link"/>
    <n v="246"/>
    <s v="NorthBound Visi-Data"/>
    <s v="44547"/>
    <n v="2017"/>
    <n v="7"/>
    <x v="26"/>
    <s v="HO"/>
    <s v="HO-MD 983A"/>
    <s v="0-0.71(N)"/>
    <s v="MD"/>
    <s v="983"/>
    <s v="A"/>
    <n v="0"/>
    <n v="0.71"/>
    <s v="N"/>
    <s v="CUL DE SAC"/>
    <s v="LEISHEAR RD"/>
    <n v="2.1"/>
    <n v="1.49"/>
    <s v="UNDIVIDED"/>
    <s v="RURAL"/>
    <s v="NON-IS"/>
    <n v="19"/>
    <s v="F"/>
    <s v=""/>
    <s v=""/>
    <s v=""/>
    <s v=""/>
    <s v=""/>
    <s v=""/>
    <s v=""/>
    <n v="111.49"/>
    <n v="111.49"/>
    <n v="83.65"/>
    <n v="85"/>
    <n v="83.2"/>
    <n v="0.14000000000000001"/>
    <n v="38"/>
    <n v="77.180000000000007"/>
    <n v="77.180000000000007"/>
    <n v="100"/>
    <n v="100"/>
    <n v="100"/>
    <n v="0.12"/>
    <n v="49"/>
    <x v="5"/>
    <m/>
    <s v="Preventive Maintenance"/>
    <n v="141333.8217260263"/>
    <n v="63918.178273973695"/>
    <n v="205252"/>
    <n v="30.6"/>
    <n v="50"/>
    <n v="44.6"/>
    <s v=""/>
    <s v=""/>
    <n v="30.6"/>
    <s v="B"/>
    <n v="42.9"/>
    <n v="50"/>
    <n v="50"/>
    <s v=""/>
    <s v=""/>
    <n v="42.9"/>
    <n v="12.299999999999997"/>
    <n v="4"/>
    <n v="18.326999999999995"/>
    <n v="9.1726078151303412"/>
    <n v="13.667185644544208"/>
    <n v="15017.86873597743"/>
    <n v="137753.02013422819"/>
    <n v="12.3"/>
    <n v="205252"/>
    <n v="205252"/>
    <n v="0"/>
    <s v=""/>
    <s v="2004"/>
    <s v="HO-MD 983A00.71N"/>
  </r>
  <r>
    <s v="eGIS Link"/>
    <n v="427"/>
    <s v="NorthBound Visi-Data"/>
    <s v="34840"/>
    <n v="2017"/>
    <n v="7"/>
    <x v="27"/>
    <s v="FR"/>
    <s v="FR-US 15 RP1-29"/>
    <s v="0-0.23(N)"/>
    <s v="US"/>
    <s v="15"/>
    <s v=""/>
    <n v="0"/>
    <n v="0.23"/>
    <s v="N"/>
    <s v=""/>
    <s v=""/>
    <n v="1"/>
    <n v="0.23"/>
    <s v="UNDIVIDED"/>
    <s v="URBAN"/>
    <s v="NON-IS"/>
    <n v="12"/>
    <s v=""/>
    <s v=""/>
    <s v=""/>
    <s v=""/>
    <s v=""/>
    <s v=""/>
    <s v=""/>
    <s v=""/>
    <n v="83.77"/>
    <n v="83.77"/>
    <n v="88.625"/>
    <n v="88.7"/>
    <n v="88.6"/>
    <n v="0.19"/>
    <n v="46"/>
    <n v="84.22"/>
    <n v="84.22"/>
    <n v="90.25"/>
    <n v="90.4"/>
    <n v="90.2"/>
    <n v="0.19"/>
    <n v="46"/>
    <x v="6"/>
    <m/>
    <s v="Preventive Maintenance"/>
    <n v="573651.52140059881"/>
    <n v="244818.47859940119"/>
    <n v="818470"/>
    <s v=""/>
    <n v="29.6"/>
    <n v="29.4"/>
    <s v=""/>
    <s v=""/>
    <n v="29.4"/>
    <s v="C"/>
    <s v=""/>
    <n v="32.299999999999997"/>
    <n v="32.4"/>
    <s v=""/>
    <s v=""/>
    <n v="32.299999999999997"/>
    <n v="2.8999999999999986"/>
    <n v="2"/>
    <n v="0.92"/>
    <n v="2.9829618910992983"/>
    <n v="0.68608123495283868"/>
    <n v="1192963.6875380534"/>
    <n v="3558565.2173913042"/>
    <n v="2.9"/>
    <n v="818470"/>
    <n v="818470"/>
    <n v="0"/>
    <s v=""/>
    <s v=""/>
    <s v="FR-US 15 RP1-2900.23N"/>
  </r>
  <r>
    <s v="eGIS Link"/>
    <n v="263"/>
    <s v="SouthBound Visi-Data"/>
    <s v="34996"/>
    <n v="2017"/>
    <n v="7"/>
    <x v="27"/>
    <s v="FR"/>
    <s v="FR-US 15"/>
    <s v="16.6-22.74(S)"/>
    <s v="US"/>
    <s v="15"/>
    <s v=""/>
    <n v="16.600000000000001"/>
    <n v="22.74"/>
    <s v="S"/>
    <s v="ATR STATION #0030"/>
    <s v="ANGLEBERGER RD"/>
    <n v="2.4"/>
    <n v="14.73"/>
    <s v="DIVIDED"/>
    <s v="URBAN"/>
    <s v="NON-IS"/>
    <n v="2"/>
    <s v="F"/>
    <n v="52.67"/>
    <n v="58.75"/>
    <n v="99.8"/>
    <n v="99.2"/>
    <n v="100"/>
    <n v="0.11"/>
    <n v="41"/>
    <n v="56.5"/>
    <n v="56.5"/>
    <n v="89.474999999999994"/>
    <n v="91.2"/>
    <n v="88.9"/>
    <n v="0.12"/>
    <n v="54"/>
    <n v="57.1"/>
    <n v="57.1"/>
    <n v="90.974999999999994"/>
    <n v="92.4"/>
    <n v="90.5"/>
    <n v="0.12"/>
    <n v="54"/>
    <x v="6"/>
    <m/>
    <s v="Preventive Maintenance"/>
    <n v="561900.52086569532"/>
    <n v="239803.47913430468"/>
    <n v="801704"/>
    <s v=""/>
    <n v="41"/>
    <n v="33.5"/>
    <s v=""/>
    <s v=""/>
    <n v="33.5"/>
    <s v="B"/>
    <s v=""/>
    <n v="43.7"/>
    <n v="36.700000000000003"/>
    <s v=""/>
    <s v=""/>
    <n v="36.700000000000003"/>
    <n v="3.2000000000000028"/>
    <n v="2"/>
    <n v="58.92"/>
    <n v="2.9829618910992983"/>
    <n v="43.939028655892663"/>
    <n v="18245.828925316571"/>
    <n v="54426.612355736594"/>
    <n v="3.2"/>
    <n v="801704"/>
    <n v="801704"/>
    <n v="0"/>
    <s v=""/>
    <s v="2009"/>
    <s v="FR-US 1516.622.74S"/>
  </r>
  <r>
    <s v="eGIS Link"/>
    <n v="409"/>
    <s v="West Bound Visi-Data"/>
    <s v="34463"/>
    <n v="2017"/>
    <n v="7"/>
    <x v="27"/>
    <s v="FR"/>
    <s v="FR-MD 28"/>
    <s v="4.73-4.78(W)"/>
    <s v="MD"/>
    <s v="28"/>
    <s v=""/>
    <n v="4.7300000000000004"/>
    <n v="4.78"/>
    <s v="W"/>
    <s v="BUCKEYSTOWN PIKE"/>
    <s v="SPEED LIMIT 50 MPH"/>
    <n v="3"/>
    <n v="0.15"/>
    <s v="UNDIVIDED"/>
    <s v="URBAN"/>
    <s v="NON-IS"/>
    <n v="6"/>
    <s v="F"/>
    <n v="233.37"/>
    <n v="174.33"/>
    <s v=""/>
    <s v=""/>
    <s v=""/>
    <n v="0.19"/>
    <n v="52"/>
    <n v="89.07"/>
    <n v="89.07"/>
    <n v="83.775000000000006"/>
    <n v="87.6"/>
    <n v="82.5"/>
    <n v="0.21"/>
    <n v="47"/>
    <n v="91.84"/>
    <n v="91.84"/>
    <n v="86.325000000000003"/>
    <n v="89.7"/>
    <n v="85.2"/>
    <n v="0.21"/>
    <n v="47"/>
    <x v="6"/>
    <m/>
    <s v="Preventive Maintenance"/>
    <n v="115264.37695145438"/>
    <n v="49191.623048545618"/>
    <n v="164456"/>
    <n v="25.9"/>
    <n v="28.1"/>
    <n v="22.5"/>
    <s v=""/>
    <s v=""/>
    <n v="22.5"/>
    <s v="C"/>
    <n v="25.8"/>
    <n v="31.7"/>
    <n v="26.4"/>
    <s v=""/>
    <s v=""/>
    <n v="25.8"/>
    <n v="3.3000000000000007"/>
    <n v="2"/>
    <n v="0.6"/>
    <n v="2.9829618910992983"/>
    <n v="0.44744428366489475"/>
    <n v="367545.20284176059"/>
    <n v="1096373.3333333335"/>
    <n v="3.3"/>
    <n v="164456"/>
    <n v="164456"/>
    <n v="0"/>
    <s v=""/>
    <s v="1988"/>
    <s v="FR-MD 284.734.78W"/>
  </r>
  <r>
    <s v="eGIS Link"/>
    <n v="397"/>
    <s v="NorthBound Visi-Data"/>
    <s v="34506"/>
    <n v="2017"/>
    <n v="7"/>
    <x v="27"/>
    <s v="FR"/>
    <s v="FR-MD 874D"/>
    <s v="0-0.08(N)"/>
    <s v="MD"/>
    <s v="874"/>
    <s v="D"/>
    <n v="0"/>
    <n v="0.08"/>
    <s v="N"/>
    <s v="EIGHTH ALLEY (BACK)"/>
    <s v="OUT CORP LMTS NEW MARKET"/>
    <n v="2"/>
    <n v="0.16"/>
    <s v="UNDIVIDED"/>
    <s v="URBAN"/>
    <s v="NON-IS"/>
    <n v="19"/>
    <s v="F"/>
    <s v=""/>
    <s v=""/>
    <s v=""/>
    <s v=""/>
    <s v=""/>
    <s v=""/>
    <s v=""/>
    <n v="213.29"/>
    <n v="213.29"/>
    <n v="88.525000000000006"/>
    <n v="87.1"/>
    <n v="89"/>
    <n v="0.25"/>
    <n v="60"/>
    <n v="103.97"/>
    <n v="103.97"/>
    <n v="87.825000000000003"/>
    <n v="86.4"/>
    <n v="88.3"/>
    <n v="0.25"/>
    <n v="60"/>
    <x v="3"/>
    <m/>
    <s v="Preventive Maintenance"/>
    <n v="443850.13490038901"/>
    <n v="189422.86509961099"/>
    <n v="633273"/>
    <n v="3.6"/>
    <n v="50"/>
    <n v="42.2"/>
    <s v=""/>
    <s v=""/>
    <n v="3.6"/>
    <s v="E"/>
    <n v="25.5"/>
    <n v="50"/>
    <n v="42.2"/>
    <s v=""/>
    <s v=""/>
    <n v="25.5"/>
    <n v="21.9"/>
    <n v="5"/>
    <n v="3.504"/>
    <n v="16.331716353768659"/>
    <n v="2.6130746166029857"/>
    <n v="242347.84417417788"/>
    <n v="3957956.25"/>
    <n v="21.9"/>
    <n v="633273"/>
    <n v="633273"/>
    <n v="0"/>
    <s v=""/>
    <s v="1975"/>
    <s v="FR-MD 874D00.08N"/>
  </r>
  <r>
    <s v="eGIS Link"/>
    <n v="36"/>
    <s v="SouthBound Visi-Data"/>
    <s v="34480"/>
    <n v="2017"/>
    <n v="7"/>
    <x v="27"/>
    <s v="FR"/>
    <s v="FR-MD 194"/>
    <s v="0-3.2(S)"/>
    <s v="MD"/>
    <s v="194"/>
    <s v=""/>
    <n v="0"/>
    <n v="3.2"/>
    <s v="S"/>
    <s v="LIBERTY RD"/>
    <s v="DEER RUN DR"/>
    <n v="2.5"/>
    <n v="8"/>
    <s v="UNDIVIDED"/>
    <s v="URBAN"/>
    <s v="NON-IS"/>
    <n v="14"/>
    <s v="F"/>
    <n v="108.35"/>
    <n v="96.76"/>
    <n v="90.2"/>
    <n v="91"/>
    <n v="90"/>
    <n v="0.16"/>
    <n v="44"/>
    <n v="145.72999999999999"/>
    <n v="145.72999999999999"/>
    <n v="65.099999999999994"/>
    <n v="69.3"/>
    <n v="63.7"/>
    <n v="0.19"/>
    <n v="47"/>
    <n v="73.36"/>
    <n v="73.36"/>
    <n v="100"/>
    <n v="100"/>
    <n v="100"/>
    <n v="0.08"/>
    <n v="49"/>
    <x v="1"/>
    <m/>
    <s v="Minor Rehabilitation"/>
    <n v="210104.32907959839"/>
    <n v="89666.670920401608"/>
    <n v="299771"/>
    <n v="22.3"/>
    <n v="17.2"/>
    <n v="13.4"/>
    <s v=""/>
    <s v=""/>
    <n v="13.4"/>
    <s v="D"/>
    <n v="49.6"/>
    <n v="40.200000000000003"/>
    <n v="39.200000000000003"/>
    <s v=""/>
    <s v=""/>
    <n v="39.200000000000003"/>
    <n v="25.800000000000004"/>
    <n v="6"/>
    <n v="206.40000000000003"/>
    <n v="19.240104197590476"/>
    <n v="153.92083358072381"/>
    <n v="1947.566115816187"/>
    <n v="37471.375"/>
    <n v="25.8"/>
    <n v="299771"/>
    <n v="299771"/>
    <n v="0"/>
    <s v=""/>
    <s v="1996"/>
    <s v="FR-MD 19403.2S"/>
  </r>
  <r>
    <s v="eGIS Link"/>
    <n v="164"/>
    <s v="SouthBound Visi-Data"/>
    <s v="34465"/>
    <n v="2017"/>
    <n v="7"/>
    <x v="27"/>
    <s v="FR"/>
    <s v="FR-MD 75"/>
    <s v="19.6-23.1(S)"/>
    <s v="MD"/>
    <s v="75"/>
    <s v=""/>
    <n v="19.600000000000001"/>
    <n v="23.1"/>
    <s v="S"/>
    <s v="CLOVER DR"/>
    <s v="STRUC #6012 SAMS CREEK"/>
    <n v="2"/>
    <n v="7"/>
    <s v="UNDIVIDED"/>
    <s v="RURAL"/>
    <s v="NON-IS"/>
    <n v="7"/>
    <s v="FCJ"/>
    <n v="90.03"/>
    <n v="96.88"/>
    <n v="96.4"/>
    <n v="96.7"/>
    <n v="96.3"/>
    <n v="0.2"/>
    <n v="50"/>
    <n v="116.92"/>
    <n v="116.92"/>
    <n v="72.275000000000006"/>
    <n v="76.7"/>
    <n v="70.8"/>
    <n v="0.16"/>
    <n v="43"/>
    <n v="63.99"/>
    <n v="63.99"/>
    <n v="100"/>
    <n v="100"/>
    <n v="100"/>
    <n v="0.08"/>
    <n v="49"/>
    <x v="1"/>
    <m/>
    <s v="Minor Rehabilitation"/>
    <n v="521970.84340529284"/>
    <n v="236061.15659470716"/>
    <n v="758032"/>
    <n v="20.8"/>
    <n v="23.9"/>
    <n v="15"/>
    <s v=""/>
    <s v=""/>
    <n v="15"/>
    <s v="D"/>
    <n v="39.299999999999997"/>
    <n v="38.700000000000003"/>
    <n v="31.6"/>
    <s v=""/>
    <s v=""/>
    <n v="31.6"/>
    <n v="16.600000000000001"/>
    <n v="6"/>
    <n v="116.20000000000002"/>
    <n v="12.37929184806209"/>
    <n v="86.655042936434626"/>
    <n v="8747.6963176401696"/>
    <n v="108290.28571428571"/>
    <n v="16.600000000000001"/>
    <n v="758032"/>
    <n v="758032"/>
    <n v="0"/>
    <s v=""/>
    <s v="2008"/>
    <s v="FR-MD 7519.623.1S"/>
  </r>
  <r>
    <s v="eGIS Link"/>
    <n v="346"/>
    <s v="NorthBound Visi-Data"/>
    <s v="34491"/>
    <n v="2017"/>
    <n v="7"/>
    <x v="27"/>
    <s v="FR"/>
    <s v="FR-MD 550"/>
    <s v="19.91-20.75(N)"/>
    <s v="MD"/>
    <s v="550"/>
    <s v=""/>
    <n v="19.91"/>
    <n v="20.75"/>
    <s v="N"/>
    <s v="BROWN QUARRY RD"/>
    <s v="HARBAUGH VALLEY RD"/>
    <n v="2"/>
    <n v="1.68"/>
    <s v="UNDIVIDED"/>
    <s v="RURAL"/>
    <s v="NON-IS"/>
    <n v="7"/>
    <s v="F"/>
    <n v="119.48"/>
    <n v="125.18"/>
    <s v=""/>
    <s v=""/>
    <s v=""/>
    <n v="0.19"/>
    <n v="39"/>
    <n v="105.09"/>
    <n v="105.09"/>
    <n v="66.8"/>
    <n v="76.099999999999994"/>
    <n v="63.7"/>
    <n v="0.17"/>
    <n v="48"/>
    <n v="60.03"/>
    <n v="60.03"/>
    <n v="100"/>
    <n v="100"/>
    <n v="100"/>
    <n v="0.08"/>
    <n v="49"/>
    <x v="1"/>
    <m/>
    <s v="Minor Rehabilitation"/>
    <n v="967359.12658752594"/>
    <n v="437487.87341247406"/>
    <n v="1404847"/>
    <n v="23.6"/>
    <n v="23.6"/>
    <n v="11"/>
    <s v=""/>
    <s v=""/>
    <n v="11"/>
    <s v="D"/>
    <n v="41.1"/>
    <n v="38.700000000000003"/>
    <n v="31.6"/>
    <s v=""/>
    <s v=""/>
    <n v="31.6"/>
    <n v="20.6"/>
    <n v="6"/>
    <n v="34.608000000000004"/>
    <n v="15.362253739161387"/>
    <n v="25.808586281791129"/>
    <n v="54433.318611921386"/>
    <n v="836218.45238095243"/>
    <n v="20.6"/>
    <n v="1404847"/>
    <n v="1404847"/>
    <n v="0"/>
    <s v=""/>
    <s v="2008"/>
    <s v="FR-MD 55019.9120.75N"/>
  </r>
  <r>
    <s v="eGIS Link"/>
    <n v="136"/>
    <s v="SouthBound Visi-Data"/>
    <s v="34483"/>
    <n v="2017"/>
    <n v="7"/>
    <x v="27"/>
    <s v="FR"/>
    <s v="FR-MD 351"/>
    <s v="8.65-10.018(S)"/>
    <s v="MD"/>
    <s v="351"/>
    <s v=""/>
    <n v="8.65"/>
    <n v="10.018000000000001"/>
    <s v="S"/>
    <s v=""/>
    <s v=""/>
    <n v="3.1"/>
    <n v="4.24"/>
    <s v="UNDIVIDED"/>
    <s v="RURAL"/>
    <s v="NON-IS"/>
    <n v="17"/>
    <s v="FCJ"/>
    <n v="149.94"/>
    <n v="158.30000000000001"/>
    <s v=""/>
    <s v=""/>
    <s v=""/>
    <n v="0.25"/>
    <n v="54"/>
    <n v="153.82"/>
    <n v="153.82"/>
    <n v="66.525000000000006"/>
    <n v="67.5"/>
    <n v="66.2"/>
    <n v="0.22"/>
    <n v="38"/>
    <n v="76.290000000000006"/>
    <n v="76.290000000000006"/>
    <n v="100"/>
    <n v="100"/>
    <n v="100"/>
    <n v="0.12"/>
    <n v="49"/>
    <x v="1"/>
    <m/>
    <s v="Minor Rehabilitation"/>
    <n v="480992.35323351598"/>
    <n v="217528.64676648402"/>
    <n v="698521"/>
    <n v="14.8"/>
    <n v="10.1"/>
    <n v="12.3"/>
    <s v=""/>
    <s v=""/>
    <n v="10.1"/>
    <s v="D"/>
    <n v="40.4"/>
    <n v="43.9"/>
    <n v="42.1"/>
    <s v=""/>
    <s v=""/>
    <n v="40.4"/>
    <n v="30.299999999999997"/>
    <n v="6"/>
    <n v="128.47200000000001"/>
    <n v="22.595936325077183"/>
    <n v="95.806770018327256"/>
    <n v="7290.9357017920256"/>
    <n v="164745.51886792452"/>
    <n v="30.2"/>
    <n v="698521"/>
    <n v="698521"/>
    <n v="0"/>
    <s v=""/>
    <s v="2012"/>
    <s v="FR-MD 3518.6510.018S"/>
  </r>
  <r>
    <s v="eGIS Link"/>
    <n v="96"/>
    <s v="EastBound Visi-Data"/>
    <s v="34463"/>
    <n v="2017"/>
    <n v="7"/>
    <x v="27"/>
    <s v="FR"/>
    <s v="FR-MD 28"/>
    <s v="6.21-7.5(E)"/>
    <s v="MD"/>
    <s v="28"/>
    <s v=""/>
    <n v="6.21"/>
    <n v="7.5"/>
    <s v="E"/>
    <s v="PARK MILLS RD"/>
    <s v="MONTGOMERY CO/L"/>
    <n v="2"/>
    <n v="2.58"/>
    <s v="UNDIVIDED"/>
    <s v="RURAL"/>
    <s v="NON-IS"/>
    <n v="6"/>
    <s v="FCJ"/>
    <n v="109.25"/>
    <n v="116.83"/>
    <n v="95.1"/>
    <n v="95"/>
    <n v="95.1"/>
    <n v="0.22"/>
    <n v="37"/>
    <n v="97.42"/>
    <n v="97.42"/>
    <n v="64.075000000000003"/>
    <n v="82"/>
    <n v="58.1"/>
    <n v="0.11"/>
    <n v="41"/>
    <n v="57.28"/>
    <n v="57.28"/>
    <n v="100"/>
    <n v="100"/>
    <n v="100"/>
    <n v="0.08"/>
    <n v="49"/>
    <x v="1"/>
    <m/>
    <s v="Minor Rehabilitation"/>
    <n v="259335.56768487531"/>
    <n v="117284.43231512469"/>
    <n v="376620"/>
    <n v="29.9"/>
    <n v="23.8"/>
    <n v="6.7"/>
    <s v=""/>
    <s v=""/>
    <n v="6.7"/>
    <s v="E"/>
    <n v="50"/>
    <n v="43.9"/>
    <n v="42.1"/>
    <s v=""/>
    <s v=""/>
    <n v="42.1"/>
    <n v="35.4"/>
    <n v="6"/>
    <n v="91.331999999999994"/>
    <n v="26.39921273622879"/>
    <n v="68.109968859470285"/>
    <n v="5529.5870238477319"/>
    <n v="145976.7441860465"/>
    <n v="35.4"/>
    <n v="376620"/>
    <n v="376620"/>
    <n v="0"/>
    <s v=""/>
    <s v="2009"/>
    <s v="FR-MD 286.217.5E"/>
  </r>
  <r>
    <s v="eGIS Link"/>
    <n v="90"/>
    <s v="SouthBound Visi-Data"/>
    <s v="34480"/>
    <n v="2017"/>
    <n v="7"/>
    <x v="27"/>
    <s v="FR"/>
    <s v="FR-MD 194"/>
    <s v="5.6-7.3(S)"/>
    <s v="MD"/>
    <s v="194"/>
    <s v=""/>
    <n v="5.6"/>
    <n v="7.3"/>
    <s v="S"/>
    <s v="SPUR FR MD 194A"/>
    <s v="SPEED LIMIT 55 MPH"/>
    <n v="2"/>
    <n v="3.4"/>
    <s v="UNDIVIDED"/>
    <s v="URBAN"/>
    <s v="NON-IS"/>
    <n v="6"/>
    <s v="F"/>
    <n v="86.71"/>
    <n v="87.77"/>
    <n v="94.3"/>
    <n v="91.9"/>
    <n v="95.1"/>
    <n v="0.12"/>
    <n v="50"/>
    <n v="115.28"/>
    <n v="115.28"/>
    <n v="75.5"/>
    <n v="90.8"/>
    <n v="70.400000000000006"/>
    <n v="0.14000000000000001"/>
    <n v="38"/>
    <n v="63.07"/>
    <n v="63.07"/>
    <n v="100"/>
    <n v="100"/>
    <n v="100"/>
    <n v="0.08"/>
    <n v="49"/>
    <x v="1"/>
    <m/>
    <s v="Minor Rehabilitation"/>
    <n v="195150.29428222869"/>
    <n v="83284.705717771314"/>
    <n v="278435"/>
    <n v="30.6"/>
    <n v="31.7"/>
    <n v="18.100000000000001"/>
    <s v=""/>
    <s v=""/>
    <n v="18.100000000000001"/>
    <s v="D"/>
    <n v="50"/>
    <n v="40.200000000000003"/>
    <n v="39.200000000000003"/>
    <s v=""/>
    <s v=""/>
    <n v="39.200000000000003"/>
    <n v="21.1"/>
    <n v="6"/>
    <n v="71.740000000000009"/>
    <n v="15.735123975548801"/>
    <n v="53.499421516865922"/>
    <n v="5204.4487978663874"/>
    <n v="81892.647058823524"/>
    <n v="21.1"/>
    <n v="278435"/>
    <n v="278435"/>
    <n v="0"/>
    <s v=""/>
    <s v="1996"/>
    <s v="FR-MD 1945.67.3S"/>
  </r>
  <r>
    <s v="eGIS Link"/>
    <n v="100"/>
    <s v="West Bound Visi-Data"/>
    <s v="35002"/>
    <n v="2017"/>
    <n v="7"/>
    <x v="27"/>
    <s v="FR"/>
    <s v="FR-US 40AL"/>
    <s v="2.08-4.08(W)"/>
    <s v="US"/>
    <s v="40"/>
    <s v="AL"/>
    <n v="2.08"/>
    <n v="4.08"/>
    <s v="W"/>
    <s v="MT TABOR RD"/>
    <s v="OLD HAGERSTOWN RD"/>
    <n v="2"/>
    <n v="4"/>
    <s v="UNDIVIDED"/>
    <s v="RURAL"/>
    <s v="NON-IS"/>
    <n v="6"/>
    <s v="F"/>
    <n v="157.44999999999999"/>
    <n v="157.51"/>
    <n v="88.3"/>
    <n v="86.7"/>
    <n v="88.8"/>
    <n v="0.17"/>
    <n v="46"/>
    <n v="94.71"/>
    <n v="94.71"/>
    <n v="74.3"/>
    <n v="87.5"/>
    <n v="69.900000000000006"/>
    <n v="0.14000000000000001"/>
    <n v="42"/>
    <n v="56.3"/>
    <n v="56.3"/>
    <n v="100"/>
    <n v="100"/>
    <n v="100"/>
    <n v="0.08"/>
    <n v="49"/>
    <x v="1"/>
    <m/>
    <s v="Minor Rehabilitation"/>
    <n v="248288.5693513602"/>
    <n v="112288.4306486398"/>
    <n v="360577"/>
    <n v="36.5"/>
    <n v="50"/>
    <n v="29"/>
    <s v=""/>
    <s v=""/>
    <n v="29"/>
    <s v="C"/>
    <n v="50"/>
    <n v="50"/>
    <n v="50"/>
    <s v=""/>
    <s v=""/>
    <n v="50"/>
    <n v="21"/>
    <n v="6"/>
    <n v="84"/>
    <n v="15.660549928271317"/>
    <n v="62.642199713085269"/>
    <n v="5756.1356665557742"/>
    <n v="90144.25"/>
    <n v="29.7"/>
    <n v="360577"/>
    <n v="360577"/>
    <n v="0"/>
    <s v=""/>
    <s v="1986"/>
    <s v="FR-US 40AL2.084.08W"/>
  </r>
  <r>
    <s v="eGIS Link"/>
    <n v="356"/>
    <s v="West Bound Visi-Data"/>
    <s v="34933"/>
    <n v="2017"/>
    <n v="7"/>
    <x v="27"/>
    <s v="FR"/>
    <s v="FR-IS 70 RP2-48"/>
    <s v="0-0.56(W)"/>
    <s v="IS"/>
    <s v="70"/>
    <s v=""/>
    <n v="0"/>
    <n v="0.56000000000000005"/>
    <s v="W"/>
    <s v=""/>
    <s v=""/>
    <n v="1"/>
    <n v="0.56000000000000005"/>
    <s v="UNDIVIDED"/>
    <s v="URBAN"/>
    <s v="IS"/>
    <n v="11"/>
    <s v=""/>
    <s v=""/>
    <s v=""/>
    <s v=""/>
    <s v=""/>
    <s v=""/>
    <s v=""/>
    <s v=""/>
    <n v="119.93"/>
    <n v="119.93"/>
    <n v="68.95"/>
    <n v="94"/>
    <n v="60.6"/>
    <n v="0.24"/>
    <n v="52"/>
    <n v="64.83"/>
    <n v="64.83"/>
    <n v="100"/>
    <n v="100"/>
    <n v="100"/>
    <n v="0.12"/>
    <n v="49"/>
    <x v="7"/>
    <m/>
    <s v="Minor Rehabilitation"/>
    <n v="498548.42809762963"/>
    <n v="212766.57190237037"/>
    <n v="711315"/>
    <n v="9.5"/>
    <n v="22.7"/>
    <n v="0"/>
    <s v=""/>
    <s v=""/>
    <n v="0"/>
    <s v="F"/>
    <n v="35.299999999999997"/>
    <n v="28.7"/>
    <n v="26"/>
    <s v=""/>
    <s v=""/>
    <n v="26"/>
    <n v="26"/>
    <n v="6"/>
    <n v="14.560000000000002"/>
    <n v="19.389252292145439"/>
    <n v="10.857981283601447"/>
    <n v="65510.796290861384"/>
    <n v="1270205.357142857"/>
    <n v="26"/>
    <n v="711315"/>
    <n v="711315"/>
    <n v="0"/>
    <s v=""/>
    <s v=""/>
    <s v="FR-IS 70 RP2-4800.56W"/>
  </r>
  <r>
    <s v="eGIS Link"/>
    <n v="68"/>
    <s v="EastBound Visi-Data"/>
    <s v="34477"/>
    <n v="2017"/>
    <n v="7"/>
    <x v="27"/>
    <s v="FR"/>
    <s v="FR-MD 144FB"/>
    <s v="0-1.41(E)"/>
    <s v="MD"/>
    <s v="144"/>
    <s v="FB"/>
    <n v="0"/>
    <n v="1.41"/>
    <s v="E"/>
    <s v="IN CORP LMTS NEW MARKET"/>
    <s v="GREEN VALLEY RD"/>
    <n v="2.2000000000000002"/>
    <n v="3.1"/>
    <s v="UNDIVIDED"/>
    <s v="RURAL"/>
    <s v="NON-IS"/>
    <n v="17"/>
    <s v="F"/>
    <n v="140.32"/>
    <n v="143.33000000000001"/>
    <n v="90.6"/>
    <n v="97.3"/>
    <n v="88.4"/>
    <n v="0.17"/>
    <n v="39"/>
    <n v="193.54"/>
    <n v="193.54"/>
    <n v="79.400000000000006"/>
    <n v="78.8"/>
    <n v="79.599999999999994"/>
    <n v="0.21"/>
    <n v="41"/>
    <n v="67.540000000000006"/>
    <n v="67.540000000000006"/>
    <n v="100"/>
    <n v="100"/>
    <n v="100"/>
    <n v="0.12"/>
    <n v="49"/>
    <x v="2"/>
    <m/>
    <s v="Structural Overlay"/>
    <n v="219048.41867914275"/>
    <n v="99064.581320857251"/>
    <n v="318113"/>
    <n v="7.4"/>
    <n v="19.3"/>
    <n v="23.5"/>
    <s v=""/>
    <s v=""/>
    <n v="7.4"/>
    <s v="E"/>
    <n v="50"/>
    <n v="43.9"/>
    <n v="42.1"/>
    <s v=""/>
    <s v=""/>
    <n v="42.1"/>
    <n v="34.700000000000003"/>
    <n v="6"/>
    <n v="107.57000000000001"/>
    <n v="25.877194405286417"/>
    <n v="80.219302656387896"/>
    <n v="3965.54182679209"/>
    <n v="102617.09677419355"/>
    <n v="34.700000000000003"/>
    <n v="318113"/>
    <n v="318113"/>
    <n v="0"/>
    <s v=""/>
    <s v="1966"/>
    <s v="FR-MD 144FB01.41E"/>
  </r>
  <r>
    <s v="eGIS Link"/>
    <n v="132"/>
    <s v="EastBound Visi-Data"/>
    <s v="34478"/>
    <n v="2017"/>
    <n v="7"/>
    <x v="27"/>
    <s v="FR"/>
    <s v="FR-MD 180"/>
    <s v="0-1.8(E)"/>
    <s v="MD"/>
    <s v="180"/>
    <s v=""/>
    <n v="0"/>
    <n v="1.8"/>
    <s v="E"/>
    <s v="JEFFERSON PIKE/JEFFERSON NAT PIKE"/>
    <s v="SPEED LIMIT 50 MPH"/>
    <n v="2"/>
    <n v="3.6"/>
    <s v="UNDIVIDED"/>
    <s v="RURAL"/>
    <s v="NON-IS"/>
    <n v="19"/>
    <s v="F"/>
    <n v="120.82"/>
    <n v="125.15"/>
    <n v="88.7"/>
    <n v="90.6"/>
    <n v="88.1"/>
    <n v="0.18"/>
    <n v="52"/>
    <n v="179.85"/>
    <n v="179.85"/>
    <n v="87.224999999999994"/>
    <n v="86.1"/>
    <n v="87.6"/>
    <n v="0.18"/>
    <n v="44"/>
    <n v="64.39"/>
    <n v="64.39"/>
    <n v="100"/>
    <n v="100"/>
    <n v="100"/>
    <n v="0.08"/>
    <n v="49"/>
    <x v="2"/>
    <m/>
    <s v="Structural Overlay"/>
    <n v="476014.55912063306"/>
    <n v="215277.44087936694"/>
    <n v="691292"/>
    <n v="13.7"/>
    <n v="50"/>
    <n v="48.8"/>
    <s v=""/>
    <s v=""/>
    <n v="13.7"/>
    <s v="D"/>
    <n v="50"/>
    <n v="50"/>
    <n v="50"/>
    <s v=""/>
    <s v=""/>
    <n v="50"/>
    <n v="36.299999999999997"/>
    <n v="6"/>
    <n v="130.68"/>
    <n v="27.070379161726134"/>
    <n v="97.453364982214083"/>
    <n v="7093.5672680585794"/>
    <n v="192025.55555555556"/>
    <n v="46.2"/>
    <n v="691292"/>
    <n v="691292"/>
    <n v="0"/>
    <s v=""/>
    <s v="2003"/>
    <s v="FR-MD 18001.8E"/>
  </r>
  <r>
    <s v="eGIS Link"/>
    <n v="77"/>
    <s v="SouthBound Visi-Data"/>
    <s v="34459"/>
    <n v="2017"/>
    <n v="7"/>
    <x v="27"/>
    <s v="FR"/>
    <s v="FR-MD 17"/>
    <s v="23-24.8(S)"/>
    <s v="MD"/>
    <s v="17"/>
    <s v=""/>
    <n v="23"/>
    <n v="24.8"/>
    <s v="S"/>
    <s v="HIGHLAND SCHOOL RD"/>
    <s v="SPRUCE RUN RD"/>
    <n v="2"/>
    <n v="3.6"/>
    <s v="UNDIVIDED"/>
    <s v="URBAN"/>
    <s v="NON-IS"/>
    <n v="7"/>
    <s v="FCJ"/>
    <n v="123.72"/>
    <n v="133.82"/>
    <n v="61.7"/>
    <n v="70.8"/>
    <n v="58.7"/>
    <n v="0.24"/>
    <n v="63"/>
    <n v="233.06"/>
    <n v="233.06"/>
    <n v="85.974999999999994"/>
    <n v="83.8"/>
    <n v="86.7"/>
    <n v="0.16"/>
    <n v="40"/>
    <n v="77.19"/>
    <n v="77.19"/>
    <n v="100"/>
    <n v="100"/>
    <n v="100"/>
    <n v="0.08"/>
    <n v="49"/>
    <x v="2"/>
    <m/>
    <s v="Structural Overlay"/>
    <n v="284336.92598125833"/>
    <n v="121347.07401874167"/>
    <n v="405684"/>
    <n v="1.9"/>
    <n v="39.1"/>
    <n v="49.9"/>
    <s v=""/>
    <s v=""/>
    <n v="1.9"/>
    <s v="E"/>
    <n v="33.799999999999997"/>
    <n v="48.5"/>
    <n v="50"/>
    <s v=""/>
    <s v=""/>
    <n v="33.799999999999997"/>
    <n v="31.9"/>
    <n v="6"/>
    <n v="114.84"/>
    <n v="23.789121081516903"/>
    <n v="85.64083589346086"/>
    <n v="4737.0392379714749"/>
    <n v="112690"/>
    <n v="31.9"/>
    <n v="405684"/>
    <n v="405684"/>
    <n v="0"/>
    <s v=""/>
    <s v="2001"/>
    <s v="FR-MD 172324.8S"/>
  </r>
  <r>
    <s v="eGIS Link"/>
    <n v="94"/>
    <s v="SouthBound Visi-Data"/>
    <s v="34468"/>
    <n v="2017"/>
    <n v="7"/>
    <x v="27"/>
    <s v="FR"/>
    <s v="FR-MD 76"/>
    <s v="3.21-5.69(S)"/>
    <s v="MD"/>
    <s v="76"/>
    <s v=""/>
    <n v="3.21"/>
    <n v="5.69"/>
    <s v="S"/>
    <s v="FOUR POINTS RD"/>
    <s v="ST ANTHONYS RD (AHEAD)"/>
    <n v="2"/>
    <n v="4.96"/>
    <s v="UNDIVIDED"/>
    <s v="URBAN"/>
    <s v="NON-IS"/>
    <n v="9"/>
    <s v="FCJ"/>
    <n v="103.9"/>
    <n v="104.81"/>
    <s v=""/>
    <s v=""/>
    <s v=""/>
    <n v="0.15"/>
    <n v="57"/>
    <n v="106.19"/>
    <n v="106.19"/>
    <n v="84.35"/>
    <n v="86.3"/>
    <n v="83.7"/>
    <n v="0.18"/>
    <n v="44"/>
    <n v="49.74"/>
    <n v="49.74"/>
    <n v="100"/>
    <n v="100"/>
    <n v="100"/>
    <n v="0.08"/>
    <n v="49"/>
    <x v="2"/>
    <m/>
    <s v="Structural Overlay"/>
    <n v="343448.67798610288"/>
    <n v="146574.32201389712"/>
    <n v="490023"/>
    <n v="25.8"/>
    <n v="50"/>
    <n v="50"/>
    <s v=""/>
    <s v=""/>
    <n v="25.8"/>
    <s v="C"/>
    <n v="50"/>
    <n v="50"/>
    <n v="50"/>
    <s v=""/>
    <s v=""/>
    <n v="50"/>
    <n v="24.2"/>
    <n v="6"/>
    <n v="120.032"/>
    <n v="18.046919441150756"/>
    <n v="89.512720428107755"/>
    <n v="5474.3392632509986"/>
    <n v="98794.959677419349"/>
    <n v="33.200000000000003"/>
    <n v="490023"/>
    <n v="490023"/>
    <n v="0"/>
    <s v=""/>
    <s v="2011"/>
    <s v="FR-MD 763.215.69S"/>
  </r>
  <r>
    <s v="eGIS Link"/>
    <n v="339"/>
    <s v="EastBound Visi-Data"/>
    <s v="79181"/>
    <n v="2017"/>
    <n v="7"/>
    <x v="27"/>
    <s v="FR"/>
    <s v="FR-MD 85B"/>
    <s v="0-0.214(E)"/>
    <s v="MD"/>
    <s v="85"/>
    <s v="B"/>
    <n v="0"/>
    <n v="0.214"/>
    <s v="E"/>
    <s v=""/>
    <s v=""/>
    <n v="2.1"/>
    <n v="0.45"/>
    <s v="UNDIVIDED"/>
    <s v="RURAL"/>
    <s v="NON-IS"/>
    <s v=""/>
    <s v=""/>
    <s v=""/>
    <s v=""/>
    <s v=""/>
    <s v=""/>
    <s v=""/>
    <s v=""/>
    <s v=""/>
    <n v="177.1"/>
    <n v="177.1"/>
    <n v="85.85"/>
    <n v="92.9"/>
    <n v="83.5"/>
    <n v="0.2"/>
    <n v="39"/>
    <n v="63.85"/>
    <n v="63.85"/>
    <n v="100"/>
    <n v="100"/>
    <n v="100"/>
    <n v="0.08"/>
    <n v="49"/>
    <x v="2"/>
    <m/>
    <s v="Structural Overlay"/>
    <n v="387432.6849937003"/>
    <n v="175216.3150062997"/>
    <n v="562649"/>
    <n v="13.6"/>
    <n v="50"/>
    <n v="44.9"/>
    <s v=""/>
    <s v=""/>
    <n v="13.6"/>
    <s v="D"/>
    <n v="50"/>
    <n v="50"/>
    <n v="50"/>
    <s v=""/>
    <s v=""/>
    <n v="50"/>
    <n v="36.4"/>
    <n v="6"/>
    <n v="16.38"/>
    <n v="27.144953209003614"/>
    <n v="12.215228944051626"/>
    <n v="46061.273397089266"/>
    <n v="1250331.111111111"/>
    <n v="46.3"/>
    <n v="562649"/>
    <n v="562649"/>
    <n v="0"/>
    <s v=""/>
    <s v=""/>
    <s v="FR-MD 85B00.214E"/>
  </r>
  <r>
    <s v="eGIS Link"/>
    <n v="290"/>
    <s v="West Bound Visi-Data"/>
    <s v="34476"/>
    <n v="2017"/>
    <n v="7"/>
    <x v="27"/>
    <s v="FR"/>
    <s v="FR-MD 144FA"/>
    <s v="4.05-4.71(W)"/>
    <s v="MD"/>
    <s v="144"/>
    <s v="FA"/>
    <n v="4.05"/>
    <n v="4.71"/>
    <s v="W"/>
    <s v="FRANKLIN ST"/>
    <s v="R/R #MDOT 517 861 J"/>
    <n v="2.1"/>
    <n v="1.38"/>
    <s v="UNDIVIDED"/>
    <s v="RURAL"/>
    <s v="NON-IS"/>
    <n v="14"/>
    <s v="F"/>
    <n v="251.63"/>
    <n v="179.98"/>
    <n v="75.5"/>
    <n v="80.8"/>
    <n v="73.7"/>
    <n v="0.12"/>
    <n v="29"/>
    <n v="142.66"/>
    <n v="142.66"/>
    <n v="72.650000000000006"/>
    <n v="86.9"/>
    <n v="67.900000000000006"/>
    <n v="0.12"/>
    <n v="40"/>
    <n v="56.81"/>
    <n v="56.81"/>
    <n v="100"/>
    <n v="100"/>
    <n v="100"/>
    <n v="0.08"/>
    <n v="49"/>
    <x v="2"/>
    <m/>
    <s v="Structural Overlay"/>
    <n v="493192.0459016508"/>
    <n v="223045.9540983492"/>
    <n v="716238"/>
    <n v="6.4"/>
    <n v="27.8"/>
    <n v="9"/>
    <s v=""/>
    <s v=""/>
    <n v="6.4"/>
    <s v="E"/>
    <n v="43.6"/>
    <n v="40.799999999999997"/>
    <n v="37.700000000000003"/>
    <s v=""/>
    <s v=""/>
    <n v="37.700000000000003"/>
    <n v="31.300000000000004"/>
    <n v="6"/>
    <n v="43.194000000000003"/>
    <n v="23.341676797852013"/>
    <n v="32.211513981035779"/>
    <n v="22235.465256978554"/>
    <n v="519013.04347826092"/>
    <n v="31.4"/>
    <n v="716238"/>
    <n v="716238"/>
    <n v="0"/>
    <s v=""/>
    <s v="1974"/>
    <s v="FR-MD 144FA4.054.71W"/>
  </r>
  <r>
    <s v="eGIS Link"/>
    <n v="325"/>
    <s v="West Bound Visi-Data"/>
    <s v="34476"/>
    <n v="2017"/>
    <n v="7"/>
    <x v="27"/>
    <s v="FR"/>
    <s v="FR-MD 144FA"/>
    <s v="3.72-4.05(W)"/>
    <s v="MD"/>
    <s v="144"/>
    <s v="FA"/>
    <n v="3.72"/>
    <n v="4.05"/>
    <s v="W"/>
    <s v="KING AVE"/>
    <s v="FRANKLIN ST"/>
    <n v="3.8"/>
    <n v="1.25"/>
    <s v="UNDIVIDED"/>
    <s v="RURAL"/>
    <s v="NON-IS"/>
    <n v="14"/>
    <s v="F"/>
    <n v="170.52"/>
    <n v="188.28"/>
    <n v="97.3"/>
    <n v="98.9"/>
    <n v="96.8"/>
    <n v="0.17"/>
    <n v="35"/>
    <n v="137.12"/>
    <n v="137.12"/>
    <n v="61.75"/>
    <n v="84.4"/>
    <n v="54.2"/>
    <n v="0.13"/>
    <n v="40"/>
    <n v="55.69"/>
    <n v="55.69"/>
    <n v="100"/>
    <n v="100"/>
    <n v="100"/>
    <n v="0.08"/>
    <n v="49"/>
    <x v="2"/>
    <m/>
    <s v="Structural Overlay"/>
    <n v="867399.04386725009"/>
    <n v="392280.95613274991"/>
    <n v="1259680"/>
    <n v="7.6"/>
    <n v="24.6"/>
    <n v="0"/>
    <s v=""/>
    <s v=""/>
    <n v="0"/>
    <s v="F"/>
    <n v="44.4"/>
    <n v="40.799999999999997"/>
    <n v="37.700000000000003"/>
    <s v=""/>
    <s v=""/>
    <n v="37.700000000000003"/>
    <n v="37.700000000000003"/>
    <n v="6"/>
    <n v="47.125"/>
    <n v="28.114415823610887"/>
    <n v="35.143019779513608"/>
    <n v="35844.386962281547"/>
    <n v="1007744"/>
    <n v="37.700000000000003"/>
    <n v="1259680"/>
    <n v="1259680"/>
    <n v="0"/>
    <s v=""/>
    <s v="2004"/>
    <s v="FR-MD 144FA3.724.05W"/>
  </r>
  <r>
    <s v="eGIS Link"/>
    <n v="63"/>
    <s v="West Bound Visi-Data"/>
    <s v="34469"/>
    <n v="2017"/>
    <n v="7"/>
    <x v="27"/>
    <s v="FR"/>
    <s v="FR-MD 77"/>
    <s v="1.63-4.4(W)"/>
    <s v="MD"/>
    <s v="77"/>
    <s v=""/>
    <n v="1.63"/>
    <n v="4.4000000000000004"/>
    <s v="W"/>
    <s v="STOTTLEMYER RD"/>
    <s v="PARK CENTRAL RD"/>
    <n v="2"/>
    <n v="5.54"/>
    <s v="UNDIVIDED"/>
    <s v="URBAN"/>
    <s v="NON-IS"/>
    <n v="7"/>
    <s v="F"/>
    <n v="135.07"/>
    <n v="131.38"/>
    <n v="82.2"/>
    <n v="92.9"/>
    <n v="78.599999999999994"/>
    <n v="0.15"/>
    <n v="52"/>
    <n v="135.41999999999999"/>
    <n v="135.41999999999999"/>
    <n v="87.075000000000003"/>
    <n v="87"/>
    <n v="87.1"/>
    <n v="0.26"/>
    <n v="55"/>
    <n v="55.42"/>
    <n v="55.42"/>
    <n v="100"/>
    <n v="100"/>
    <n v="100"/>
    <n v="0.12"/>
    <n v="49"/>
    <x v="2"/>
    <m/>
    <s v="Structural Overlay"/>
    <n v="343448.67798610288"/>
    <n v="146574.32201389712"/>
    <n v="490023"/>
    <n v="18.7"/>
    <n v="50"/>
    <n v="50"/>
    <s v=""/>
    <s v=""/>
    <n v="18.7"/>
    <s v="D"/>
    <n v="50"/>
    <n v="50"/>
    <n v="50"/>
    <s v=""/>
    <s v=""/>
    <n v="50"/>
    <n v="31.3"/>
    <n v="6"/>
    <n v="173.40200000000002"/>
    <n v="23.34167679785201"/>
    <n v="129.31288946010014"/>
    <n v="3789.4366296037178"/>
    <n v="88451.805054151628"/>
    <n v="36.5"/>
    <n v="490023"/>
    <n v="490023"/>
    <n v="0"/>
    <s v=""/>
    <s v="1999"/>
    <s v="FR-MD 771.634.4W"/>
  </r>
  <r>
    <s v="eGIS Link"/>
    <n v="107"/>
    <s v="SouthBound Visi-Data"/>
    <s v="34483"/>
    <n v="2017"/>
    <n v="7"/>
    <x v="27"/>
    <s v="FR"/>
    <s v="FR-MD 351"/>
    <s v="6.77-8.65(S)"/>
    <s v="MD"/>
    <s v="351"/>
    <s v=""/>
    <n v="6.77"/>
    <n v="8.65"/>
    <s v="S"/>
    <s v=""/>
    <s v=""/>
    <n v="2.1"/>
    <n v="3.95"/>
    <s v="UNDIVIDED"/>
    <s v="RURAL"/>
    <s v="NON-IS"/>
    <n v="8"/>
    <s v="FCJ"/>
    <n v="109.58"/>
    <n v="125.94"/>
    <s v=""/>
    <s v=""/>
    <s v=""/>
    <n v="0.19"/>
    <n v="61"/>
    <n v="217.73"/>
    <n v="217.73"/>
    <n v="67.875"/>
    <n v="69.900000000000006"/>
    <n v="67.2"/>
    <n v="0.22"/>
    <n v="40"/>
    <n v="72.97"/>
    <n v="72.97"/>
    <n v="100"/>
    <n v="100"/>
    <n v="100"/>
    <n v="0.12"/>
    <n v="49"/>
    <x v="2"/>
    <m/>
    <s v="Structural Overlay"/>
    <n v="480774.75979878486"/>
    <n v="217430.24020121514"/>
    <n v="698205"/>
    <n v="3.5"/>
    <n v="11.8"/>
    <n v="13"/>
    <s v=""/>
    <s v=""/>
    <n v="3.5"/>
    <s v="E"/>
    <n v="48.2"/>
    <n v="43.9"/>
    <n v="42.1"/>
    <s v=""/>
    <s v=""/>
    <n v="42.1"/>
    <n v="38.6"/>
    <n v="6"/>
    <n v="152.47"/>
    <n v="28.785582249108231"/>
    <n v="113.70304988397751"/>
    <n v="6140.600456297766"/>
    <n v="176760.75949367089"/>
    <n v="38.6"/>
    <n v="698205"/>
    <n v="698205"/>
    <n v="0"/>
    <s v=""/>
    <s v="2007"/>
    <s v="FR-MD 3516.778.65S"/>
  </r>
  <r>
    <s v="eGIS Link"/>
    <n v="78"/>
    <s v="SouthBound Visi-Data"/>
    <s v="34996"/>
    <n v="2017"/>
    <n v="7"/>
    <x v="27"/>
    <s v="FR"/>
    <s v="FR-US 15"/>
    <s v="15.29-16.6(S)"/>
    <s v="US"/>
    <s v="15"/>
    <s v=""/>
    <n v="15.29"/>
    <n v="16.600000000000001"/>
    <s v="S"/>
    <s v="LIBERTY RD (WB/L)"/>
    <s v="TRADING LA"/>
    <n v="2.4"/>
    <n v="3.14"/>
    <s v="DIVIDED"/>
    <s v="RURAL"/>
    <s v="NON-IS"/>
    <n v="12"/>
    <s v="F"/>
    <n v="60.37"/>
    <n v="68.989999999999995"/>
    <n v="99.2"/>
    <n v="96.9"/>
    <n v="100"/>
    <n v="0.13"/>
    <n v="40"/>
    <n v="69.989999999999995"/>
    <n v="69.989999999999995"/>
    <n v="91.6"/>
    <n v="90.4"/>
    <n v="92"/>
    <n v="0.14000000000000001"/>
    <n v="54"/>
    <n v="75.319999999999993"/>
    <n v="75.319999999999993"/>
    <n v="98.525000000000006"/>
    <n v="99.5"/>
    <n v="98.2"/>
    <n v="0.14000000000000001"/>
    <n v="55"/>
    <x v="4"/>
    <m/>
    <s v="Preventive Maintenance"/>
    <n v="61587.205070721808"/>
    <n v="27852.794929278192"/>
    <n v="89440"/>
    <n v="35.200000000000003"/>
    <n v="35.1"/>
    <n v="41.9"/>
    <s v=""/>
    <s v=""/>
    <n v="35.1"/>
    <s v="B"/>
    <n v="36.299999999999997"/>
    <n v="42.2"/>
    <n v="47.5"/>
    <s v=""/>
    <s v=""/>
    <n v="36.299999999999997"/>
    <n v="4"/>
    <n v="4"/>
    <n v="25.12"/>
    <n v="5.9659237821985966"/>
    <n v="18.733000676103593"/>
    <n v="4774.4620067244477"/>
    <n v="28484.076433121019"/>
    <n v="1.1000000000000001"/>
    <n v="89440"/>
    <n v="89440"/>
    <n v="0"/>
    <s v=""/>
    <s v="2009"/>
    <s v="FR-US 1515.2916.6S"/>
  </r>
  <r>
    <s v="eGIS Link"/>
    <n v="240"/>
    <s v="EastBound Visi-Data"/>
    <s v="34469"/>
    <n v="2017"/>
    <n v="7"/>
    <x v="27"/>
    <s v="FR"/>
    <s v="FR-MD 77"/>
    <s v="0-1.63(E)"/>
    <s v="MD"/>
    <s v="77"/>
    <s v=""/>
    <n v="0"/>
    <n v="1.63"/>
    <s v="E"/>
    <s v="WASHINGTON CO/L"/>
    <s v="FOXVILLE DEERFIELD RD"/>
    <n v="2"/>
    <n v="3.26"/>
    <s v="UNDIVIDED"/>
    <s v="RURAL"/>
    <s v="NON-IS"/>
    <n v="7"/>
    <s v="F"/>
    <n v="91.05"/>
    <n v="103.9"/>
    <s v=""/>
    <s v=""/>
    <s v=""/>
    <n v="0.22"/>
    <n v="46"/>
    <n v="77.52"/>
    <n v="77.52"/>
    <n v="88.3"/>
    <n v="89.5"/>
    <n v="87.9"/>
    <n v="0.16"/>
    <n v="43"/>
    <n v="83.69"/>
    <n v="83.69"/>
    <n v="97.9"/>
    <n v="99.4"/>
    <n v="97.4"/>
    <n v="0.16"/>
    <n v="55"/>
    <x v="4"/>
    <m/>
    <s v="Preventive Maintenance"/>
    <n v="195721.85160651559"/>
    <n v="88515.148393484415"/>
    <n v="284237"/>
    <n v="43.5"/>
    <n v="50"/>
    <n v="49"/>
    <s v=""/>
    <s v=""/>
    <n v="43.5"/>
    <s v="A"/>
    <n v="47.5"/>
    <n v="50"/>
    <n v="50"/>
    <s v=""/>
    <s v=""/>
    <n v="47.5"/>
    <n v="4"/>
    <n v="4"/>
    <n v="26.08"/>
    <n v="5.9659237821985966"/>
    <n v="19.448911529967425"/>
    <n v="14614.545372477"/>
    <n v="87189.26380368098"/>
    <n v="3.9"/>
    <n v="284237"/>
    <n v="284237"/>
    <n v="0"/>
    <s v=""/>
    <s v="2004"/>
    <s v="FR-MD 7701.63E"/>
  </r>
  <r>
    <s v="eGIS Link"/>
    <n v="30"/>
    <s v="NorthBound Visi-Data"/>
    <s v="34480"/>
    <n v="2017"/>
    <n v="7"/>
    <x v="27"/>
    <s v="FR"/>
    <s v="FR-MD 194"/>
    <s v="7.3-12.41(N)"/>
    <s v="MD"/>
    <s v="194"/>
    <s v=""/>
    <n v="7.3"/>
    <n v="12.41"/>
    <s v="N"/>
    <s v="SPUR FR LEGORE BRIDGE RD"/>
    <s v="CARROLL CO/L"/>
    <n v="2.4"/>
    <n v="12.26"/>
    <s v="UNDIVIDED"/>
    <s v="RURAL"/>
    <s v="NON-IS"/>
    <n v="6"/>
    <s v="F"/>
    <n v="124.5"/>
    <n v="147.93"/>
    <n v="65.5"/>
    <n v="63.1"/>
    <n v="66.3"/>
    <n v="0.13"/>
    <n v="41"/>
    <n v="103.28"/>
    <n v="103.28"/>
    <n v="85.575000000000003"/>
    <n v="91.5"/>
    <n v="83.6"/>
    <n v="0.15"/>
    <n v="48"/>
    <n v="111.56"/>
    <n v="111.56"/>
    <n v="97.25"/>
    <n v="99.5"/>
    <n v="96.5"/>
    <n v="0.15"/>
    <n v="55"/>
    <x v="4"/>
    <m/>
    <s v="Preventive Maintenance"/>
    <n v="75834.75493787638"/>
    <n v="34296.24506212362"/>
    <n v="110131"/>
    <n v="36"/>
    <n v="50"/>
    <n v="44.9"/>
    <s v=""/>
    <s v=""/>
    <n v="36"/>
    <s v="B"/>
    <n v="38.5"/>
    <n v="50"/>
    <n v="50"/>
    <s v=""/>
    <s v=""/>
    <n v="38.5"/>
    <n v="4"/>
    <n v="4"/>
    <n v="98.08"/>
    <n v="5.9659237821985966"/>
    <n v="73.1422255697548"/>
    <n v="1505.7102671147118"/>
    <n v="8982.9526916802606"/>
    <n v="2.5"/>
    <n v="110131"/>
    <n v="110131"/>
    <n v="0"/>
    <s v=""/>
    <s v="1986"/>
    <s v="FR-MD 1947.312.41N"/>
  </r>
  <r>
    <s v="eGIS Link"/>
    <n v="117"/>
    <s v="NorthBound Visi-Data"/>
    <s v="34472"/>
    <n v="2017"/>
    <n v="7"/>
    <x v="27"/>
    <s v="FR"/>
    <s v="FR-MD 85"/>
    <s v="0-3.75(N)"/>
    <s v="MD"/>
    <s v="85"/>
    <s v=""/>
    <n v="0"/>
    <n v="3.75"/>
    <s v="N"/>
    <s v="TUSCARORA RD/DICKERSON RD"/>
    <s v="OLAND RD"/>
    <n v="2"/>
    <n v="7.5"/>
    <s v="UNDIVIDED"/>
    <s v="RURAL"/>
    <s v="NON-IS"/>
    <n v="6"/>
    <s v="FCJ"/>
    <n v="91.55"/>
    <n v="98.59"/>
    <n v="96.5"/>
    <n v="97.6"/>
    <n v="96.1"/>
    <n v="0.16"/>
    <n v="44"/>
    <n v="89.97"/>
    <n v="89.97"/>
    <n v="81.525000000000006"/>
    <n v="85.8"/>
    <n v="80.099999999999994"/>
    <n v="0.13"/>
    <n v="48"/>
    <n v="57.01"/>
    <n v="57.01"/>
    <n v="100"/>
    <n v="100"/>
    <n v="100"/>
    <n v="0.08"/>
    <n v="49"/>
    <x v="9"/>
    <m/>
    <s v="Structural Overlay"/>
    <n v="248494.45681017221"/>
    <n v="112381.54318982779"/>
    <n v="360876"/>
    <n v="39.9"/>
    <n v="50"/>
    <n v="41.3"/>
    <s v=""/>
    <s v=""/>
    <n v="39.9"/>
    <s v="B"/>
    <n v="50"/>
    <n v="50"/>
    <n v="50"/>
    <s v=""/>
    <s v=""/>
    <n v="50"/>
    <n v="10.100000000000001"/>
    <n v="4"/>
    <n v="75.750000000000014"/>
    <n v="7.5319787750257294"/>
    <n v="56.489840812692968"/>
    <n v="6388.3345183531319"/>
    <n v="48116.800000000003"/>
    <n v="16.100000000000001"/>
    <n v="360876"/>
    <n v="360876"/>
    <n v="0"/>
    <s v=""/>
    <s v="2006"/>
    <s v="FR-MD 8503.75N"/>
  </r>
  <r>
    <s v="eGIS Link"/>
    <n v="66"/>
    <s v="EastBound Visi-Data"/>
    <s v="34488"/>
    <n v="2017"/>
    <n v="7"/>
    <x v="27"/>
    <s v="FR"/>
    <s v="FR-MD 464"/>
    <s v="4.65-8.1(E)"/>
    <s v="MD"/>
    <s v="464"/>
    <s v=""/>
    <n v="4.6500000000000004"/>
    <n v="8.1"/>
    <s v="E"/>
    <s v="LANDER RD"/>
    <s v="BALLENGER CREEK RD"/>
    <n v="2"/>
    <n v="6.9"/>
    <s v="UNDIVIDED"/>
    <s v="URBAN"/>
    <s v="NON-IS"/>
    <n v="7"/>
    <s v="F"/>
    <n v="97.71"/>
    <n v="92.5"/>
    <n v="66.2"/>
    <n v="85.7"/>
    <n v="59.7"/>
    <n v="0.16"/>
    <n v="44"/>
    <n v="106.39"/>
    <n v="106.39"/>
    <n v="90"/>
    <n v="89.4"/>
    <n v="90.2"/>
    <n v="0.18"/>
    <n v="43"/>
    <n v="75.31"/>
    <n v="75.31"/>
    <n v="100"/>
    <n v="100"/>
    <n v="100"/>
    <n v="0.15"/>
    <n v="49"/>
    <x v="5"/>
    <m/>
    <s v="Preventive Maintenance"/>
    <n v="111443.86496793067"/>
    <n v="47561.135032069331"/>
    <n v="159005"/>
    <n v="20.7"/>
    <n v="42"/>
    <n v="50"/>
    <s v=""/>
    <s v=""/>
    <n v="20.7"/>
    <s v="C"/>
    <n v="27.5"/>
    <n v="48.5"/>
    <n v="50"/>
    <s v=""/>
    <s v=""/>
    <n v="27.5"/>
    <n v="6.8000000000000007"/>
    <n v="4"/>
    <n v="55.2"/>
    <n v="5.9659237821985966"/>
    <n v="41.164874097170319"/>
    <n v="3862.6378310951773"/>
    <n v="23044.202898550724"/>
    <n v="6.8"/>
    <n v="159005"/>
    <n v="159005"/>
    <n v="0"/>
    <s v=""/>
    <s v="2001"/>
    <s v="FR-MD 4644.658.1E"/>
  </r>
  <r>
    <s v="eGIS Link"/>
    <n v="295"/>
    <s v="NorthBound Visi-Data"/>
    <s v="34459"/>
    <n v="2017"/>
    <n v="7"/>
    <x v="27"/>
    <s v="FR"/>
    <s v="FR-MD 17"/>
    <s v="12.3-13.2(N)"/>
    <s v="MD"/>
    <s v="17"/>
    <s v=""/>
    <n v="12.3"/>
    <n v="13.2"/>
    <s v="N"/>
    <s v="IN CORP LMTS MIDDLETOWN"/>
    <s v="OUT CORP LMTS MIDDLETOWN"/>
    <n v="2.2999999999999998"/>
    <n v="2.0699999999999998"/>
    <s v="UNDIVIDED"/>
    <s v="URBAN"/>
    <s v="NON-IS"/>
    <n v="16"/>
    <s v="FCJ"/>
    <n v="224.11"/>
    <n v="219.9"/>
    <s v=""/>
    <s v=""/>
    <s v=""/>
    <n v="0.16"/>
    <n v="40"/>
    <n v="98.91"/>
    <n v="98.91"/>
    <n v="87.7"/>
    <n v="88.3"/>
    <n v="87.5"/>
    <n v="0.16"/>
    <n v="46"/>
    <n v="70.91"/>
    <n v="70.91"/>
    <n v="100"/>
    <n v="100"/>
    <n v="100"/>
    <n v="0.14000000000000001"/>
    <n v="49"/>
    <x v="5"/>
    <m/>
    <s v="Preventive Maintenance"/>
    <n v="226951.44824084584"/>
    <n v="96856.551759154157"/>
    <n v="323808"/>
    <n v="27.9"/>
    <n v="50"/>
    <n v="50"/>
    <s v=""/>
    <s v=""/>
    <n v="27.9"/>
    <s v="C"/>
    <n v="37.1"/>
    <n v="50"/>
    <n v="50"/>
    <s v=""/>
    <s v=""/>
    <n v="37.1"/>
    <n v="9.2000000000000028"/>
    <n v="4"/>
    <n v="19.044000000000004"/>
    <n v="6.8608123495283877"/>
    <n v="14.201881563523761"/>
    <n v="22800.359132107631"/>
    <n v="156428.9855072464"/>
    <n v="9.1999999999999993"/>
    <n v="323808"/>
    <n v="323808"/>
    <n v="0"/>
    <s v=""/>
    <s v="1987"/>
    <s v="FR-MD 1712.313.2N"/>
  </r>
  <r>
    <s v="eGIS Link"/>
    <n v="234"/>
    <s v="NorthBound Visi-Data"/>
    <s v="34490"/>
    <n v="2017"/>
    <n v="7"/>
    <x v="27"/>
    <s v="FR"/>
    <s v="FR-MD 491"/>
    <s v="0-1.71(N)"/>
    <s v="MD"/>
    <s v="491"/>
    <s v=""/>
    <n v="0"/>
    <n v="1.71"/>
    <s v="N"/>
    <s v="WASHINGTON CO/L"/>
    <s v="WASHINGTON CO/L"/>
    <n v="2"/>
    <n v="3.42"/>
    <s v="UNDIVIDED"/>
    <s v="URBAN"/>
    <s v="NON-IS"/>
    <n v="7"/>
    <s v="F"/>
    <n v="124.36"/>
    <n v="126.32"/>
    <n v="79.7"/>
    <n v="83.4"/>
    <n v="78.400000000000006"/>
    <n v="0.19"/>
    <n v="52"/>
    <n v="163.19999999999999"/>
    <n v="163.19999999999999"/>
    <n v="84.275000000000006"/>
    <n v="87.8"/>
    <n v="83.1"/>
    <n v="0.23"/>
    <n v="54"/>
    <n v="105.31"/>
    <n v="105.31"/>
    <n v="100"/>
    <n v="100"/>
    <n v="100"/>
    <n v="0.2"/>
    <n v="49"/>
    <x v="5"/>
    <m/>
    <s v="Preventive Maintenance"/>
    <n v="291612.08914195845"/>
    <n v="124451.91085804155"/>
    <n v="416064"/>
    <n v="13.9"/>
    <n v="50"/>
    <n v="50"/>
    <s v=""/>
    <s v=""/>
    <n v="13.9"/>
    <s v="D"/>
    <n v="26"/>
    <n v="50"/>
    <n v="50"/>
    <s v=""/>
    <s v=""/>
    <n v="26"/>
    <n v="12.1"/>
    <n v="4"/>
    <n v="41.381999999999998"/>
    <n v="9.0234597205753779"/>
    <n v="30.860232244367793"/>
    <n v="13482.205730189688"/>
    <n v="121656.14035087719"/>
    <n v="12.1"/>
    <n v="416064"/>
    <n v="416064"/>
    <n v="0"/>
    <s v=""/>
    <s v="2008"/>
    <s v="FR-MD 49101.71N"/>
  </r>
  <r>
    <s v="eGIS Link"/>
    <n v="345"/>
    <s v="NorthBound Visi-Data"/>
    <s v="34459"/>
    <n v="2017"/>
    <n v="7"/>
    <x v="27"/>
    <s v="FR"/>
    <s v="FR-MD 17"/>
    <s v="2.35-2.88(N)"/>
    <s v="MD"/>
    <s v="17"/>
    <s v=""/>
    <n v="2.35"/>
    <n v="2.88"/>
    <s v="N"/>
    <s v="BEGIN ROUNDABOUT"/>
    <s v="E MOUNTAIN RD"/>
    <n v="1.8"/>
    <n v="0.95"/>
    <s v="UNDIVIDED"/>
    <s v="URBAN"/>
    <s v="NON-IS"/>
    <n v="16"/>
    <s v="F"/>
    <n v="254.4"/>
    <n v="252.45"/>
    <s v=""/>
    <s v=""/>
    <s v=""/>
    <n v="0.21"/>
    <n v="41"/>
    <n v="107.68"/>
    <n v="107.68"/>
    <n v="90.8"/>
    <n v="92.3"/>
    <n v="90.3"/>
    <n v="0.14000000000000001"/>
    <n v="57"/>
    <n v="75.55"/>
    <n v="75.55"/>
    <n v="100"/>
    <n v="100"/>
    <n v="100"/>
    <n v="0.12"/>
    <n v="49"/>
    <x v="5"/>
    <m/>
    <s v="Preventive Maintenance"/>
    <n v="266420.96059457085"/>
    <n v="113701.03940542915"/>
    <n v="380122"/>
    <n v="25.4"/>
    <n v="50"/>
    <n v="50"/>
    <s v=""/>
    <s v=""/>
    <n v="25.4"/>
    <s v="C"/>
    <n v="35.299999999999997"/>
    <n v="50"/>
    <n v="50"/>
    <s v=""/>
    <s v=""/>
    <n v="35.299999999999997"/>
    <n v="9.8999999999999986"/>
    <n v="4"/>
    <n v="9.4049999999999976"/>
    <n v="7.3828306804707626"/>
    <n v="7.0136891464472244"/>
    <n v="54197.155314838885"/>
    <n v="400128.42105263157"/>
    <n v="9.9"/>
    <n v="380122"/>
    <n v="380122"/>
    <n v="0"/>
    <s v=""/>
    <s v="2000"/>
    <s v="FR-MD 172.352.88N"/>
  </r>
  <r>
    <s v="eGIS Link"/>
    <n v="252"/>
    <s v="West Bound Visi-Data"/>
    <s v="34477"/>
    <n v="2017"/>
    <n v="7"/>
    <x v="27"/>
    <s v="FR"/>
    <s v="FR-MD 144FB"/>
    <s v="0-1.41(W)"/>
    <s v="MD"/>
    <s v="144"/>
    <s v="FB"/>
    <n v="0"/>
    <n v="1.41"/>
    <s v="W"/>
    <s v="IN CORP LMTS NEW MARKET"/>
    <s v="GREEN VALLEY RD"/>
    <n v="2.1"/>
    <n v="2.96"/>
    <s v="UNDIVIDED"/>
    <s v="RURAL"/>
    <s v="NON-IS"/>
    <n v="17"/>
    <s v="F"/>
    <n v="133.91"/>
    <n v="125.98"/>
    <s v=""/>
    <s v=""/>
    <s v=""/>
    <n v="0.19"/>
    <n v="49"/>
    <n v="109.81"/>
    <n v="109.81"/>
    <n v="86.525000000000006"/>
    <n v="88.7"/>
    <n v="85.8"/>
    <n v="0.16"/>
    <n v="45"/>
    <n v="76.47"/>
    <n v="76.47"/>
    <n v="100"/>
    <n v="100"/>
    <n v="100"/>
    <n v="0.14000000000000001"/>
    <n v="49"/>
    <x v="5"/>
    <m/>
    <s v="Preventive Maintenance"/>
    <n v="266302.68911718257"/>
    <n v="120435.31088281743"/>
    <n v="386738"/>
    <n v="26"/>
    <n v="32.6"/>
    <n v="32.1"/>
    <s v=""/>
    <s v=""/>
    <n v="26"/>
    <s v="C"/>
    <n v="37"/>
    <n v="43.9"/>
    <n v="42.1"/>
    <s v=""/>
    <s v=""/>
    <n v="37"/>
    <n v="11"/>
    <n v="4"/>
    <n v="32.56"/>
    <n v="8.2031452005230712"/>
    <n v="24.281309793548289"/>
    <n v="15927.394497588386"/>
    <n v="130654.72972972973"/>
    <n v="11.1"/>
    <n v="386738"/>
    <n v="386738"/>
    <n v="0"/>
    <s v=""/>
    <s v="1966"/>
    <s v="FR-MD 144FB01.41W"/>
  </r>
  <r>
    <s v="eGIS Link"/>
    <n v="183"/>
    <s v="NorthBound Visi-Data"/>
    <s v="34468"/>
    <n v="2017"/>
    <n v="7"/>
    <x v="27"/>
    <s v="FR"/>
    <s v="FR-MD 76"/>
    <s v="3.21-5.69(N)"/>
    <s v="MD"/>
    <s v="76"/>
    <s v=""/>
    <n v="3.21"/>
    <n v="5.69"/>
    <s v="N"/>
    <s v="FOUR POINTS RD"/>
    <s v="ST ANTHONYS RD (AHEAD)"/>
    <n v="2"/>
    <n v="4.96"/>
    <s v="UNDIVIDED"/>
    <s v="URBAN"/>
    <s v="NON-IS"/>
    <n v="9"/>
    <s v="FCJ"/>
    <n v="103.71"/>
    <n v="100.14"/>
    <n v="86.8"/>
    <n v="91.9"/>
    <n v="85"/>
    <n v="0.12"/>
    <n v="48"/>
    <n v="111.15"/>
    <n v="111.15"/>
    <n v="80.95"/>
    <n v="86.2"/>
    <n v="79.2"/>
    <n v="0.22"/>
    <n v="42"/>
    <n v="77.38"/>
    <n v="77.38"/>
    <n v="100"/>
    <n v="100"/>
    <n v="100"/>
    <n v="0.19"/>
    <n v="49"/>
    <x v="5"/>
    <m/>
    <s v="Preventive Maintenance"/>
    <n v="263286.61284364108"/>
    <n v="112363.38715635892"/>
    <n v="375650"/>
    <n v="24.6"/>
    <n v="50"/>
    <n v="50"/>
    <s v=""/>
    <s v=""/>
    <n v="24.6"/>
    <s v="C"/>
    <n v="34.700000000000003"/>
    <n v="50"/>
    <n v="50"/>
    <s v=""/>
    <s v=""/>
    <n v="34.700000000000003"/>
    <n v="10.100000000000001"/>
    <n v="4"/>
    <n v="50.096000000000004"/>
    <n v="7.5319787750257294"/>
    <n v="37.358614724127619"/>
    <n v="10055.244359941185"/>
    <n v="75735.887096774197"/>
    <n v="10"/>
    <n v="375650"/>
    <n v="375650"/>
    <n v="0"/>
    <s v=""/>
    <s v="2011"/>
    <s v="FR-MD 763.215.69N"/>
  </r>
  <r>
    <s v="eGIS Link"/>
    <n v="262"/>
    <s v="NorthBound Visi-Data"/>
    <s v="34484"/>
    <n v="2017"/>
    <n v="7"/>
    <x v="27"/>
    <s v="FR"/>
    <s v="FR-MD 355"/>
    <s v="7.53-8.33(N)"/>
    <s v="MD"/>
    <s v="355"/>
    <s v=""/>
    <n v="7.53"/>
    <n v="8.33"/>
    <s v="N"/>
    <s v="BEG BR"/>
    <s v="NEW TECHNOLOGY WAY"/>
    <n v="2.4"/>
    <n v="1.92"/>
    <s v="UNDIVIDED"/>
    <s v="RURAL"/>
    <s v="NON-IS"/>
    <n v="16"/>
    <s v="FCJ"/>
    <n v="95.57"/>
    <n v="102.44"/>
    <n v="97"/>
    <n v="97.8"/>
    <n v="96.8"/>
    <n v="0.18"/>
    <n v="43"/>
    <n v="116.74"/>
    <n v="116.74"/>
    <n v="88.2"/>
    <n v="89.7"/>
    <n v="87.7"/>
    <n v="0.22"/>
    <n v="37"/>
    <n v="80.069999999999993"/>
    <n v="80.069999999999993"/>
    <n v="100"/>
    <n v="100"/>
    <n v="100"/>
    <n v="0.19"/>
    <n v="49"/>
    <x v="5"/>
    <m/>
    <s v="Preventive Maintenance"/>
    <n v="191916.03225917794"/>
    <n v="86793.96774082206"/>
    <n v="278710"/>
    <n v="24.9"/>
    <n v="33.4"/>
    <n v="33.4"/>
    <s v=""/>
    <s v=""/>
    <n v="24.9"/>
    <s v="C"/>
    <n v="35.6"/>
    <n v="43.9"/>
    <n v="42.1"/>
    <s v=""/>
    <s v=""/>
    <n v="35.6"/>
    <n v="10.700000000000003"/>
    <n v="4"/>
    <n v="20.544000000000004"/>
    <n v="7.9794230586906254"/>
    <n v="15.320492272686"/>
    <n v="18191.97418981736"/>
    <n v="145161.45833333334"/>
    <n v="10.7"/>
    <n v="278710"/>
    <n v="278710"/>
    <n v="0"/>
    <s v=""/>
    <s v="2011"/>
    <s v="FR-MD 3557.538.33N"/>
  </r>
  <r>
    <s v="eGIS Link"/>
    <n v="317"/>
    <s v="NorthBound Visi-Data"/>
    <s v="34472"/>
    <n v="2017"/>
    <n v="7"/>
    <x v="27"/>
    <s v="FR"/>
    <s v="FR-MD 85"/>
    <s v="3.75-4.57(N)"/>
    <s v="MD"/>
    <s v="85"/>
    <s v=""/>
    <n v="3.75"/>
    <n v="4.57"/>
    <s v="N"/>
    <s v="ADAMSTOWN RD"/>
    <s v="FINGERBOARD RD"/>
    <n v="2"/>
    <n v="1.64"/>
    <s v="UNDIVIDED"/>
    <s v="URBAN"/>
    <s v="NON-IS"/>
    <n v="6"/>
    <s v="F"/>
    <n v="91.44"/>
    <n v="96.25"/>
    <n v="97.4"/>
    <n v="99.3"/>
    <n v="96.8"/>
    <n v="0.23"/>
    <n v="41"/>
    <n v="126.38"/>
    <n v="126.38"/>
    <n v="81.099999999999994"/>
    <n v="81.400000000000006"/>
    <n v="81"/>
    <n v="0.21"/>
    <n v="46"/>
    <n v="86.05"/>
    <n v="86.05"/>
    <n v="100"/>
    <n v="100"/>
    <n v="100"/>
    <n v="0.18"/>
    <n v="49"/>
    <x v="5"/>
    <m/>
    <s v="Preventive Maintenance"/>
    <n v="214530.40377707634"/>
    <n v="91555.596222923661"/>
    <n v="306086"/>
    <n v="16.600000000000001"/>
    <n v="37.4"/>
    <n v="43.8"/>
    <s v=""/>
    <s v=""/>
    <n v="16.600000000000001"/>
    <s v="D"/>
    <n v="24.6"/>
    <n v="48.5"/>
    <n v="50"/>
    <s v=""/>
    <s v=""/>
    <n v="24.6"/>
    <n v="8"/>
    <n v="4"/>
    <n v="13.12"/>
    <n v="5.9659237821985966"/>
    <n v="9.7841150028056987"/>
    <n v="31283.97406533208"/>
    <n v="186637.8048780488"/>
    <n v="8"/>
    <n v="306086"/>
    <n v="306086"/>
    <n v="0"/>
    <s v=""/>
    <s v="2006"/>
    <s v="FR-MD 853.754.57N"/>
  </r>
  <r>
    <s v="eGIS Link"/>
    <n v="371"/>
    <s v="SouthBound Visi-Data"/>
    <s v="34497"/>
    <n v="2017"/>
    <n v="7"/>
    <x v="27"/>
    <s v="FR"/>
    <s v="FR-MD 814"/>
    <s v="0-0.29(S)"/>
    <s v="MD"/>
    <s v="814"/>
    <s v=""/>
    <n v="0"/>
    <n v="0.28999999999999998"/>
    <s v="S"/>
    <s v=""/>
    <s v=""/>
    <n v="2"/>
    <n v="0.57999999999999996"/>
    <s v="UNDIVIDED"/>
    <s v="RURAL"/>
    <s v="NON-IS"/>
    <n v="9"/>
    <s v=""/>
    <s v=""/>
    <s v=""/>
    <s v=""/>
    <s v=""/>
    <s v=""/>
    <s v=""/>
    <s v=""/>
    <n v="99.96"/>
    <n v="99.96"/>
    <n v="86.35"/>
    <n v="87.7"/>
    <n v="85.9"/>
    <n v="0.18"/>
    <n v="42"/>
    <n v="71.12"/>
    <n v="71.12"/>
    <n v="100"/>
    <n v="100"/>
    <n v="100"/>
    <n v="0.15"/>
    <n v="49"/>
    <x v="5"/>
    <m/>
    <s v="Preventive Maintenance"/>
    <n v="356756.14221753017"/>
    <n v="161342.85778246983"/>
    <n v="518099"/>
    <n v="34.6"/>
    <n v="50"/>
    <n v="47.2"/>
    <s v=""/>
    <s v=""/>
    <n v="34.6"/>
    <s v="B"/>
    <n v="45.8"/>
    <n v="50"/>
    <n v="50"/>
    <s v=""/>
    <s v=""/>
    <n v="45.8"/>
    <n v="11.199999999999996"/>
    <n v="4"/>
    <n v="6.4959999999999969"/>
    <n v="8.3522932950780326"/>
    <n v="4.8443301111452586"/>
    <n v="106949.56539151192"/>
    <n v="893274.13793103455"/>
    <n v="11.2"/>
    <n v="518099"/>
    <n v="518099"/>
    <n v="0"/>
    <s v=""/>
    <s v=""/>
    <s v="FR-MD 81400.29S"/>
  </r>
  <r>
    <s v="eGIS Link"/>
    <n v="256"/>
    <s v="EastBound Visi-Data"/>
    <s v="34488"/>
    <n v="2017"/>
    <n v="7"/>
    <x v="27"/>
    <s v="FR"/>
    <s v="FR-MD 464"/>
    <s v="0-1.05(E)"/>
    <s v="MD"/>
    <s v="464"/>
    <s v=""/>
    <n v="0"/>
    <n v="1.05"/>
    <s v="E"/>
    <s v="BURKITTSVILLE RD"/>
    <s v="CUMMINGS DR"/>
    <n v="2.2000000000000002"/>
    <n v="2.31"/>
    <s v="UNDIVIDED"/>
    <s v="RURAL"/>
    <s v="NON-IS"/>
    <n v="7"/>
    <s v="F"/>
    <n v="187.16"/>
    <n v="207.43"/>
    <n v="83.6"/>
    <n v="87.9"/>
    <n v="82.1"/>
    <n v="0.13"/>
    <n v="31"/>
    <n v="138.57"/>
    <n v="138.57"/>
    <n v="84.924999999999997"/>
    <n v="94.6"/>
    <n v="81.7"/>
    <n v="0.2"/>
    <n v="40"/>
    <n v="91.74"/>
    <n v="91.74"/>
    <n v="100"/>
    <n v="100"/>
    <n v="100"/>
    <n v="0.17"/>
    <n v="49"/>
    <x v="5"/>
    <m/>
    <s v="Preventive Maintenance"/>
    <n v="248177.0182867196"/>
    <n v="112237.9817132804"/>
    <n v="360415"/>
    <n v="27.7"/>
    <n v="50"/>
    <n v="47.2"/>
    <s v=""/>
    <s v=""/>
    <n v="27.7"/>
    <s v="C"/>
    <n v="39.9"/>
    <n v="50"/>
    <n v="50"/>
    <s v=""/>
    <s v=""/>
    <n v="39.9"/>
    <n v="12.2"/>
    <n v="4"/>
    <n v="28.181999999999999"/>
    <n v="9.0980337678528596"/>
    <n v="21.016458003740105"/>
    <n v="17149.178988003605"/>
    <n v="156023.80952380953"/>
    <n v="12.3"/>
    <n v="360415"/>
    <n v="360415"/>
    <n v="0"/>
    <s v="SKID_30"/>
    <s v="1999"/>
    <s v="FR-MD 46401.05E"/>
  </r>
  <r>
    <s v="eGIS Link"/>
    <n v="118"/>
    <s v="West Bound Visi-Data"/>
    <s v="35002"/>
    <n v="2017"/>
    <n v="7"/>
    <x v="27"/>
    <s v="FR"/>
    <s v="FR-US 40AL"/>
    <s v="4.08-6(W)"/>
    <s v="US"/>
    <s v="40"/>
    <s v="AL"/>
    <n v="4.08"/>
    <n v="6"/>
    <s v="W"/>
    <s v="OLD HAGERSTOWN RD"/>
    <s v="LARCH LA"/>
    <n v="2.2999999999999998"/>
    <n v="4.42"/>
    <s v="UNDIVIDED"/>
    <s v="URBAN"/>
    <s v="NON-IS"/>
    <n v="14"/>
    <s v="F"/>
    <n v="183.12"/>
    <n v="183.45"/>
    <n v="83.7"/>
    <n v="88.9"/>
    <n v="82"/>
    <n v="0.22"/>
    <n v="49"/>
    <n v="136.91999999999999"/>
    <n v="136.91999999999999"/>
    <n v="84.2"/>
    <n v="86.9"/>
    <n v="83.3"/>
    <n v="0.14000000000000001"/>
    <n v="46"/>
    <n v="91.18"/>
    <n v="91.18"/>
    <n v="100"/>
    <n v="100"/>
    <n v="100"/>
    <n v="0.12"/>
    <n v="49"/>
    <x v="5"/>
    <m/>
    <s v="Preventive Maintenance"/>
    <n v="172390.52806667818"/>
    <n v="73571.471933321824"/>
    <n v="245962"/>
    <n v="18.399999999999999"/>
    <n v="50"/>
    <n v="50"/>
    <s v=""/>
    <s v=""/>
    <n v="18.399999999999999"/>
    <s v="D"/>
    <n v="30"/>
    <n v="50"/>
    <n v="50"/>
    <s v=""/>
    <s v=""/>
    <n v="30"/>
    <n v="11.600000000000001"/>
    <n v="4"/>
    <n v="51.272000000000006"/>
    <n v="8.6505894841879662"/>
    <n v="38.235605520110809"/>
    <n v="6432.7999165759566"/>
    <n v="55647.511312217197"/>
    <n v="11.7"/>
    <n v="245962"/>
    <n v="245962"/>
    <n v="0"/>
    <s v=""/>
    <s v="1986"/>
    <s v="FR-US 40AL4.086W"/>
  </r>
  <r>
    <s v="eGIS Link"/>
    <n v="324"/>
    <s v="NorthBound Visi-Data"/>
    <s v="34496"/>
    <n v="2017"/>
    <n v="7"/>
    <x v="27"/>
    <s v="FR"/>
    <s v="FR-MD 806R"/>
    <s v="0-1.01(N)"/>
    <s v="MD"/>
    <s v="806"/>
    <s v="R"/>
    <n v="0"/>
    <n v="1.01"/>
    <s v="N"/>
    <s v="CHURCH ST"/>
    <s v="RODDY CREEK RD"/>
    <n v="2.2000000000000002"/>
    <n v="2.2200000000000002"/>
    <s v="UNDIVIDED"/>
    <s v="RURAL"/>
    <s v="NON-IS"/>
    <n v="19"/>
    <s v="F"/>
    <n v="163.26"/>
    <n v="165.69"/>
    <s v=""/>
    <s v=""/>
    <s v=""/>
    <n v="0.16"/>
    <n v="54"/>
    <n v="151.63999999999999"/>
    <n v="151.63999999999999"/>
    <n v="87.424999999999997"/>
    <n v="89.3"/>
    <n v="86.8"/>
    <n v="0.14000000000000001"/>
    <n v="46"/>
    <n v="98.51"/>
    <n v="98.51"/>
    <n v="100"/>
    <n v="100"/>
    <n v="100"/>
    <n v="0.12"/>
    <n v="49"/>
    <x v="5"/>
    <m/>
    <s v="Preventive Maintenance"/>
    <n v="571731.56986365281"/>
    <n v="258565.43013634719"/>
    <n v="830297"/>
    <n v="20.2"/>
    <n v="50"/>
    <n v="48"/>
    <s v=""/>
    <s v=""/>
    <n v="20.2"/>
    <s v="C"/>
    <n v="34.4"/>
    <n v="50"/>
    <n v="50"/>
    <s v=""/>
    <s v=""/>
    <n v="34.4"/>
    <n v="14.2"/>
    <n v="4"/>
    <n v="31.524000000000001"/>
    <n v="10.58951471340251"/>
    <n v="23.508722663753574"/>
    <n v="35318.677746799738"/>
    <n v="374007.65765765763"/>
    <n v="14.3"/>
    <n v="830297"/>
    <n v="830297"/>
    <n v="0"/>
    <s v=""/>
    <s v="1988"/>
    <s v="FR-MD 806R01.01N"/>
  </r>
  <r>
    <s v="eGIS Link"/>
    <n v="235"/>
    <s v="West Bound Visi-Data"/>
    <s v="35002"/>
    <n v="2017"/>
    <n v="7"/>
    <x v="27"/>
    <s v="FR"/>
    <s v="FR-US 40AL"/>
    <s v="6-6.82(W)"/>
    <s v="US"/>
    <s v="40"/>
    <s v="AL"/>
    <n v="6"/>
    <n v="6.82"/>
    <s v="W"/>
    <s v="COBLENTZ RD"/>
    <s v="HOLLOW RD"/>
    <n v="2.7"/>
    <n v="2.21"/>
    <s v="UNDIVIDED"/>
    <s v="URBAN"/>
    <s v="NON-IS"/>
    <n v="14"/>
    <s v="F"/>
    <n v="108.41"/>
    <n v="108.94"/>
    <n v="80.7"/>
    <n v="78.900000000000006"/>
    <n v="81.400000000000006"/>
    <n v="0.19"/>
    <n v="43"/>
    <n v="105.55"/>
    <n v="105.55"/>
    <n v="82.15"/>
    <n v="82.3"/>
    <n v="82.1"/>
    <n v="0.18"/>
    <n v="45"/>
    <n v="74.42"/>
    <n v="74.42"/>
    <n v="100"/>
    <n v="100"/>
    <n v="100"/>
    <n v="0.15"/>
    <n v="49"/>
    <x v="5"/>
    <m/>
    <s v="Preventive Maintenance"/>
    <n v="158459.78211464779"/>
    <n v="67626.217885352205"/>
    <n v="226086"/>
    <n v="26"/>
    <n v="50"/>
    <n v="50"/>
    <s v=""/>
    <s v=""/>
    <n v="26"/>
    <s v="C"/>
    <n v="35.799999999999997"/>
    <n v="50"/>
    <n v="50"/>
    <s v=""/>
    <s v=""/>
    <n v="35.799999999999997"/>
    <n v="9.7999999999999972"/>
    <n v="4"/>
    <n v="21.657999999999994"/>
    <n v="7.3082566331932783"/>
    <n v="16.151247159357144"/>
    <n v="13998.052148500385"/>
    <n v="102301.35746606335"/>
    <n v="9.8000000000000007"/>
    <n v="226086"/>
    <n v="226086"/>
    <n v="0"/>
    <s v=""/>
    <s v="1979"/>
    <s v="FR-US 40AL66.82W"/>
  </r>
  <r>
    <s v="eGIS Link"/>
    <n v="43"/>
    <s v="NorthBound Visi-Data"/>
    <s v="34465"/>
    <n v="2017"/>
    <n v="7"/>
    <x v="27"/>
    <s v="FR"/>
    <s v="FR-MD 75"/>
    <s v="8.8-11.8(N)"/>
    <s v="MD"/>
    <s v="75"/>
    <s v=""/>
    <n v="8.8000000000000007"/>
    <n v="11.8"/>
    <s v="N"/>
    <s v="OLD NEW MARKET RD"/>
    <s v="DARBY RD"/>
    <n v="2.5"/>
    <n v="7.5"/>
    <s v="UNDIVIDED"/>
    <s v="RURAL"/>
    <s v="NON-IS"/>
    <n v="7"/>
    <s v="F"/>
    <n v="73.14"/>
    <n v="79.64"/>
    <n v="92.9"/>
    <n v="94.3"/>
    <n v="92.5"/>
    <n v="0.16"/>
    <n v="43"/>
    <n v="124.54"/>
    <n v="124.54"/>
    <n v="87.224999999999994"/>
    <n v="86.1"/>
    <n v="87.6"/>
    <n v="0.19"/>
    <n v="39"/>
    <n v="84.09"/>
    <n v="84.09"/>
    <n v="100"/>
    <n v="100"/>
    <n v="100"/>
    <n v="0.16"/>
    <n v="49"/>
    <x v="5"/>
    <m/>
    <s v="Preventive Maintenance"/>
    <n v="134264.78944454118"/>
    <n v="60721.21055545882"/>
    <n v="194986"/>
    <n v="26.4"/>
    <n v="50"/>
    <n v="48.8"/>
    <s v=""/>
    <s v=""/>
    <n v="26.4"/>
    <s v="C"/>
    <n v="39.9"/>
    <n v="50"/>
    <n v="50"/>
    <s v=""/>
    <s v=""/>
    <n v="39.9"/>
    <n v="13.5"/>
    <n v="4"/>
    <n v="101.25"/>
    <n v="10.067496382460131"/>
    <n v="75.50622286845099"/>
    <n v="2582.3831810486658"/>
    <n v="25998.133333333335"/>
    <n v="13.6"/>
    <n v="194986"/>
    <n v="194986"/>
    <n v="0"/>
    <s v=""/>
    <s v="2009"/>
    <s v="FR-MD 758.811.8N"/>
  </r>
  <r>
    <s v="eGIS Link"/>
    <n v="25"/>
    <s v="NorthBound Visi-Data"/>
    <s v="25901"/>
    <n v="2017"/>
    <n v="7"/>
    <x v="28"/>
    <s v="CL"/>
    <s v="CL-MD 140"/>
    <s v="14.19-16.15(N)"/>
    <s v="MD"/>
    <s v="140"/>
    <s v=""/>
    <n v="14.19"/>
    <n v="16.149999999999999"/>
    <s v="N"/>
    <s v="PLEASANT VALLEY RD"/>
    <s v="TYRONE RD"/>
    <n v="2.2000000000000002"/>
    <n v="4.3099999999999996"/>
    <s v="UNDIVIDED"/>
    <s v="URBAN"/>
    <s v="NON-IS"/>
    <n v="2"/>
    <s v="F"/>
    <n v="82.09"/>
    <n v="77.760000000000005"/>
    <n v="62.2"/>
    <n v="71.2"/>
    <n v="59.2"/>
    <n v="0.18"/>
    <n v="46"/>
    <n v="70.540000000000006"/>
    <n v="70.540000000000006"/>
    <n v="91.924999999999997"/>
    <n v="88.7"/>
    <n v="93"/>
    <n v="0.11"/>
    <n v="44"/>
    <n v="73.23"/>
    <n v="73.23"/>
    <n v="91.674999999999997"/>
    <n v="90.4"/>
    <n v="92.1"/>
    <n v="0.11"/>
    <n v="42"/>
    <x v="0"/>
    <m/>
    <s v="Preventive Maintenance"/>
    <n v="6001.6591661921966"/>
    <n v="2561.3408338078034"/>
    <n v="8563"/>
    <n v="31.2"/>
    <n v="18.3"/>
    <n v="18.399999999999999"/>
    <s v=""/>
    <s v=""/>
    <n v="18.3"/>
    <s v="D"/>
    <n v="30.8"/>
    <n v="21"/>
    <n v="18.399999999999999"/>
    <s v=""/>
    <s v=""/>
    <n v="18.399999999999999"/>
    <n v="1"/>
    <n v="1"/>
    <n v="8.6199999999999992"/>
    <n v="1.4914809455496492"/>
    <n v="6.4282828753189873"/>
    <n v="1332.0820141374197"/>
    <n v="1986.7749419953598"/>
    <n v="0"/>
    <n v="8563"/>
    <n v="8563"/>
    <n v="0"/>
    <s v=""/>
    <s v="1997"/>
    <s v="CL-MD 14014.1916.15N"/>
  </r>
  <r>
    <s v="eGIS Link"/>
    <n v="21"/>
    <s v="NorthBound Visi-Data"/>
    <s v="25878"/>
    <n v="2017"/>
    <n v="7"/>
    <x v="28"/>
    <s v="CL"/>
    <s v="CL-MD 27"/>
    <s v="0-0.75(N)"/>
    <s v="MD"/>
    <s v="27"/>
    <s v=""/>
    <n v="0"/>
    <n v="0.75"/>
    <s v="N"/>
    <s v="FREDERICK CO/L"/>
    <s v="E RIDGEVILLE BLVD"/>
    <n v="2.8"/>
    <n v="2.1"/>
    <s v="DIVIDED"/>
    <s v="RURAL"/>
    <s v="NON-IS"/>
    <n v="14"/>
    <s v="F"/>
    <n v="118.98"/>
    <n v="79.16"/>
    <n v="67.400000000000006"/>
    <n v="55.4"/>
    <n v="71.400000000000006"/>
    <n v="0.17"/>
    <n v="33"/>
    <n v="84.45"/>
    <n v="84.45"/>
    <n v="83.825000000000003"/>
    <n v="82.4"/>
    <n v="84.3"/>
    <n v="0.12"/>
    <n v="35"/>
    <n v="87.22"/>
    <n v="87.22"/>
    <n v="84.05"/>
    <n v="85.1"/>
    <n v="83.7"/>
    <n v="0.12"/>
    <n v="33"/>
    <x v="0"/>
    <m/>
    <s v="Preventive Maintenance"/>
    <n v="3553.7965716681042"/>
    <n v="1607.2034283318958"/>
    <n v="5161"/>
    <n v="41.4"/>
    <n v="32.799999999999997"/>
    <n v="35.4"/>
    <s v=""/>
    <s v=""/>
    <n v="32.799999999999997"/>
    <s v="B"/>
    <n v="41.1"/>
    <n v="36.1"/>
    <n v="35.4"/>
    <s v=""/>
    <s v=""/>
    <n v="35.4"/>
    <n v="2.6000000000000014"/>
    <n v="1"/>
    <n v="5.4600000000000035"/>
    <n v="1.9389252292145449"/>
    <n v="4.0717429813505444"/>
    <n v="1267.5161530672458"/>
    <n v="2457.6190476190477"/>
    <n v="2.7"/>
    <n v="5161"/>
    <n v="5161"/>
    <n v="0"/>
    <s v=""/>
    <s v="1994"/>
    <s v="CL-MD 2700.75N"/>
  </r>
  <r>
    <s v="eGIS Link"/>
    <n v="8"/>
    <s v="EastBound Visi-Data"/>
    <s v="25876"/>
    <n v="2017"/>
    <n v="7"/>
    <x v="28"/>
    <s v="CL"/>
    <s v="CL-MD 26"/>
    <s v="3.5-6.45(E)"/>
    <s v="MD"/>
    <s v="26"/>
    <s v=""/>
    <n v="3.5"/>
    <n v="6.45"/>
    <s v="E"/>
    <s v="WOODBINE RD"/>
    <s v="RAMP 6 FR MD26 TO MD97"/>
    <n v="2.2999999999999998"/>
    <n v="6.78"/>
    <s v="UNDIVIDED"/>
    <s v="URBAN"/>
    <s v="NON-IS"/>
    <n v="6"/>
    <s v="F"/>
    <n v="88.4"/>
    <n v="86.69"/>
    <n v="87.4"/>
    <n v="85.7"/>
    <n v="87.9"/>
    <n v="0.15"/>
    <n v="39"/>
    <n v="82.28"/>
    <n v="82.28"/>
    <n v="84.15"/>
    <n v="86.1"/>
    <n v="83.5"/>
    <n v="0.17"/>
    <n v="43"/>
    <n v="85.41"/>
    <n v="85.41"/>
    <n v="83.35"/>
    <n v="87.7"/>
    <n v="81.900000000000006"/>
    <n v="0.17"/>
    <n v="41"/>
    <x v="0"/>
    <m/>
    <s v="Preventive Maintenance"/>
    <n v="4400.8429177298613"/>
    <n v="1878.1570822701387"/>
    <n v="6279"/>
    <n v="44.4"/>
    <n v="32.1"/>
    <n v="29.3"/>
    <s v=""/>
    <s v=""/>
    <n v="29.3"/>
    <s v="C"/>
    <n v="44.2"/>
    <n v="34.200000000000003"/>
    <n v="29.3"/>
    <s v=""/>
    <s v=""/>
    <n v="29.3"/>
    <n v="1"/>
    <n v="1"/>
    <n v="13.56"/>
    <n v="1.4914809455496492"/>
    <n v="10.112240810826622"/>
    <n v="620.9306243258585"/>
    <n v="926.1061946902654"/>
    <n v="0"/>
    <n v="6279"/>
    <n v="6279"/>
    <n v="0"/>
    <s v=""/>
    <s v="1990"/>
    <s v="CL-MD 263.56.45E"/>
  </r>
  <r>
    <s v="eGIS Link"/>
    <n v="375"/>
    <s v="West Bound Visi-Data"/>
    <s v="26311"/>
    <n v="2017"/>
    <n v="7"/>
    <x v="28"/>
    <s v="CL"/>
    <s v="CL-MD 140 RP2-10"/>
    <s v="0-0.3(W)"/>
    <s v="MD"/>
    <s v="140"/>
    <s v=""/>
    <n v="0"/>
    <n v="0.3"/>
    <s v="W"/>
    <s v=""/>
    <s v=""/>
    <n v="1"/>
    <n v="0.3"/>
    <s v="UNDIVIDED"/>
    <s v="RURAL"/>
    <s v="NON-IS"/>
    <n v="14"/>
    <s v=""/>
    <s v=""/>
    <s v=""/>
    <s v=""/>
    <s v=""/>
    <s v=""/>
    <s v=""/>
    <n v="29"/>
    <n v="126.28"/>
    <n v="126.28"/>
    <n v="70.125"/>
    <n v="65.099999999999994"/>
    <n v="71.8"/>
    <n v="0.15"/>
    <n v="43"/>
    <n v="66.900000000000006"/>
    <n v="66.900000000000006"/>
    <n v="100"/>
    <n v="100"/>
    <n v="100"/>
    <n v="0.08"/>
    <n v="49"/>
    <x v="1"/>
    <m/>
    <s v="Minor Rehabilitation"/>
    <n v="518611.91690333647"/>
    <n v="234542.08309666353"/>
    <n v="753154"/>
    <n v="10.199999999999999"/>
    <n v="5.5"/>
    <n v="11.5"/>
    <s v=""/>
    <s v=""/>
    <n v="5.5"/>
    <s v="E"/>
    <n v="32.5"/>
    <n v="40.799999999999997"/>
    <n v="37.700000000000003"/>
    <s v=""/>
    <s v=""/>
    <n v="32.5"/>
    <n v="27"/>
    <n v="6"/>
    <n v="8.1"/>
    <n v="20.134992764920263"/>
    <n v="6.0404978294760783"/>
    <n v="124684.09413621538"/>
    <n v="2510513.3333333335"/>
    <n v="27"/>
    <n v="753154"/>
    <n v="753154"/>
    <n v="0"/>
    <s v=""/>
    <s v=""/>
    <s v="CL-MD 140 RP2-1000.3W"/>
  </r>
  <r>
    <s v="eGIS Link"/>
    <n v="376"/>
    <s v="NorthBound Visi-Data"/>
    <s v="26303"/>
    <n v="2017"/>
    <n v="7"/>
    <x v="28"/>
    <s v="CL"/>
    <s v="CL-MD 140 RP1-10"/>
    <s v="0-0.23(N)"/>
    <s v="MD"/>
    <s v="140"/>
    <s v=""/>
    <n v="0"/>
    <n v="0.23"/>
    <s v="N"/>
    <s v=""/>
    <s v=""/>
    <n v="1"/>
    <n v="0.23"/>
    <s v="UNDIVIDED"/>
    <s v="RURAL"/>
    <s v="NON-IS"/>
    <n v="14"/>
    <s v=""/>
    <s v=""/>
    <s v=""/>
    <s v=""/>
    <s v=""/>
    <s v=""/>
    <s v=""/>
    <s v=""/>
    <n v="87.71"/>
    <n v="87.71"/>
    <n v="60.024999999999999"/>
    <n v="68.5"/>
    <n v="57.2"/>
    <n v="0.18"/>
    <n v="46"/>
    <n v="46.23"/>
    <n v="46.23"/>
    <n v="100"/>
    <n v="100"/>
    <n v="100"/>
    <n v="0.08"/>
    <n v="49"/>
    <x v="2"/>
    <m/>
    <s v="Structural Overlay"/>
    <n v="695208.95820535487"/>
    <n v="314408.04179464513"/>
    <n v="1009617"/>
    <n v="25.5"/>
    <n v="20.6"/>
    <n v="2.8"/>
    <s v=""/>
    <s v=""/>
    <n v="2.8"/>
    <s v="E"/>
    <n v="50"/>
    <n v="50"/>
    <n v="50"/>
    <s v=""/>
    <s v=""/>
    <n v="50"/>
    <n v="47.2"/>
    <n v="6"/>
    <n v="10.856000000000002"/>
    <n v="35.198950314971725"/>
    <n v="8.0957585724434971"/>
    <n v="124709.37602271815"/>
    <n v="4389639.1304347822"/>
    <n v="57"/>
    <n v="1009617"/>
    <n v="1009617"/>
    <n v="0"/>
    <s v=""/>
    <s v=""/>
    <s v="CL-MD 140 RP1-1000.23N"/>
  </r>
  <r>
    <s v="eGIS Link"/>
    <n v="157"/>
    <s v="SouthBound Visi-Data"/>
    <s v="25900"/>
    <n v="2017"/>
    <n v="7"/>
    <x v="28"/>
    <s v="CL"/>
    <s v="CL-MD 97"/>
    <s v="19.92-21.15(S)"/>
    <s v="MD"/>
    <s v="97"/>
    <s v=""/>
    <n v="19.920000000000002"/>
    <n v="21.15"/>
    <s v="S"/>
    <s v="BACHMANS VALLEY RD"/>
    <s v="JOHN OWINGS RD"/>
    <n v="2.2999999999999998"/>
    <n v="2.83"/>
    <s v="UNDIVIDED"/>
    <s v="URBAN"/>
    <s v="NON-IS"/>
    <n v="6"/>
    <s v="FCJ"/>
    <n v="118.27"/>
    <n v="112.01"/>
    <n v="88.4"/>
    <n v="91"/>
    <n v="87.5"/>
    <n v="0.11"/>
    <n v="50"/>
    <n v="85.91"/>
    <n v="85.91"/>
    <n v="71.75"/>
    <n v="82.7"/>
    <n v="68.099999999999994"/>
    <n v="0.12"/>
    <n v="44"/>
    <n v="46.09"/>
    <n v="46.09"/>
    <n v="100"/>
    <n v="100"/>
    <n v="100"/>
    <n v="0.08"/>
    <n v="49"/>
    <x v="2"/>
    <m/>
    <s v="Structural Overlay"/>
    <n v="298787.72694920772"/>
    <n v="127514.27305079228"/>
    <n v="426302"/>
    <n v="26.4"/>
    <n v="50"/>
    <n v="36.9"/>
    <s v=""/>
    <s v=""/>
    <n v="26.4"/>
    <s v="C"/>
    <n v="50"/>
    <n v="50"/>
    <n v="50"/>
    <s v=""/>
    <s v=""/>
    <n v="50"/>
    <n v="23.6"/>
    <n v="6"/>
    <n v="66.788000000000011"/>
    <n v="17.599475157485863"/>
    <n v="49.806514695684996"/>
    <n v="8559.1614391145667"/>
    <n v="150636.74911660777"/>
    <n v="25.4"/>
    <n v="426302"/>
    <n v="426302"/>
    <n v="0"/>
    <s v=""/>
    <s v="1990"/>
    <s v="CL-MD 9719.9221.15S"/>
  </r>
  <r>
    <s v="eGIS Link"/>
    <n v="48"/>
    <s v="SouthBound Visi-Data"/>
    <s v="25900"/>
    <n v="2017"/>
    <n v="7"/>
    <x v="28"/>
    <s v="CL"/>
    <s v="CL-MD 97"/>
    <s v="21.15-23.74(S)"/>
    <s v="MD"/>
    <s v="97"/>
    <s v=""/>
    <n v="21.15"/>
    <n v="23.74"/>
    <s v="S"/>
    <s v="PLANKWOOD RD"/>
    <s v="OLD HANOVER RD"/>
    <n v="2.2000000000000002"/>
    <n v="5.7"/>
    <s v="UNDIVIDED"/>
    <s v="URBAN"/>
    <s v="NON-IS"/>
    <n v="6"/>
    <s v="FCJ"/>
    <n v="119.23"/>
    <n v="118.53"/>
    <n v="93.7"/>
    <n v="91.4"/>
    <n v="94.4"/>
    <n v="0.14000000000000001"/>
    <n v="43"/>
    <n v="97.62"/>
    <n v="97.62"/>
    <n v="74.724999999999994"/>
    <n v="78.099999999999994"/>
    <n v="73.599999999999994"/>
    <n v="0.16"/>
    <n v="37"/>
    <n v="48.24"/>
    <n v="48.24"/>
    <n v="100"/>
    <n v="100"/>
    <n v="100"/>
    <n v="0.08"/>
    <n v="49"/>
    <x v="2"/>
    <m/>
    <s v="Structural Overlay"/>
    <n v="245388.16952622312"/>
    <n v="104724.83047377688"/>
    <n v="350113"/>
    <n v="22.9"/>
    <n v="50"/>
    <n v="48.8"/>
    <s v=""/>
    <s v=""/>
    <n v="22.9"/>
    <s v="C"/>
    <n v="50"/>
    <n v="50"/>
    <n v="50"/>
    <s v=""/>
    <s v=""/>
    <n v="50"/>
    <n v="27.1"/>
    <n v="6"/>
    <n v="154.47"/>
    <n v="20.209566812197746"/>
    <n v="115.19453082952715"/>
    <n v="3039.3196402537674"/>
    <n v="61423.333333333328"/>
    <n v="27.5"/>
    <n v="350113"/>
    <n v="350113"/>
    <n v="0"/>
    <s v=""/>
    <s v="1991"/>
    <s v="CL-MD 9721.1523.74S"/>
  </r>
  <r>
    <s v="eGIS Link"/>
    <n v="59"/>
    <s v="SouthBound Visi-Data"/>
    <s v="25900"/>
    <n v="2017"/>
    <n v="7"/>
    <x v="28"/>
    <s v="CL"/>
    <s v="CL-MD 97"/>
    <s v="0-3.9(S)"/>
    <s v="MD"/>
    <s v="97"/>
    <s v=""/>
    <n v="0"/>
    <n v="3.9"/>
    <s v="S"/>
    <s v="HOWARD CO/L"/>
    <s v="BLANKNER RD"/>
    <n v="2.1"/>
    <n v="8.19"/>
    <s v="UNDIVIDED"/>
    <s v="RURAL"/>
    <s v="NON-IS"/>
    <n v="7"/>
    <s v="F"/>
    <n v="163.78"/>
    <n v="165.94"/>
    <n v="82.6"/>
    <n v="90.8"/>
    <n v="79.8"/>
    <n v="0.12"/>
    <n v="45"/>
    <n v="97.16"/>
    <n v="97.16"/>
    <n v="84.2"/>
    <n v="83.6"/>
    <n v="84.4"/>
    <n v="0.22"/>
    <n v="43"/>
    <n v="106.07"/>
    <n v="106.07"/>
    <n v="97.075000000000003"/>
    <n v="99.1"/>
    <n v="96.4"/>
    <n v="0.22"/>
    <n v="55"/>
    <x v="4"/>
    <m/>
    <s v="Preventive Maintenance"/>
    <n v="119442.95817053305"/>
    <n v="54018.041829466951"/>
    <n v="173461"/>
    <n v="25.7"/>
    <n v="27.6"/>
    <n v="21.2"/>
    <s v=""/>
    <s v=""/>
    <n v="21.2"/>
    <s v="C"/>
    <n v="27.5"/>
    <n v="37.700000000000003"/>
    <n v="28.1"/>
    <s v=""/>
    <s v=""/>
    <n v="27.5"/>
    <n v="6.3000000000000007"/>
    <n v="4"/>
    <n v="65.52"/>
    <n v="5.9659237821985966"/>
    <n v="48.860915776206504"/>
    <n v="3550.0971941354651"/>
    <n v="21179.609279609282"/>
    <n v="6.3"/>
    <n v="173461"/>
    <n v="173461"/>
    <n v="0"/>
    <s v=""/>
    <s v="1993"/>
    <s v="CL-MD 9703.9S"/>
  </r>
  <r>
    <s v="eGIS Link"/>
    <n v="429"/>
    <s v="West Bound Visi-Data"/>
    <s v="26293"/>
    <n v="2017"/>
    <n v="7"/>
    <x v="28"/>
    <s v="CL"/>
    <s v="CL-MD 26 RP7-6"/>
    <s v="0-0.01(W)"/>
    <s v="MD"/>
    <s v="26"/>
    <s v=""/>
    <n v="0"/>
    <n v="0.01"/>
    <s v="W"/>
    <s v=""/>
    <s v=""/>
    <n v="1"/>
    <n v="0.01"/>
    <s v="UNDIVIDED"/>
    <s v="RURAL"/>
    <s v="NON-IS"/>
    <n v="6"/>
    <s v=""/>
    <s v=""/>
    <s v=""/>
    <s v=""/>
    <s v=""/>
    <s v=""/>
    <s v=""/>
    <s v=""/>
    <n v="98.6"/>
    <n v="98.6"/>
    <n v="84.525000000000006"/>
    <n v="81.3"/>
    <n v="85.6"/>
    <n v="0.18"/>
    <n v="42"/>
    <n v="106.26"/>
    <n v="106.26"/>
    <n v="97.5"/>
    <n v="99"/>
    <n v="97"/>
    <n v="0.18"/>
    <n v="55"/>
    <x v="4"/>
    <m/>
    <s v="Preventive Maintenance"/>
    <n v="69207.106807222342"/>
    <n v="31298.893192777658"/>
    <n v="100506"/>
    <n v="37"/>
    <n v="31.7"/>
    <n v="37.299999999999997"/>
    <s v=""/>
    <s v=""/>
    <n v="31.7"/>
    <s v="B"/>
    <n v="38"/>
    <n v="46.2"/>
    <n v="49"/>
    <s v=""/>
    <s v=""/>
    <n v="38"/>
    <n v="6.3000000000000007"/>
    <n v="4"/>
    <n v="0.08"/>
    <n v="5.9659237821985966"/>
    <n v="5.9659237821985969E-2"/>
    <n v="1684667.8514381044"/>
    <n v="10050600"/>
    <n v="6.3"/>
    <n v="100506"/>
    <n v="100506"/>
    <n v="0"/>
    <s v=""/>
    <s v=""/>
    <s v="CL-MD 26 RP7-600.01W"/>
  </r>
  <r>
    <s v="eGIS Link"/>
    <n v="360"/>
    <s v="NorthBound Visi-Data"/>
    <s v="25910"/>
    <n v="2017"/>
    <n v="7"/>
    <x v="28"/>
    <s v="CL"/>
    <s v="CL-MD 668"/>
    <s v="0-0.135(N)"/>
    <s v="MD"/>
    <s v="668"/>
    <s v=""/>
    <n v="0"/>
    <n v="0.13500000000000001"/>
    <s v="N"/>
    <s v=""/>
    <s v=""/>
    <n v="2"/>
    <n v="0.27"/>
    <s v="UNDIVIDED"/>
    <s v="RURAL"/>
    <s v="NON-IS"/>
    <n v="9"/>
    <s v=""/>
    <s v=""/>
    <s v=""/>
    <s v=""/>
    <s v=""/>
    <s v=""/>
    <s v=""/>
    <s v=""/>
    <n v="73.81"/>
    <n v="73.81"/>
    <n v="69.05"/>
    <n v="82.7"/>
    <n v="64.5"/>
    <n v="0.2"/>
    <n v="50"/>
    <n v="56.32"/>
    <n v="56.32"/>
    <n v="100"/>
    <n v="100"/>
    <n v="100"/>
    <n v="0.2"/>
    <n v="49"/>
    <x v="8"/>
    <m/>
    <s v="Minor Rehabilitation"/>
    <n v="290597.40925699932"/>
    <n v="131422.59074300068"/>
    <n v="422020"/>
    <n v="45.6"/>
    <n v="50"/>
    <n v="21.7"/>
    <s v=""/>
    <s v=""/>
    <n v="21.7"/>
    <s v="C"/>
    <n v="50"/>
    <n v="50"/>
    <n v="50"/>
    <s v=""/>
    <s v=""/>
    <n v="50"/>
    <n v="28.3"/>
    <n v="4"/>
    <n v="7.6410000000000009"/>
    <n v="21.104455379527536"/>
    <n v="5.6982029524724354"/>
    <n v="74061.94611178014"/>
    <n v="1563037.0370370368"/>
    <n v="34.4"/>
    <n v="422020"/>
    <n v="422020"/>
    <n v="0"/>
    <s v=""/>
    <s v=""/>
    <s v="CL-MD 66800.135N"/>
  </r>
  <r>
    <s v="eGIS Link"/>
    <n v="400"/>
    <s v="West Bound Visi-Data"/>
    <s v="26292"/>
    <n v="2017"/>
    <n v="7"/>
    <x v="28"/>
    <s v="CL"/>
    <s v="CL-MD 26 RP5-6"/>
    <s v="0-0.06(W)"/>
    <s v="MD"/>
    <s v="26"/>
    <s v=""/>
    <n v="0"/>
    <n v="0.06"/>
    <s v="W"/>
    <s v=""/>
    <s v=""/>
    <n v="1"/>
    <n v="0.06"/>
    <s v="UNDIVIDED"/>
    <s v="RURAL"/>
    <s v="NON-IS"/>
    <n v="6"/>
    <s v=""/>
    <s v=""/>
    <s v=""/>
    <s v=""/>
    <s v=""/>
    <s v=""/>
    <s v=""/>
    <s v=""/>
    <n v="117.27"/>
    <n v="117.27"/>
    <n v="67.650000000000006"/>
    <n v="66.599999999999994"/>
    <n v="68"/>
    <n v="0.13"/>
    <n v="44"/>
    <n v="77.430000000000007"/>
    <n v="77.430000000000007"/>
    <n v="100"/>
    <n v="100"/>
    <n v="100"/>
    <n v="0.13"/>
    <n v="49"/>
    <x v="8"/>
    <m/>
    <s v="Minor Rehabilitation"/>
    <n v="228532.32493405163"/>
    <n v="103353.67506594837"/>
    <n v="331886"/>
    <n v="28.8"/>
    <n v="20.8"/>
    <n v="50"/>
    <s v=""/>
    <s v=""/>
    <n v="20.8"/>
    <s v="C"/>
    <n v="45.8"/>
    <n v="46.8"/>
    <n v="50"/>
    <s v=""/>
    <s v=""/>
    <n v="45.8"/>
    <n v="24.999999999999996"/>
    <n v="4"/>
    <n v="1.4999999999999998"/>
    <n v="18.643511819370612"/>
    <n v="1.1186107091622366"/>
    <n v="296694.81731366587"/>
    <n v="5531433.333333334"/>
    <n v="25"/>
    <n v="331886"/>
    <n v="331886"/>
    <n v="0"/>
    <s v=""/>
    <s v=""/>
    <s v="CL-MD 26 RP5-600.06W"/>
  </r>
  <r>
    <s v="eGIS Link"/>
    <n v="245"/>
    <s v="NorthBound Visi-Data"/>
    <s v="25900"/>
    <n v="2017"/>
    <n v="7"/>
    <x v="28"/>
    <s v="CL"/>
    <s v="CL-MD 97"/>
    <s v="23.74-26(N)"/>
    <s v="MD"/>
    <s v="97"/>
    <s v=""/>
    <n v="23.74"/>
    <n v="26"/>
    <s v="N"/>
    <s v="OLD HANOVER RD"/>
    <s v="STRUC #6030 SILVER RUN"/>
    <n v="2"/>
    <n v="4.5199999999999996"/>
    <s v="UNDIVIDED"/>
    <s v="URBAN"/>
    <s v="NON-IS"/>
    <n v="6"/>
    <s v="FCJ"/>
    <n v="116.69"/>
    <n v="116.42"/>
    <n v="82.4"/>
    <n v="82.8"/>
    <n v="82.3"/>
    <n v="0.12"/>
    <n v="43"/>
    <n v="74.78"/>
    <n v="74.78"/>
    <n v="86.974999999999994"/>
    <n v="87.2"/>
    <n v="86.9"/>
    <n v="0.19"/>
    <n v="38"/>
    <n v="58.49"/>
    <n v="58.49"/>
    <n v="100"/>
    <n v="100"/>
    <n v="100"/>
    <n v="0.16"/>
    <n v="49"/>
    <x v="5"/>
    <m/>
    <s v="Preventive Maintenance"/>
    <n v="283718.04649465927"/>
    <n v="121082.95350534073"/>
    <n v="404801"/>
    <n v="29.9"/>
    <n v="50"/>
    <n v="50"/>
    <s v=""/>
    <s v=""/>
    <n v="29.9"/>
    <s v="C"/>
    <n v="35.5"/>
    <n v="50"/>
    <n v="50"/>
    <s v=""/>
    <s v=""/>
    <n v="35.5"/>
    <n v="5.6000000000000014"/>
    <n v="4"/>
    <n v="36.159999999999997"/>
    <n v="5.9659237821985966"/>
    <n v="26.965975495537656"/>
    <n v="15011.546682855464"/>
    <n v="89557.743362831869"/>
    <n v="5.6"/>
    <n v="404801"/>
    <n v="404801"/>
    <n v="0"/>
    <s v=""/>
    <s v="1991"/>
    <s v="CL-MD 9723.7426N"/>
  </r>
  <r>
    <s v="eGIS Link"/>
    <n v="205"/>
    <s v="West Bound Visi-Data"/>
    <s v="25890"/>
    <n v="2017"/>
    <n v="7"/>
    <x v="28"/>
    <s v="CL"/>
    <s v="CL-MD 31"/>
    <s v="6.1-7.85(W)"/>
    <s v="MD"/>
    <s v="31"/>
    <s v=""/>
    <n v="6.1"/>
    <n v="7.85"/>
    <s v="W"/>
    <s v="MEDFORD RD"/>
    <s v="STONE CHAPEL RD"/>
    <n v="2.6"/>
    <n v="4.55"/>
    <s v="UNDIVIDED"/>
    <s v="URBAN"/>
    <s v="NON-IS"/>
    <n v="6"/>
    <s v="F"/>
    <n v="69.95"/>
    <n v="68.7"/>
    <n v="100"/>
    <n v="100"/>
    <n v="100"/>
    <n v="0.09"/>
    <n v="48"/>
    <n v="107.61"/>
    <n v="107.61"/>
    <n v="89.9"/>
    <n v="90.5"/>
    <n v="89.7"/>
    <n v="0.19"/>
    <n v="43"/>
    <n v="75.42"/>
    <n v="75.42"/>
    <n v="100"/>
    <n v="100"/>
    <n v="100"/>
    <n v="0.16"/>
    <n v="49"/>
    <x v="5"/>
    <m/>
    <s v="Preventive Maintenance"/>
    <n v="246291.60741775902"/>
    <n v="105110.39258224098"/>
    <n v="351402"/>
    <n v="26.6"/>
    <n v="50"/>
    <n v="50"/>
    <s v=""/>
    <s v=""/>
    <n v="26.6"/>
    <s v="C"/>
    <n v="35.4"/>
    <n v="50"/>
    <n v="50"/>
    <s v=""/>
    <s v=""/>
    <n v="35.4"/>
    <n v="8.7999999999999972"/>
    <n v="4"/>
    <n v="40.039999999999985"/>
    <n v="6.562516160418455"/>
    <n v="29.859448529903968"/>
    <n v="11768.536168646051"/>
    <n v="77231.208791208788"/>
    <n v="8.6999999999999993"/>
    <n v="351402"/>
    <n v="351402"/>
    <n v="0"/>
    <s v=""/>
    <s v="2009"/>
    <s v="CL-MD 316.17.85W"/>
  </r>
  <r>
    <s v="eGIS Link"/>
    <n v="93"/>
    <s v="EastBound Visi-Data"/>
    <s v="25906"/>
    <n v="2017"/>
    <n v="7"/>
    <x v="28"/>
    <s v="CL"/>
    <s v="CL-MD 407"/>
    <s v="0-2.3(E)"/>
    <s v="MD"/>
    <s v="407"/>
    <s v=""/>
    <n v="0"/>
    <n v="2.2999999999999998"/>
    <s v="E"/>
    <s v="NEW WINDSOR RD"/>
    <s v="BOWERSOX RD"/>
    <n v="2"/>
    <n v="4.5999999999999996"/>
    <s v="UNDIVIDED"/>
    <s v="URBAN"/>
    <s v="NON-IS"/>
    <n v="7"/>
    <s v="FCJ"/>
    <n v="82.54"/>
    <n v="85.8"/>
    <n v="79.900000000000006"/>
    <n v="83.7"/>
    <n v="78.599999999999994"/>
    <n v="0.18"/>
    <n v="48"/>
    <n v="78.239999999999995"/>
    <n v="78.239999999999995"/>
    <n v="92.4"/>
    <n v="93.9"/>
    <n v="91.9"/>
    <n v="0.2"/>
    <n v="36"/>
    <n v="60.31"/>
    <n v="60.31"/>
    <n v="100"/>
    <n v="100"/>
    <n v="100"/>
    <n v="0.17"/>
    <n v="49"/>
    <x v="5"/>
    <m/>
    <s v="Preventive Maintenance"/>
    <n v="104767.25569347698"/>
    <n v="44711.744306523018"/>
    <n v="149479"/>
    <n v="28.5"/>
    <n v="50"/>
    <n v="50"/>
    <s v=""/>
    <s v=""/>
    <n v="28.5"/>
    <s v="C"/>
    <n v="34.700000000000003"/>
    <n v="50"/>
    <n v="50"/>
    <s v=""/>
    <s v=""/>
    <n v="34.700000000000003"/>
    <n v="6.2000000000000028"/>
    <n v="4"/>
    <n v="36.799999999999997"/>
    <n v="5.9659237821985966"/>
    <n v="27.443249398113544"/>
    <n v="5446.8404171655866"/>
    <n v="32495.4347826087"/>
    <n v="6.2"/>
    <n v="149479"/>
    <n v="149479"/>
    <n v="0"/>
    <s v=""/>
    <s v="2007"/>
    <s v="CL-MD 40702.3E"/>
  </r>
  <r>
    <s v="eGIS Link"/>
    <n v="283"/>
    <s v="SouthBound Visi-Data"/>
    <s v="25901"/>
    <n v="2017"/>
    <n v="7"/>
    <x v="28"/>
    <s v="CL"/>
    <s v="CL-MD 140"/>
    <s v="8.94-10.04(S)"/>
    <s v="MD"/>
    <s v="140"/>
    <s v=""/>
    <n v="8.94"/>
    <n v="10.039999999999999"/>
    <s v="S"/>
    <s v="SPUR FR CENTER ST"/>
    <s v="SULLIVAN RD"/>
    <n v="4.0999999999999996"/>
    <n v="4.51"/>
    <s v="DIVIDED"/>
    <s v="URBAN"/>
    <s v="NON-IS"/>
    <n v="14"/>
    <s v="FCJ"/>
    <n v="117.78"/>
    <n v="75.59"/>
    <n v="96.7"/>
    <n v="95.8"/>
    <n v="97"/>
    <n v="0.2"/>
    <n v="51"/>
    <n v="128.91999999999999"/>
    <n v="128.91999999999999"/>
    <n v="91.224999999999994"/>
    <n v="89.5"/>
    <n v="91.8"/>
    <n v="0.24"/>
    <n v="38"/>
    <n v="88.07"/>
    <n v="88.07"/>
    <n v="100"/>
    <n v="100"/>
    <n v="100"/>
    <n v="0.2"/>
    <n v="49"/>
    <x v="5"/>
    <m/>
    <s v="Preventive Maintenance"/>
    <n v="392376.60333150881"/>
    <n v="167455.39666849119"/>
    <n v="559832"/>
    <n v="11.9"/>
    <n v="40.700000000000003"/>
    <n v="49.9"/>
    <s v=""/>
    <s v=""/>
    <n v="11.9"/>
    <s v="D"/>
    <n v="18.7"/>
    <n v="47.1"/>
    <n v="50"/>
    <s v=""/>
    <s v=""/>
    <n v="18.7"/>
    <n v="6.7999999999999989"/>
    <n v="4"/>
    <n v="36.08"/>
    <n v="5.9659237821985966"/>
    <n v="26.90631625771567"/>
    <n v="20806.712990280201"/>
    <n v="124131.26385809314"/>
    <n v="6.8"/>
    <n v="559832"/>
    <n v="559832"/>
    <n v="0"/>
    <s v=""/>
    <s v="2006"/>
    <s v="CL-MD 1408.9410.04S"/>
  </r>
  <r>
    <s v="eGIS Link"/>
    <n v="166"/>
    <s v="West Bound Visi-Data"/>
    <s v="25875"/>
    <n v="2017"/>
    <n v="7"/>
    <x v="28"/>
    <s v="CL"/>
    <s v="CL-IS 70"/>
    <s v="0-1.61(W)"/>
    <s v="IS"/>
    <s v="70"/>
    <s v=""/>
    <n v="0"/>
    <n v="1.61"/>
    <s v="W"/>
    <s v="FREDERICK CO/L"/>
    <s v="HOWARD CO/L"/>
    <n v="3.1"/>
    <n v="4.99"/>
    <s v="DIVIDED"/>
    <s v="URBAN"/>
    <s v="IS"/>
    <n v="11"/>
    <s v="F"/>
    <n v="52.52"/>
    <n v="64.930000000000007"/>
    <n v="96.4"/>
    <n v="91.6"/>
    <n v="97.9"/>
    <n v="0.11"/>
    <n v="46"/>
    <n v="58.55"/>
    <n v="58.55"/>
    <n v="92.625"/>
    <n v="93.3"/>
    <n v="92.4"/>
    <n v="0.12"/>
    <n v="50"/>
    <n v="49.62"/>
    <n v="49.62"/>
    <n v="100"/>
    <n v="100"/>
    <n v="100"/>
    <n v="0.1"/>
    <n v="49"/>
    <x v="5"/>
    <m/>
    <s v="Preventive Maintenance"/>
    <n v="187142.00774329234"/>
    <n v="79866.992256707657"/>
    <n v="267009"/>
    <n v="50"/>
    <n v="24.2"/>
    <n v="20.8"/>
    <s v=""/>
    <s v=""/>
    <n v="20.8"/>
    <s v="C"/>
    <n v="50"/>
    <n v="32.1"/>
    <n v="28.3"/>
    <s v=""/>
    <s v=""/>
    <n v="28.3"/>
    <n v="7.5"/>
    <n v="4"/>
    <n v="39.92"/>
    <n v="5.9659237821985966"/>
    <n v="29.769959673170998"/>
    <n v="8969.0749645398864"/>
    <n v="53508.817635270541"/>
    <n v="7.5"/>
    <n v="267009"/>
    <n v="267009"/>
    <n v="0"/>
    <s v=""/>
    <s v="2002"/>
    <s v="CL-IS 7001.61W"/>
  </r>
  <r>
    <s v="eGIS Link"/>
    <n v="259"/>
    <s v="NorthBound Visi-Data"/>
    <s v="25878"/>
    <n v="2017"/>
    <n v="7"/>
    <x v="28"/>
    <s v="CL"/>
    <s v="CL-MD 27"/>
    <s v="0.75-2.2(N)"/>
    <s v="MD"/>
    <s v="27"/>
    <s v=""/>
    <n v="0.75"/>
    <n v="2.2000000000000002"/>
    <s v="N"/>
    <s v="SPUR FR E.RIDGEVILLE BLVD"/>
    <s v="CENTER ST"/>
    <n v="3.1"/>
    <n v="4.5"/>
    <s v="UNDIVIDED"/>
    <s v="URBAN"/>
    <s v="NON-IS"/>
    <n v="14"/>
    <s v="F"/>
    <n v="92.63"/>
    <n v="91.88"/>
    <n v="95.1"/>
    <n v="93.7"/>
    <n v="95.6"/>
    <n v="0.23"/>
    <n v="45"/>
    <n v="135.49"/>
    <n v="135.49"/>
    <n v="85.15"/>
    <n v="83.2"/>
    <n v="85.8"/>
    <n v="0.17"/>
    <n v="33"/>
    <n v="90.73"/>
    <n v="90.73"/>
    <n v="100"/>
    <n v="100"/>
    <n v="100"/>
    <n v="0.14000000000000001"/>
    <n v="49"/>
    <x v="5"/>
    <m/>
    <s v="Preventive Maintenance"/>
    <n v="405900.83727648656"/>
    <n v="173227.16272351344"/>
    <n v="579128"/>
    <n v="14.9"/>
    <n v="50"/>
    <n v="50"/>
    <s v=""/>
    <s v=""/>
    <n v="14.9"/>
    <s v="D"/>
    <n v="24.8"/>
    <n v="50"/>
    <n v="50"/>
    <s v=""/>
    <s v=""/>
    <n v="24.8"/>
    <n v="9.9"/>
    <n v="4"/>
    <n v="44.550000000000004"/>
    <n v="7.3828306804707644"/>
    <n v="33.222738062118438"/>
    <n v="17431.675827476094"/>
    <n v="128695.11111111111"/>
    <n v="9.8000000000000007"/>
    <n v="579128"/>
    <n v="579128"/>
    <n v="0"/>
    <s v=""/>
    <s v="2011"/>
    <s v="CL-MD 270.752.2N"/>
  </r>
  <r>
    <s v="eGIS Link"/>
    <n v="131"/>
    <s v="SouthBound Visi-Data"/>
    <s v="25900"/>
    <n v="2017"/>
    <n v="7"/>
    <x v="28"/>
    <s v="CL"/>
    <s v="CL-MD 97"/>
    <s v="23.74-26(S)"/>
    <s v="MD"/>
    <s v="97"/>
    <s v=""/>
    <n v="23.74"/>
    <n v="26"/>
    <s v="S"/>
    <s v="OLD HANOVER RD"/>
    <s v="STRUC #6030 SILVER RUN"/>
    <n v="2"/>
    <n v="4.5199999999999996"/>
    <s v="UNDIVIDED"/>
    <s v="URBAN"/>
    <s v="NON-IS"/>
    <n v="6"/>
    <s v="FCJ"/>
    <n v="123.34"/>
    <n v="133.08000000000001"/>
    <n v="89.7"/>
    <n v="83"/>
    <n v="92"/>
    <n v="0.15"/>
    <n v="40"/>
    <n v="101.21"/>
    <n v="101.21"/>
    <n v="82.025000000000006"/>
    <n v="87.8"/>
    <n v="80.099999999999994"/>
    <n v="0.18"/>
    <n v="40"/>
    <n v="72.31"/>
    <n v="72.31"/>
    <n v="100"/>
    <n v="100"/>
    <n v="100"/>
    <n v="0.15"/>
    <n v="49"/>
    <x v="5"/>
    <m/>
    <s v="Preventive Maintenance"/>
    <n v="133210.48029728542"/>
    <n v="56850.519702714577"/>
    <n v="190061"/>
    <n v="23.1"/>
    <n v="50"/>
    <n v="50"/>
    <s v=""/>
    <s v=""/>
    <n v="23.1"/>
    <s v="C"/>
    <n v="30.3"/>
    <n v="50"/>
    <n v="50"/>
    <s v=""/>
    <s v=""/>
    <n v="30.3"/>
    <n v="7.1999999999999993"/>
    <n v="4"/>
    <n v="36.159999999999997"/>
    <n v="5.9659237821985966"/>
    <n v="26.965975495537656"/>
    <n v="7048.1781766601171"/>
    <n v="42048.893805309737"/>
    <n v="7.3"/>
    <n v="190061"/>
    <n v="190061"/>
    <n v="0"/>
    <s v=""/>
    <s v="1991"/>
    <s v="CL-MD 9723.7426S"/>
  </r>
  <r>
    <s v="eGIS Link"/>
    <n v="133"/>
    <s v="EastBound Visi-Data"/>
    <s v="25875"/>
    <n v="2017"/>
    <n v="7"/>
    <x v="28"/>
    <s v="CL"/>
    <s v="CL-IS 70"/>
    <s v="0-1.61(E)"/>
    <s v="IS"/>
    <s v="70"/>
    <s v=""/>
    <n v="0"/>
    <n v="1.61"/>
    <s v="E"/>
    <s v="FREDERICK CO/L"/>
    <s v="HOWARD CO/L"/>
    <n v="3.1"/>
    <n v="4.99"/>
    <s v="DIVIDED"/>
    <s v="URBAN"/>
    <s v="IS"/>
    <n v="11"/>
    <s v="F"/>
    <n v="68.33"/>
    <n v="71.16"/>
    <n v="88"/>
    <n v="79.400000000000006"/>
    <n v="90.9"/>
    <n v="0.14000000000000001"/>
    <n v="45"/>
    <n v="76.709999999999994"/>
    <n v="76.709999999999994"/>
    <n v="93.924999999999997"/>
    <n v="93.7"/>
    <n v="94"/>
    <n v="0.13"/>
    <n v="44"/>
    <n v="59.53"/>
    <n v="59.53"/>
    <n v="100"/>
    <n v="100"/>
    <n v="100"/>
    <n v="0.11"/>
    <n v="49"/>
    <x v="5"/>
    <m/>
    <s v="Preventive Maintenance"/>
    <n v="149713.46601807972"/>
    <n v="63893.533981920278"/>
    <n v="213607"/>
    <n v="28.7"/>
    <n v="45.1"/>
    <n v="26.3"/>
    <s v=""/>
    <s v=""/>
    <n v="26.3"/>
    <s v="C"/>
    <n v="33.1"/>
    <n v="50"/>
    <n v="32.9"/>
    <s v=""/>
    <s v=""/>
    <n v="32.9"/>
    <n v="6.5999999999999979"/>
    <n v="4"/>
    <n v="39.92"/>
    <n v="5.9659237821985966"/>
    <n v="29.769959673170998"/>
    <n v="7175.2532534501506"/>
    <n v="42807.01402805611"/>
    <n v="6.6"/>
    <n v="213607"/>
    <n v="213607"/>
    <n v="0"/>
    <s v=""/>
    <s v="2002"/>
    <s v="CL-IS 7001.61E"/>
  </r>
  <r>
    <s v="eGIS Link"/>
    <n v="116"/>
    <s v="NorthBound Visi-Data"/>
    <s v="25900"/>
    <n v="2017"/>
    <n v="7"/>
    <x v="28"/>
    <s v="CL"/>
    <s v="CL-MD 97"/>
    <s v="26-28.31(N)"/>
    <s v="MD"/>
    <s v="97"/>
    <s v=""/>
    <n v="26"/>
    <n v="28.31"/>
    <s v="N"/>
    <s v="STRUC #6030 SILVER RUN"/>
    <s v="PENNSYLVANIA ST/L"/>
    <n v="2.1"/>
    <n v="4.8499999999999996"/>
    <s v="UNDIVIDED"/>
    <s v="URBAN"/>
    <s v="NON-IS"/>
    <n v="6"/>
    <s v="FCJ"/>
    <n v="129.97"/>
    <n v="122.06"/>
    <n v="75.900000000000006"/>
    <n v="70.8"/>
    <n v="77.599999999999994"/>
    <n v="0.19"/>
    <n v="44"/>
    <n v="114.13"/>
    <n v="114.13"/>
    <n v="86.974999999999994"/>
    <n v="87.2"/>
    <n v="86.9"/>
    <n v="0.17"/>
    <n v="38"/>
    <n v="78.569999999999993"/>
    <n v="78.569999999999993"/>
    <n v="100"/>
    <n v="100"/>
    <n v="100"/>
    <n v="0.14000000000000001"/>
    <n v="49"/>
    <x v="5"/>
    <m/>
    <s v="Preventive Maintenance"/>
    <n v="203734.00557597572"/>
    <n v="86947.994424024277"/>
    <n v="290682"/>
    <n v="29.7"/>
    <n v="50"/>
    <n v="50"/>
    <s v=""/>
    <s v=""/>
    <n v="29.7"/>
    <s v="C"/>
    <n v="42.3"/>
    <n v="50"/>
    <n v="50"/>
    <s v=""/>
    <s v=""/>
    <n v="42.3"/>
    <n v="12.599999999999998"/>
    <n v="4"/>
    <n v="61.109999999999985"/>
    <n v="9.3963299569627896"/>
    <n v="45.572200291269525"/>
    <n v="6378.4938656053282"/>
    <n v="59934.432989690729"/>
    <n v="12.6"/>
    <n v="290682"/>
    <n v="290682"/>
    <n v="0"/>
    <s v=""/>
    <s v="1989"/>
    <s v="CL-MD 972628.31N"/>
  </r>
  <r>
    <s v="eGIS Link"/>
    <n v="342"/>
    <s v="NorthBound Visi-Data"/>
    <s v="25878"/>
    <n v="2017"/>
    <n v="7"/>
    <x v="28"/>
    <s v="CL"/>
    <s v="CL-MD 27"/>
    <s v="2.2-3.2(N)"/>
    <s v="MD"/>
    <s v="27"/>
    <s v=""/>
    <n v="2.2000000000000002"/>
    <n v="3.2"/>
    <s v="N"/>
    <s v="WATERSVILLE RD W"/>
    <s v="LEISHEAR RD"/>
    <n v="2.4"/>
    <n v="2.4"/>
    <s v="UNDIVIDED"/>
    <s v="URBAN"/>
    <s v="NON-IS"/>
    <n v="6"/>
    <s v="F"/>
    <n v="81.93"/>
    <n v="77.58"/>
    <n v="83"/>
    <n v="80.900000000000006"/>
    <n v="83.6"/>
    <n v="0.25"/>
    <n v="45"/>
    <n v="102.48"/>
    <n v="102.48"/>
    <n v="82.724999999999994"/>
    <n v="83.7"/>
    <n v="82.4"/>
    <n v="0.18"/>
    <n v="44"/>
    <n v="73.06"/>
    <n v="73.06"/>
    <n v="100"/>
    <n v="100"/>
    <n v="100"/>
    <n v="0.15"/>
    <n v="49"/>
    <x v="5"/>
    <m/>
    <s v="Preventive Maintenance"/>
    <n v="534003.28394032479"/>
    <n v="227897.71605967521"/>
    <n v="761901"/>
    <n v="21.8"/>
    <n v="50"/>
    <n v="50"/>
    <s v=""/>
    <s v=""/>
    <n v="21.8"/>
    <s v="C"/>
    <n v="30.1"/>
    <n v="50"/>
    <n v="50"/>
    <s v=""/>
    <s v=""/>
    <n v="30.1"/>
    <n v="8.3000000000000007"/>
    <n v="4"/>
    <n v="19.920000000000002"/>
    <n v="6.1896459240310451"/>
    <n v="14.855150217674508"/>
    <n v="51288.67691243525"/>
    <n v="317458.75"/>
    <n v="8.1999999999999993"/>
    <n v="761901"/>
    <n v="761901"/>
    <n v="0"/>
    <s v=""/>
    <s v="1993"/>
    <s v="CL-MD 272.23.2N"/>
  </r>
  <r>
    <s v="eGIS Link"/>
    <n v="139"/>
    <s v="NorthBound Visi-Data"/>
    <s v="25900"/>
    <n v="2017"/>
    <n v="7"/>
    <x v="28"/>
    <s v="CL"/>
    <s v="CL-MD 97"/>
    <s v="21.15-23.74(N)"/>
    <s v="MD"/>
    <s v="97"/>
    <s v=""/>
    <n v="21.15"/>
    <n v="23.74"/>
    <s v="N"/>
    <s v="PLANKWOOD RD"/>
    <s v="OLD HANOVER RD"/>
    <n v="2.2000000000000002"/>
    <n v="5.7"/>
    <s v="UNDIVIDED"/>
    <s v="URBAN"/>
    <s v="NON-IS"/>
    <n v="6"/>
    <s v="FCJ"/>
    <n v="108.73"/>
    <n v="109.3"/>
    <n v="88.1"/>
    <n v="85.3"/>
    <n v="89.1"/>
    <n v="0.12"/>
    <n v="43"/>
    <n v="72.25"/>
    <n v="72.25"/>
    <n v="86.974999999999994"/>
    <n v="87.2"/>
    <n v="86.9"/>
    <n v="0.17"/>
    <n v="39"/>
    <n v="57.17"/>
    <n v="57.17"/>
    <n v="100"/>
    <n v="100"/>
    <n v="100"/>
    <n v="0.14000000000000001"/>
    <n v="49"/>
    <x v="5"/>
    <m/>
    <s v="Preventive Maintenance"/>
    <n v="177033.87642309803"/>
    <n v="75553.123576901969"/>
    <n v="252587"/>
    <n v="30.8"/>
    <n v="50"/>
    <n v="50"/>
    <s v=""/>
    <s v=""/>
    <n v="30.8"/>
    <s v="B"/>
    <n v="36"/>
    <n v="50"/>
    <n v="50"/>
    <s v=""/>
    <s v=""/>
    <n v="36"/>
    <n v="5.1999999999999993"/>
    <n v="4"/>
    <n v="45.6"/>
    <n v="5.9659237821985966"/>
    <n v="34.005765558532005"/>
    <n v="7427.7698458291652"/>
    <n v="44313.508771929824"/>
    <n v="5.3"/>
    <n v="252587"/>
    <n v="252587"/>
    <n v="0"/>
    <s v=""/>
    <s v="1991"/>
    <s v="CL-MD 9721.1523.74N"/>
  </r>
  <r>
    <s v="eGIS Link"/>
    <n v="38"/>
    <s v="NorthBound Visi-Data"/>
    <s v="25878"/>
    <n v="2017"/>
    <n v="7"/>
    <x v="28"/>
    <s v="CL"/>
    <s v="CL-MD 27"/>
    <s v="3.2-8.7(N)"/>
    <s v="MD"/>
    <s v="27"/>
    <s v=""/>
    <n v="3.2"/>
    <n v="8.6999999999999993"/>
    <s v="N"/>
    <s v="WIND SONG WAY"/>
    <s v="NO NAME"/>
    <n v="2.5"/>
    <n v="13.75"/>
    <s v="UNDIVIDED"/>
    <s v="RURAL"/>
    <s v="NON-IS"/>
    <n v="6"/>
    <s v="FCJ"/>
    <n v="112.55"/>
    <n v="107.76"/>
    <n v="90.6"/>
    <n v="95.4"/>
    <n v="89"/>
    <n v="0.16"/>
    <n v="45"/>
    <n v="162.88999999999999"/>
    <n v="162.88999999999999"/>
    <n v="79.8"/>
    <n v="72.3"/>
    <n v="82.3"/>
    <n v="0.18"/>
    <n v="47"/>
    <n v="104.96"/>
    <n v="104.96"/>
    <n v="100"/>
    <n v="100"/>
    <n v="100"/>
    <n v="0.15"/>
    <n v="49"/>
    <x v="5"/>
    <m/>
    <s v="Preventive Maintenance"/>
    <n v="210884.53335581449"/>
    <n v="95372.466644185508"/>
    <n v="306257"/>
    <n v="13"/>
    <n v="13.5"/>
    <n v="28.3"/>
    <s v=""/>
    <s v=""/>
    <n v="13"/>
    <s v="D"/>
    <n v="27.1"/>
    <n v="43.9"/>
    <n v="42.1"/>
    <s v=""/>
    <s v=""/>
    <n v="27.1"/>
    <n v="14.100000000000001"/>
    <n v="4"/>
    <n v="193.87500000000003"/>
    <n v="10.514940666125028"/>
    <n v="144.58043415921912"/>
    <n v="2118.2465095016569"/>
    <n v="22273.236363636363"/>
    <n v="14.1"/>
    <n v="306257"/>
    <n v="306257"/>
    <n v="0"/>
    <s v=""/>
    <s v="1988"/>
    <s v="CL-MD 273.28.7N"/>
  </r>
  <r>
    <s v="eGIS Link"/>
    <n v="210"/>
    <s v="NorthBound Visi-Data"/>
    <s v="25891"/>
    <n v="2017"/>
    <n v="7"/>
    <x v="28"/>
    <s v="CL"/>
    <s v="CL-MD 32"/>
    <s v="13.84-15.6(N)"/>
    <s v="MD"/>
    <s v="32"/>
    <s v=""/>
    <n v="13.84"/>
    <n v="15.6"/>
    <s v="N"/>
    <s v="NEW WASHINGTON RD"/>
    <s v="MYERSVIEW DR"/>
    <n v="2.5"/>
    <n v="4.4000000000000004"/>
    <s v="UNDIVIDED"/>
    <s v="RURAL"/>
    <s v="NON-IS"/>
    <n v="16"/>
    <s v="F"/>
    <n v="144.03"/>
    <n v="141.26"/>
    <n v="66.7"/>
    <n v="63"/>
    <n v="67.900000000000006"/>
    <n v="0.16"/>
    <n v="38"/>
    <n v="119.77"/>
    <n v="119.77"/>
    <n v="87.6"/>
    <n v="85.5"/>
    <n v="88.3"/>
    <n v="0.18"/>
    <n v="42"/>
    <n v="81.430000000000007"/>
    <n v="81.430000000000007"/>
    <n v="100"/>
    <n v="100"/>
    <n v="100"/>
    <n v="0.15"/>
    <n v="49"/>
    <x v="5"/>
    <m/>
    <s v="Preventive Maintenance"/>
    <n v="393502.57780115126"/>
    <n v="177961.42219884874"/>
    <n v="571464"/>
    <n v="27.9"/>
    <n v="49.3"/>
    <n v="50"/>
    <s v=""/>
    <s v=""/>
    <n v="27.9"/>
    <s v="C"/>
    <n v="42.1"/>
    <n v="46.8"/>
    <n v="50"/>
    <s v=""/>
    <s v=""/>
    <n v="42.1"/>
    <n v="14.200000000000003"/>
    <n v="4"/>
    <n v="62.480000000000018"/>
    <n v="10.589514713402512"/>
    <n v="46.593864738971057"/>
    <n v="12264.790723016118"/>
    <n v="129878.18181818181"/>
    <n v="14.1"/>
    <n v="571464"/>
    <n v="571464"/>
    <n v="0"/>
    <s v=""/>
    <s v="1999"/>
    <s v="CL-MD 3213.8415.6N"/>
  </r>
  <r>
    <s v="eGIS Link"/>
    <n v="109"/>
    <s v="SouthBound Visi-Data"/>
    <s v="25891"/>
    <n v="2017"/>
    <n v="7"/>
    <x v="28"/>
    <s v="CL"/>
    <s v="CL-MD 32"/>
    <s v="13.84-15.6(S)"/>
    <s v="MD"/>
    <s v="32"/>
    <s v=""/>
    <n v="13.84"/>
    <n v="15.6"/>
    <s v="S"/>
    <s v="NEW WASHINGTON RD"/>
    <s v="MYERSVIEW DR"/>
    <n v="2.4"/>
    <n v="4.22"/>
    <s v="UNDIVIDED"/>
    <s v="URBAN"/>
    <s v="NON-IS"/>
    <n v="16"/>
    <s v="F"/>
    <n v="139.19"/>
    <n v="162.13999999999999"/>
    <n v="61.4"/>
    <n v="73.2"/>
    <n v="57.4"/>
    <n v="0.13"/>
    <n v="31"/>
    <n v="94.72"/>
    <n v="94.72"/>
    <n v="92.4"/>
    <n v="93.9"/>
    <n v="91.9"/>
    <n v="0.23"/>
    <n v="37"/>
    <n v="68.95"/>
    <n v="68.95"/>
    <n v="100"/>
    <n v="100"/>
    <n v="100"/>
    <n v="0.2"/>
    <n v="49"/>
    <x v="5"/>
    <m/>
    <s v="Preventive Maintenance"/>
    <n v="110051.2109023901"/>
    <n v="46966.789097609901"/>
    <n v="157018"/>
    <n v="23.9"/>
    <n v="50"/>
    <n v="50"/>
    <s v=""/>
    <s v=""/>
    <n v="23.9"/>
    <s v="C"/>
    <n v="31.5"/>
    <n v="50"/>
    <n v="50"/>
    <s v=""/>
    <s v=""/>
    <n v="31.5"/>
    <n v="7.6000000000000014"/>
    <n v="4"/>
    <n v="33.76"/>
    <n v="5.9659237821985966"/>
    <n v="25.176198360878075"/>
    <n v="6236.763698366557"/>
    <n v="37208.056872037916"/>
    <n v="7.6"/>
    <n v="157018"/>
    <n v="157018"/>
    <n v="0"/>
    <s v=""/>
    <s v="1999"/>
    <s v="CL-MD 3213.8415.6S"/>
  </r>
  <r>
    <s v="eGIS Link"/>
    <n v="335"/>
    <s v="EastBound Visi-Data"/>
    <s v="34931"/>
    <n v="2017"/>
    <n v="7"/>
    <x v="4"/>
    <s v="FR"/>
    <s v="FR-IS 70 RP1-42"/>
    <s v="0-0.05(E)"/>
    <s v="IS"/>
    <s v="70"/>
    <s v=""/>
    <n v="0"/>
    <n v="0.05"/>
    <s v="E"/>
    <s v=""/>
    <s v=""/>
    <s v=""/>
    <n v="0.1"/>
    <s v="UNDIVIDED"/>
    <s v="URBAN"/>
    <s v="IS"/>
    <n v="1"/>
    <s v=""/>
    <s v=""/>
    <s v=""/>
    <s v=""/>
    <s v=""/>
    <s v=""/>
    <s v=""/>
    <s v=""/>
    <n v="91.09"/>
    <n v="91.09"/>
    <n v="86.75"/>
    <n v="82.4"/>
    <n v="88.2"/>
    <n v="0.12"/>
    <n v="40"/>
    <n v="94.12"/>
    <n v="94.12"/>
    <n v="86.825000000000003"/>
    <n v="85.1"/>
    <n v="87.4"/>
    <n v="0.12"/>
    <n v="38"/>
    <x v="0"/>
    <m/>
    <s v="Preventive Maintenance"/>
    <n v="11760.112010923611"/>
    <n v="5018.8879890763892"/>
    <n v="16779"/>
    <n v="21.8"/>
    <n v="4.8"/>
    <n v="12.6"/>
    <s v=""/>
    <s v=""/>
    <n v="4.8"/>
    <s v="E"/>
    <n v="21.6"/>
    <n v="10"/>
    <n v="12.6"/>
    <s v=""/>
    <s v=""/>
    <n v="10"/>
    <n v="5.2"/>
    <n v="1"/>
    <n v="0.52"/>
    <n v="3.8778504584290876"/>
    <n v="0.38778504584290879"/>
    <n v="43268.816525733564"/>
    <n v="167790"/>
    <n v="5.2"/>
    <n v="16779"/>
    <n v="16779"/>
    <n v="0"/>
    <s v=""/>
    <s v=""/>
    <s v="FR-IS 70 RP1-4200.05E"/>
  </r>
  <r>
    <s v="eGIS Link"/>
    <n v="365"/>
    <s v="EastBound Visi-Data"/>
    <s v="34937"/>
    <n v="2017"/>
    <n v="7"/>
    <x v="4"/>
    <s v="FR"/>
    <s v="FR-IS 70 RP2-53"/>
    <s v="0-0.453(E)"/>
    <s v="IS"/>
    <s v="70"/>
    <s v=""/>
    <n v="0"/>
    <n v="0.45300000000000001"/>
    <s v="E"/>
    <s v=""/>
    <s v=""/>
    <s v=""/>
    <n v="0.91"/>
    <s v="UNDIVIDED"/>
    <s v="URBAN"/>
    <s v="IS"/>
    <n v="11"/>
    <s v=""/>
    <s v=""/>
    <s v=""/>
    <s v=""/>
    <s v=""/>
    <s v=""/>
    <s v=""/>
    <s v=""/>
    <n v="89.81"/>
    <n v="89.81"/>
    <n v="94.375"/>
    <n v="94"/>
    <n v="94.5"/>
    <n v="0.22"/>
    <n v="48"/>
    <n v="54.89"/>
    <n v="54.89"/>
    <n v="100"/>
    <n v="100"/>
    <n v="100"/>
    <n v="0.12"/>
    <n v="49"/>
    <x v="7"/>
    <m/>
    <s v="Minor Rehabilitation"/>
    <n v="521322.21196859574"/>
    <n v="222485.78803140426"/>
    <n v="743808"/>
    <n v="18.2"/>
    <n v="22.7"/>
    <n v="20"/>
    <s v=""/>
    <s v=""/>
    <n v="18.2"/>
    <s v="D"/>
    <n v="41.4"/>
    <n v="28.7"/>
    <n v="26"/>
    <s v=""/>
    <s v=""/>
    <n v="26"/>
    <n v="7.8000000000000007"/>
    <n v="6"/>
    <n v="10.92"/>
    <n v="8.9488856732978945"/>
    <n v="8.1434859627010852"/>
    <n v="91337.788682488113"/>
    <n v="817371.42857142852"/>
    <n v="7.9"/>
    <n v="743808"/>
    <n v="743808"/>
    <n v="0"/>
    <s v=""/>
    <s v=""/>
    <s v="FR-IS 70 RP2-5300.453E"/>
  </r>
  <r>
    <s v="eGIS Link"/>
    <n v="336"/>
    <s v="EastBound Visi-Data"/>
    <s v="26311"/>
    <n v="2017"/>
    <n v="7"/>
    <x v="4"/>
    <s v="CL"/>
    <s v="CL-MD 140 RP2-10"/>
    <s v="0-0.3(E)"/>
    <s v="MD"/>
    <s v="140"/>
    <s v=""/>
    <n v="0"/>
    <n v="0.3"/>
    <s v="E"/>
    <s v=""/>
    <s v=""/>
    <s v=""/>
    <n v="0.6"/>
    <s v="UNDIVIDED"/>
    <s v="RURAL"/>
    <s v="NON-IS"/>
    <n v="14"/>
    <s v=""/>
    <s v=""/>
    <s v=""/>
    <s v=""/>
    <s v=""/>
    <s v=""/>
    <s v=""/>
    <s v=""/>
    <n v="139.41"/>
    <n v="139.41"/>
    <n v="73.400000000000006"/>
    <n v="82.4"/>
    <n v="70.400000000000006"/>
    <n v="0.16"/>
    <n v="43"/>
    <n v="56.15"/>
    <n v="56.15"/>
    <n v="100"/>
    <n v="100"/>
    <n v="100"/>
    <n v="0.08"/>
    <n v="49"/>
    <x v="2"/>
    <m/>
    <s v="Structural Overlay"/>
    <n v="415319.7625670362"/>
    <n v="187828.2374329638"/>
    <n v="603148"/>
    <n v="7.1"/>
    <n v="21.3"/>
    <n v="10.5"/>
    <s v=""/>
    <s v=""/>
    <n v="7.1"/>
    <s v="E"/>
    <n v="44"/>
    <n v="40.799999999999997"/>
    <n v="37.700000000000003"/>
    <s v=""/>
    <s v=""/>
    <n v="37.700000000000003"/>
    <n v="30.6"/>
    <n v="6"/>
    <n v="18.36"/>
    <n v="22.819658466909633"/>
    <n v="13.691795080145779"/>
    <n v="44051.784040692655"/>
    <n v="1005246.6666666667"/>
    <n v="30.7"/>
    <n v="603148"/>
    <n v="603148"/>
    <n v="0"/>
    <s v=""/>
    <s v=""/>
    <s v="CL-MD 140 RP2-1000.3E"/>
  </r>
  <r>
    <s v="eGIS Link"/>
    <n v="412"/>
    <s v="West Bound Visi-Data"/>
    <s v="34964"/>
    <n v="2017"/>
    <n v="7"/>
    <x v="4"/>
    <s v="FR"/>
    <s v="FR-US 340 RP3-4"/>
    <s v="0-0.04(W)"/>
    <s v="US"/>
    <s v="340"/>
    <s v=""/>
    <n v="0"/>
    <n v="0.04"/>
    <s v="W"/>
    <s v=""/>
    <s v=""/>
    <s v=""/>
    <n v="0.08"/>
    <s v="UNDIVIDED"/>
    <s v="RURAL"/>
    <s v="NON-IS"/>
    <n v="2"/>
    <s v=""/>
    <s v=""/>
    <s v=""/>
    <s v=""/>
    <s v=""/>
    <s v=""/>
    <s v=""/>
    <s v=""/>
    <n v="83.43"/>
    <n v="83.43"/>
    <n v="87.625"/>
    <n v="76.900000000000006"/>
    <n v="91.2"/>
    <n v="0.14000000000000001"/>
    <n v="44"/>
    <n v="90.09"/>
    <n v="90.09"/>
    <n v="98.275000000000006"/>
    <n v="98.8"/>
    <n v="98.1"/>
    <n v="0.14000000000000001"/>
    <n v="55"/>
    <x v="4"/>
    <m/>
    <s v="Preventive Maintenance"/>
    <n v="129437.79584496873"/>
    <n v="58538.204155031272"/>
    <n v="187976"/>
    <n v="27.4"/>
    <n v="35.6"/>
    <n v="50"/>
    <s v=""/>
    <s v=""/>
    <n v="27.4"/>
    <s v="C"/>
    <n v="28.8"/>
    <n v="41.9"/>
    <n v="47.4"/>
    <s v=""/>
    <s v=""/>
    <n v="28.8"/>
    <n v="4"/>
    <n v="4"/>
    <n v="0.64"/>
    <n v="5.9659237821985966"/>
    <n v="0.47727390257588775"/>
    <n v="393853.50631048036"/>
    <n v="2349700"/>
    <n v="1.5"/>
    <n v="187976"/>
    <n v="187976"/>
    <n v="0"/>
    <s v=""/>
    <s v=""/>
    <s v="FR-US 340 RP3-400.04W"/>
  </r>
  <r>
    <s v="eGIS Link"/>
    <n v="433"/>
    <s v="EastBound Visi-Data"/>
    <s v="26293"/>
    <n v="2017"/>
    <n v="7"/>
    <x v="4"/>
    <s v="CL"/>
    <s v="CL-MD 26 RP7-6"/>
    <s v="0-0.01(E)"/>
    <s v="MD"/>
    <s v="26"/>
    <s v=""/>
    <n v="0"/>
    <n v="0.01"/>
    <s v="E"/>
    <s v=""/>
    <s v=""/>
    <s v=""/>
    <n v="0.02"/>
    <s v="UNDIVIDED"/>
    <s v="RURAL"/>
    <s v="NON-IS"/>
    <n v="6"/>
    <s v=""/>
    <s v=""/>
    <s v=""/>
    <s v=""/>
    <s v=""/>
    <s v=""/>
    <s v=""/>
    <s v=""/>
    <n v="94.26"/>
    <n v="94.26"/>
    <n v="83.9"/>
    <n v="81.5"/>
    <n v="84.7"/>
    <n v="0.15"/>
    <n v="39"/>
    <n v="68.040000000000006"/>
    <n v="68.040000000000006"/>
    <n v="100"/>
    <n v="100"/>
    <n v="100"/>
    <n v="0.13"/>
    <n v="49"/>
    <x v="5"/>
    <m/>
    <s v="Preventive Maintenance"/>
    <n v="504710.03761920403"/>
    <n v="228254.96238079597"/>
    <n v="732965"/>
    <n v="37.4"/>
    <n v="45.5"/>
    <n v="50"/>
    <s v=""/>
    <s v=""/>
    <n v="37.4"/>
    <s v="B"/>
    <n v="48.8"/>
    <n v="46.8"/>
    <n v="50"/>
    <s v=""/>
    <s v=""/>
    <n v="46.8"/>
    <n v="9.3999999999999986"/>
    <n v="4"/>
    <n v="0.18799999999999997"/>
    <n v="7.0099604440833509"/>
    <n v="0.14019920888166701"/>
    <n v="5228025.2210171018"/>
    <n v="36648250"/>
    <n v="9.5"/>
    <n v="732965"/>
    <n v="732965"/>
    <n v="0"/>
    <s v=""/>
    <s v=""/>
    <s v="CL-MD 26 RP7-600.01E"/>
  </r>
  <r>
    <s v="eGIS Link"/>
    <n v="374"/>
    <s v="NorthBound Visi-Data"/>
    <s v="25889"/>
    <n v="2017"/>
    <n v="7"/>
    <x v="4"/>
    <s v="CL"/>
    <s v="CL-MD 30D"/>
    <s v="0-0.176(N)"/>
    <s v="MD"/>
    <s v="30"/>
    <s v="D"/>
    <n v="0"/>
    <n v="0.17599999999999999"/>
    <s v="N"/>
    <s v=""/>
    <s v=""/>
    <s v=""/>
    <n v="0.35"/>
    <s v=""/>
    <s v="URBAN"/>
    <s v="NON-IS"/>
    <n v="9"/>
    <s v=""/>
    <s v=""/>
    <s v=""/>
    <s v=""/>
    <s v=""/>
    <s v=""/>
    <s v=""/>
    <s v=""/>
    <n v="79.03"/>
    <n v="79.03"/>
    <n v="91.924999999999997"/>
    <n v="92"/>
    <n v="91.9"/>
    <n v="0.2"/>
    <n v="42"/>
    <n v="60.65"/>
    <n v="60.65"/>
    <n v="100"/>
    <n v="100"/>
    <n v="100"/>
    <n v="0.17"/>
    <n v="49"/>
    <x v="5"/>
    <m/>
    <s v="Preventive Maintenance"/>
    <n v="178659.22356853768"/>
    <n v="76246.77643146232"/>
    <n v="254906"/>
    <n v="29.6"/>
    <n v="50"/>
    <n v="50"/>
    <s v=""/>
    <s v=""/>
    <n v="29.6"/>
    <s v="C"/>
    <n v="34.6"/>
    <n v="50"/>
    <n v="50"/>
    <s v=""/>
    <s v=""/>
    <n v="34.6"/>
    <n v="5"/>
    <n v="4"/>
    <n v="2.8"/>
    <n v="5.9659237821985966"/>
    <n v="2.0880733237695086"/>
    <n v="122077.13067270511"/>
    <n v="728302.85714285716"/>
    <n v="5"/>
    <n v="254906"/>
    <n v="254906"/>
    <n v="0"/>
    <s v=""/>
    <s v=""/>
    <s v="CL-MD 30D00.176N"/>
  </r>
  <r>
    <s v="eGIS Link"/>
    <n v="330"/>
    <s v="NorthBound Visi-Data"/>
    <s v="25888"/>
    <n v="2017"/>
    <n v="7"/>
    <x v="4"/>
    <s v="CL"/>
    <s v="CL-MD 30C"/>
    <s v="0-0.5(N)"/>
    <s v="MD"/>
    <s v="30"/>
    <s v="C"/>
    <n v="0"/>
    <n v="0.5"/>
    <s v="N"/>
    <s v=""/>
    <s v=""/>
    <s v=""/>
    <n v="1"/>
    <s v=""/>
    <s v="URBAN"/>
    <s v="NON-IS"/>
    <n v="9"/>
    <s v=""/>
    <s v=""/>
    <s v=""/>
    <s v=""/>
    <s v=""/>
    <s v=""/>
    <s v=""/>
    <s v=""/>
    <n v="82.7"/>
    <n v="82.7"/>
    <n v="91.65"/>
    <n v="93.9"/>
    <n v="90.9"/>
    <n v="0.22"/>
    <n v="41"/>
    <n v="62.57"/>
    <n v="62.57"/>
    <n v="100"/>
    <n v="100"/>
    <n v="100"/>
    <n v="0.19"/>
    <n v="49"/>
    <x v="5"/>
    <m/>
    <s v="Preventive Maintenance"/>
    <n v="164380.13887942946"/>
    <n v="70152.861120570538"/>
    <n v="234533"/>
    <n v="28.4"/>
    <n v="50"/>
    <n v="50"/>
    <s v=""/>
    <s v=""/>
    <n v="28.4"/>
    <s v="C"/>
    <n v="33.799999999999997"/>
    <n v="50"/>
    <n v="50"/>
    <s v=""/>
    <s v=""/>
    <n v="33.799999999999997"/>
    <n v="5.3999999999999986"/>
    <n v="4"/>
    <n v="8"/>
    <n v="5.9659237821985966"/>
    <n v="5.9659237821985966"/>
    <n v="39312.101287617952"/>
    <n v="234533"/>
    <n v="5.4"/>
    <n v="234533"/>
    <n v="234533"/>
    <n v="0"/>
    <s v=""/>
    <s v=""/>
    <s v="CL-MD 30C00.5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5">
  <r>
    <s v="eGIS Link"/>
    <n v="10"/>
    <s v="NorthBound Visi-Data"/>
    <s v="31990"/>
    <n v="2017"/>
    <n v="1"/>
    <x v="0"/>
    <s v="DO"/>
    <s v="DO-MD 313"/>
    <s v="9.49-11.62(N)"/>
    <s v="MD"/>
    <s v="313"/>
    <s v=""/>
    <n v="9.49"/>
    <n v="11.62"/>
    <s v="N"/>
    <s v="MAPLE DR"/>
    <s v="CAROLINE CO/L"/>
    <n v="2"/>
    <n v="4.26"/>
    <s v="UNDIVIDED"/>
    <s v="RURAL"/>
    <s v="NON-IS"/>
    <n v="7"/>
    <s v="FCJ"/>
    <n v="65.64"/>
    <n v="58.47"/>
    <n v="97.5"/>
    <n v="90.4"/>
    <n v="99.9"/>
    <n v="0.14000000000000001"/>
    <n v="41"/>
    <n v="62.87"/>
    <n v="62.87"/>
    <n v="88.4"/>
    <n v="87.2"/>
    <n v="88.8"/>
    <n v="0.24"/>
    <n v="50"/>
    <n v="66.47"/>
    <n v="66.47"/>
    <n v="86.35"/>
    <n v="87.7"/>
    <n v="85.9"/>
    <n v="0.24"/>
    <n v="48"/>
    <x v="0"/>
    <m/>
    <s v="Preventive Maintenance"/>
    <n v="4499.83281407512"/>
    <n v="197.16718592487996"/>
    <n v="4697"/>
    <n v="32.200000000000003"/>
    <n v="24.1"/>
    <n v="25.3"/>
    <s v=""/>
    <s v=""/>
    <n v="24.1"/>
    <s v="C"/>
    <n v="31.9"/>
    <n v="25.3"/>
    <n v="25.3"/>
    <s v=""/>
    <s v=""/>
    <n v="25.3"/>
    <n v="1.1999999999999993"/>
    <n v="1"/>
    <n v="8.52"/>
    <n v="1.4914809455496492"/>
    <n v="6.3537088280415048"/>
    <n v="739.25326563128385"/>
    <n v="1102.5821596244132"/>
    <n v="1.1000000000000001"/>
    <n v="4697"/>
    <n v="4697"/>
    <n v="0"/>
    <s v=""/>
    <s v="2005"/>
    <s v="DO-MD 3139.4911.62N"/>
  </r>
  <r>
    <s v="eGIS Link"/>
    <n v="7"/>
    <s v="SouthBound Visi-Data"/>
    <s v="31992"/>
    <n v="2017"/>
    <n v="1"/>
    <x v="0"/>
    <s v="DO"/>
    <s v="DO-MD 331"/>
    <s v="7.83-10.15(S)"/>
    <s v="MD"/>
    <s v="331"/>
    <s v=""/>
    <n v="7.83"/>
    <n v="10.15"/>
    <s v="S"/>
    <s v="EAST NEW MARKET RHODESDALE RD"/>
    <s v="OSBORNE RD"/>
    <n v="2"/>
    <n v="4.6399999999999997"/>
    <s v="UNDIVIDED"/>
    <s v="RURAL"/>
    <s v="NON-IS"/>
    <n v="6"/>
    <s v="F"/>
    <n v="81.39"/>
    <n v="69.16"/>
    <s v=""/>
    <s v=""/>
    <s v=""/>
    <n v="0.12"/>
    <n v="42"/>
    <n v="71.73"/>
    <n v="71.73"/>
    <n v="91.674999999999997"/>
    <n v="87.7"/>
    <n v="93"/>
    <n v="0.16"/>
    <n v="52"/>
    <n v="75.47"/>
    <n v="75.47"/>
    <n v="89.75"/>
    <n v="88.1"/>
    <n v="90.3"/>
    <n v="0.16"/>
    <n v="50"/>
    <x v="0"/>
    <m/>
    <s v="Preventive Maintenance"/>
    <n v="3717.1282347480233"/>
    <n v="162.87176525197674"/>
    <n v="3880"/>
    <n v="30.6"/>
    <n v="24.3"/>
    <n v="26.8"/>
    <s v=""/>
    <s v=""/>
    <n v="24.3"/>
    <s v="C"/>
    <n v="30.4"/>
    <n v="25.5"/>
    <n v="26.8"/>
    <s v=""/>
    <s v=""/>
    <n v="25.5"/>
    <n v="1.1999999999999993"/>
    <n v="1"/>
    <n v="9.2799999999999994"/>
    <n v="1.4914809455496492"/>
    <n v="6.9204715873503719"/>
    <n v="560.65543381351097"/>
    <n v="836.20689655172418"/>
    <n v="1.2"/>
    <n v="3880"/>
    <n v="3880"/>
    <n v="0"/>
    <s v=""/>
    <s v="1994"/>
    <s v="DO-MD 3317.8310.15S"/>
  </r>
  <r>
    <s v="eGIS Link"/>
    <n v="34"/>
    <s v="SouthBound Visi-Data"/>
    <s v="31992"/>
    <n v="2017"/>
    <n v="1"/>
    <x v="0"/>
    <s v="DO"/>
    <s v="DO-MD 331"/>
    <s v="10.15-10.9(S)"/>
    <s v="MD"/>
    <s v="331"/>
    <s v=""/>
    <n v="10.15"/>
    <n v="10.9"/>
    <s v="S"/>
    <s v="OSBORNE RD"/>
    <s v="SPUR FR MD 392"/>
    <n v="2"/>
    <n v="1.5"/>
    <s v="UNDIVIDED"/>
    <s v="RURAL"/>
    <s v="NON-IS"/>
    <n v="6"/>
    <s v="F"/>
    <n v="92.2"/>
    <n v="84.72"/>
    <s v=""/>
    <s v=""/>
    <s v=""/>
    <n v="0.12"/>
    <n v="38"/>
    <n v="61.16"/>
    <n v="61.16"/>
    <n v="90.224999999999994"/>
    <n v="88.5"/>
    <n v="90.8"/>
    <n v="0.17"/>
    <n v="42"/>
    <n v="64.709999999999994"/>
    <n v="64.709999999999994"/>
    <n v="88.2"/>
    <n v="88.8"/>
    <n v="88"/>
    <n v="0.17"/>
    <n v="40"/>
    <x v="0"/>
    <m/>
    <s v="Preventive Maintenance"/>
    <n v="4068.722580663622"/>
    <n v="178.27741933637799"/>
    <n v="4247"/>
    <n v="32.799999999999997"/>
    <n v="24.7"/>
    <n v="26"/>
    <s v=""/>
    <s v=""/>
    <n v="24.7"/>
    <s v="C"/>
    <n v="32.5"/>
    <n v="25.8"/>
    <n v="26"/>
    <s v=""/>
    <s v=""/>
    <n v="25.8"/>
    <n v="1.1000000000000014"/>
    <n v="1"/>
    <n v="3"/>
    <n v="1.4914809455496492"/>
    <n v="2.2372214183244736"/>
    <n v="1898.3369125710917"/>
    <n v="2831.3333333333335"/>
    <n v="1.1000000000000001"/>
    <n v="4247"/>
    <n v="4247"/>
    <n v="0"/>
    <s v=""/>
    <s v="2003"/>
    <s v="DO-MD 33110.1510.9S"/>
  </r>
  <r>
    <s v="eGIS Link"/>
    <n v="426"/>
    <s v="NorthBound Visi-Data"/>
    <s v="32059"/>
    <n v="2017"/>
    <n v="1"/>
    <x v="0"/>
    <s v="DO"/>
    <s v="DO-US 50 RP1-95"/>
    <s v="0-0.04(N)"/>
    <s v="US"/>
    <s v="50"/>
    <s v=""/>
    <n v="0"/>
    <n v="0.04"/>
    <s v="N"/>
    <s v=""/>
    <s v=""/>
    <n v="1"/>
    <n v="0.04"/>
    <s v="UNDIVIDED"/>
    <s v="URBAN"/>
    <s v="NON-IS"/>
    <n v="2"/>
    <s v=""/>
    <s v=""/>
    <s v=""/>
    <s v=""/>
    <s v=""/>
    <s v=""/>
    <s v=""/>
    <s v=""/>
    <n v="107.61"/>
    <n v="107.61"/>
    <n v="86.9"/>
    <n v="95.3"/>
    <n v="84.1"/>
    <n v="0.15"/>
    <n v="42"/>
    <n v="60.54"/>
    <n v="60.54"/>
    <n v="100"/>
    <n v="100"/>
    <n v="100"/>
    <n v="0.08"/>
    <n v="49"/>
    <x v="1"/>
    <m/>
    <s v="Minor Rehabilitation"/>
    <n v="374247.38274028432"/>
    <n v="39920.617259715684"/>
    <n v="414168"/>
    <n v="28.9"/>
    <n v="26.1"/>
    <n v="16.3"/>
    <s v=""/>
    <s v=""/>
    <n v="16.3"/>
    <s v="D"/>
    <n v="50"/>
    <n v="32.1"/>
    <n v="28.3"/>
    <s v=""/>
    <s v=""/>
    <n v="28.3"/>
    <n v="12"/>
    <n v="6"/>
    <n v="0.48"/>
    <n v="8.9488856732978945"/>
    <n v="0.35795542693191579"/>
    <n v="1157037.9126526723"/>
    <n v="10354200"/>
    <n v="11.9"/>
    <n v="414168"/>
    <n v="414168"/>
    <n v="0"/>
    <s v=""/>
    <s v=""/>
    <s v="DO-US 50 RP1-9500.04N"/>
  </r>
  <r>
    <s v="eGIS Link"/>
    <n v="385"/>
    <s v="West Bound Visi-Data"/>
    <s v="32064"/>
    <n v="2017"/>
    <n v="1"/>
    <x v="0"/>
    <s v="DO"/>
    <s v="DO-US 50 RP7-95"/>
    <s v="0-0.27(W)"/>
    <s v="US"/>
    <s v="50"/>
    <s v=""/>
    <n v="0"/>
    <n v="0.27"/>
    <s v="W"/>
    <s v=""/>
    <s v=""/>
    <n v="1"/>
    <n v="0.27"/>
    <s v="UNDIVIDED"/>
    <s v="URBAN"/>
    <s v="NON-IS"/>
    <n v="2"/>
    <s v=""/>
    <s v=""/>
    <s v=""/>
    <s v=""/>
    <s v=""/>
    <s v=""/>
    <s v=""/>
    <s v=""/>
    <n v="110.17"/>
    <n v="110.17"/>
    <n v="86.7"/>
    <n v="88.8"/>
    <n v="86"/>
    <n v="0.13"/>
    <n v="44"/>
    <n v="61.38"/>
    <n v="61.38"/>
    <n v="100"/>
    <n v="100"/>
    <n v="100"/>
    <n v="0.08"/>
    <n v="49"/>
    <x v="1"/>
    <m/>
    <s v="Minor Rehabilitation"/>
    <n v="363240.47885307093"/>
    <n v="38746.521146929066"/>
    <n v="401987"/>
    <n v="28.1"/>
    <n v="19.7"/>
    <n v="17.399999999999999"/>
    <s v=""/>
    <s v=""/>
    <n v="17.399999999999999"/>
    <s v="D"/>
    <n v="49.9"/>
    <n v="32.1"/>
    <n v="28.3"/>
    <s v=""/>
    <s v=""/>
    <n v="28.3"/>
    <n v="10.900000000000002"/>
    <n v="6"/>
    <n v="3.24"/>
    <n v="8.9488856732978945"/>
    <n v="2.4161991317904317"/>
    <n v="166371.63498280168"/>
    <n v="1488840.7407407407"/>
    <n v="10.9"/>
    <n v="401987"/>
    <n v="401987"/>
    <n v="0"/>
    <s v=""/>
    <s v=""/>
    <s v="DO-US 50 RP7-9500.27W"/>
  </r>
  <r>
    <s v="eGIS Link"/>
    <n v="122"/>
    <s v="EastBound Visi-Data"/>
    <s v="31987"/>
    <n v="2017"/>
    <n v="1"/>
    <x v="0"/>
    <s v="DO"/>
    <s v="DO-MD 14"/>
    <s v="8.41-10.6(E)"/>
    <s v="MD"/>
    <s v="14"/>
    <s v=""/>
    <n v="8.41"/>
    <n v="10.6"/>
    <s v="E"/>
    <s v="E NEW MARKET RHODESDALE RD (BACK)"/>
    <s v="KELLY RD"/>
    <n v="2"/>
    <n v="4.38"/>
    <s v="UNDIVIDED"/>
    <s v="RURAL"/>
    <s v="NON-IS"/>
    <n v="7"/>
    <s v="F"/>
    <n v="72.650000000000006"/>
    <n v="75.52"/>
    <n v="91.2"/>
    <n v="91.3"/>
    <n v="91.1"/>
    <n v="0.2"/>
    <n v="44"/>
    <n v="230.32"/>
    <n v="230.32"/>
    <n v="58.975000000000001"/>
    <n v="64"/>
    <n v="57.3"/>
    <n v="0.14000000000000001"/>
    <n v="45"/>
    <n v="76.34"/>
    <n v="76.34"/>
    <n v="100"/>
    <n v="100"/>
    <n v="100"/>
    <n v="0.08"/>
    <n v="49"/>
    <x v="2"/>
    <m/>
    <s v="Structural Overlay"/>
    <n v="693127.53700611473"/>
    <n v="30370.462993885274"/>
    <n v="723498"/>
    <n v="2.5"/>
    <n v="14.4"/>
    <n v="12.1"/>
    <s v=""/>
    <s v=""/>
    <n v="2.5"/>
    <s v="E"/>
    <n v="36"/>
    <n v="38"/>
    <n v="44"/>
    <s v=""/>
    <s v=""/>
    <n v="36"/>
    <n v="33.5"/>
    <n v="6"/>
    <n v="146.72999999999999"/>
    <n v="24.982305837956623"/>
    <n v="109.42249957025001"/>
    <n v="6611.9674001370186"/>
    <n v="165182.19178082192"/>
    <n v="33.4"/>
    <n v="723498"/>
    <n v="723498"/>
    <n v="0"/>
    <s v=""/>
    <s v="2003"/>
    <s v="DO-MD 148.4110.6E"/>
  </r>
  <r>
    <s v="eGIS Link"/>
    <n v="248"/>
    <s v="EastBound Visi-Data"/>
    <s v="32066"/>
    <n v="2017"/>
    <n v="1"/>
    <x v="0"/>
    <s v="DO"/>
    <s v="DO-US 50"/>
    <s v="1.75-2.7(E)"/>
    <s v="US"/>
    <s v="50"/>
    <s v=""/>
    <n v="1.75"/>
    <n v="2.7"/>
    <s v="E"/>
    <s v="WESTERN SHORE DR"/>
    <s v="BUCKTOWN RD"/>
    <n v="3.2"/>
    <n v="3.04"/>
    <s v="DIVIDED"/>
    <s v="RURAL"/>
    <s v="NON-IS"/>
    <n v="14"/>
    <s v="F"/>
    <n v="92.97"/>
    <n v="100.69"/>
    <n v="71.900000000000006"/>
    <n v="82.4"/>
    <n v="68.5"/>
    <n v="0.17"/>
    <n v="46"/>
    <n v="75.58"/>
    <n v="75.58"/>
    <n v="67.474999999999994"/>
    <n v="68"/>
    <n v="67.3"/>
    <n v="0.14000000000000001"/>
    <n v="44"/>
    <n v="44.18"/>
    <n v="44.18"/>
    <n v="100"/>
    <n v="100"/>
    <n v="100"/>
    <n v="0.08"/>
    <n v="49"/>
    <x v="2"/>
    <m/>
    <s v="Structural Overlay"/>
    <n v="912871.1291351415"/>
    <n v="39998.870864858502"/>
    <n v="952870"/>
    <n v="35"/>
    <n v="22.6"/>
    <n v="33.5"/>
    <s v=""/>
    <s v=""/>
    <n v="22.6"/>
    <s v="C"/>
    <n v="50"/>
    <n v="50"/>
    <n v="50"/>
    <s v=""/>
    <s v=""/>
    <n v="50"/>
    <n v="27.4"/>
    <n v="6"/>
    <n v="83.295999999999992"/>
    <n v="20.433288954030193"/>
    <n v="62.117198420251789"/>
    <n v="15339.874048301253"/>
    <n v="313444.07894736843"/>
    <n v="31.1"/>
    <n v="952870"/>
    <n v="952870"/>
    <n v="0"/>
    <s v=""/>
    <s v="2001"/>
    <s v="DO-US 501.752.7E"/>
  </r>
  <r>
    <s v="eGIS Link"/>
    <n v="54"/>
    <s v="SouthBound Visi-Data"/>
    <s v="69959"/>
    <n v="2017"/>
    <n v="1"/>
    <x v="1"/>
    <s v="SO"/>
    <s v="SO-MD 380"/>
    <s v="0.8-1.56(S)"/>
    <s v="MD"/>
    <s v="380"/>
    <s v=""/>
    <n v="0.8"/>
    <n v="1.56"/>
    <s v="S"/>
    <s v="ASBURY AVE"/>
    <s v="CORP LIMITS CRISFIELD"/>
    <n v="2"/>
    <n v="1.52"/>
    <s v="UNDIVIDED"/>
    <s v="RURAL"/>
    <s v="NON-IS"/>
    <n v="8"/>
    <s v="FCJ"/>
    <n v="120.91"/>
    <n v="122.72"/>
    <s v=""/>
    <s v=""/>
    <s v=""/>
    <n v="0.14000000000000001"/>
    <n v="46"/>
    <n v="81.05"/>
    <n v="81.05"/>
    <n v="82.15"/>
    <n v="72.099999999999994"/>
    <n v="85.5"/>
    <n v="0.28999999999999998"/>
    <n v="48"/>
    <n v="85.75"/>
    <n v="85.75"/>
    <n v="80.900000000000006"/>
    <n v="75.8"/>
    <n v="82.6"/>
    <n v="0.28999999999999998"/>
    <n v="46"/>
    <x v="0"/>
    <m/>
    <s v="Preventive Maintenance"/>
    <n v="9037.9865377868173"/>
    <n v="396.01346221318272"/>
    <n v="9434"/>
    <n v="27.2"/>
    <n v="20.399999999999999"/>
    <n v="29.3"/>
    <s v=""/>
    <s v=""/>
    <n v="20.399999999999999"/>
    <s v="C"/>
    <n v="27.1"/>
    <n v="22.9"/>
    <n v="29.3"/>
    <s v=""/>
    <s v=""/>
    <n v="22.9"/>
    <n v="2.5"/>
    <n v="1"/>
    <n v="3.8"/>
    <n v="1.8643511819370615"/>
    <n v="2.8338137965443337"/>
    <n v="3329.0825288183005"/>
    <n v="6206.5789473684208"/>
    <n v="2.5"/>
    <n v="9434"/>
    <n v="9434"/>
    <n v="0"/>
    <s v=""/>
    <s v="1998"/>
    <s v="SO-MD 3800.81.56S"/>
  </r>
  <r>
    <s v="eGIS Link"/>
    <n v="29"/>
    <s v="West Bound Visi-Data"/>
    <s v="69966"/>
    <n v="2017"/>
    <n v="1"/>
    <x v="1"/>
    <s v="SO"/>
    <s v="SO-MD 627"/>
    <s v="0-2.48(W)"/>
    <s v="MD"/>
    <s v="627"/>
    <s v=""/>
    <n v="0"/>
    <n v="2.48"/>
    <s v="W"/>
    <s v="ORIOLE BACK RD"/>
    <s v="DRAWBRIDGE RD (AHEAD)"/>
    <n v="2"/>
    <n v="4.96"/>
    <s v="UNDIVIDED"/>
    <s v="RURAL"/>
    <s v="NON-IS"/>
    <n v="8"/>
    <s v="F"/>
    <n v="124.9"/>
    <n v="108.02"/>
    <s v=""/>
    <s v=""/>
    <s v=""/>
    <n v="0.11"/>
    <n v="53"/>
    <n v="61.4"/>
    <n v="61.4"/>
    <n v="84.95"/>
    <n v="83.3"/>
    <n v="85.5"/>
    <n v="0.18"/>
    <n v="50"/>
    <n v="64.849999999999994"/>
    <n v="64.849999999999994"/>
    <n v="83.1"/>
    <n v="84.6"/>
    <n v="82.6"/>
    <n v="0.18"/>
    <n v="48"/>
    <x v="0"/>
    <m/>
    <s v="Preventive Maintenance"/>
    <n v="10603.39569644101"/>
    <n v="464.60430355899007"/>
    <n v="11068"/>
    <n v="34.1"/>
    <n v="22.6"/>
    <n v="24.1"/>
    <s v=""/>
    <s v=""/>
    <n v="22.6"/>
    <s v="C"/>
    <n v="33.799999999999997"/>
    <n v="24.1"/>
    <n v="24.1"/>
    <s v=""/>
    <s v=""/>
    <n v="24.1"/>
    <n v="1.5"/>
    <n v="1"/>
    <n v="9.92"/>
    <n v="1.4914809455496492"/>
    <n v="7.39774548992626"/>
    <n v="1496.1314923677273"/>
    <n v="2231.4516129032259"/>
    <n v="1.5"/>
    <n v="11068"/>
    <n v="11068"/>
    <n v="0"/>
    <s v=""/>
    <s v="2008"/>
    <s v="SO-MD 62702.48W"/>
  </r>
  <r>
    <s v="eGIS Link"/>
    <n v="169"/>
    <s v="EastBound Visi-Data"/>
    <s v="69978"/>
    <n v="2017"/>
    <n v="1"/>
    <x v="1"/>
    <s v="SO"/>
    <s v="SO-MD 920D"/>
    <s v="0-0.42(E)"/>
    <s v="MD"/>
    <s v="920"/>
    <s v="D"/>
    <n v="0"/>
    <n v="0.42"/>
    <s v="E"/>
    <s v="ROAD END"/>
    <s v="ROAD END"/>
    <n v="2"/>
    <n v="0.84"/>
    <s v="UNDIVIDED"/>
    <s v="URBAN"/>
    <s v="NON-IS"/>
    <n v="9"/>
    <s v="F"/>
    <s v=""/>
    <s v=""/>
    <s v=""/>
    <s v=""/>
    <s v=""/>
    <s v=""/>
    <s v=""/>
    <n v="218.32"/>
    <n v="218.32"/>
    <n v="81.325000000000003"/>
    <n v="87.1"/>
    <n v="79.400000000000006"/>
    <n v="0.22"/>
    <n v="34"/>
    <n v="99.56"/>
    <n v="99.56"/>
    <n v="100"/>
    <n v="100"/>
    <n v="100"/>
    <n v="0.12"/>
    <n v="49"/>
    <x v="1"/>
    <m/>
    <s v="Minor Rehabilitation"/>
    <n v="128408.75821331162"/>
    <n v="13697.241786688377"/>
    <n v="142106"/>
    <n v="4.8"/>
    <n v="18.899999999999999"/>
    <n v="15.3"/>
    <s v=""/>
    <s v=""/>
    <n v="4.8"/>
    <s v="E"/>
    <n v="30"/>
    <n v="33"/>
    <n v="29.7"/>
    <s v=""/>
    <s v=""/>
    <n v="29.7"/>
    <n v="24.9"/>
    <n v="6"/>
    <n v="20.915999999999997"/>
    <n v="18.568937772093129"/>
    <n v="15.597907728558228"/>
    <n v="9110.5808851412785"/>
    <n v="169173.80952380953"/>
    <n v="24.9"/>
    <n v="142106"/>
    <n v="142106"/>
    <n v="0"/>
    <s v=""/>
    <s v="1967"/>
    <s v="SO-MD 920D00.42E"/>
  </r>
  <r>
    <s v="eGIS Link"/>
    <n v="327"/>
    <s v="EastBound Visi-Data"/>
    <s v="75569"/>
    <n v="2017"/>
    <n v="1"/>
    <x v="2"/>
    <s v="WI"/>
    <s v="WI-US 50BU"/>
    <s v="6.11-6.878(E)"/>
    <s v="US"/>
    <s v="50"/>
    <s v="BU"/>
    <n v="6.11"/>
    <n v="6.8780000000000001"/>
    <s v="E"/>
    <s v=""/>
    <s v=""/>
    <n v="2.9"/>
    <n v="2.2200000000000002"/>
    <s v="DIVIDED"/>
    <s v="URBAN"/>
    <s v="NON-IS"/>
    <n v="12"/>
    <s v="F"/>
    <n v="76.53"/>
    <n v="61.39"/>
    <n v="97.5"/>
    <n v="97"/>
    <n v="97.6"/>
    <n v="0.15"/>
    <n v="41"/>
    <n v="113.52"/>
    <n v="113.52"/>
    <n v="88.525000000000006"/>
    <n v="87.1"/>
    <n v="89"/>
    <n v="0.2"/>
    <n v="60"/>
    <n v="65.72"/>
    <n v="65.72"/>
    <n v="87.825000000000003"/>
    <n v="86.4"/>
    <n v="88.3"/>
    <n v="0.2"/>
    <n v="60"/>
    <x v="3"/>
    <m/>
    <s v="Preventive Maintenance"/>
    <n v="938627.48648246692"/>
    <n v="100122.51351753308"/>
    <n v="1038750"/>
    <n v="12.4"/>
    <n v="50"/>
    <n v="35.200000000000003"/>
    <s v=""/>
    <s v=""/>
    <n v="12.4"/>
    <s v="D"/>
    <n v="29.3"/>
    <n v="50"/>
    <n v="35.200000000000003"/>
    <s v=""/>
    <s v=""/>
    <n v="29.3"/>
    <n v="16.899999999999999"/>
    <n v="5"/>
    <n v="37.518000000000001"/>
    <n v="12.603013989894535"/>
    <n v="27.978691057565872"/>
    <n v="37126.468778070514"/>
    <n v="467905.40540540538"/>
    <n v="16.899999999999999"/>
    <n v="1038750"/>
    <n v="1038750"/>
    <n v="0"/>
    <s v=""/>
    <s v="2005"/>
    <s v="WI-US 50BU6.116.878E"/>
  </r>
  <r>
    <s v="eGIS Link"/>
    <n v="307"/>
    <s v="West Bound Visi-Data"/>
    <s v="75553"/>
    <n v="2017"/>
    <n v="1"/>
    <x v="2"/>
    <s v="WI"/>
    <s v="WI-US 50 RP8-111"/>
    <s v="0-0.276(W)"/>
    <s v="US"/>
    <s v="50"/>
    <s v=""/>
    <n v="0"/>
    <n v="0.27600000000000002"/>
    <s v="W"/>
    <s v=""/>
    <s v=""/>
    <n v="1"/>
    <n v="0.28000000000000003"/>
    <s v="UNDIVIDED"/>
    <s v="RURAL"/>
    <s v="NON-IS"/>
    <n v="12"/>
    <s v=""/>
    <s v=""/>
    <s v=""/>
    <s v=""/>
    <s v=""/>
    <s v=""/>
    <s v=""/>
    <s v=""/>
    <n v="66.3"/>
    <n v="66.3"/>
    <n v="77.7"/>
    <n v="77.099999999999994"/>
    <n v="77.900000000000006"/>
    <n v="0.11"/>
    <n v="49"/>
    <n v="69.239999999999995"/>
    <n v="69.239999999999995"/>
    <n v="77.099999999999994"/>
    <n v="80.400000000000006"/>
    <n v="76"/>
    <n v="0.11"/>
    <n v="47"/>
    <x v="0"/>
    <m/>
    <s v="Preventive Maintenance"/>
    <n v="10843.859404410534"/>
    <n v="475.1405955894661"/>
    <n v="11319"/>
    <n v="30.3"/>
    <n v="7.9"/>
    <n v="9.4"/>
    <s v=""/>
    <s v=""/>
    <n v="7.9"/>
    <s v="E"/>
    <n v="29.9"/>
    <n v="11.2"/>
    <n v="9.4"/>
    <s v=""/>
    <s v=""/>
    <n v="9.4"/>
    <n v="1.5"/>
    <n v="1"/>
    <n v="0.56000000000000005"/>
    <n v="1.4914809455496492"/>
    <n v="0.4176146647539018"/>
    <n v="27103.933255481414"/>
    <n v="40424.999999999993"/>
    <n v="1.4"/>
    <n v="11319"/>
    <n v="11319"/>
    <n v="0"/>
    <s v=""/>
    <s v=""/>
    <s v="WI-US 50 RP8-11100.276W"/>
  </r>
  <r>
    <s v="eGIS Link"/>
    <n v="44"/>
    <s v="EastBound Visi-Data"/>
    <s v="75309"/>
    <n v="2017"/>
    <n v="1"/>
    <x v="2"/>
    <s v="WI"/>
    <s v="WI-MD 346"/>
    <s v="4.61-7.8(E)"/>
    <s v="MD"/>
    <s v="346"/>
    <s v=""/>
    <n v="4.6100000000000003"/>
    <n v="7.8"/>
    <s v="E"/>
    <s v="ARCHIE DENNIS RD"/>
    <s v="ROUNDS RD"/>
    <n v="2"/>
    <n v="6.38"/>
    <s v="UNDIVIDED"/>
    <s v="RURAL"/>
    <s v="NON-IS"/>
    <n v="7"/>
    <s v="FCJ"/>
    <n v="65.02"/>
    <n v="65.489999999999995"/>
    <n v="99.2"/>
    <n v="97.2"/>
    <n v="99.8"/>
    <n v="0.18"/>
    <n v="43"/>
    <n v="72.2"/>
    <n v="72.2"/>
    <n v="53.575000000000003"/>
    <n v="69.099999999999994"/>
    <n v="48.4"/>
    <n v="0.09"/>
    <n v="47"/>
    <n v="49.46"/>
    <n v="49.46"/>
    <n v="100"/>
    <n v="100"/>
    <n v="100"/>
    <n v="0.08"/>
    <n v="49"/>
    <x v="1"/>
    <m/>
    <s v="Minor Rehabilitation"/>
    <n v="291565.59899264126"/>
    <n v="12775.401007358741"/>
    <n v="304341"/>
    <n v="28.4"/>
    <n v="18.899999999999999"/>
    <n v="0"/>
    <s v=""/>
    <s v=""/>
    <n v="0"/>
    <s v="F"/>
    <n v="39.799999999999997"/>
    <n v="34.700000000000003"/>
    <n v="24.3"/>
    <s v=""/>
    <s v=""/>
    <n v="24.3"/>
    <n v="24.3"/>
    <n v="6"/>
    <n v="155.03399999999999"/>
    <n v="18.121493488428239"/>
    <n v="115.61512845617216"/>
    <n v="2632.3631177330813"/>
    <n v="47702.351097178682"/>
    <n v="24.3"/>
    <n v="304341"/>
    <n v="304341"/>
    <n v="0"/>
    <s v=""/>
    <s v="2005"/>
    <s v="WI-MD 3464.617.8E"/>
  </r>
  <r>
    <s v="eGIS Link"/>
    <n v="184"/>
    <s v="EastBound Visi-Data"/>
    <s v="75309"/>
    <n v="2017"/>
    <n v="1"/>
    <x v="2"/>
    <s v="WI"/>
    <s v="WI-MD 346"/>
    <s v="12.94-14.46(E)"/>
    <s v="MD"/>
    <s v="346"/>
    <s v=""/>
    <n v="12.94"/>
    <n v="14.46"/>
    <s v="E"/>
    <s v="POWELLVILLE RD"/>
    <s v="WORCESTER CO/L"/>
    <n v="2"/>
    <n v="3.04"/>
    <s v="UNDIVIDED"/>
    <s v="URBAN"/>
    <s v="NON-IS"/>
    <n v="8"/>
    <s v="FCJ"/>
    <n v="80.56"/>
    <n v="83.86"/>
    <n v="68"/>
    <n v="81.8"/>
    <n v="63.4"/>
    <n v="0.12"/>
    <n v="45"/>
    <n v="129.05000000000001"/>
    <n v="129.05000000000001"/>
    <n v="89.724999999999994"/>
    <n v="82"/>
    <n v="92.3"/>
    <n v="0.14000000000000001"/>
    <n v="40"/>
    <n v="68.2"/>
    <n v="68.2"/>
    <n v="100"/>
    <n v="100"/>
    <n v="100"/>
    <n v="0.08"/>
    <n v="49"/>
    <x v="1"/>
    <m/>
    <s v="Minor Rehabilitation"/>
    <n v="350205.86851130478"/>
    <n v="37356.131488695217"/>
    <n v="387562"/>
    <n v="15.6"/>
    <n v="39.5"/>
    <n v="25.1"/>
    <s v=""/>
    <s v=""/>
    <n v="15.6"/>
    <s v="D"/>
    <n v="32.6"/>
    <n v="50"/>
    <n v="32.9"/>
    <s v=""/>
    <s v=""/>
    <n v="32.6"/>
    <n v="17"/>
    <n v="6"/>
    <n v="51.68"/>
    <n v="12.677588037172018"/>
    <n v="38.539867633002935"/>
    <n v="10056.132099118009"/>
    <n v="127487.5"/>
    <n v="17"/>
    <n v="387562"/>
    <n v="387562"/>
    <n v="0"/>
    <s v=""/>
    <s v="2000"/>
    <s v="WI-MD 34612.9414.46E"/>
  </r>
  <r>
    <s v="eGIS Link"/>
    <n v="40"/>
    <s v="SouthBound Visi-Data"/>
    <s v="75316"/>
    <n v="2017"/>
    <n v="1"/>
    <x v="2"/>
    <s v="WI"/>
    <s v="WI-MD 354"/>
    <s v="0-3.05(S)"/>
    <s v="MD"/>
    <s v="354"/>
    <s v=""/>
    <n v="0"/>
    <n v="3.05"/>
    <s v="S"/>
    <s v="WORCESTER CO/L"/>
    <s v="STRUC #22020 ADKINS MILL POND"/>
    <n v="2"/>
    <n v="6.1"/>
    <s v="UNDIVIDED"/>
    <s v="URBAN"/>
    <s v="NON-IS"/>
    <n v="7"/>
    <s v="FCJ"/>
    <n v="55.22"/>
    <n v="53.88"/>
    <s v=""/>
    <s v=""/>
    <s v=""/>
    <n v="0.08"/>
    <n v="58"/>
    <n v="95.5"/>
    <n v="95.5"/>
    <n v="45.625"/>
    <n v="47.8"/>
    <n v="44.9"/>
    <n v="0.13"/>
    <n v="41"/>
    <n v="56.72"/>
    <n v="56.72"/>
    <n v="100"/>
    <n v="100"/>
    <n v="100"/>
    <n v="0.08"/>
    <n v="49"/>
    <x v="1"/>
    <m/>
    <s v="Minor Rehabilitation"/>
    <n v="292561.71616937843"/>
    <n v="31207.283830621571"/>
    <n v="323769"/>
    <n v="30.3"/>
    <n v="0"/>
    <n v="0"/>
    <s v=""/>
    <s v=""/>
    <n v="0"/>
    <s v="F"/>
    <n v="47.3"/>
    <n v="33"/>
    <n v="29.7"/>
    <s v=""/>
    <s v=""/>
    <n v="29.7"/>
    <n v="29.7"/>
    <n v="6"/>
    <n v="181.17"/>
    <n v="22.14849204141229"/>
    <n v="135.10580145261497"/>
    <n v="2396.4107870938024"/>
    <n v="53076.885245901642"/>
    <n v="29.7"/>
    <n v="323769"/>
    <n v="323769"/>
    <n v="0"/>
    <s v=""/>
    <s v="2009"/>
    <s v="WI-MD 35403.05S"/>
  </r>
  <r>
    <s v="eGIS Link"/>
    <n v="349"/>
    <s v="SouthBound Visi-Data"/>
    <s v="75323"/>
    <n v="2017"/>
    <n v="1"/>
    <x v="2"/>
    <s v="WI"/>
    <s v="WI-MD 813F"/>
    <s v="0-0.12(S)"/>
    <s v="MD"/>
    <s v="813"/>
    <s v="F"/>
    <n v="0"/>
    <n v="0.12"/>
    <s v="S"/>
    <s v="STATE ST"/>
    <s v="TWIFORD RD (AHEAD)"/>
    <n v="2"/>
    <n v="0.24"/>
    <s v="UNDIVIDED"/>
    <s v="RURAL"/>
    <s v="NON-IS"/>
    <n v="9"/>
    <s v="F"/>
    <s v=""/>
    <s v=""/>
    <s v=""/>
    <s v=""/>
    <s v=""/>
    <s v=""/>
    <s v=""/>
    <n v="64.12"/>
    <n v="64.12"/>
    <n v="86.35"/>
    <n v="90.7"/>
    <n v="84.9"/>
    <n v="0.1"/>
    <n v="46"/>
    <n v="69.97"/>
    <n v="69.97"/>
    <n v="97.15"/>
    <n v="99.4"/>
    <n v="96.4"/>
    <n v="0.1"/>
    <n v="55"/>
    <x v="4"/>
    <m/>
    <s v="Preventive Maintenance"/>
    <n v="79354.939675424801"/>
    <n v="3477.060324575199"/>
    <n v="82832"/>
    <n v="33.1"/>
    <n v="25.5"/>
    <n v="23.9"/>
    <s v=""/>
    <s v=""/>
    <n v="23.9"/>
    <s v="C"/>
    <n v="36.299999999999997"/>
    <n v="31.2"/>
    <n v="29.2"/>
    <s v=""/>
    <s v=""/>
    <n v="29.2"/>
    <n v="5.3000000000000007"/>
    <n v="4"/>
    <n v="1.92"/>
    <n v="5.9659237821985966"/>
    <n v="1.4318217077276632"/>
    <n v="57850.778175067935"/>
    <n v="345133.33333333337"/>
    <n v="5.3"/>
    <n v="82832"/>
    <n v="82832"/>
    <n v="0"/>
    <s v=""/>
    <s v="1987"/>
    <s v="WI-MD 813F00.12S"/>
  </r>
  <r>
    <s v="eGIS Link"/>
    <n v="326"/>
    <s v="NorthBound Visi-Data"/>
    <s v="75323"/>
    <n v="2017"/>
    <n v="1"/>
    <x v="2"/>
    <s v="WI"/>
    <s v="WI-MD 813F"/>
    <s v="0-0.12(N)"/>
    <s v="MD"/>
    <s v="813"/>
    <s v="F"/>
    <n v="0"/>
    <n v="0.12"/>
    <s v="N"/>
    <s v="STATE ST"/>
    <s v="TWIFORD RD (AHEAD)"/>
    <n v="2"/>
    <n v="0.24"/>
    <s v="UNDIVIDED"/>
    <s v="RURAL"/>
    <s v="NON-IS"/>
    <n v="9"/>
    <s v="F"/>
    <s v=""/>
    <s v=""/>
    <s v=""/>
    <s v=""/>
    <s v=""/>
    <s v=""/>
    <s v=""/>
    <n v="71.94"/>
    <n v="71.94"/>
    <n v="89.75"/>
    <n v="91.1"/>
    <n v="89.3"/>
    <n v="0.08"/>
    <n v="45"/>
    <n v="78.69"/>
    <n v="78.69"/>
    <n v="97.825000000000003"/>
    <n v="99.4"/>
    <n v="97.3"/>
    <n v="0.08"/>
    <n v="55"/>
    <x v="4"/>
    <m/>
    <s v="Preventive Maintenance"/>
    <n v="50631.501857328098"/>
    <n v="2218.4981426719023"/>
    <n v="52850"/>
    <n v="30.3"/>
    <n v="25.7"/>
    <n v="25.4"/>
    <s v=""/>
    <s v=""/>
    <n v="25.4"/>
    <s v="C"/>
    <n v="33.1"/>
    <n v="31.2"/>
    <n v="29.7"/>
    <s v=""/>
    <s v=""/>
    <n v="29.7"/>
    <n v="4.3000000000000007"/>
    <n v="4"/>
    <n v="1.92"/>
    <n v="5.9659237821985966"/>
    <n v="1.4318217077276632"/>
    <n v="36911.020216249039"/>
    <n v="220208.33333333334"/>
    <n v="4.2"/>
    <n v="52850"/>
    <n v="52850"/>
    <n v="0"/>
    <s v=""/>
    <s v="1987"/>
    <s v="WI-MD 813F00.12N"/>
  </r>
  <r>
    <s v="eGIS Link"/>
    <n v="214"/>
    <s v="West Bound Visi-Data"/>
    <s v="75568"/>
    <n v="2017"/>
    <n v="1"/>
    <x v="2"/>
    <s v="WI"/>
    <s v="WI-US 50"/>
    <s v="10.15-11.55(W)"/>
    <s v="US"/>
    <s v="50"/>
    <s v=""/>
    <n v="10.15"/>
    <n v="11.55"/>
    <s v="W"/>
    <s v="SPUR TO MD 670"/>
    <s v="BOYLSTON BEND"/>
    <n v="2.2000000000000002"/>
    <n v="3.08"/>
    <s v="DIVIDED"/>
    <s v="URBAN"/>
    <s v="NON-IS"/>
    <n v="2"/>
    <s v="F"/>
    <n v="48.95"/>
    <n v="48.41"/>
    <n v="80.900000000000006"/>
    <n v="69.3"/>
    <n v="84.7"/>
    <n v="0.09"/>
    <n v="52"/>
    <n v="125.94"/>
    <n v="125.94"/>
    <n v="88.5"/>
    <n v="80.400000000000006"/>
    <n v="91.2"/>
    <n v="0.1"/>
    <n v="43"/>
    <n v="85.67"/>
    <n v="85.67"/>
    <n v="100"/>
    <n v="100"/>
    <n v="100"/>
    <n v="0.09"/>
    <n v="49"/>
    <x v="5"/>
    <m/>
    <s v="Preventive Maintenance"/>
    <n v="222385.36203681395"/>
    <n v="23721.637963186047"/>
    <n v="246107"/>
    <n v="16.2"/>
    <n v="38.6"/>
    <n v="24.1"/>
    <s v=""/>
    <s v=""/>
    <n v="16.2"/>
    <s v="D"/>
    <n v="24.7"/>
    <n v="50"/>
    <n v="32.9"/>
    <s v=""/>
    <s v=""/>
    <n v="24.7"/>
    <n v="8.5"/>
    <n v="4"/>
    <n v="26.18"/>
    <n v="6.3387940185860092"/>
    <n v="19.523485577244909"/>
    <n v="12605.689646260891"/>
    <n v="79904.870129870134"/>
    <n v="8.5"/>
    <n v="246107"/>
    <n v="246107"/>
    <n v="0"/>
    <s v=""/>
    <s v="2000"/>
    <s v="WI-US 5010.1511.55W"/>
  </r>
  <r>
    <s v="eGIS Link"/>
    <n v="428"/>
    <s v="EastBound Visi-Data"/>
    <s v="75516"/>
    <n v="2017"/>
    <n v="1"/>
    <x v="2"/>
    <s v="WI"/>
    <s v="WI-US 13 RP3-29"/>
    <s v="0-0.05(E)"/>
    <s v="US"/>
    <s v="13"/>
    <s v=""/>
    <n v="0"/>
    <n v="0.05"/>
    <s v="E"/>
    <s v=""/>
    <s v=""/>
    <n v="1"/>
    <n v="0.05"/>
    <s v="UNDIVIDED"/>
    <s v="URBAN"/>
    <s v="NON-IS"/>
    <n v="2"/>
    <s v=""/>
    <s v=""/>
    <s v=""/>
    <s v=""/>
    <s v=""/>
    <s v=""/>
    <s v=""/>
    <s v=""/>
    <n v="61.99"/>
    <n v="61.99"/>
    <n v="93.924999999999997"/>
    <n v="88.6"/>
    <n v="95.7"/>
    <n v="0.09"/>
    <n v="48"/>
    <n v="51.93"/>
    <n v="51.93"/>
    <n v="100"/>
    <n v="100"/>
    <n v="100"/>
    <n v="0.08"/>
    <n v="49"/>
    <x v="5"/>
    <m/>
    <s v="Preventive Maintenance"/>
    <n v="365654.02784598997"/>
    <n v="39003.972154010029"/>
    <n v="404658"/>
    <n v="32.700000000000003"/>
    <n v="42.8"/>
    <n v="27.5"/>
    <s v=""/>
    <s v=""/>
    <n v="27.5"/>
    <s v="C"/>
    <n v="36.200000000000003"/>
    <n v="50"/>
    <n v="32.9"/>
    <s v=""/>
    <s v=""/>
    <n v="32.9"/>
    <n v="5.3999999999999986"/>
    <n v="4"/>
    <n v="0.4"/>
    <n v="5.9659237821985966"/>
    <n v="0.29829618910992983"/>
    <n v="1356564.4308344587"/>
    <n v="8093160"/>
    <n v="5.4"/>
    <n v="404658"/>
    <n v="404658"/>
    <n v="0"/>
    <s v=""/>
    <s v=""/>
    <s v="WI-US 13 RP3-2900.05E"/>
  </r>
  <r>
    <s v="eGIS Link"/>
    <n v="305"/>
    <s v="West Bound Visi-Data"/>
    <s v="75313"/>
    <n v="2017"/>
    <n v="1"/>
    <x v="2"/>
    <s v="WI"/>
    <s v="WI-MD 350"/>
    <s v="1.56-2.9(W)"/>
    <s v="MD"/>
    <s v="350"/>
    <s v=""/>
    <n v="1.56"/>
    <n v="2.9"/>
    <s v="W"/>
    <s v="PHILLIP MORRIS DR"/>
    <s v="WILTON AVE"/>
    <n v="2.1"/>
    <n v="2.81"/>
    <s v="UNDIVIDED"/>
    <s v="URBAN"/>
    <s v="NON-IS"/>
    <n v="16"/>
    <s v="F"/>
    <n v="74.260000000000005"/>
    <n v="83.51"/>
    <s v=""/>
    <s v=""/>
    <s v=""/>
    <n v="0.08"/>
    <n v="47"/>
    <n v="68.8"/>
    <n v="68.8"/>
    <n v="88.65"/>
    <n v="93.3"/>
    <n v="87.1"/>
    <n v="0.25"/>
    <n v="50"/>
    <n v="55.03"/>
    <n v="55.03"/>
    <n v="100"/>
    <n v="100"/>
    <n v="100"/>
    <n v="0.21"/>
    <n v="49"/>
    <x v="5"/>
    <m/>
    <s v="Preventive Maintenance"/>
    <n v="489248.33864849189"/>
    <n v="52187.661351508112"/>
    <n v="541436"/>
    <n v="43.1"/>
    <n v="24.2"/>
    <n v="17.899999999999999"/>
    <s v=""/>
    <s v=""/>
    <n v="17.899999999999999"/>
    <s v="D"/>
    <n v="49.3"/>
    <n v="32.1"/>
    <n v="28.3"/>
    <s v=""/>
    <s v=""/>
    <n v="28.3"/>
    <n v="10.400000000000002"/>
    <n v="4"/>
    <n v="29.224000000000007"/>
    <n v="7.755700916858177"/>
    <n v="21.793519576371477"/>
    <n v="24843.89903625409"/>
    <n v="192681.85053380782"/>
    <n v="10.3"/>
    <n v="541436"/>
    <n v="541436"/>
    <n v="0"/>
    <s v=""/>
    <s v="2011"/>
    <s v="WI-MD 3501.562.9W"/>
  </r>
  <r>
    <s v="eGIS Link"/>
    <n v="298"/>
    <s v="EastBound Visi-Data"/>
    <s v="75312"/>
    <n v="2017"/>
    <n v="1"/>
    <x v="2"/>
    <s v="WI"/>
    <s v="WI-MD 349"/>
    <s v="0-1.29(E)"/>
    <s v="MD"/>
    <s v="349"/>
    <s v=""/>
    <n v="0"/>
    <n v="1.29"/>
    <s v="E"/>
    <s v="CUL DE SAC"/>
    <s v="HICKMAN LA"/>
    <n v="2"/>
    <n v="2.58"/>
    <s v="UNDIVIDED"/>
    <s v="URBAN"/>
    <s v="NON-IS"/>
    <n v="9"/>
    <s v="FCJ"/>
    <n v="106.02"/>
    <n v="104.72"/>
    <n v="86.6"/>
    <n v="96.7"/>
    <n v="83.3"/>
    <n v="0.13"/>
    <n v="57"/>
    <n v="85.64"/>
    <n v="85.64"/>
    <n v="87.075000000000003"/>
    <n v="82.2"/>
    <n v="88.7"/>
    <n v="0.16"/>
    <n v="39"/>
    <n v="63.84"/>
    <n v="63.84"/>
    <n v="100"/>
    <n v="100"/>
    <n v="100"/>
    <n v="0.14000000000000001"/>
    <n v="49"/>
    <x v="5"/>
    <m/>
    <s v="Preventive Maintenance"/>
    <n v="463375.20187789988"/>
    <n v="49427.798122100125"/>
    <n v="512803"/>
    <n v="34.9"/>
    <n v="41.9"/>
    <n v="23.6"/>
    <s v=""/>
    <s v=""/>
    <n v="23.6"/>
    <s v="C"/>
    <n v="43.4"/>
    <n v="50"/>
    <n v="35"/>
    <s v=""/>
    <s v=""/>
    <n v="35"/>
    <n v="11.399999999999999"/>
    <n v="4"/>
    <n v="29.411999999999995"/>
    <n v="8.5014413896329994"/>
    <n v="21.933718785253138"/>
    <n v="23379.665118382785"/>
    <n v="198760.85271317829"/>
    <n v="11.4"/>
    <n v="512803"/>
    <n v="512803"/>
    <n v="0"/>
    <s v=""/>
    <s v="2002"/>
    <s v="WI-MD 34901.29E"/>
  </r>
  <r>
    <s v="eGIS Link"/>
    <n v="281"/>
    <s v="EastBound Visi-Data"/>
    <s v="77124"/>
    <n v="2017"/>
    <n v="1"/>
    <x v="3"/>
    <s v="WO"/>
    <s v="WO-MD 575J"/>
    <s v="0-0.127(E)"/>
    <s v="MD"/>
    <s v="575"/>
    <s v="J"/>
    <n v="0"/>
    <n v="0.127"/>
    <s v="E"/>
    <s v=""/>
    <s v=""/>
    <n v="2"/>
    <n v="0.25"/>
    <s v="UNDIVIDED"/>
    <s v="RURAL"/>
    <s v="NON-IS"/>
    <n v="9"/>
    <s v="F"/>
    <s v=""/>
    <s v=""/>
    <s v=""/>
    <s v=""/>
    <s v=""/>
    <s v=""/>
    <s v=""/>
    <n v="74.790000000000006"/>
    <n v="74.790000000000006"/>
    <n v="88.174999999999997"/>
    <n v="88.7"/>
    <n v="88"/>
    <n v="0.14000000000000001"/>
    <n v="53"/>
    <n v="79.08"/>
    <n v="79.08"/>
    <n v="86.05"/>
    <n v="88.9"/>
    <n v="85.1"/>
    <n v="0.14000000000000001"/>
    <n v="51"/>
    <x v="0"/>
    <m/>
    <s v="Preventive Maintenance"/>
    <n v="7355.6986047410619"/>
    <n v="322.3013952589381"/>
    <n v="7678"/>
    <n v="30.1"/>
    <n v="26.9"/>
    <n v="30.2"/>
    <s v=""/>
    <s v=""/>
    <n v="26.9"/>
    <s v="C"/>
    <n v="29.9"/>
    <n v="28"/>
    <n v="30.2"/>
    <s v=""/>
    <s v=""/>
    <n v="28"/>
    <n v="1.1000000000000014"/>
    <n v="1"/>
    <n v="0.5"/>
    <n v="1.4914809455496492"/>
    <n v="0.37287023638741229"/>
    <n v="20591.61405423241"/>
    <n v="30712"/>
    <n v="1.1000000000000001"/>
    <n v="7678"/>
    <n v="7678"/>
    <n v="0"/>
    <s v=""/>
    <s v="2003"/>
    <s v="WO-MD 575J00.127E"/>
  </r>
  <r>
    <s v="eGIS Link"/>
    <n v="65"/>
    <s v="SouthBound Visi-Data"/>
    <s v="77102"/>
    <n v="2017"/>
    <n v="1"/>
    <x v="3"/>
    <s v="WO"/>
    <s v="WO-MD 368"/>
    <s v="0-0.28(S)"/>
    <s v="MD"/>
    <s v="368"/>
    <s v=""/>
    <n v="0"/>
    <n v="0.28000000000000003"/>
    <s v="S"/>
    <s v="ST MARTINS NECK RD (BACK)"/>
    <s v="BISHOPVILLE RD"/>
    <n v="2"/>
    <n v="0.56000000000000005"/>
    <s v="UNDIVIDED"/>
    <s v="RURAL"/>
    <s v="NON-IS"/>
    <n v="8"/>
    <s v="F"/>
    <s v=""/>
    <s v=""/>
    <s v=""/>
    <s v=""/>
    <s v=""/>
    <s v=""/>
    <s v=""/>
    <n v="56.86"/>
    <n v="56.86"/>
    <n v="90.825000000000003"/>
    <n v="84.3"/>
    <n v="93"/>
    <n v="0.2"/>
    <n v="57"/>
    <n v="59.96"/>
    <n v="59.96"/>
    <n v="89.075000000000003"/>
    <n v="85.4"/>
    <n v="90.3"/>
    <n v="0.2"/>
    <n v="55"/>
    <x v="0"/>
    <m/>
    <s v="Preventive Maintenance"/>
    <n v="3090.5813621899802"/>
    <n v="135.41863781001985"/>
    <n v="3226"/>
    <n v="41"/>
    <n v="23"/>
    <n v="26.8"/>
    <s v=""/>
    <s v=""/>
    <n v="23"/>
    <s v="C"/>
    <n v="40.6"/>
    <n v="24.4"/>
    <n v="26.8"/>
    <s v=""/>
    <s v=""/>
    <n v="24.4"/>
    <n v="1.3999999999999986"/>
    <n v="1"/>
    <n v="1.1200000000000001"/>
    <n v="1.4914809455496492"/>
    <n v="0.8352293295078036"/>
    <n v="3862.4122573629752"/>
    <n v="5760.7142857142853"/>
    <n v="1.4"/>
    <n v="3226"/>
    <n v="3226"/>
    <n v="0"/>
    <s v=""/>
    <s v="2008"/>
    <s v="WO-MD 36800.28S"/>
  </r>
  <r>
    <s v="eGIS Link"/>
    <n v="91"/>
    <s v="EastBound Visi-Data"/>
    <s v="77100"/>
    <n v="2017"/>
    <n v="1"/>
    <x v="3"/>
    <s v="WO"/>
    <s v="WO-MD 366"/>
    <s v="6.3-8.1(E)"/>
    <s v="MD"/>
    <s v="366"/>
    <s v=""/>
    <n v="6.3"/>
    <n v="8.1"/>
    <s v="E"/>
    <s v="BIRD HILL RD"/>
    <s v="GRANT RD"/>
    <n v="2.2000000000000002"/>
    <n v="3.96"/>
    <s v="UNDIVIDED"/>
    <s v="RURAL"/>
    <s v="NON-IS"/>
    <n v="7"/>
    <s v="FCJ"/>
    <n v="92.16"/>
    <n v="89.59"/>
    <n v="64.599999999999994"/>
    <n v="64.2"/>
    <n v="64.7"/>
    <n v="0.2"/>
    <n v="53"/>
    <n v="70.83"/>
    <n v="70.83"/>
    <n v="89.275000000000006"/>
    <n v="86.2"/>
    <n v="90.3"/>
    <n v="0.12"/>
    <n v="49"/>
    <n v="74.56"/>
    <n v="74.56"/>
    <n v="87.25"/>
    <n v="86.8"/>
    <n v="87.4"/>
    <n v="0.12"/>
    <n v="47"/>
    <x v="0"/>
    <m/>
    <s v="Preventive Maintenance"/>
    <n v="29893.183584753238"/>
    <n v="1309.8164152467616"/>
    <n v="31203"/>
    <n v="30.7"/>
    <n v="23.7"/>
    <n v="25.8"/>
    <s v=""/>
    <s v=""/>
    <n v="23.7"/>
    <s v="C"/>
    <n v="30.4"/>
    <n v="25"/>
    <n v="25.8"/>
    <s v=""/>
    <s v=""/>
    <n v="25"/>
    <n v="1.3000000000000007"/>
    <n v="1"/>
    <n v="7.92"/>
    <n v="1.4914809455496492"/>
    <n v="5.9062645443766106"/>
    <n v="5283.0346093638082"/>
    <n v="7879.545454545455"/>
    <n v="1.3"/>
    <n v="31203"/>
    <n v="31203"/>
    <n v="0"/>
    <s v=""/>
    <s v="1995"/>
    <s v="WO-MD 3666.38.1E"/>
  </r>
  <r>
    <s v="eGIS Link"/>
    <n v="407"/>
    <s v="EastBound Visi-Data"/>
    <s v="77251"/>
    <n v="2017"/>
    <n v="1"/>
    <x v="3"/>
    <s v="WO"/>
    <s v="WO-MD 90 RP5-5"/>
    <s v="0-0.04(E)"/>
    <s v="MD"/>
    <s v="90"/>
    <s v=""/>
    <n v="0"/>
    <n v="0.04"/>
    <s v="E"/>
    <s v=""/>
    <s v=""/>
    <n v="1"/>
    <n v="0.04"/>
    <s v="UNDIVIDED"/>
    <s v="URBAN"/>
    <s v="NON-IS"/>
    <n v="12"/>
    <s v=""/>
    <s v=""/>
    <s v=""/>
    <s v=""/>
    <s v=""/>
    <s v=""/>
    <s v=""/>
    <s v=""/>
    <n v="87.52"/>
    <n v="87.52"/>
    <n v="89.1"/>
    <n v="93.6"/>
    <n v="87.6"/>
    <n v="0.11"/>
    <n v="34"/>
    <n v="54.03"/>
    <n v="54.03"/>
    <n v="100"/>
    <n v="100"/>
    <n v="100"/>
    <n v="0.08"/>
    <n v="49"/>
    <x v="1"/>
    <m/>
    <s v="Minor Rehabilitation"/>
    <n v="110004.88238449005"/>
    <n v="11734.117615509953"/>
    <n v="121739"/>
    <n v="34.9"/>
    <n v="24.4"/>
    <n v="18.2"/>
    <s v=""/>
    <s v=""/>
    <n v="18.2"/>
    <s v="D"/>
    <n v="50"/>
    <n v="32.1"/>
    <n v="28.3"/>
    <s v=""/>
    <s v=""/>
    <n v="28.3"/>
    <n v="10.100000000000001"/>
    <n v="6"/>
    <n v="0.48"/>
    <n v="8.9488856732978945"/>
    <n v="0.35795542693191579"/>
    <n v="340095.41646970232"/>
    <n v="3043475"/>
    <n v="10.1"/>
    <n v="121739"/>
    <n v="121739"/>
    <n v="0"/>
    <s v=""/>
    <s v=""/>
    <s v="WO-MD 90 RP5-500.04E"/>
  </r>
  <r>
    <s v="eGIS Link"/>
    <n v="408"/>
    <s v="NorthBound Visi-Data"/>
    <s v="77119"/>
    <n v="2017"/>
    <n v="1"/>
    <x v="3"/>
    <s v="WO"/>
    <s v="WO-MD 575E"/>
    <s v="0.07-0.21(N)"/>
    <s v="MD"/>
    <s v="575"/>
    <s v="E"/>
    <n v="7.0000000000000007E-2"/>
    <n v="0.21"/>
    <s v="N"/>
    <s v=""/>
    <s v=""/>
    <n v="2"/>
    <n v="0.28000000000000003"/>
    <s v="UNDIVIDED"/>
    <s v="URBAN"/>
    <s v="NON-IS"/>
    <n v="9"/>
    <s v=""/>
    <s v=""/>
    <s v=""/>
    <s v=""/>
    <s v=""/>
    <s v=""/>
    <s v=""/>
    <s v=""/>
    <n v="156.94999999999999"/>
    <n v="156.94999999999999"/>
    <n v="88.1"/>
    <n v="95"/>
    <n v="85.8"/>
    <n v="0.22"/>
    <n v="43"/>
    <n v="77.239999999999995"/>
    <n v="77.239999999999995"/>
    <n v="100"/>
    <n v="100"/>
    <n v="100"/>
    <n v="0.12"/>
    <n v="49"/>
    <x v="1"/>
    <m/>
    <s v="Minor Rehabilitation"/>
    <n v="822070.50984576566"/>
    <n v="87689.490154234343"/>
    <n v="909760"/>
    <n v="15.5"/>
    <n v="25.8"/>
    <n v="17.2"/>
    <s v=""/>
    <s v=""/>
    <n v="15.5"/>
    <s v="D"/>
    <n v="41.7"/>
    <n v="32.1"/>
    <n v="28.3"/>
    <s v=""/>
    <s v=""/>
    <n v="28.3"/>
    <n v="12.8"/>
    <n v="6"/>
    <n v="3.5840000000000005"/>
    <n v="9.5454780515177546"/>
    <n v="2.6727338544249717"/>
    <n v="340385.55634479038"/>
    <n v="3249142.8571428568"/>
    <n v="12.7"/>
    <n v="909760"/>
    <n v="909760"/>
    <n v="0"/>
    <s v=""/>
    <s v=""/>
    <s v="WO-MD 575E0.070.21N"/>
  </r>
  <r>
    <s v="eGIS Link"/>
    <n v="64"/>
    <s v="SouthBound Visi-Data"/>
    <s v="77131"/>
    <n v="2017"/>
    <n v="1"/>
    <x v="3"/>
    <s v="WO"/>
    <s v="WO-MD 611"/>
    <s v="7.01-8.51(S)"/>
    <s v="MD"/>
    <s v="611"/>
    <s v=""/>
    <n v="7.01"/>
    <n v="8.51"/>
    <s v="S"/>
    <s v="AIRPORT RD"/>
    <s v="OCEAN GATEWAY"/>
    <n v="2.8"/>
    <n v="4.2"/>
    <s v="UNDIVIDED"/>
    <s v="URBAN"/>
    <s v="NON-IS"/>
    <n v="14"/>
    <s v="F"/>
    <n v="98.6"/>
    <n v="103.63"/>
    <n v="92"/>
    <n v="95"/>
    <n v="91.1"/>
    <n v="0.11"/>
    <n v="40"/>
    <n v="170.55"/>
    <n v="170.55"/>
    <n v="69.974999999999994"/>
    <n v="80.7"/>
    <n v="66.400000000000006"/>
    <n v="0.2"/>
    <n v="39"/>
    <n v="82.27"/>
    <n v="82.27"/>
    <n v="100"/>
    <n v="100"/>
    <n v="100"/>
    <n v="0.08"/>
    <n v="49"/>
    <x v="1"/>
    <m/>
    <s v="Minor Rehabilitation"/>
    <n v="235752.5017793267"/>
    <n v="25147.498220673297"/>
    <n v="260900"/>
    <n v="12.5"/>
    <n v="12.5"/>
    <n v="7.8"/>
    <s v=""/>
    <s v=""/>
    <n v="7.8"/>
    <s v="E"/>
    <n v="35.9"/>
    <n v="33"/>
    <n v="29.7"/>
    <s v=""/>
    <s v=""/>
    <n v="29.7"/>
    <n v="21.9"/>
    <n v="6"/>
    <n v="91.98"/>
    <n v="16.331716353768659"/>
    <n v="68.593208685828372"/>
    <n v="3803.5835470968859"/>
    <n v="62119.047619047618"/>
    <n v="21.9"/>
    <n v="260900"/>
    <n v="260900"/>
    <n v="0"/>
    <s v=""/>
    <s v="2006"/>
    <s v="WO-MD 6117.018.51S"/>
  </r>
  <r>
    <s v="eGIS Link"/>
    <n v="137"/>
    <s v="SouthBound Visi-Data"/>
    <s v="77281"/>
    <n v="2017"/>
    <n v="1"/>
    <x v="3"/>
    <s v="WO"/>
    <s v="WO-US 13BU"/>
    <s v="0-2.06(S)"/>
    <s v="US"/>
    <s v="13"/>
    <s v="BU"/>
    <n v="0"/>
    <n v="2.06"/>
    <s v="S"/>
    <s v="OCEAN HWY"/>
    <s v="SOMERSET CO/L"/>
    <n v="1.9"/>
    <n v="3.91"/>
    <s v="UNDIVIDED"/>
    <s v="RURAL"/>
    <s v="NON-IS"/>
    <n v="7"/>
    <s v="FCJ"/>
    <n v="143.87"/>
    <n v="117.76"/>
    <s v=""/>
    <s v=""/>
    <s v=""/>
    <n v="0.09"/>
    <n v="39"/>
    <n v="90.44"/>
    <n v="90.44"/>
    <n v="65.95"/>
    <n v="78.099999999999994"/>
    <n v="61.9"/>
    <n v="0.09"/>
    <n v="44"/>
    <n v="46.97"/>
    <n v="46.97"/>
    <n v="100"/>
    <n v="100"/>
    <n v="100"/>
    <n v="0.08"/>
    <n v="49"/>
    <x v="2"/>
    <m/>
    <s v="Structural Overlay"/>
    <n v="432290.51742830413"/>
    <n v="18941.482571695873"/>
    <n v="451232"/>
    <n v="15.3"/>
    <n v="21.1"/>
    <n v="3.6"/>
    <s v=""/>
    <s v=""/>
    <n v="3.6"/>
    <s v="E"/>
    <n v="38"/>
    <n v="32.700000000000003"/>
    <n v="24.8"/>
    <s v=""/>
    <s v=""/>
    <n v="24.8"/>
    <n v="21.2"/>
    <n v="6"/>
    <n v="82.891999999999996"/>
    <n v="15.80969802282628"/>
    <n v="61.815919269250756"/>
    <n v="7299.6083425464394"/>
    <n v="115404.60358056266"/>
    <n v="21.3"/>
    <n v="451232"/>
    <n v="451232"/>
    <n v="0"/>
    <s v=""/>
    <s v="2006"/>
    <s v="WO-US 13BU02.06S"/>
  </r>
  <r>
    <s v="eGIS Link"/>
    <n v="189"/>
    <s v="SouthBound Visi-Data"/>
    <s v="77286"/>
    <n v="2017"/>
    <n v="1"/>
    <x v="3"/>
    <s v="WO"/>
    <s v="WO-US 113"/>
    <s v="13.57-16.1(S)"/>
    <s v="US"/>
    <s v="113"/>
    <s v=""/>
    <n v="13.57"/>
    <n v="16.100000000000001"/>
    <s v="S"/>
    <s v="STRUC #23029 PURNELL BRANCH"/>
    <s v="MILE MARKER 16.0"/>
    <n v="2.2000000000000002"/>
    <n v="5.57"/>
    <s v="UNDIVIDED"/>
    <s v="RURAL"/>
    <s v="NON-IS"/>
    <n v="2"/>
    <s v="FCJ"/>
    <n v="60.8"/>
    <n v="72.48"/>
    <n v="87.6"/>
    <n v="93.1"/>
    <n v="85.8"/>
    <n v="0.09"/>
    <n v="47"/>
    <n v="71.55"/>
    <n v="71.55"/>
    <n v="68.45"/>
    <n v="72.2"/>
    <n v="67.2"/>
    <n v="0.1"/>
    <n v="48"/>
    <n v="43.62"/>
    <n v="43.62"/>
    <n v="100"/>
    <n v="100"/>
    <n v="100"/>
    <n v="0.08"/>
    <n v="49"/>
    <x v="2"/>
    <m/>
    <s v="Structural Overlay"/>
    <n v="804726.64807249687"/>
    <n v="35260.351927503129"/>
    <n v="839987"/>
    <n v="19.8"/>
    <n v="18.5"/>
    <n v="5.5"/>
    <s v=""/>
    <s v=""/>
    <n v="5.5"/>
    <s v="E"/>
    <n v="40"/>
    <n v="32.700000000000003"/>
    <n v="24.8"/>
    <s v=""/>
    <s v=""/>
    <n v="24.8"/>
    <n v="19.3"/>
    <n v="6"/>
    <n v="107.501"/>
    <n v="14.392791124554115"/>
    <n v="80.167846563766432"/>
    <n v="10477.854102415793"/>
    <n v="150805.56552962298"/>
    <n v="19.3"/>
    <n v="839987"/>
    <n v="839987"/>
    <n v="0"/>
    <s v=""/>
    <s v="2004"/>
    <s v="WO-US 11313.5716.1S"/>
  </r>
  <r>
    <s v="eGIS Link"/>
    <n v="79"/>
    <s v="SouthBound Visi-Data"/>
    <s v="77286"/>
    <n v="2017"/>
    <n v="1"/>
    <x v="3"/>
    <s v="WO"/>
    <s v="WO-US 113"/>
    <s v="32.18-34.75(S)"/>
    <s v="US"/>
    <s v="113"/>
    <s v=""/>
    <n v="32.18"/>
    <n v="34.75"/>
    <s v="S"/>
    <s v="RAMP 2 FR MD 90 TO US 113"/>
    <s v="JARVIS RD"/>
    <n v="2.6"/>
    <n v="6.68"/>
    <s v="DIVIDED"/>
    <s v="RURAL"/>
    <s v="NON-IS"/>
    <n v="2"/>
    <s v="F"/>
    <n v="101.8"/>
    <n v="99.51"/>
    <n v="67.2"/>
    <n v="85.5"/>
    <n v="61.1"/>
    <n v="0.11"/>
    <n v="46"/>
    <n v="66.36"/>
    <n v="66.36"/>
    <n v="68.875"/>
    <n v="80.2"/>
    <n v="65.099999999999994"/>
    <n v="0.17"/>
    <n v="49"/>
    <n v="42.59"/>
    <n v="42.59"/>
    <n v="100"/>
    <n v="100"/>
    <n v="100"/>
    <n v="0.08"/>
    <n v="49"/>
    <x v="2"/>
    <m/>
    <s v="Structural Overlay"/>
    <n v="632532.59864327649"/>
    <n v="27715.401356723509"/>
    <n v="660248"/>
    <n v="29.5"/>
    <n v="31.5"/>
    <n v="22.1"/>
    <s v=""/>
    <s v=""/>
    <n v="22.1"/>
    <s v="C"/>
    <n v="50"/>
    <n v="49.8"/>
    <n v="50"/>
    <s v=""/>
    <s v=""/>
    <n v="49.8"/>
    <n v="27.699999999999996"/>
    <n v="6"/>
    <n v="185.03599999999997"/>
    <n v="20.657011095862639"/>
    <n v="137.98883412036241"/>
    <n v="4784.7929450877946"/>
    <n v="98839.520958083842"/>
    <n v="27.7"/>
    <n v="660248"/>
    <n v="660248"/>
    <n v="0"/>
    <s v=""/>
    <s v="2002"/>
    <s v="WO-US 11332.1834.75S"/>
  </r>
  <r>
    <s v="eGIS Link"/>
    <n v="312"/>
    <s v="EastBound Visi-Data"/>
    <s v="77090"/>
    <n v="2017"/>
    <n v="1"/>
    <x v="3"/>
    <s v="WO"/>
    <s v="WO-MD 90"/>
    <s v="0-1.48(E)"/>
    <s v="MD"/>
    <s v="90"/>
    <s v=""/>
    <n v="0"/>
    <n v="1.48"/>
    <s v="E"/>
    <s v="OCEAN GATEWAY"/>
    <s v="STRUC #23025"/>
    <n v="1.6"/>
    <n v="2.37"/>
    <s v="UNDIVIDED"/>
    <s v="RURAL"/>
    <s v="NON-IS"/>
    <n v="2"/>
    <s v="F"/>
    <n v="95.82"/>
    <n v="94.82"/>
    <n v="84.4"/>
    <n v="90.4"/>
    <n v="82.3"/>
    <n v="0.17"/>
    <n v="50"/>
    <n v="93.57"/>
    <n v="93.57"/>
    <n v="74.8"/>
    <n v="83.8"/>
    <n v="71.8"/>
    <n v="0.13"/>
    <n v="45"/>
    <n v="47.39"/>
    <n v="47.39"/>
    <n v="100"/>
    <n v="100"/>
    <n v="100"/>
    <n v="0.08"/>
    <n v="49"/>
    <x v="2"/>
    <m/>
    <s v="Structural Overlay"/>
    <n v="1071907.6942406429"/>
    <n v="46967.305759357056"/>
    <n v="1118875"/>
    <n v="28.6"/>
    <n v="38.4"/>
    <n v="39.700000000000003"/>
    <s v=""/>
    <s v=""/>
    <n v="28.6"/>
    <s v="C"/>
    <n v="50"/>
    <n v="50"/>
    <n v="50"/>
    <s v=""/>
    <s v=""/>
    <n v="50"/>
    <n v="21.4"/>
    <n v="6"/>
    <n v="50.717999999999996"/>
    <n v="15.958846117381245"/>
    <n v="37.822465298193556"/>
    <n v="29582.286378710451"/>
    <n v="472099.15611814347"/>
    <n v="25.1"/>
    <n v="1118875"/>
    <n v="1118875"/>
    <n v="0"/>
    <s v=""/>
    <s v="1998"/>
    <s v="WO-MD 9001.48E"/>
  </r>
  <r>
    <s v="eGIS Link"/>
    <n v="331"/>
    <s v="West Bound Visi-Data"/>
    <s v="77282"/>
    <n v="2017"/>
    <n v="1"/>
    <x v="3"/>
    <s v="WO"/>
    <s v="WO-US 50"/>
    <s v="14.23-14.4(W)"/>
    <s v="US"/>
    <s v="50"/>
    <s v=""/>
    <n v="14.23"/>
    <n v="14.4"/>
    <s v="W"/>
    <s v="N DIVISION ST"/>
    <s v="BALTIMORE AVE"/>
    <n v="3.6"/>
    <n v="0.61"/>
    <s v="UNDIVIDED"/>
    <s v="RURAL"/>
    <s v="NON-IS"/>
    <n v="14"/>
    <s v="FCJ"/>
    <n v="231.27"/>
    <n v="163.59"/>
    <n v="90.5"/>
    <n v="87.8"/>
    <n v="91.4"/>
    <n v="0.18"/>
    <n v="50"/>
    <n v="77.75"/>
    <n v="77.75"/>
    <n v="94.35"/>
    <n v="92.1"/>
    <n v="95.1"/>
    <n v="0.2"/>
    <n v="46"/>
    <n v="85.2"/>
    <n v="85.2"/>
    <n v="98.75"/>
    <n v="99.5"/>
    <n v="98.5"/>
    <n v="0.2"/>
    <n v="55"/>
    <x v="4"/>
    <m/>
    <s v="Preventive Maintenance"/>
    <n v="139334.827438596"/>
    <n v="6105.1725614040042"/>
    <n v="145440"/>
    <n v="18.8"/>
    <n v="26.6"/>
    <n v="14.6"/>
    <s v=""/>
    <s v=""/>
    <n v="14.6"/>
    <s v="D"/>
    <n v="20"/>
    <n v="32"/>
    <n v="17.5"/>
    <s v=""/>
    <s v=""/>
    <n v="17.5"/>
    <n v="4"/>
    <n v="4"/>
    <n v="4.88"/>
    <n v="5.9659237821985966"/>
    <n v="3.639213507141144"/>
    <n v="39964.679102945316"/>
    <n v="238426.22950819673"/>
    <n v="2.9"/>
    <n v="145440"/>
    <n v="145440"/>
    <n v="0"/>
    <s v=""/>
    <s v="2003"/>
    <s v="WO-US 5014.2314.4W"/>
  </r>
  <r>
    <s v="eGIS Link"/>
    <n v="288"/>
    <s v="West Bound Visi-Data"/>
    <s v="77093"/>
    <n v="2017"/>
    <n v="1"/>
    <x v="3"/>
    <s v="WO"/>
    <s v="WO-MD 346"/>
    <s v="8.35-9.26(W)"/>
    <s v="MD"/>
    <s v="346"/>
    <s v=""/>
    <n v="8.35"/>
    <n v="9.26"/>
    <s v="W"/>
    <s v="WILLIAMS ST"/>
    <s v="OCEAN GATEWAY"/>
    <n v="2.6"/>
    <n v="2.36"/>
    <s v="UNDIVIDED"/>
    <s v="RURAL"/>
    <s v="NON-IS"/>
    <n v="16"/>
    <s v="FCJ"/>
    <n v="185.94"/>
    <n v="143.91"/>
    <s v=""/>
    <s v=""/>
    <s v=""/>
    <n v="0.14000000000000001"/>
    <n v="39"/>
    <n v="86.02"/>
    <n v="86.02"/>
    <n v="78.25"/>
    <n v="77.2"/>
    <n v="78.599999999999994"/>
    <n v="0.12"/>
    <n v="41"/>
    <n v="94.35"/>
    <n v="94.35"/>
    <n v="96.075000000000003"/>
    <n v="98.7"/>
    <n v="95.2"/>
    <n v="0.12"/>
    <n v="55"/>
    <x v="4"/>
    <m/>
    <s v="Preventive Maintenance"/>
    <n v="296145.90571695322"/>
    <n v="12976.094283046783"/>
    <n v="309122"/>
    <n v="24.2"/>
    <n v="22.7"/>
    <n v="15"/>
    <s v=""/>
    <s v=""/>
    <n v="15"/>
    <s v="D"/>
    <n v="26"/>
    <n v="33.299999999999997"/>
    <n v="20.399999999999999"/>
    <s v=""/>
    <s v=""/>
    <n v="20.399999999999999"/>
    <n v="5.3999999999999986"/>
    <n v="4"/>
    <n v="18.88"/>
    <n v="5.9659237821985966"/>
    <n v="14.079580125988688"/>
    <n v="21955.34222142104"/>
    <n v="130983.89830508475"/>
    <n v="5.3"/>
    <n v="309122"/>
    <n v="309122"/>
    <n v="0"/>
    <s v=""/>
    <s v="1998"/>
    <s v="WO-MD 3468.359.26W"/>
  </r>
  <r>
    <s v="eGIS Link"/>
    <n v="31"/>
    <s v="SouthBound Visi-Data"/>
    <s v="77286"/>
    <n v="2017"/>
    <n v="1"/>
    <x v="3"/>
    <s v="WO"/>
    <s v="WO-US 113"/>
    <s v="27.24-29.15(S)"/>
    <s v="US"/>
    <s v="113"/>
    <s v=""/>
    <n v="27.24"/>
    <n v="29.15"/>
    <s v="S"/>
    <s v="S MAIN ST"/>
    <s v="RAMP 6 FR US 50 TO US 113"/>
    <n v="2.9"/>
    <n v="5.54"/>
    <s v="DIVIDED"/>
    <s v="RURAL"/>
    <s v="NON-IS"/>
    <n v="12"/>
    <s v="FCJ"/>
    <n v="57.88"/>
    <n v="55.28"/>
    <n v="98"/>
    <n v="96.1"/>
    <n v="98.6"/>
    <n v="0.08"/>
    <n v="43"/>
    <n v="70.2"/>
    <n v="70.2"/>
    <n v="85.55"/>
    <n v="73.400000000000006"/>
    <n v="89.6"/>
    <n v="0.12"/>
    <n v="47"/>
    <n v="76.8"/>
    <n v="76.8"/>
    <n v="97.625"/>
    <n v="98.6"/>
    <n v="97.3"/>
    <n v="0.12"/>
    <n v="55"/>
    <x v="4"/>
    <m/>
    <s v="Preventive Maintenance"/>
    <n v="54307.435114216802"/>
    <n v="2379.5648857831984"/>
    <n v="56687"/>
    <n v="21.3"/>
    <n v="19"/>
    <n v="12.5"/>
    <s v=""/>
    <s v=""/>
    <n v="12.5"/>
    <s v="D"/>
    <n v="22.7"/>
    <n v="31.1"/>
    <n v="16.7"/>
    <s v=""/>
    <s v=""/>
    <n v="16.7"/>
    <n v="4.1999999999999993"/>
    <n v="4"/>
    <n v="44.32"/>
    <n v="5.9659237821985966"/>
    <n v="33.051217753380229"/>
    <n v="1715.1259122427489"/>
    <n v="10232.310469314079"/>
    <n v="4.2"/>
    <n v="56687"/>
    <n v="56687"/>
    <n v="0"/>
    <s v=""/>
    <s v="2005"/>
    <s v="WO-US 11327.2429.15S"/>
  </r>
  <r>
    <s v="eGIS Link"/>
    <n v="254"/>
    <s v="EastBound Visi-Data"/>
    <s v="75551"/>
    <n v="2017"/>
    <n v="1"/>
    <x v="4"/>
    <s v="WI"/>
    <s v="WI-US 50 RP2-109"/>
    <s v="0-0.233(E)"/>
    <s v="US"/>
    <s v="50"/>
    <s v=""/>
    <n v="0"/>
    <n v="0.23300000000000001"/>
    <s v="E"/>
    <s v=""/>
    <s v=""/>
    <s v=""/>
    <n v="0.46"/>
    <s v="UNDIVIDED"/>
    <s v="RURAL"/>
    <s v="NON-IS"/>
    <n v="12"/>
    <s v=""/>
    <s v=""/>
    <s v=""/>
    <s v=""/>
    <s v=""/>
    <s v=""/>
    <s v=""/>
    <s v=""/>
    <n v="52.82"/>
    <n v="52.82"/>
    <n v="74.75"/>
    <n v="56"/>
    <n v="81"/>
    <n v="0.13"/>
    <n v="47"/>
    <n v="55.5"/>
    <n v="55.5"/>
    <n v="74.775000000000006"/>
    <n v="61.5"/>
    <n v="79.2"/>
    <n v="0.13"/>
    <n v="45"/>
    <x v="0"/>
    <m/>
    <s v="Preventive Maintenance"/>
    <n v="10843.859404410534"/>
    <n v="475.1405955894661"/>
    <n v="11319"/>
    <n v="37.4"/>
    <n v="0"/>
    <n v="11.1"/>
    <s v=""/>
    <s v=""/>
    <n v="0"/>
    <s v="F"/>
    <n v="36.799999999999997"/>
    <n v="1.8"/>
    <n v="11.1"/>
    <s v=""/>
    <s v=""/>
    <n v="1.8"/>
    <n v="1.8"/>
    <n v="1"/>
    <n v="0.92"/>
    <n v="1.4914809455496492"/>
    <n v="0.68608123495283868"/>
    <n v="16498.046329423469"/>
    <n v="24606.521739130432"/>
    <n v="1.8"/>
    <n v="11319"/>
    <n v="11319"/>
    <n v="0"/>
    <s v=""/>
    <s v=""/>
    <s v="WI-US 50 RP2-10900.233E"/>
  </r>
  <r>
    <s v="eGIS Link"/>
    <n v="6"/>
    <s v="NorthBound Visi-Data"/>
    <s v="31988"/>
    <n v="2017"/>
    <n v="1"/>
    <x v="4"/>
    <s v="DO"/>
    <s v="DO-MD 16"/>
    <s v="14.6-16.9(N)"/>
    <s v="MD"/>
    <s v="16"/>
    <s v=""/>
    <n v="14.6"/>
    <n v="16.899999999999999"/>
    <s v="N"/>
    <s v="RACE ST"/>
    <s v="OCEAN GATEWAY (AHEAD)"/>
    <n v="2.7"/>
    <n v="6.21"/>
    <s v="UNDIVIDED"/>
    <s v="RURAL"/>
    <s v="NON-IS"/>
    <n v="14"/>
    <s v="FLEXIBLE"/>
    <n v="101.71"/>
    <n v="101.34"/>
    <n v="98.4"/>
    <n v="97.3"/>
    <n v="98.8"/>
    <n v="0.15"/>
    <n v="38"/>
    <n v="60.87"/>
    <n v="60.87"/>
    <n v="89.45"/>
    <n v="86.9"/>
    <n v="90.3"/>
    <n v="0.17"/>
    <n v="46"/>
    <n v="63.96"/>
    <n v="63.96"/>
    <n v="87.4"/>
    <n v="87.4"/>
    <n v="87.4"/>
    <n v="0.17"/>
    <n v="44"/>
    <x v="0"/>
    <m/>
    <s v="Preventive Maintenance"/>
    <n v="4499.83281407512"/>
    <n v="197.16718592487996"/>
    <n v="4697"/>
    <n v="41.2"/>
    <n v="24"/>
    <n v="25.8"/>
    <s v=""/>
    <s v=""/>
    <n v="24"/>
    <s v="C"/>
    <n v="40.799999999999997"/>
    <n v="25.2"/>
    <n v="25.8"/>
    <s v=""/>
    <s v=""/>
    <n v="25.2"/>
    <n v="1.1999999999999993"/>
    <n v="1"/>
    <n v="12.42"/>
    <n v="1.4914809455496492"/>
    <n v="9.262096671863322"/>
    <n v="507.1205976794314"/>
    <n v="756.36070853462161"/>
    <n v="1.2"/>
    <n v="4697"/>
    <n v="4697"/>
    <n v="0"/>
    <s v=""/>
    <s v="2006"/>
    <s v="DO-MD 1614.616.9N"/>
  </r>
  <r>
    <s v="eGIS Link"/>
    <n v="141"/>
    <s v="West Bound Visi-Data"/>
    <s v="75548"/>
    <n v="2017"/>
    <n v="1"/>
    <x v="4"/>
    <s v="WI"/>
    <s v="WI-US 50 RP4-109"/>
    <s v="0-0.297(W)"/>
    <s v="US"/>
    <s v="50"/>
    <s v=""/>
    <n v="0"/>
    <n v="0.29699999999999999"/>
    <s v="W"/>
    <s v=""/>
    <s v=""/>
    <s v=""/>
    <n v="0.59"/>
    <s v="UNDIVIDED"/>
    <s v="RURAL"/>
    <s v="NON-IS"/>
    <n v="12"/>
    <s v=""/>
    <s v=""/>
    <s v=""/>
    <s v=""/>
    <s v=""/>
    <s v=""/>
    <s v=""/>
    <s v=""/>
    <n v="79.540000000000006"/>
    <n v="79.540000000000006"/>
    <n v="77.974999999999994"/>
    <n v="77.599999999999994"/>
    <n v="78.099999999999994"/>
    <n v="0.11"/>
    <n v="45"/>
    <n v="82.86"/>
    <n v="82.86"/>
    <n v="77.349999999999994"/>
    <n v="80.8"/>
    <n v="76.2"/>
    <n v="0.11"/>
    <n v="43"/>
    <x v="0"/>
    <m/>
    <s v="Preventive Maintenance"/>
    <n v="6298.9995215124363"/>
    <n v="276.00047848756367"/>
    <n v="6575"/>
    <n v="23.6"/>
    <n v="8.3000000000000007"/>
    <n v="9.5"/>
    <s v=""/>
    <s v=""/>
    <n v="8.3000000000000007"/>
    <s v="E"/>
    <n v="23.4"/>
    <n v="11.5"/>
    <n v="9.5"/>
    <s v=""/>
    <s v=""/>
    <n v="9.5"/>
    <n v="1.1999999999999993"/>
    <n v="1"/>
    <n v="1.18"/>
    <n v="1.4914809455496492"/>
    <n v="0.87997375787429299"/>
    <n v="7471.8137230397497"/>
    <n v="11144.06779661017"/>
    <n v="1.2"/>
    <n v="6575"/>
    <n v="6575"/>
    <n v="0"/>
    <s v=""/>
    <s v=""/>
    <s v="WI-US 50 RP4-10900.297W"/>
  </r>
  <r>
    <s v="eGIS Link"/>
    <n v="340"/>
    <s v="SouthBound Visi-Data"/>
    <s v="77264"/>
    <n v="2017"/>
    <n v="1"/>
    <x v="4"/>
    <s v="WO"/>
    <s v="WO-US 113 RP2-32"/>
    <s v="0-0.171(S)"/>
    <s v="US"/>
    <s v="113"/>
    <s v=""/>
    <n v="0"/>
    <n v="0.17100000000000001"/>
    <s v="S"/>
    <s v=""/>
    <s v=""/>
    <s v=""/>
    <n v="0.34"/>
    <s v="UNDIVIDED"/>
    <s v="RURAL"/>
    <s v="NON-IS"/>
    <n v="2"/>
    <s v=""/>
    <s v=""/>
    <s v=""/>
    <s v=""/>
    <s v=""/>
    <s v=""/>
    <s v=""/>
    <s v=""/>
    <n v="77.13"/>
    <n v="77.13"/>
    <n v="60.674999999999997"/>
    <n v="77.099999999999994"/>
    <n v="55.2"/>
    <n v="0.16"/>
    <n v="47"/>
    <n v="44.58"/>
    <n v="44.58"/>
    <n v="100"/>
    <n v="100"/>
    <n v="100"/>
    <n v="0.08"/>
    <n v="49"/>
    <x v="2"/>
    <m/>
    <s v="Structural Overlay"/>
    <n v="296965.01516043505"/>
    <n v="13011.984839564946"/>
    <n v="309977"/>
    <n v="19"/>
    <n v="20.7"/>
    <n v="0"/>
    <s v=""/>
    <s v=""/>
    <n v="0"/>
    <s v="F"/>
    <n v="39.4"/>
    <n v="32.700000000000003"/>
    <n v="24.8"/>
    <s v=""/>
    <s v=""/>
    <n v="24.8"/>
    <n v="24.8"/>
    <n v="6"/>
    <n v="8.4320000000000004"/>
    <n v="18.494363724815649"/>
    <n v="6.2880836664373208"/>
    <n v="49295.940773578419"/>
    <n v="911697.0588235294"/>
    <n v="24.8"/>
    <n v="309977"/>
    <n v="309977"/>
    <n v="0"/>
    <s v=""/>
    <s v=""/>
    <s v="WO-US 113 RP2-3200.171S"/>
  </r>
  <r>
    <s v="eGIS Link"/>
    <n v="353"/>
    <s v="NorthBound Visi-Data"/>
    <s v="77245"/>
    <n v="2017"/>
    <n v="1"/>
    <x v="4"/>
    <s v="WO"/>
    <s v="WO-US 50 RP6-134"/>
    <s v="0-0.39(N)"/>
    <s v="US"/>
    <s v="50"/>
    <s v=""/>
    <n v="0"/>
    <n v="0.39"/>
    <s v="N"/>
    <s v=""/>
    <s v=""/>
    <s v=""/>
    <n v="0.78"/>
    <s v="UNDIVIDED"/>
    <s v="URBAN"/>
    <s v="NON-IS"/>
    <n v="12"/>
    <s v=""/>
    <s v=""/>
    <s v=""/>
    <s v=""/>
    <s v=""/>
    <s v=""/>
    <s v=""/>
    <s v=""/>
    <n v="81.599999999999994"/>
    <n v="81.599999999999994"/>
    <n v="83.5"/>
    <n v="83.5"/>
    <n v="83.5"/>
    <n v="0.12"/>
    <n v="44"/>
    <n v="62.08"/>
    <n v="62.08"/>
    <n v="100"/>
    <n v="100"/>
    <n v="100"/>
    <n v="0.1"/>
    <n v="49"/>
    <x v="5"/>
    <m/>
    <s v="Preventive Maintenance"/>
    <n v="528380.18166135321"/>
    <n v="56361.818338646786"/>
    <n v="584742"/>
    <n v="27.1"/>
    <n v="40.4"/>
    <n v="16.2"/>
    <s v=""/>
    <s v=""/>
    <n v="16.2"/>
    <s v="D"/>
    <n v="32.1"/>
    <n v="50"/>
    <n v="32.9"/>
    <s v=""/>
    <s v=""/>
    <n v="32.1"/>
    <n v="15.900000000000002"/>
    <n v="4"/>
    <n v="12.402000000000003"/>
    <n v="11.857273517119713"/>
    <n v="9.2486733433533761"/>
    <n v="63224.419145501437"/>
    <n v="749669.23076923075"/>
    <n v="16"/>
    <n v="584742"/>
    <n v="584742"/>
    <n v="0"/>
    <s v=""/>
    <s v=""/>
    <s v="WO-US 50 RP6-13400.39N"/>
  </r>
  <r>
    <s v="eGIS Link"/>
    <n v="193"/>
    <s v="West Bound Visi-Data"/>
    <s v="67393"/>
    <n v="2017"/>
    <n v="2"/>
    <x v="5"/>
    <s v="QA"/>
    <s v="QA-MD 544"/>
    <s v="0-2.65(W)"/>
    <s v="MD"/>
    <s v="544"/>
    <s v=""/>
    <n v="0"/>
    <n v="2.65"/>
    <s v="W"/>
    <s v="CHURCH HILL RD"/>
    <s v="KIBLER RD"/>
    <n v="2"/>
    <n v="5.3"/>
    <s v="UNDIVIDED"/>
    <s v="RURAL"/>
    <s v="NON-IS"/>
    <n v="7"/>
    <s v="F"/>
    <n v="70.709999999999994"/>
    <n v="68.12"/>
    <s v=""/>
    <s v=""/>
    <s v=""/>
    <n v="0.13"/>
    <n v="58"/>
    <n v="118.69"/>
    <n v="118.69"/>
    <n v="85.45"/>
    <n v="77.2"/>
    <n v="88.2"/>
    <n v="0.16"/>
    <n v="48"/>
    <n v="52.28"/>
    <n v="52.28"/>
    <n v="100"/>
    <n v="100"/>
    <n v="100"/>
    <n v="0.08"/>
    <n v="49"/>
    <x v="2"/>
    <m/>
    <s v="Structural Overlay"/>
    <n v="523224.7311293527"/>
    <n v="140607.2688706473"/>
    <n v="663832"/>
    <n v="9.1999999999999993"/>
    <n v="20.7"/>
    <n v="15.8"/>
    <s v=""/>
    <s v=""/>
    <n v="9.1999999999999993"/>
    <s v="E"/>
    <n v="34.9"/>
    <n v="32.700000000000003"/>
    <n v="24.8"/>
    <s v=""/>
    <s v=""/>
    <n v="24.8"/>
    <n v="15.600000000000001"/>
    <n v="6"/>
    <n v="82.68"/>
    <n v="11.633551375287265"/>
    <n v="61.657822289022505"/>
    <n v="10766.387383717052"/>
    <n v="125251.32075471699"/>
    <n v="15.6"/>
    <n v="663832"/>
    <n v="663832"/>
    <n v="0"/>
    <s v=""/>
    <s v="1996"/>
    <s v="QA-MD 54402.65W"/>
  </r>
  <r>
    <s v="eGIS Link"/>
    <n v="200"/>
    <s v="NorthBound Visi-Data"/>
    <s v="67387"/>
    <n v="2017"/>
    <n v="2"/>
    <x v="5"/>
    <s v="QA"/>
    <s v="QA-MD 313"/>
    <s v="5.7-9.05(N)"/>
    <s v="MD"/>
    <s v="313"/>
    <s v=""/>
    <n v="5.7"/>
    <n v="9.0500000000000007"/>
    <s v="N"/>
    <s v="R/R #MDDE 526 402 M"/>
    <s v="MILLER ST"/>
    <n v="2"/>
    <n v="6.7"/>
    <s v="UNDIVIDED"/>
    <s v="RURAL"/>
    <s v="NON-IS"/>
    <n v="7"/>
    <s v="FCJ"/>
    <n v="87.36"/>
    <n v="87.72"/>
    <n v="68.400000000000006"/>
    <n v="69.8"/>
    <n v="67.900000000000006"/>
    <n v="0.14000000000000001"/>
    <n v="49"/>
    <n v="72.52"/>
    <n v="72.52"/>
    <n v="91.224999999999994"/>
    <n v="92.8"/>
    <n v="90.7"/>
    <n v="0.19"/>
    <n v="40"/>
    <n v="78.36"/>
    <n v="78.36"/>
    <n v="98.174999999999997"/>
    <n v="99.6"/>
    <n v="97.7"/>
    <n v="0.19"/>
    <n v="55"/>
    <x v="4"/>
    <m/>
    <s v="Preventive Maintenance"/>
    <n v="353902.93037233577"/>
    <n v="95105.069627664227"/>
    <n v="449008"/>
    <n v="43"/>
    <n v="40.5"/>
    <n v="38.1"/>
    <s v=""/>
    <s v=""/>
    <n v="38.1"/>
    <s v="B"/>
    <n v="47"/>
    <n v="46.9"/>
    <n v="43.2"/>
    <s v=""/>
    <s v=""/>
    <n v="43.2"/>
    <n v="5.1000000000000014"/>
    <n v="4"/>
    <n v="53.6"/>
    <n v="5.9659237821985966"/>
    <n v="39.971689340730599"/>
    <n v="11233.150447370936"/>
    <n v="67016.119402985074"/>
    <n v="5.0999999999999996"/>
    <n v="449008"/>
    <n v="449008"/>
    <n v="0"/>
    <s v=""/>
    <s v="2007"/>
    <s v="QA-MD 3135.79.05N"/>
  </r>
  <r>
    <s v="eGIS Link"/>
    <n v="291"/>
    <s v="EastBound Visi-Data"/>
    <s v="67405"/>
    <n v="2017"/>
    <n v="2"/>
    <x v="5"/>
    <s v="QA"/>
    <s v="QA-MD 835B"/>
    <s v="0-0.62(E)"/>
    <s v="MD"/>
    <s v="835"/>
    <s v="B"/>
    <n v="0"/>
    <n v="0.62"/>
    <s v="E"/>
    <s v="JACKSON CREEK RD"/>
    <s v="CHESTER RIVER BEACH RD"/>
    <n v="2"/>
    <n v="1.24"/>
    <s v="UNDIVIDED"/>
    <s v="RURAL"/>
    <s v="NON-IS"/>
    <n v="9"/>
    <s v="F"/>
    <s v=""/>
    <s v=""/>
    <s v=""/>
    <s v=""/>
    <s v=""/>
    <s v=""/>
    <s v=""/>
    <n v="67.38"/>
    <n v="67.38"/>
    <n v="93.15"/>
    <n v="95.4"/>
    <n v="92.4"/>
    <n v="0.18"/>
    <n v="39"/>
    <n v="72.7"/>
    <n v="72.7"/>
    <n v="98.5"/>
    <n v="99.7"/>
    <n v="98.1"/>
    <n v="0.18"/>
    <n v="55"/>
    <x v="4"/>
    <m/>
    <s v="Preventive Maintenance"/>
    <n v="129831.98182836807"/>
    <n v="34890.018171631935"/>
    <n v="164722"/>
    <n v="45.5"/>
    <n v="42.2"/>
    <n v="39"/>
    <s v=""/>
    <s v=""/>
    <n v="39"/>
    <s v="B"/>
    <n v="49.9"/>
    <n v="47.1"/>
    <n v="43.4"/>
    <s v=""/>
    <s v=""/>
    <n v="43.4"/>
    <n v="4.3999999999999986"/>
    <n v="4"/>
    <n v="9.92"/>
    <n v="5.9659237821985966"/>
    <n v="7.39774548992626"/>
    <n v="22266.51352419559"/>
    <n v="132840.32258064515"/>
    <n v="4.5"/>
    <n v="164722"/>
    <n v="164722"/>
    <n v="0"/>
    <s v=""/>
    <s v="1992"/>
    <s v="QA-MD 835B00.62E"/>
  </r>
  <r>
    <s v="eGIS Link"/>
    <n v="384"/>
    <s v="NorthBound Visi-Data"/>
    <s v="67533"/>
    <n v="2017"/>
    <n v="2"/>
    <x v="5"/>
    <s v="QA"/>
    <s v="QA-US 50 RP4-37"/>
    <s v="0-0.18(N)"/>
    <s v="US"/>
    <s v="50"/>
    <s v=""/>
    <n v="0"/>
    <n v="0.18"/>
    <s v="N"/>
    <s v=""/>
    <s v=""/>
    <n v="1"/>
    <n v="0.18"/>
    <s v="UNDIVIDED"/>
    <s v="RURAL"/>
    <s v="NON-IS"/>
    <n v="12"/>
    <s v=""/>
    <s v=""/>
    <s v=""/>
    <s v=""/>
    <s v=""/>
    <s v=""/>
    <s v=""/>
    <s v=""/>
    <n v="74.650000000000006"/>
    <n v="74.650000000000006"/>
    <n v="87.25"/>
    <n v="88"/>
    <n v="87"/>
    <n v="0.17"/>
    <n v="54"/>
    <n v="81.08"/>
    <n v="81.08"/>
    <n v="97.5"/>
    <n v="99.3"/>
    <n v="96.9"/>
    <n v="0.17"/>
    <n v="55"/>
    <x v="4"/>
    <m/>
    <s v="Preventive Maintenance"/>
    <n v="139235.85851268625"/>
    <n v="37417.141487313755"/>
    <n v="176653"/>
    <n v="24.8"/>
    <n v="25"/>
    <n v="15.3"/>
    <s v=""/>
    <s v=""/>
    <n v="15.3"/>
    <s v="D"/>
    <n v="21.3"/>
    <n v="31.7"/>
    <n v="16.5"/>
    <s v=""/>
    <s v=""/>
    <n v="16.5"/>
    <n v="4"/>
    <n v="4"/>
    <n v="1.44"/>
    <n v="5.9659237821985966"/>
    <n v="1.0738662807957473"/>
    <n v="164501.85945786294"/>
    <n v="981405.55555555562"/>
    <n v="1.2"/>
    <n v="176653"/>
    <n v="176653"/>
    <n v="0"/>
    <s v=""/>
    <s v=""/>
    <s v="QA-US 50 RP4-3700.18N"/>
  </r>
  <r>
    <s v="eGIS Link"/>
    <n v="3"/>
    <s v="EastBound Visi-Data"/>
    <s v="45358"/>
    <n v="2017"/>
    <n v="2"/>
    <x v="6"/>
    <s v="KE"/>
    <s v="KE-MD 330"/>
    <s v="0-3.72(E)"/>
    <s v="MD"/>
    <s v="330"/>
    <s v=""/>
    <n v="0"/>
    <n v="3.72"/>
    <s v="E"/>
    <s v="MASSEY RD"/>
    <s v="DELAWARE ST/L"/>
    <n v="2"/>
    <n v="7.44"/>
    <s v="UNDIVIDED"/>
    <s v="RURAL"/>
    <s v="NON-IS"/>
    <n v="8"/>
    <s v="F"/>
    <n v="78.38"/>
    <n v="96.76"/>
    <n v="49.2"/>
    <n v="61"/>
    <n v="45.2"/>
    <n v="0.12"/>
    <n v="53"/>
    <n v="58.23"/>
    <n v="58.23"/>
    <n v="79.849999999999994"/>
    <n v="81.2"/>
    <n v="79.400000000000006"/>
    <n v="0.2"/>
    <n v="36"/>
    <n v="61.57"/>
    <n v="61.57"/>
    <n v="78.174999999999997"/>
    <n v="82.9"/>
    <n v="76.599999999999994"/>
    <n v="0.2"/>
    <n v="34"/>
    <x v="0"/>
    <m/>
    <s v="Preventive Maintenance"/>
    <n v="3773.8464139230118"/>
    <n v="1014.1535860769882"/>
    <n v="4788"/>
    <n v="35.6"/>
    <n v="21.8"/>
    <n v="22"/>
    <s v=""/>
    <s v=""/>
    <n v="21.8"/>
    <s v="C"/>
    <n v="35.299999999999997"/>
    <n v="23.5"/>
    <n v="22"/>
    <s v=""/>
    <s v=""/>
    <n v="22"/>
    <n v="1"/>
    <n v="1"/>
    <n v="14.88"/>
    <n v="1.4914809455496492"/>
    <n v="11.096618234889391"/>
    <n v="431.48280842408616"/>
    <n v="643.54838709677415"/>
    <n v="0.2"/>
    <n v="4788"/>
    <n v="4788"/>
    <n v="0"/>
    <s v=""/>
    <s v="2012"/>
    <s v="KE-MD 33003.72E"/>
  </r>
  <r>
    <s v="eGIS Link"/>
    <n v="368"/>
    <s v="West Bound Visi-Data"/>
    <s v="45370"/>
    <n v="2017"/>
    <n v="2"/>
    <x v="6"/>
    <s v="KE"/>
    <s v="KE-MD 855"/>
    <s v="0-0.06(W)"/>
    <s v="MD"/>
    <s v="855"/>
    <s v=""/>
    <n v="0"/>
    <n v="0.06"/>
    <s v="W"/>
    <s v=""/>
    <s v=""/>
    <n v="2"/>
    <n v="0.12"/>
    <s v="UNDIVIDED"/>
    <s v="RURAL"/>
    <s v="NON-IS"/>
    <n v="9"/>
    <s v=""/>
    <s v=""/>
    <s v=""/>
    <s v=""/>
    <s v=""/>
    <s v=""/>
    <s v=""/>
    <s v=""/>
    <n v="65.27"/>
    <n v="65.27"/>
    <n v="90.45"/>
    <n v="90.9"/>
    <n v="90.3"/>
    <n v="0.14000000000000001"/>
    <n v="51"/>
    <n v="68.59"/>
    <n v="68.59"/>
    <n v="88.224999999999994"/>
    <n v="90.7"/>
    <n v="87.4"/>
    <n v="0.14000000000000001"/>
    <n v="49"/>
    <x v="0"/>
    <m/>
    <s v="Preventive Maintenance"/>
    <n v="13542.654361742938"/>
    <n v="3639.3456382570621"/>
    <n v="17182"/>
    <n v="37.4"/>
    <n v="25.6"/>
    <n v="25.8"/>
    <s v=""/>
    <s v=""/>
    <n v="25.6"/>
    <s v="C"/>
    <n v="37.1"/>
    <n v="26.6"/>
    <n v="25.8"/>
    <s v=""/>
    <s v=""/>
    <n v="25.8"/>
    <n v="1"/>
    <n v="1"/>
    <n v="0.24"/>
    <n v="1.4914809455496492"/>
    <n v="0.17897771346595789"/>
    <n v="96000.779467260698"/>
    <n v="143183.33333333334"/>
    <n v="0.2"/>
    <n v="17182"/>
    <n v="17182"/>
    <n v="0"/>
    <s v=""/>
    <s v=""/>
    <s v="KE-MD 85500.06W"/>
  </r>
  <r>
    <s v="eGIS Link"/>
    <n v="52"/>
    <s v="NorthBound Visi-Data"/>
    <s v="45346"/>
    <n v="2017"/>
    <n v="2"/>
    <x v="6"/>
    <s v="KE"/>
    <s v="KE-MD 213"/>
    <s v="11.99-14.21(N)"/>
    <s v="MD"/>
    <s v="213"/>
    <s v=""/>
    <n v="11.99"/>
    <n v="14.21"/>
    <s v="N"/>
    <s v="KENTMORE PARK RD/LOCUST GROVE RD"/>
    <s v="STRUC #14007 WOODLAND CREEK"/>
    <n v="2.1"/>
    <n v="4.66"/>
    <s v="UNDIVIDED"/>
    <s v="RURAL"/>
    <s v="NON-IS"/>
    <n v="6"/>
    <s v="FCJ"/>
    <n v="68.39"/>
    <n v="76.760000000000005"/>
    <n v="80.5"/>
    <n v="87.6"/>
    <n v="78.099999999999994"/>
    <n v="0.14000000000000001"/>
    <n v="54"/>
    <n v="62.01"/>
    <n v="62.01"/>
    <n v="92.474999999999994"/>
    <n v="92.1"/>
    <n v="92.6"/>
    <n v="0.2"/>
    <n v="45"/>
    <n v="67.650000000000006"/>
    <n v="67.650000000000006"/>
    <n v="98.375"/>
    <n v="99.5"/>
    <n v="98"/>
    <n v="0.2"/>
    <n v="55"/>
    <x v="4"/>
    <m/>
    <s v="Preventive Maintenance"/>
    <n v="71134.797974721325"/>
    <n v="19116.202025278675"/>
    <n v="90251"/>
    <n v="32"/>
    <n v="28.7"/>
    <n v="18.3"/>
    <s v=""/>
    <s v=""/>
    <n v="18.3"/>
    <s v="D"/>
    <n v="34.9"/>
    <n v="34"/>
    <n v="21.8"/>
    <s v=""/>
    <s v=""/>
    <n v="21.8"/>
    <n v="4"/>
    <n v="4"/>
    <n v="37.28"/>
    <n v="5.9659237821985966"/>
    <n v="27.80120482504546"/>
    <n v="3246.2981575062881"/>
    <n v="19367.16738197425"/>
    <n v="3.5"/>
    <n v="90251"/>
    <n v="90251"/>
    <n v="0"/>
    <s v=""/>
    <s v="1993"/>
    <s v="KE-MD 21311.9914.21N"/>
  </r>
  <r>
    <s v="eGIS Link"/>
    <n v="406"/>
    <s v="NorthBound Visi-Data"/>
    <s v="45346"/>
    <n v="2017"/>
    <n v="2"/>
    <x v="6"/>
    <s v="KE"/>
    <s v="KE-MD 213"/>
    <s v="0-0.14(N)"/>
    <s v="MD"/>
    <s v="213"/>
    <s v=""/>
    <n v="0"/>
    <n v="0.14000000000000001"/>
    <s v="N"/>
    <s v="STRUC #14027 CHESTER RIVER"/>
    <s v="IN CORP LMTS CHESTERTOWN"/>
    <n v="2"/>
    <n v="0.28000000000000003"/>
    <s v="UNDIVIDED"/>
    <s v="URBAN"/>
    <s v="NON-IS"/>
    <n v="14"/>
    <s v="FCJ"/>
    <n v="396.93"/>
    <n v="467.97"/>
    <s v=""/>
    <s v=""/>
    <s v=""/>
    <n v="0.24"/>
    <n v="30"/>
    <n v="104.18"/>
    <n v="104.18"/>
    <n v="85.325000000000003"/>
    <n v="78.2"/>
    <n v="87.7"/>
    <n v="0.2"/>
    <n v="47"/>
    <n v="74.650000000000006"/>
    <n v="74.650000000000006"/>
    <n v="100"/>
    <n v="100"/>
    <n v="100"/>
    <n v="0.17"/>
    <n v="49"/>
    <x v="5"/>
    <m/>
    <s v="Preventive Maintenance"/>
    <n v="327651.35476297169"/>
    <n v="231932.64523702831"/>
    <n v="559584"/>
    <n v="16.100000000000001"/>
    <n v="32.200000000000003"/>
    <n v="47.1"/>
    <s v=""/>
    <s v=""/>
    <n v="16.100000000000001"/>
    <s v="D"/>
    <n v="21.7"/>
    <n v="47.1"/>
    <n v="50"/>
    <s v=""/>
    <s v=""/>
    <n v="21.7"/>
    <n v="5.5999999999999979"/>
    <n v="4"/>
    <n v="2.2400000000000002"/>
    <n v="5.9659237821985966"/>
    <n v="1.6704586590156072"/>
    <n v="334988.23630257335"/>
    <n v="1998514.2857142854"/>
    <n v="5.6"/>
    <n v="559584"/>
    <n v="559584"/>
    <n v="0"/>
    <s v=""/>
    <s v="2006"/>
    <s v="KE-MD 21300.14N"/>
  </r>
  <r>
    <s v="eGIS Link"/>
    <n v="72"/>
    <s v="SouthBound Visi-Data"/>
    <s v="45352"/>
    <n v="2017"/>
    <n v="2"/>
    <x v="6"/>
    <s v="KE"/>
    <s v="KE-MD 297"/>
    <s v="0.95-3.59(S)"/>
    <s v="MD"/>
    <s v="297"/>
    <s v=""/>
    <n v="0.95"/>
    <n v="3.59"/>
    <s v="S"/>
    <s v="MARY MORRIS RD"/>
    <s v="SMITHVILLE RD (AHEAD)"/>
    <n v="2"/>
    <n v="5.28"/>
    <s v="UNDIVIDED"/>
    <s v="URBAN"/>
    <s v="NON-IS"/>
    <n v="7"/>
    <s v="FCJ"/>
    <n v="68.45"/>
    <n v="52.12"/>
    <s v=""/>
    <s v=""/>
    <s v=""/>
    <n v="0.16"/>
    <n v="42"/>
    <n v="121.41"/>
    <n v="121.41"/>
    <n v="93"/>
    <n v="90.3"/>
    <n v="93.9"/>
    <n v="0.2"/>
    <n v="41"/>
    <n v="82.47"/>
    <n v="82.47"/>
    <n v="100"/>
    <n v="100"/>
    <n v="100"/>
    <n v="0.17"/>
    <n v="49"/>
    <x v="5"/>
    <m/>
    <s v="Preventive Maintenance"/>
    <n v="80837.226202359452"/>
    <n v="57221.773797640548"/>
    <n v="138059"/>
    <n v="24.6"/>
    <n v="21.2"/>
    <n v="21.6"/>
    <s v=""/>
    <s v=""/>
    <n v="21.2"/>
    <s v="C"/>
    <n v="36.200000000000003"/>
    <n v="32.1"/>
    <n v="28.3"/>
    <s v=""/>
    <s v=""/>
    <n v="28.3"/>
    <n v="7.1000000000000014"/>
    <n v="4"/>
    <n v="42.24"/>
    <n v="5.9659237821985966"/>
    <n v="31.500077570008592"/>
    <n v="4382.8146039693174"/>
    <n v="26147.537878787876"/>
    <n v="7"/>
    <n v="138059"/>
    <n v="138059"/>
    <n v="0"/>
    <s v=""/>
    <s v="2005"/>
    <s v="KE-MD 2970.953.59S"/>
  </r>
  <r>
    <s v="eGIS Link"/>
    <n v="296"/>
    <s v="West Bound Visi-Data"/>
    <s v="45344"/>
    <n v="2017"/>
    <n v="2"/>
    <x v="6"/>
    <s v="KE"/>
    <s v="KE-MD 20"/>
    <s v="4.41-6.46(W)"/>
    <s v="MD"/>
    <s v="20"/>
    <s v=""/>
    <n v="4.41"/>
    <n v="6.46"/>
    <s v="W"/>
    <s v="SHIPYARD LA"/>
    <s v="RICAUDS BRANCH RD"/>
    <n v="2"/>
    <n v="4.0999999999999996"/>
    <s v="UNDIVIDED"/>
    <s v="URBAN"/>
    <s v="NON-IS"/>
    <n v="6"/>
    <s v="FCJ"/>
    <n v="61.93"/>
    <n v="94.62"/>
    <s v=""/>
    <s v=""/>
    <s v=""/>
    <n v="0.08"/>
    <n v="57"/>
    <n v="104.43"/>
    <n v="104.43"/>
    <n v="84.6"/>
    <n v="78.599999999999994"/>
    <n v="86.6"/>
    <n v="0.2"/>
    <n v="43"/>
    <n v="74.78"/>
    <n v="74.78"/>
    <n v="100"/>
    <n v="100"/>
    <n v="100"/>
    <n v="0.17"/>
    <n v="49"/>
    <x v="5"/>
    <m/>
    <s v="Preventive Maintenance"/>
    <n v="327651.35476297169"/>
    <n v="231932.64523702831"/>
    <n v="559584"/>
    <n v="16"/>
    <n v="32.799999999999997"/>
    <n v="46.3"/>
    <s v=""/>
    <s v=""/>
    <n v="16"/>
    <s v="D"/>
    <n v="21.6"/>
    <n v="47.1"/>
    <n v="50"/>
    <s v=""/>
    <s v=""/>
    <n v="21.6"/>
    <n v="5.6000000000000014"/>
    <n v="4"/>
    <n v="32.799999999999997"/>
    <n v="5.9659237821985966"/>
    <n v="24.460287507014243"/>
    <n v="22877.245406029404"/>
    <n v="136483.90243902442"/>
    <n v="5.6"/>
    <n v="559584"/>
    <n v="559584"/>
    <n v="0"/>
    <s v=""/>
    <s v="2011"/>
    <s v="KE-MD 204.416.46W"/>
  </r>
  <r>
    <s v="eGIS Link"/>
    <n v="150"/>
    <s v="West Bound Visi-Data"/>
    <s v="24027"/>
    <n v="2017"/>
    <n v="2"/>
    <x v="7"/>
    <s v="CO"/>
    <s v="CO-MD 404AL"/>
    <s v="0-1.74(W)"/>
    <s v="MD"/>
    <s v="404"/>
    <s v="AL"/>
    <n v="0"/>
    <n v="1.74"/>
    <s v="W"/>
    <s v="STRUC #5017 TUCKAHOE CREEK"/>
    <s v="SHORE HWY"/>
    <n v="1.9"/>
    <n v="3.31"/>
    <s v="UNDIVIDED"/>
    <s v="RURAL"/>
    <s v="NON-IS"/>
    <n v="9"/>
    <s v="FCJ"/>
    <n v="111.34"/>
    <n v="148.99"/>
    <s v=""/>
    <s v=""/>
    <s v=""/>
    <n v="0.15"/>
    <n v="57"/>
    <n v="107.64"/>
    <n v="107.64"/>
    <n v="48.3"/>
    <n v="74.7"/>
    <n v="39.5"/>
    <n v="0.13"/>
    <n v="41"/>
    <n v="49.97"/>
    <n v="49.97"/>
    <n v="100"/>
    <n v="100"/>
    <n v="100"/>
    <n v="0.08"/>
    <n v="49"/>
    <x v="2"/>
    <m/>
    <s v="Structural Overlay"/>
    <n v="695853.77072363382"/>
    <n v="186998.22927636618"/>
    <n v="882852"/>
    <n v="15.1"/>
    <n v="6.5"/>
    <n v="0"/>
    <s v=""/>
    <s v=""/>
    <n v="0"/>
    <s v="F"/>
    <n v="46.1"/>
    <n v="49.8"/>
    <n v="50"/>
    <s v=""/>
    <s v=""/>
    <n v="46.1"/>
    <n v="46.1"/>
    <n v="6"/>
    <n v="152.59100000000001"/>
    <n v="34.378635794919411"/>
    <n v="113.79328448118325"/>
    <n v="7758.3840208601023"/>
    <n v="266722.65861027187"/>
    <n v="46.1"/>
    <n v="882852"/>
    <n v="882852"/>
    <n v="0"/>
    <s v=""/>
    <s v="2012"/>
    <s v="CO-MD 404AL01.74W"/>
  </r>
  <r>
    <s v="eGIS Link"/>
    <n v="163"/>
    <s v="EastBound Visi-Data"/>
    <s v="24027"/>
    <n v="2017"/>
    <n v="2"/>
    <x v="7"/>
    <s v="CO"/>
    <s v="CO-MD 404AL"/>
    <s v="0-1.74(E)"/>
    <s v="MD"/>
    <s v="404"/>
    <s v="AL"/>
    <n v="0"/>
    <n v="1.74"/>
    <s v="E"/>
    <s v="STRUC #5017 TUCKAHOE CREEK"/>
    <s v="SHORE HWY"/>
    <n v="1.9"/>
    <n v="3.31"/>
    <s v="UNDIVIDED"/>
    <s v="RURAL"/>
    <s v="NON-IS"/>
    <n v="9"/>
    <s v="FCJ"/>
    <n v="122.37"/>
    <n v="146.69"/>
    <n v="72.900000000000006"/>
    <n v="73.3"/>
    <n v="72.8"/>
    <n v="0.18"/>
    <n v="49"/>
    <n v="117.33"/>
    <n v="117.33"/>
    <n v="71.349999999999994"/>
    <n v="67.3"/>
    <n v="72.7"/>
    <n v="0.14000000000000001"/>
    <n v="54"/>
    <n v="51.81"/>
    <n v="51.81"/>
    <n v="100"/>
    <n v="100"/>
    <n v="100"/>
    <n v="0.08"/>
    <n v="49"/>
    <x v="2"/>
    <m/>
    <s v="Structural Overlay"/>
    <n v="710576.34323108324"/>
    <n v="190954.65676891676"/>
    <n v="901531"/>
    <n v="12.4"/>
    <n v="2.9"/>
    <n v="6.7"/>
    <s v=""/>
    <s v=""/>
    <n v="2.9"/>
    <s v="E"/>
    <n v="44.8"/>
    <n v="49.8"/>
    <n v="50"/>
    <s v=""/>
    <s v=""/>
    <n v="44.8"/>
    <n v="41.9"/>
    <n v="6"/>
    <n v="138.68899999999999"/>
    <n v="31.246525809265147"/>
    <n v="103.42600042866763"/>
    <n v="8716.6766215791267"/>
    <n v="272365.86102719035"/>
    <n v="42"/>
    <n v="901531"/>
    <n v="901531"/>
    <n v="0"/>
    <s v=""/>
    <s v="2012"/>
    <s v="CO-MD 404AL01.74E"/>
  </r>
  <r>
    <s v="eGIS Link"/>
    <n v="144"/>
    <s v="SouthBound Visi-Data"/>
    <s v="24024"/>
    <n v="2017"/>
    <n v="2"/>
    <x v="7"/>
    <s v="CO"/>
    <s v="CO-MD 331"/>
    <s v="1.25-4.45(S)"/>
    <s v="MD"/>
    <s v="331"/>
    <s v=""/>
    <n v="1.25"/>
    <n v="4.45"/>
    <s v="S"/>
    <s v="SPEED LIMIT 30 MPH"/>
    <s v="SPEED LIMIT 30 MPH"/>
    <n v="2"/>
    <n v="6.4"/>
    <s v="UNDIVIDED"/>
    <s v="RURAL"/>
    <s v="NON-IS"/>
    <n v="6"/>
    <s v="F"/>
    <n v="109.74"/>
    <n v="118.13"/>
    <s v=""/>
    <s v=""/>
    <s v=""/>
    <n v="0.1"/>
    <n v="48"/>
    <n v="75.11"/>
    <n v="75.11"/>
    <n v="89.424999999999997"/>
    <n v="85"/>
    <n v="90.9"/>
    <n v="0.13"/>
    <n v="47"/>
    <n v="82.29"/>
    <n v="82.29"/>
    <n v="97.974999999999994"/>
    <n v="99.1"/>
    <n v="97.6"/>
    <n v="0.13"/>
    <n v="55"/>
    <x v="4"/>
    <m/>
    <s v="Preventive Maintenance"/>
    <n v="229657.62844828813"/>
    <n v="61716.371551711869"/>
    <n v="291374"/>
    <n v="27.2"/>
    <n v="25.8"/>
    <n v="17.7"/>
    <s v=""/>
    <s v=""/>
    <n v="17.7"/>
    <s v="D"/>
    <n v="29.7"/>
    <n v="33.6"/>
    <n v="21.6"/>
    <s v=""/>
    <s v=""/>
    <n v="21.6"/>
    <n v="4"/>
    <n v="4"/>
    <n v="51.2"/>
    <n v="5.9659237821985966"/>
    <n v="38.181912206071019"/>
    <n v="7631.2050173765474"/>
    <n v="45527.1875"/>
    <n v="3.9"/>
    <n v="291374"/>
    <n v="291374"/>
    <n v="0"/>
    <s v=""/>
    <s v="1997"/>
    <s v="CO-MD 3311.254.45S"/>
  </r>
  <r>
    <s v="eGIS Link"/>
    <n v="47"/>
    <s v="NorthBound Visi-Data"/>
    <s v="70664"/>
    <n v="2017"/>
    <n v="2"/>
    <x v="8"/>
    <s v="TA"/>
    <s v="TA-MD 309"/>
    <s v="6.05-9.39(N)"/>
    <s v="MD"/>
    <s v="309"/>
    <s v=""/>
    <n v="6.05"/>
    <n v="9.39"/>
    <s v="N"/>
    <s v="DUKES BRIDGE RD"/>
    <s v="QUEEN ANNES CO/L"/>
    <n v="2"/>
    <n v="6.68"/>
    <s v="UNDIVIDED"/>
    <s v="RURAL"/>
    <s v="NON-IS"/>
    <n v="7"/>
    <s v="F"/>
    <n v="57.83"/>
    <n v="56.67"/>
    <n v="99.8"/>
    <n v="99.3"/>
    <n v="100"/>
    <n v="0.19"/>
    <n v="52"/>
    <n v="62.99"/>
    <n v="62.99"/>
    <n v="91.75"/>
    <n v="89.5"/>
    <n v="92.5"/>
    <n v="0.17"/>
    <n v="45"/>
    <n v="68.739999999999995"/>
    <n v="68.739999999999995"/>
    <n v="98.25"/>
    <n v="99.3"/>
    <n v="97.9"/>
    <n v="0.17"/>
    <n v="55"/>
    <x v="4"/>
    <m/>
    <s v="Preventive Maintenance"/>
    <n v="91122.469489064199"/>
    <n v="24487.530510935801"/>
    <n v="115610"/>
    <n v="23.8"/>
    <n v="25.6"/>
    <n v="13.5"/>
    <s v=""/>
    <s v=""/>
    <n v="13.5"/>
    <s v="D"/>
    <n v="25.7"/>
    <n v="31.8"/>
    <n v="17.100000000000001"/>
    <s v=""/>
    <s v=""/>
    <n v="17.100000000000001"/>
    <n v="4"/>
    <n v="4"/>
    <n v="53.44"/>
    <n v="5.9659237821985966"/>
    <n v="39.852370865086627"/>
    <n v="2900.9566429906477"/>
    <n v="17306.88622754491"/>
    <n v="3.6"/>
    <n v="115610"/>
    <n v="115610"/>
    <n v="0"/>
    <s v=""/>
    <s v="2011"/>
    <s v="TA-MD 3096.059.39N"/>
  </r>
  <r>
    <s v="eGIS Link"/>
    <n v="88"/>
    <s v="EastBound Visi-Data"/>
    <s v="70662"/>
    <n v="2017"/>
    <n v="2"/>
    <x v="8"/>
    <s v="TA"/>
    <s v="TA-MD 33"/>
    <s v="22.16-23.17(E)"/>
    <s v="MD"/>
    <s v="33"/>
    <s v=""/>
    <n v="22.16"/>
    <n v="23.17"/>
    <s v="E"/>
    <s v="IN CORP LMTS EASTON"/>
    <s v="N WASHINGTON ST"/>
    <n v="2.6"/>
    <n v="2.63"/>
    <s v="UNDIVIDED"/>
    <s v="RURAL"/>
    <s v="NON-IS"/>
    <n v="14"/>
    <s v="FCJ"/>
    <n v="115.64"/>
    <n v="117.18"/>
    <n v="87.3"/>
    <n v="86.9"/>
    <n v="87.5"/>
    <n v="0.19"/>
    <n v="47"/>
    <n v="69.010000000000005"/>
    <n v="69.010000000000005"/>
    <n v="92.4"/>
    <n v="91.8"/>
    <n v="92.6"/>
    <n v="0.11"/>
    <n v="49"/>
    <n v="75.5"/>
    <n v="75.5"/>
    <n v="98.375"/>
    <n v="99.5"/>
    <n v="98"/>
    <n v="0.11"/>
    <n v="55"/>
    <x v="4"/>
    <m/>
    <s v="Preventive Maintenance"/>
    <n v="63702.180664091837"/>
    <n v="17118.819335908163"/>
    <n v="80821"/>
    <n v="29.2"/>
    <n v="28.5"/>
    <n v="18.3"/>
    <s v=""/>
    <s v=""/>
    <n v="18.3"/>
    <s v="D"/>
    <n v="31.9"/>
    <n v="34"/>
    <n v="21.8"/>
    <s v=""/>
    <s v=""/>
    <n v="21.8"/>
    <n v="4"/>
    <n v="4"/>
    <n v="21.04"/>
    <n v="5.9659237821985966"/>
    <n v="15.690379547182308"/>
    <n v="5150.9907556387889"/>
    <n v="30730.41825095057"/>
    <n v="3.5"/>
    <n v="80821"/>
    <n v="80821"/>
    <n v="0"/>
    <s v=""/>
    <s v="2004"/>
    <s v="TA-MD 3322.1623.17E"/>
  </r>
  <r>
    <s v="eGIS Link"/>
    <n v="390"/>
    <s v="NorthBound Visi-Data"/>
    <s v="28532"/>
    <n v="2017"/>
    <n v="2"/>
    <x v="9"/>
    <s v="CE"/>
    <s v="CE-US 1"/>
    <s v="5.15-5.2(N)"/>
    <s v="US"/>
    <s v="1"/>
    <s v=""/>
    <n v="5.15"/>
    <n v="5.2"/>
    <s v="N"/>
    <s v=""/>
    <s v="TELEGRAPH RD"/>
    <n v="2"/>
    <n v="0.1"/>
    <s v="UNDIVIDED"/>
    <s v="URBAN"/>
    <s v="NON-IS"/>
    <n v="2"/>
    <s v="F"/>
    <n v="78.599999999999994"/>
    <n v="66.14"/>
    <s v=""/>
    <s v=""/>
    <s v=""/>
    <n v="0.17"/>
    <s v=""/>
    <n v="163.13"/>
    <n v="163.13"/>
    <n v="100"/>
    <n v="100"/>
    <n v="100"/>
    <n v="0.14000000000000001"/>
    <n v="52"/>
    <n v="163.24"/>
    <n v="163.24"/>
    <n v="100"/>
    <n v="100"/>
    <n v="100"/>
    <n v="0.13"/>
    <n v="52"/>
    <x v="6"/>
    <m/>
    <s v="Preventive Maintenance"/>
    <n v="34190.658701239146"/>
    <n v="24202.341298760854"/>
    <n v="58393"/>
    <n v="0"/>
    <n v="0"/>
    <n v="0"/>
    <n v="0"/>
    <n v="0"/>
    <n v="0"/>
    <s v="F"/>
    <n v="0"/>
    <n v="0"/>
    <n v="0"/>
    <n v="0"/>
    <n v="0"/>
    <n v="0"/>
    <n v="2"/>
    <n v="2"/>
    <n v="0.4"/>
    <n v="2.9829618910992983"/>
    <n v="0.29829618910992983"/>
    <n v="195755.09889762849"/>
    <n v="583930"/>
    <n v="100"/>
    <n v="58393"/>
    <n v="58393"/>
    <n v="0"/>
    <s v=""/>
    <s v="2009"/>
    <s v="CE-US 15.155.2N"/>
  </r>
  <r>
    <s v="eGIS Link"/>
    <n v="41"/>
    <s v="West Bound Visi-Data"/>
    <s v="28198"/>
    <n v="2017"/>
    <n v="2"/>
    <x v="9"/>
    <s v="CE"/>
    <s v="CE-MD 282"/>
    <s v="7.2-12.43(W)"/>
    <s v="MD"/>
    <s v="282"/>
    <s v=""/>
    <n v="7.2"/>
    <n v="12.43"/>
    <s v="W"/>
    <s v="OUT CORP LMTS CECILTON"/>
    <s v="DELAWARE ST/L"/>
    <n v="2"/>
    <n v="10.46"/>
    <s v="UNDIVIDED"/>
    <s v="URBAN"/>
    <s v="NON-IS"/>
    <n v="7"/>
    <s v="F"/>
    <n v="97.26"/>
    <n v="99.35"/>
    <s v=""/>
    <s v=""/>
    <s v=""/>
    <n v="0.15"/>
    <n v="52"/>
    <n v="80.22"/>
    <n v="80.22"/>
    <n v="59.024999999999999"/>
    <n v="68.099999999999994"/>
    <n v="56"/>
    <n v="0.19"/>
    <n v="43"/>
    <n v="51.8"/>
    <n v="51.8"/>
    <n v="100"/>
    <n v="100"/>
    <n v="100"/>
    <n v="0.08"/>
    <n v="49"/>
    <x v="1"/>
    <m/>
    <s v="Minor Rehabilitation"/>
    <n v="382612.98647069721"/>
    <n v="270838.01352930279"/>
    <n v="653451"/>
    <n v="23.3"/>
    <n v="12.6"/>
    <n v="0"/>
    <s v=""/>
    <s v=""/>
    <n v="0"/>
    <s v="F"/>
    <n v="39"/>
    <n v="37.9"/>
    <n v="34.5"/>
    <s v=""/>
    <s v=""/>
    <n v="34.5"/>
    <n v="34.5"/>
    <n v="6"/>
    <n v="360.87"/>
    <n v="25.72804631073145"/>
    <n v="269.115364410251"/>
    <n v="2428.1445298821782"/>
    <n v="62471.414913957931"/>
    <n v="34.5"/>
    <n v="653451"/>
    <n v="653451"/>
    <n v="0"/>
    <s v=""/>
    <s v="1993"/>
    <s v="CE-MD 2827.212.43W"/>
  </r>
  <r>
    <s v="eGIS Link"/>
    <n v="62"/>
    <s v="NorthBound Visi-Data"/>
    <s v="28173"/>
    <n v="2017"/>
    <n v="2"/>
    <x v="9"/>
    <s v="CE"/>
    <s v="CE-MD 7C"/>
    <s v="5.05-7.4(N)"/>
    <s v="MD"/>
    <s v="7"/>
    <s v="C"/>
    <n v="5.05"/>
    <n v="7.4"/>
    <s v="N"/>
    <s v="OUT CORP LMTS NORTH EAST"/>
    <s v="NO NAME"/>
    <n v="2"/>
    <n v="4.7"/>
    <s v="UNDIVIDED"/>
    <s v="URBAN"/>
    <s v="NON-IS"/>
    <n v="7"/>
    <s v="F"/>
    <n v="160.4"/>
    <n v="167.32"/>
    <n v="92.2"/>
    <n v="90.7"/>
    <n v="92.7"/>
    <n v="0.15"/>
    <n v="41"/>
    <n v="167.7"/>
    <n v="167.7"/>
    <n v="63.75"/>
    <n v="74.099999999999994"/>
    <n v="60.3"/>
    <n v="0.1"/>
    <n v="42"/>
    <n v="81.19"/>
    <n v="81.19"/>
    <n v="100"/>
    <n v="100"/>
    <n v="100"/>
    <n v="0.08"/>
    <n v="49"/>
    <x v="1"/>
    <m/>
    <s v="Minor Rehabilitation"/>
    <n v="219080.65794967956"/>
    <n v="155079.34205032044"/>
    <n v="374160"/>
    <n v="13.5"/>
    <n v="33.700000000000003"/>
    <n v="6.6"/>
    <s v=""/>
    <s v=""/>
    <n v="6.6"/>
    <s v="E"/>
    <n v="39.299999999999997"/>
    <n v="50"/>
    <n v="35"/>
    <s v=""/>
    <s v=""/>
    <n v="35"/>
    <n v="28.4"/>
    <n v="6"/>
    <n v="133.47999999999999"/>
    <n v="21.17902942680502"/>
    <n v="99.54143830598359"/>
    <n v="3758.8365847181922"/>
    <n v="79608.51063829787"/>
    <n v="28.4"/>
    <n v="374160"/>
    <n v="374160"/>
    <n v="0"/>
    <s v=""/>
    <s v="1997"/>
    <s v="CE-MD 7C5.057.4N"/>
  </r>
  <r>
    <s v="eGIS Link"/>
    <n v="89"/>
    <s v="SouthBound Visi-Data"/>
    <s v="28173"/>
    <n v="2017"/>
    <n v="2"/>
    <x v="9"/>
    <s v="CE"/>
    <s v="CE-MD 7C"/>
    <s v="1.23-4.3(S)"/>
    <s v="MD"/>
    <s v="7"/>
    <s v="C"/>
    <n v="1.23"/>
    <n v="4.3"/>
    <s v="S"/>
    <s v="BALTIMORE ST"/>
    <s v="RED TOAD RD"/>
    <n v="2"/>
    <n v="6.14"/>
    <s v="UNDIVIDED"/>
    <s v="URBAN"/>
    <s v="NON-IS"/>
    <n v="16"/>
    <s v="F"/>
    <n v="140.93"/>
    <n v="155.19999999999999"/>
    <s v=""/>
    <s v=""/>
    <s v=""/>
    <n v="0.13"/>
    <n v="53"/>
    <n v="128.63"/>
    <n v="128.63"/>
    <n v="68.7"/>
    <n v="88.5"/>
    <n v="62.1"/>
    <n v="0.11"/>
    <n v="46"/>
    <n v="67.8"/>
    <n v="67.8"/>
    <n v="100"/>
    <n v="100"/>
    <n v="100"/>
    <n v="0.08"/>
    <n v="49"/>
    <x v="1"/>
    <m/>
    <s v="Minor Rehabilitation"/>
    <n v="336334.7152434981"/>
    <n v="238079.2847565019"/>
    <n v="574414"/>
    <n v="20.2"/>
    <n v="20.399999999999999"/>
    <n v="5.5"/>
    <s v=""/>
    <s v=""/>
    <n v="5.5"/>
    <s v="E"/>
    <n v="41.8"/>
    <n v="33"/>
    <n v="29.7"/>
    <s v=""/>
    <s v=""/>
    <n v="29.7"/>
    <n v="24.2"/>
    <n v="6"/>
    <n v="148.58799999999999"/>
    <n v="18.046919441150756"/>
    <n v="110.80808536866563"/>
    <n v="5183.8635970370542"/>
    <n v="93552.768729641699"/>
    <n v="24.3"/>
    <n v="574414"/>
    <n v="574414"/>
    <n v="0"/>
    <s v=""/>
    <s v="1997"/>
    <s v="CE-MD 7C1.234.3S"/>
  </r>
  <r>
    <s v="eGIS Link"/>
    <n v="242"/>
    <s v="West Bound Visi-Data"/>
    <s v="28198"/>
    <n v="2017"/>
    <n v="2"/>
    <x v="9"/>
    <s v="CE"/>
    <s v="CE-MD 282"/>
    <s v="6.2-6.7(W)"/>
    <s v="MD"/>
    <s v="282"/>
    <s v=""/>
    <n v="6.2"/>
    <n v="6.7"/>
    <s v="W"/>
    <s v="SPEED LIMIT 25 MPH"/>
    <s v="BOHEMIA AVE"/>
    <n v="2"/>
    <n v="1"/>
    <s v="UNDIVIDED"/>
    <s v="URBAN"/>
    <s v="NON-IS"/>
    <n v="7"/>
    <s v="F"/>
    <n v="195.84"/>
    <n v="155.02000000000001"/>
    <s v=""/>
    <s v=""/>
    <s v=""/>
    <n v="0.14000000000000001"/>
    <n v="59"/>
    <n v="117.77"/>
    <n v="117.77"/>
    <n v="18.324999999999999"/>
    <n v="40.299999999999997"/>
    <n v="11"/>
    <n v="0.12"/>
    <n v="45"/>
    <n v="63.94"/>
    <n v="63.94"/>
    <n v="100"/>
    <n v="100"/>
    <n v="100"/>
    <n v="0.08"/>
    <n v="49"/>
    <x v="1"/>
    <m/>
    <s v="Minor Rehabilitation"/>
    <n v="182378.67537109871"/>
    <n v="129099.32462890129"/>
    <n v="311478"/>
    <n v="24.7"/>
    <n v="0"/>
    <n v="0"/>
    <s v=""/>
    <s v=""/>
    <n v="0"/>
    <s v="F"/>
    <n v="48.4"/>
    <n v="32.1"/>
    <n v="28.3"/>
    <s v=""/>
    <s v=""/>
    <n v="28.3"/>
    <n v="28.3"/>
    <n v="6"/>
    <n v="28.3"/>
    <n v="21.104455379527536"/>
    <n v="21.104455379527536"/>
    <n v="14758.874104950868"/>
    <n v="311478"/>
    <n v="28.3"/>
    <n v="311478"/>
    <n v="311478"/>
    <n v="0"/>
    <s v=""/>
    <s v="1998"/>
    <s v="CE-MD 2826.26.7W"/>
  </r>
  <r>
    <s v="eGIS Link"/>
    <n v="217"/>
    <s v="EastBound Visi-Data"/>
    <s v="28200"/>
    <n v="2017"/>
    <n v="2"/>
    <x v="9"/>
    <s v="CE"/>
    <s v="CE-MD 285"/>
    <s v="0.76-2.43(E)"/>
    <s v="MD"/>
    <s v="285"/>
    <s v=""/>
    <n v="0.76"/>
    <n v="2.4300000000000002"/>
    <s v="E"/>
    <s v="HEMPHILL ST"/>
    <s v="DELAWARE ST/L"/>
    <n v="2"/>
    <n v="3.34"/>
    <s v="UNDIVIDED"/>
    <s v="URBAN"/>
    <s v="NON-IS"/>
    <n v="7"/>
    <s v="FCJ"/>
    <n v="138.43"/>
    <n v="143.79"/>
    <n v="82.5"/>
    <n v="88.3"/>
    <n v="80.599999999999994"/>
    <n v="0.11"/>
    <n v="52"/>
    <n v="86.22"/>
    <n v="86.22"/>
    <n v="77.7"/>
    <n v="73.5"/>
    <n v="79.099999999999994"/>
    <n v="0.19"/>
    <n v="46"/>
    <n v="53.72"/>
    <n v="53.72"/>
    <n v="100"/>
    <n v="100"/>
    <n v="100"/>
    <n v="0.08"/>
    <n v="49"/>
    <x v="1"/>
    <m/>
    <s v="Minor Rehabilitation"/>
    <n v="382612.98647069721"/>
    <n v="270838.01352930279"/>
    <n v="653451"/>
    <n v="21.2"/>
    <n v="18.899999999999999"/>
    <n v="13.9"/>
    <s v=""/>
    <s v=""/>
    <n v="13.9"/>
    <s v="D"/>
    <n v="37.799999999999997"/>
    <n v="37.9"/>
    <n v="34.5"/>
    <s v=""/>
    <s v=""/>
    <n v="34.5"/>
    <n v="20.6"/>
    <n v="6"/>
    <n v="68.804000000000002"/>
    <n v="15.362253739161387"/>
    <n v="51.309927488799033"/>
    <n v="12735.371729820676"/>
    <n v="195644.01197604791"/>
    <n v="20.5"/>
    <n v="653451"/>
    <n v="653451"/>
    <n v="0"/>
    <s v=""/>
    <s v="2006"/>
    <s v="CE-MD 2850.762.43E"/>
  </r>
  <r>
    <s v="eGIS Link"/>
    <n v="128"/>
    <s v="SouthBound Visi-Data"/>
    <s v="28177"/>
    <n v="2017"/>
    <n v="2"/>
    <x v="9"/>
    <s v="CE"/>
    <s v="CE-MD 213"/>
    <s v="17.03-17.95(S)"/>
    <s v="MD"/>
    <s v="213"/>
    <s v=""/>
    <n v="17.03"/>
    <n v="17.95"/>
    <s v="S"/>
    <s v="FRENCHTOWN RD"/>
    <s v="MANOR RD"/>
    <n v="2.5"/>
    <n v="2.2999999999999998"/>
    <s v="UNDIVIDED"/>
    <s v="RURAL"/>
    <s v="NON-IS"/>
    <n v="14"/>
    <s v="FCJ"/>
    <n v="89.55"/>
    <n v="63.48"/>
    <s v=""/>
    <s v=""/>
    <s v=""/>
    <n v="0.14000000000000001"/>
    <n v="46"/>
    <n v="96.77"/>
    <n v="96.77"/>
    <n v="88.2"/>
    <n v="87"/>
    <n v="88.6"/>
    <n v="0.13"/>
    <n v="47"/>
    <n v="105.99"/>
    <n v="105.99"/>
    <n v="97.625"/>
    <n v="99.2"/>
    <n v="97.1"/>
    <n v="0.13"/>
    <n v="55"/>
    <x v="4"/>
    <m/>
    <s v="Preventive Maintenance"/>
    <n v="73258.177723908593"/>
    <n v="19686.822276091407"/>
    <n v="92945"/>
    <n v="22.3"/>
    <n v="26.6"/>
    <n v="16.899999999999999"/>
    <s v=""/>
    <s v=""/>
    <n v="16.899999999999999"/>
    <s v="D"/>
    <n v="22.9"/>
    <n v="33.700000000000003"/>
    <n v="21.3"/>
    <s v=""/>
    <s v=""/>
    <n v="21.3"/>
    <n v="4.4000000000000021"/>
    <n v="4"/>
    <n v="18.399999999999999"/>
    <n v="5.9659237821985966"/>
    <n v="13.721624699056772"/>
    <n v="6773.6147896822349"/>
    <n v="40410.869565217392"/>
    <n v="4.4000000000000004"/>
    <n v="92945"/>
    <n v="92945"/>
    <n v="0"/>
    <s v=""/>
    <s v="2009"/>
    <s v="CE-MD 21317.0317.95S"/>
  </r>
  <r>
    <s v="eGIS Link"/>
    <n v="419"/>
    <s v="NorthBound Visi-Data"/>
    <s v="24112"/>
    <n v="2017"/>
    <n v="2"/>
    <x v="4"/>
    <s v="CO"/>
    <s v="CO-MD 404 RP6-7"/>
    <s v="0-0.18(N)"/>
    <s v="MD"/>
    <s v="404"/>
    <s v=""/>
    <n v="0"/>
    <n v="0.18"/>
    <s v="N"/>
    <s v=""/>
    <s v=""/>
    <s v=""/>
    <n v="0.36"/>
    <s v="UNDIVIDED"/>
    <s v="RURAL"/>
    <s v="NON-IS"/>
    <n v="2"/>
    <s v=""/>
    <s v=""/>
    <s v=""/>
    <s v=""/>
    <s v=""/>
    <s v=""/>
    <s v=""/>
    <s v=""/>
    <n v="104.5"/>
    <n v="104.5"/>
    <n v="72.575000000000003"/>
    <n v="74.3"/>
    <n v="72"/>
    <n v="0.13"/>
    <n v="54"/>
    <n v="49.58"/>
    <n v="49.58"/>
    <n v="100"/>
    <n v="100"/>
    <n v="100"/>
    <n v="0.08"/>
    <n v="49"/>
    <x v="2"/>
    <m/>
    <s v="Structural Overlay"/>
    <n v="2075911.8865239127"/>
    <n v="557864.11347608734"/>
    <n v="2633776"/>
    <n v="11.9"/>
    <n v="19.399999999999999"/>
    <n v="8.9"/>
    <s v=""/>
    <s v=""/>
    <n v="8.9"/>
    <s v="E"/>
    <n v="36.4"/>
    <n v="32.700000000000003"/>
    <n v="24.8"/>
    <s v=""/>
    <s v=""/>
    <n v="24.8"/>
    <n v="15.9"/>
    <n v="6"/>
    <n v="5.7240000000000002"/>
    <n v="11.857273517119712"/>
    <n v="4.2686184661630957"/>
    <n v="617008.99737881811"/>
    <n v="7316044.444444445"/>
    <n v="15.9"/>
    <n v="2633776"/>
    <n v="2633776"/>
    <n v="0"/>
    <s v=""/>
    <s v=""/>
    <s v="CO-MD 404 RP6-700.18N"/>
  </r>
  <r>
    <s v="eGIS Link"/>
    <n v="417"/>
    <s v="West Bound Visi-Data"/>
    <s v="67548"/>
    <n v="2017"/>
    <n v="2"/>
    <x v="4"/>
    <s v="QA"/>
    <s v="QA-US 301 RP5-89"/>
    <s v="0-0.06(W)"/>
    <s v="US"/>
    <s v="301"/>
    <s v=""/>
    <n v="0"/>
    <n v="0.06"/>
    <s v="W"/>
    <s v=""/>
    <s v=""/>
    <s v=""/>
    <n v="0.12"/>
    <s v="UNDIVIDED"/>
    <s v="RURAL"/>
    <s v="NON-IS"/>
    <n v="2"/>
    <s v=""/>
    <s v=""/>
    <s v=""/>
    <s v=""/>
    <s v=""/>
    <s v=""/>
    <s v=""/>
    <s v=""/>
    <n v="73.63"/>
    <n v="73.63"/>
    <n v="83.525000000000006"/>
    <n v="76.099999999999994"/>
    <n v="86"/>
    <n v="0.14000000000000001"/>
    <n v="61"/>
    <n v="43.84"/>
    <n v="43.84"/>
    <n v="100"/>
    <n v="100"/>
    <n v="100"/>
    <n v="0.08"/>
    <n v="49"/>
    <x v="2"/>
    <m/>
    <s v="Structural Overlay"/>
    <n v="491190.38697708183"/>
    <n v="131998.61302291817"/>
    <n v="623189"/>
    <n v="25.8"/>
    <n v="20.2"/>
    <n v="14.9"/>
    <s v=""/>
    <s v=""/>
    <n v="14.9"/>
    <s v="D"/>
    <n v="39.9"/>
    <n v="32.700000000000003"/>
    <n v="24.8"/>
    <s v=""/>
    <s v=""/>
    <n v="24.8"/>
    <n v="9.9"/>
    <n v="6"/>
    <n v="1.44"/>
    <n v="8.9488856732978945"/>
    <n v="1.0738662807957473"/>
    <n v="580322.71908026549"/>
    <n v="5193241.666666667"/>
    <n v="9.9"/>
    <n v="623189"/>
    <n v="623189"/>
    <n v="0"/>
    <s v=""/>
    <s v=""/>
    <s v="QA-US 301 RP5-8900.06W"/>
  </r>
  <r>
    <s v="eGIS Link"/>
    <n v="363"/>
    <s v="West Bound Visi-Data"/>
    <s v="24107"/>
    <n v="2017"/>
    <n v="2"/>
    <x v="4"/>
    <s v="CO"/>
    <s v="CO-MD 404 RP4-7"/>
    <s v="0-0.17(W)"/>
    <s v="MD"/>
    <s v="404"/>
    <s v=""/>
    <n v="0"/>
    <n v="0.17"/>
    <s v="W"/>
    <s v=""/>
    <s v=""/>
    <s v=""/>
    <n v="0.34"/>
    <s v="UNDIVIDED"/>
    <s v="RURAL"/>
    <s v="NON-IS"/>
    <n v="2"/>
    <s v=""/>
    <s v=""/>
    <s v=""/>
    <s v=""/>
    <s v=""/>
    <s v=""/>
    <s v=""/>
    <s v=""/>
    <n v="103.62"/>
    <n v="103.62"/>
    <n v="62.6"/>
    <n v="72.8"/>
    <n v="59.2"/>
    <n v="0.14000000000000001"/>
    <n v="37"/>
    <n v="49.22"/>
    <n v="49.22"/>
    <n v="100"/>
    <n v="100"/>
    <n v="100"/>
    <n v="0.08"/>
    <n v="49"/>
    <x v="2"/>
    <m/>
    <s v="Structural Overlay"/>
    <n v="745523.04379510134"/>
    <n v="200345.95620489866"/>
    <n v="945869"/>
    <n v="16.3"/>
    <n v="5.4"/>
    <n v="0.6"/>
    <s v=""/>
    <s v=""/>
    <n v="0.6"/>
    <s v="F"/>
    <n v="46.7"/>
    <n v="49.8"/>
    <n v="50"/>
    <s v=""/>
    <s v=""/>
    <n v="46.7"/>
    <n v="46.1"/>
    <n v="6"/>
    <n v="15.674000000000001"/>
    <n v="34.378635794919411"/>
    <n v="11.6887361702726"/>
    <n v="80921.408971962519"/>
    <n v="2781967.6470588231"/>
    <n v="46.1"/>
    <n v="945869"/>
    <n v="945869"/>
    <n v="0"/>
    <s v=""/>
    <s v=""/>
    <s v="CO-MD 404 RP4-700.17W"/>
  </r>
  <r>
    <s v="eGIS Link"/>
    <n v="434"/>
    <s v="West Bound Visi-Data"/>
    <s v="54354"/>
    <n v="2017"/>
    <n v="3"/>
    <x v="10"/>
    <s v="MO"/>
    <s v="MO-IS 495 RP1-36"/>
    <s v="0-0.01(W)"/>
    <s v="IS"/>
    <s v="495"/>
    <s v=""/>
    <n v="0"/>
    <n v="0.01"/>
    <s v="W"/>
    <s v=""/>
    <s v=""/>
    <n v="1"/>
    <n v="0.01"/>
    <s v="UNDIVIDED"/>
    <s v="URBAN"/>
    <s v="IS"/>
    <n v="11"/>
    <s v=""/>
    <s v=""/>
    <s v=""/>
    <s v=""/>
    <s v=""/>
    <s v=""/>
    <s v=""/>
    <s v=""/>
    <n v="79.790000000000006"/>
    <n v="79.790000000000006"/>
    <n v="92.45"/>
    <n v="89.6"/>
    <n v="93.4"/>
    <n v="0.14000000000000001"/>
    <n v="44"/>
    <n v="82.46"/>
    <n v="82.46"/>
    <n v="93.25"/>
    <n v="91"/>
    <n v="94"/>
    <n v="0.14000000000000001"/>
    <n v="44"/>
    <x v="6"/>
    <m/>
    <s v="Preventive Maintenance"/>
    <n v="247582.19564784446"/>
    <n v="180452.80435215554"/>
    <n v="428035"/>
    <n v="26.7"/>
    <n v="19.3"/>
    <n v="18.899999999999999"/>
    <s v=""/>
    <s v=""/>
    <n v="18.899999999999999"/>
    <s v="D"/>
    <n v="26.5"/>
    <n v="21.5"/>
    <n v="20.6"/>
    <s v=""/>
    <s v=""/>
    <n v="20.6"/>
    <n v="2"/>
    <n v="2"/>
    <n v="0.04"/>
    <n v="2.9829618910992983"/>
    <n v="2.9829618910992985E-2"/>
    <n v="14349328.473729111"/>
    <n v="42803500"/>
    <n v="1.7"/>
    <n v="428035"/>
    <n v="428035"/>
    <n v="0"/>
    <s v=""/>
    <s v=""/>
    <s v="MO-IS 495 RP1-3600.01W"/>
  </r>
  <r>
    <s v="eGIS Link"/>
    <n v="430"/>
    <s v="NorthBound Visi-Data"/>
    <s v="54316"/>
    <n v="2017"/>
    <n v="3"/>
    <x v="10"/>
    <s v="MO"/>
    <s v="MO-IS 495 RP1-31"/>
    <s v="0-0.18(N)"/>
    <s v="IS"/>
    <s v="495"/>
    <s v=""/>
    <n v="0"/>
    <n v="0.18"/>
    <s v="N"/>
    <s v=""/>
    <s v=""/>
    <n v="1"/>
    <n v="0.18"/>
    <s v="UNDIVIDED"/>
    <s v="URBAN"/>
    <s v="IS"/>
    <n v="11"/>
    <s v=""/>
    <s v=""/>
    <s v=""/>
    <s v=""/>
    <s v=""/>
    <s v=""/>
    <s v=""/>
    <s v=""/>
    <n v="85.2"/>
    <n v="85.2"/>
    <n v="93.55"/>
    <n v="91.9"/>
    <n v="94.1"/>
    <n v="0.21"/>
    <n v="47"/>
    <n v="87.99"/>
    <n v="87.99"/>
    <n v="94"/>
    <n v="92.5"/>
    <n v="94.5"/>
    <n v="0.21"/>
    <n v="47"/>
    <x v="6"/>
    <m/>
    <s v="Preventive Maintenance"/>
    <n v="552539.18712522776"/>
    <n v="402723.81287477224"/>
    <n v="955263"/>
    <n v="24.3"/>
    <n v="21.3"/>
    <n v="19.600000000000001"/>
    <s v=""/>
    <s v=""/>
    <n v="19.600000000000001"/>
    <s v="D"/>
    <n v="24.1"/>
    <n v="22.7"/>
    <n v="21.1"/>
    <s v=""/>
    <s v=""/>
    <n v="21.1"/>
    <n v="2"/>
    <n v="2"/>
    <n v="0.72"/>
    <n v="2.9829618910992983"/>
    <n v="0.53693314039787365"/>
    <n v="1779109.7776012467"/>
    <n v="5307016.666666667"/>
    <n v="1.5"/>
    <n v="955263"/>
    <n v="955263"/>
    <n v="0"/>
    <s v=""/>
    <s v=""/>
    <s v="MO-IS 495 RP1-3100.18N"/>
  </r>
  <r>
    <s v="eGIS Link"/>
    <n v="53"/>
    <s v="NorthBound Visi-Data"/>
    <s v="53250"/>
    <n v="2017"/>
    <n v="3"/>
    <x v="10"/>
    <s v="MO"/>
    <s v="MO-MD 185"/>
    <s v="2.75-4.15(N)"/>
    <s v="MD"/>
    <s v="185"/>
    <s v=""/>
    <n v="2.75"/>
    <n v="4.1500000000000004"/>
    <s v="N"/>
    <s v="STRUC #15030 ROCK CREEK"/>
    <s v="BALTIMORE ST"/>
    <n v="3.2"/>
    <n v="4.4800000000000004"/>
    <s v="DIVIDED"/>
    <s v="URBAN"/>
    <s v="NON-IS"/>
    <n v="14"/>
    <s v="FCJ"/>
    <n v="167.91"/>
    <n v="194.93"/>
    <n v="73"/>
    <n v="85.5"/>
    <n v="68.8"/>
    <n v="0.13"/>
    <n v="30"/>
    <n v="123.84"/>
    <n v="123.84"/>
    <n v="80.974999999999994"/>
    <n v="85.4"/>
    <n v="79.5"/>
    <n v="0.13"/>
    <n v="31"/>
    <n v="53.29"/>
    <n v="53.29"/>
    <n v="100"/>
    <n v="100"/>
    <n v="100"/>
    <n v="0.08"/>
    <n v="44"/>
    <x v="2"/>
    <m/>
    <s v="Structural Overlay"/>
    <n v="199790.59235511572"/>
    <n v="145619.40764488428"/>
    <n v="345410"/>
    <n v="16.2"/>
    <n v="50"/>
    <n v="50"/>
    <s v=""/>
    <s v=""/>
    <n v="16.2"/>
    <s v="D"/>
    <n v="47.3"/>
    <n v="50"/>
    <n v="50"/>
    <s v=""/>
    <s v=""/>
    <n v="47.3"/>
    <n v="31.099999999999998"/>
    <n v="6"/>
    <n v="139.328"/>
    <n v="23.192528703297043"/>
    <n v="103.90252859077076"/>
    <n v="3324.3656789184374"/>
    <n v="77100.44642857142"/>
    <n v="31.2"/>
    <n v="345410"/>
    <n v="345410"/>
    <n v="0"/>
    <s v="SKID_35"/>
    <s v="2003"/>
    <s v="MO-MD 1852.754.15N"/>
  </r>
  <r>
    <s v="eGIS Link"/>
    <n v="124"/>
    <s v="SouthBound Visi-Data"/>
    <s v="53274"/>
    <n v="2017"/>
    <n v="3"/>
    <x v="10"/>
    <s v="MO"/>
    <s v="MO-MD 390"/>
    <s v="0-1.09(S)"/>
    <s v="MD"/>
    <s v="390"/>
    <s v=""/>
    <n v="0"/>
    <n v="1.0900000000000001"/>
    <s v="S"/>
    <s v="WASH DC LINE"/>
    <s v="GEORGIA AVE"/>
    <n v="3.2"/>
    <n v="3.49"/>
    <s v="DIVIDED"/>
    <s v="URBAN"/>
    <s v="NON-IS"/>
    <n v="14"/>
    <s v="FCJ"/>
    <n v="150.97999999999999"/>
    <n v="155.19"/>
    <n v="95.3"/>
    <n v="95.5"/>
    <n v="95.2"/>
    <n v="0.25"/>
    <n v="50"/>
    <n v="205.4"/>
    <n v="205.4"/>
    <n v="82.4"/>
    <n v="82.7"/>
    <n v="82.3"/>
    <n v="0.13"/>
    <n v="28"/>
    <n v="71.23"/>
    <n v="71.23"/>
    <n v="100"/>
    <n v="100"/>
    <n v="100"/>
    <n v="0.08"/>
    <n v="44"/>
    <x v="2"/>
    <m/>
    <s v="Structural Overlay"/>
    <n v="256736.20368065202"/>
    <n v="187124.79631934798"/>
    <n v="443861"/>
    <n v="2.7"/>
    <n v="37"/>
    <n v="42.1"/>
    <s v=""/>
    <s v=""/>
    <n v="2.7"/>
    <s v="E"/>
    <n v="28.2"/>
    <n v="47.1"/>
    <n v="50"/>
    <s v=""/>
    <s v=""/>
    <n v="28.2"/>
    <n v="25.5"/>
    <n v="6"/>
    <n v="88.995000000000005"/>
    <n v="19.016382055758026"/>
    <n v="66.367173374595509"/>
    <n v="6687.959987307584"/>
    <n v="127180.8022922636"/>
    <n v="25.5"/>
    <n v="443861"/>
    <n v="443861"/>
    <n v="0"/>
    <s v=""/>
    <s v="2009"/>
    <s v="MO-MD 39001.09S"/>
  </r>
  <r>
    <s v="eGIS Link"/>
    <n v="151"/>
    <s v="NorthBound Visi-Data"/>
    <s v="53272"/>
    <n v="2017"/>
    <n v="3"/>
    <x v="10"/>
    <s v="MO"/>
    <s v="MO-MD 355"/>
    <s v="22.51-23.65(N)"/>
    <s v="MD"/>
    <s v="355"/>
    <s v=""/>
    <n v="22.51"/>
    <n v="23.65"/>
    <s v="N"/>
    <s v="SPEED LIMIT 30 MPH"/>
    <s v="CAMPING RIDGE RD"/>
    <n v="2.7"/>
    <n v="3.08"/>
    <s v="UNDIVIDED"/>
    <s v="URBAN"/>
    <s v="NON-IS"/>
    <n v="7"/>
    <s v="FCJ"/>
    <n v="129.30000000000001"/>
    <n v="136.97999999999999"/>
    <n v="98.3"/>
    <n v="98.1"/>
    <n v="98.4"/>
    <n v="0.18"/>
    <n v="45"/>
    <n v="220.87"/>
    <n v="220.87"/>
    <n v="70.7"/>
    <n v="74.900000000000006"/>
    <n v="69.3"/>
    <n v="0.17"/>
    <n v="30"/>
    <n v="74.73"/>
    <n v="74.73"/>
    <n v="100"/>
    <n v="100"/>
    <n v="100"/>
    <n v="0.08"/>
    <n v="44"/>
    <x v="2"/>
    <m/>
    <s v="Structural Overlay"/>
    <n v="271417.55284586886"/>
    <n v="197825.44715413114"/>
    <n v="469243"/>
    <n v="1.4"/>
    <n v="21.6"/>
    <n v="17.5"/>
    <s v=""/>
    <s v=""/>
    <n v="1.4"/>
    <s v="E"/>
    <n v="27.1"/>
    <n v="47.1"/>
    <n v="50"/>
    <s v=""/>
    <s v=""/>
    <n v="27.1"/>
    <n v="25.700000000000003"/>
    <n v="6"/>
    <n v="79.156000000000006"/>
    <n v="19.165530150312993"/>
    <n v="59.029832862964021"/>
    <n v="7949.2517129318912"/>
    <n v="152351.62337662338"/>
    <n v="25.7"/>
    <n v="469243"/>
    <n v="469243"/>
    <n v="0"/>
    <s v=""/>
    <s v="2009"/>
    <s v="MO-MD 35522.5123.65N"/>
  </r>
  <r>
    <s v="eGIS Link"/>
    <n v="352"/>
    <s v="SouthBound Visi-Data"/>
    <s v="53250"/>
    <n v="2017"/>
    <n v="3"/>
    <x v="10"/>
    <s v="MO"/>
    <s v="MO-MD 185"/>
    <s v="2.5-2.75(S)"/>
    <s v="MD"/>
    <s v="185"/>
    <s v=""/>
    <n v="2.5"/>
    <n v="2.75"/>
    <s v="S"/>
    <s v="RAMP 4 FR MD 185 TO IS 495"/>
    <s v="STRUC #15030 ROCK CREEK"/>
    <n v="3.4"/>
    <n v="0.85"/>
    <s v="DIVIDED"/>
    <s v="URBAN"/>
    <s v="NON-IS"/>
    <n v="14"/>
    <s v="FCJ"/>
    <n v="344.81"/>
    <n v="284.43"/>
    <n v="63.8"/>
    <n v="83.3"/>
    <n v="57.3"/>
    <n v="0.18"/>
    <n v="30"/>
    <n v="184.01"/>
    <n v="184.01"/>
    <n v="59.25"/>
    <n v="75.3"/>
    <n v="53.9"/>
    <n v="0.18"/>
    <n v="34"/>
    <n v="65.87"/>
    <n v="65.87"/>
    <n v="100"/>
    <n v="100"/>
    <n v="100"/>
    <n v="0.08"/>
    <n v="44"/>
    <x v="2"/>
    <m/>
    <s v="Structural Overlay"/>
    <n v="792520.42109234899"/>
    <n v="577636.57890765101"/>
    <n v="1370157"/>
    <n v="6.5"/>
    <n v="50"/>
    <n v="8.1"/>
    <s v=""/>
    <s v=""/>
    <n v="6.5"/>
    <s v="E"/>
    <n v="40.799999999999997"/>
    <n v="50"/>
    <n v="50"/>
    <s v=""/>
    <s v=""/>
    <n v="40.799999999999997"/>
    <n v="34.299999999999997"/>
    <n v="6"/>
    <n v="29.154999999999998"/>
    <n v="25.578898216176484"/>
    <n v="21.742063483750009"/>
    <n v="63018.719498453014"/>
    <n v="1611949.411764706"/>
    <n v="34.299999999999997"/>
    <n v="1370157"/>
    <n v="1370157"/>
    <n v="0"/>
    <s v=""/>
    <s v="1990"/>
    <s v="MO-MD 1852.52.75S"/>
  </r>
  <r>
    <s v="eGIS Link"/>
    <n v="294"/>
    <s v="NorthBound Visi-Data"/>
    <s v="53287"/>
    <n v="2017"/>
    <n v="3"/>
    <x v="10"/>
    <s v="MO"/>
    <s v="MO-MD 650"/>
    <s v="13.5-14.85(N)"/>
    <s v="MD"/>
    <s v="650"/>
    <s v=""/>
    <n v="13.5"/>
    <n v="14.85"/>
    <s v="N"/>
    <s v="ASHTON RD"/>
    <s v="HAVILAND MILL RD"/>
    <n v="2.2999999999999998"/>
    <n v="3.11"/>
    <s v="UNDIVIDED"/>
    <s v="URBAN"/>
    <s v="NON-IS"/>
    <n v="7"/>
    <s v="FCJ"/>
    <n v="122.06"/>
    <n v="162.32"/>
    <n v="96.2"/>
    <n v="96.8"/>
    <n v="96"/>
    <n v="0.14000000000000001"/>
    <n v="39"/>
    <n v="180.4"/>
    <n v="180.4"/>
    <n v="91.35"/>
    <n v="90.3"/>
    <n v="91.7"/>
    <n v="0.14000000000000001"/>
    <n v="34"/>
    <n v="65.489999999999995"/>
    <n v="65.489999999999995"/>
    <n v="100"/>
    <n v="100"/>
    <n v="100"/>
    <n v="0.08"/>
    <n v="44"/>
    <x v="2"/>
    <m/>
    <s v="Structural Overlay"/>
    <n v="749291.93983745796"/>
    <n v="546129.06016254204"/>
    <n v="1295421"/>
    <n v="5.4"/>
    <n v="41.1"/>
    <n v="49.8"/>
    <s v=""/>
    <s v=""/>
    <n v="5.4"/>
    <s v="E"/>
    <n v="30.1"/>
    <n v="47.1"/>
    <n v="50"/>
    <s v=""/>
    <s v=""/>
    <n v="30.1"/>
    <n v="24.700000000000003"/>
    <n v="6"/>
    <n v="76.817000000000007"/>
    <n v="18.419789677538169"/>
    <n v="57.285545897143706"/>
    <n v="22613.400635579706"/>
    <n v="416534.08360128617"/>
    <n v="24.7"/>
    <n v="1295421"/>
    <n v="1295421"/>
    <n v="0"/>
    <s v=""/>
    <s v="2012"/>
    <s v="MO-MD 65013.514.85N"/>
  </r>
  <r>
    <s v="eGIS Link"/>
    <n v="357"/>
    <s v="NorthBound Visi-Data"/>
    <s v="54368"/>
    <n v="2017"/>
    <n v="3"/>
    <x v="10"/>
    <s v="MO"/>
    <s v="MO-US 29"/>
    <s v="2.6-2.89(N)"/>
    <s v="US"/>
    <s v="29"/>
    <s v=""/>
    <n v="2.6"/>
    <n v="2.89"/>
    <s v="N"/>
    <s v="LANARK WAY"/>
    <s v="WOODMOOR CIR"/>
    <n v="4.3"/>
    <n v="1.25"/>
    <s v="DIVIDED"/>
    <s v="URBAN"/>
    <s v="NON-IS"/>
    <n v="14"/>
    <s v="FCJ"/>
    <n v="198.93"/>
    <n v="213.87"/>
    <n v="79.599999999999994"/>
    <n v="96.8"/>
    <n v="73.900000000000006"/>
    <n v="0.27"/>
    <n v="37"/>
    <n v="188.85"/>
    <n v="188.85"/>
    <n v="82"/>
    <n v="80.8"/>
    <n v="82.4"/>
    <n v="0.12"/>
    <n v="37"/>
    <n v="67.37"/>
    <n v="67.37"/>
    <n v="100"/>
    <n v="100"/>
    <n v="100"/>
    <n v="0.08"/>
    <n v="44"/>
    <x v="2"/>
    <m/>
    <s v="Structural Overlay"/>
    <n v="900076.83419108321"/>
    <n v="656030.16580891679"/>
    <n v="1556107"/>
    <n v="4.5"/>
    <n v="35.5"/>
    <n v="42.2"/>
    <s v=""/>
    <s v=""/>
    <n v="4.5"/>
    <s v="E"/>
    <n v="29.5"/>
    <n v="47.1"/>
    <n v="50"/>
    <s v=""/>
    <s v=""/>
    <n v="29.5"/>
    <n v="25"/>
    <n v="6"/>
    <n v="31.25"/>
    <n v="18.643511819370612"/>
    <n v="23.304389774213266"/>
    <n v="66773.12794183784"/>
    <n v="1244885.6000000001"/>
    <n v="25"/>
    <n v="1556107"/>
    <n v="1556107"/>
    <n v="0"/>
    <s v=""/>
    <s v="2012"/>
    <s v="MO-US 292.62.89N"/>
  </r>
  <r>
    <s v="eGIS Link"/>
    <n v="423"/>
    <s v="NorthBound Visi-Data"/>
    <s v="54368"/>
    <n v="2017"/>
    <n v="3"/>
    <x v="10"/>
    <s v="MO"/>
    <s v="MO-US 29"/>
    <s v="2.57-2.6(N)"/>
    <s v="US"/>
    <s v="29"/>
    <s v=""/>
    <n v="2.57"/>
    <n v="2.6"/>
    <s v="N"/>
    <s v=""/>
    <s v="LANARK WAY"/>
    <n v="5"/>
    <n v="0.15"/>
    <s v="DIVIDED"/>
    <s v="URBAN"/>
    <s v="NON-IS"/>
    <n v="14"/>
    <s v="F"/>
    <n v="116.04"/>
    <n v="89.07"/>
    <s v=""/>
    <s v=""/>
    <s v=""/>
    <n v="0.15"/>
    <n v="47"/>
    <n v="282.58"/>
    <n v="282.58"/>
    <n v="82.7"/>
    <n v="81.8"/>
    <n v="83"/>
    <n v="0.23"/>
    <n v="33"/>
    <n v="89.71"/>
    <n v="89.71"/>
    <n v="100"/>
    <n v="100"/>
    <n v="100"/>
    <n v="0.12"/>
    <n v="44"/>
    <x v="2"/>
    <m/>
    <s v="Structural Overlay"/>
    <n v="1424993.1976328306"/>
    <n v="1038620.8023671694"/>
    <n v="2463614"/>
    <n v="0"/>
    <n v="36.299999999999997"/>
    <n v="43"/>
    <s v=""/>
    <s v=""/>
    <n v="0"/>
    <s v="F"/>
    <n v="23"/>
    <n v="47.1"/>
    <n v="50"/>
    <s v=""/>
    <s v=""/>
    <n v="23"/>
    <n v="23"/>
    <n v="6"/>
    <n v="3.4499999999999997"/>
    <n v="17.152030873820966"/>
    <n v="2.5728046310731449"/>
    <n v="957559.68807176768"/>
    <n v="16424093.333333334"/>
    <n v="23"/>
    <n v="2463614"/>
    <n v="2463614"/>
    <n v="0"/>
    <s v=""/>
    <s v="1996"/>
    <s v="MO-US 292.572.6N"/>
  </r>
  <r>
    <s v="eGIS Link"/>
    <n v="421"/>
    <s v="West Bound Visi-Data"/>
    <s v="53293"/>
    <n v="2017"/>
    <n v="3"/>
    <x v="10"/>
    <s v="MO"/>
    <s v="MO-MD 655E"/>
    <s v="0-0.02(W)"/>
    <s v="MD"/>
    <s v="655"/>
    <s v="E"/>
    <n v="0"/>
    <n v="0.02"/>
    <s v="W"/>
    <s v=""/>
    <s v=""/>
    <n v="1"/>
    <n v="0.02"/>
    <s v="UNDIVIDED"/>
    <s v="URBAN"/>
    <s v="NON-IS"/>
    <n v="19"/>
    <s v=""/>
    <s v=""/>
    <s v=""/>
    <s v=""/>
    <s v=""/>
    <s v=""/>
    <s v=""/>
    <s v=""/>
    <n v="303.99"/>
    <n v="303.99"/>
    <n v="88.85"/>
    <n v="84.5"/>
    <n v="90.3"/>
    <n v="0.26"/>
    <n v="27"/>
    <n v="94.13"/>
    <n v="94.13"/>
    <n v="100"/>
    <n v="100"/>
    <n v="100"/>
    <n v="0.12"/>
    <n v="44"/>
    <x v="2"/>
    <m/>
    <s v="Structural Overlay"/>
    <n v="175305.09582757813"/>
    <n v="127772.90417242187"/>
    <n v="303078"/>
    <n v="0"/>
    <n v="50"/>
    <n v="50"/>
    <s v=""/>
    <s v=""/>
    <n v="0"/>
    <s v="F"/>
    <n v="29.9"/>
    <n v="50"/>
    <n v="50"/>
    <s v=""/>
    <s v=""/>
    <n v="29.9"/>
    <n v="29.9"/>
    <n v="6"/>
    <n v="0.59799999999999998"/>
    <n v="22.297640135967253"/>
    <n v="0.44595280271934506"/>
    <n v="679619.004863029"/>
    <n v="15153900"/>
    <n v="29.9"/>
    <n v="303078"/>
    <n v="303078"/>
    <n v="0"/>
    <s v=""/>
    <s v=""/>
    <s v="MO-MD 655E00.02W"/>
  </r>
  <r>
    <s v="eGIS Link"/>
    <n v="432"/>
    <s v="NorthBound Visi-Data"/>
    <s v="53248"/>
    <n v="2017"/>
    <n v="3"/>
    <x v="10"/>
    <s v="MO"/>
    <s v="MO-MD 182"/>
    <s v="6.53-6.537(N)"/>
    <s v="MD"/>
    <s v="182"/>
    <s v=""/>
    <n v="6.53"/>
    <n v="6.5369999999999999"/>
    <s v="N"/>
    <s v=""/>
    <s v=""/>
    <n v="3"/>
    <n v="0.02"/>
    <s v="UNDIVIDED"/>
    <s v="URBAN"/>
    <s v="NON-IS"/>
    <n v="16"/>
    <s v="FLEXIBLE"/>
    <n v="834.09"/>
    <s v=""/>
    <s v=""/>
    <s v=""/>
    <s v=""/>
    <n v="0.35"/>
    <n v="40"/>
    <n v="184.55"/>
    <n v="184.55"/>
    <n v="80.474999999999994"/>
    <n v="78.900000000000006"/>
    <n v="81"/>
    <n v="0.11"/>
    <n v="30"/>
    <n v="66.03"/>
    <n v="66.03"/>
    <n v="100"/>
    <n v="100"/>
    <n v="100"/>
    <n v="0.08"/>
    <n v="44"/>
    <x v="2"/>
    <m/>
    <s v="Structural Overlay"/>
    <n v="1148125.8113682135"/>
    <n v="836823.1886317865"/>
    <n v="1984949"/>
    <n v="7.6"/>
    <n v="34.799999999999997"/>
    <n v="43.8"/>
    <s v=""/>
    <s v=""/>
    <n v="7.6"/>
    <s v="E"/>
    <n v="38.1"/>
    <n v="48.5"/>
    <n v="50"/>
    <s v=""/>
    <s v=""/>
    <n v="38.1"/>
    <n v="30.5"/>
    <n v="6"/>
    <n v="0.61"/>
    <n v="22.74508441963215"/>
    <n v="0.454901688392643"/>
    <n v="4363468.0869478658"/>
    <n v="99247450"/>
    <n v="30.5"/>
    <n v="1984949"/>
    <n v="1984949"/>
    <n v="0"/>
    <s v=""/>
    <s v="2002"/>
    <s v="MO-MD 1826.536.537N"/>
  </r>
  <r>
    <s v="eGIS Link"/>
    <n v="264"/>
    <s v="SouthBound Visi-Data"/>
    <s v="53287"/>
    <n v="2017"/>
    <n v="3"/>
    <x v="10"/>
    <s v="MO"/>
    <s v="MO-MD 650"/>
    <s v="13.5-14.85(S)"/>
    <s v="MD"/>
    <s v="650"/>
    <s v=""/>
    <n v="13.5"/>
    <n v="14.85"/>
    <s v="S"/>
    <s v="ASHTON RD"/>
    <s v="HAVILAND MILL RD"/>
    <n v="2.2999999999999998"/>
    <n v="3.11"/>
    <s v="UNDIVIDED"/>
    <s v="URBAN"/>
    <s v="NON-IS"/>
    <n v="7"/>
    <s v="FCJ"/>
    <n v="148.21"/>
    <n v="177.5"/>
    <n v="80.5"/>
    <n v="83.7"/>
    <n v="79.400000000000006"/>
    <n v="0.12"/>
    <n v="29"/>
    <n v="207.85"/>
    <n v="207.85"/>
    <n v="81.75"/>
    <n v="79.2"/>
    <n v="82.6"/>
    <n v="0.15"/>
    <n v="48"/>
    <n v="71.510000000000005"/>
    <n v="71.510000000000005"/>
    <n v="100"/>
    <n v="100"/>
    <n v="100"/>
    <n v="0.08"/>
    <n v="44"/>
    <x v="2"/>
    <m/>
    <s v="Structural Overlay"/>
    <n v="617548.49275035772"/>
    <n v="450106.50724964228"/>
    <n v="1067655"/>
    <n v="2.9"/>
    <n v="33.799999999999997"/>
    <n v="42.5"/>
    <s v=""/>
    <s v=""/>
    <n v="2.9"/>
    <s v="E"/>
    <n v="28.1"/>
    <n v="47.1"/>
    <n v="50"/>
    <s v=""/>
    <s v=""/>
    <n v="28.1"/>
    <n v="25.200000000000003"/>
    <n v="6"/>
    <n v="78.372"/>
    <n v="18.792659913925583"/>
    <n v="58.445172332308559"/>
    <n v="18267.63370513323"/>
    <n v="343297.42765273311"/>
    <n v="25.2"/>
    <n v="1067655"/>
    <n v="1067655"/>
    <n v="0"/>
    <s v=""/>
    <s v="2012"/>
    <s v="MO-MD 65013.514.85S"/>
  </r>
  <r>
    <s v="eGIS Link"/>
    <n v="297"/>
    <s v="SouthBound Visi-Data"/>
    <s v="53272"/>
    <n v="2017"/>
    <n v="3"/>
    <x v="10"/>
    <s v="MO"/>
    <s v="MO-MD 355"/>
    <s v="19.68-20.2(S)"/>
    <s v="MD"/>
    <s v="355"/>
    <s v=""/>
    <n v="19.68"/>
    <n v="20.2"/>
    <s v="S"/>
    <s v="SPUR FR FATHER HURLEY BLVD"/>
    <s v="PROPOSED EXIT"/>
    <n v="2.6"/>
    <n v="1.35"/>
    <s v="DIVIDED"/>
    <s v="URBAN"/>
    <s v="NON-IS"/>
    <n v="16"/>
    <s v="F"/>
    <n v="133.52000000000001"/>
    <n v="156.83000000000001"/>
    <n v="61.3"/>
    <n v="79.900000000000006"/>
    <n v="55.1"/>
    <n v="0.18"/>
    <n v="31"/>
    <n v="293.07"/>
    <n v="293.07"/>
    <n v="82.125"/>
    <n v="82.2"/>
    <n v="82.1"/>
    <n v="0.2"/>
    <n v="43"/>
    <n v="92.35"/>
    <n v="92.35"/>
    <n v="100"/>
    <n v="100"/>
    <n v="100"/>
    <n v="0.08"/>
    <n v="44"/>
    <x v="2"/>
    <m/>
    <s v="Structural Overlay"/>
    <n v="300197.2080765256"/>
    <n v="218801.7919234744"/>
    <n v="518999"/>
    <n v="0"/>
    <n v="36.6"/>
    <n v="41.9"/>
    <s v=""/>
    <s v=""/>
    <n v="0"/>
    <s v="F"/>
    <n v="22.4"/>
    <n v="47.1"/>
    <n v="50"/>
    <s v=""/>
    <s v=""/>
    <n v="22.4"/>
    <n v="22.4"/>
    <n v="6"/>
    <n v="30.24"/>
    <n v="16.704586590156069"/>
    <n v="22.551191896710694"/>
    <n v="23014.260282876709"/>
    <n v="384443.70370370365"/>
    <n v="22.4"/>
    <n v="518999"/>
    <n v="518999"/>
    <n v="0"/>
    <s v=""/>
    <s v="2012"/>
    <s v="MO-MD 35519.6820.2S"/>
  </r>
  <r>
    <s v="eGIS Link"/>
    <n v="391"/>
    <s v="SouthBound Visi-Data"/>
    <s v="53234"/>
    <n v="2017"/>
    <n v="3"/>
    <x v="10"/>
    <s v="MO"/>
    <s v="MO-MD 97"/>
    <s v="9.79-9.99(S)"/>
    <s v="MD"/>
    <s v="97"/>
    <s v=""/>
    <n v="9.7899999999999991"/>
    <n v="9.99"/>
    <s v="S"/>
    <s v="BATCHELLORS FOREST RD"/>
    <s v="ENT TO OLNEY MANOR PARK"/>
    <n v="3.4"/>
    <n v="0.68"/>
    <s v="DIVIDED"/>
    <s v="URBAN"/>
    <s v="NON-IS"/>
    <n v="14"/>
    <s v="F"/>
    <n v="121.8"/>
    <n v="164.85"/>
    <n v="53.8"/>
    <n v="59.2"/>
    <n v="52"/>
    <n v="0.15"/>
    <n v="37"/>
    <n v="245.75"/>
    <n v="245.75"/>
    <n v="80.125"/>
    <n v="81.099999999999994"/>
    <n v="79.8"/>
    <n v="0.21"/>
    <n v="40"/>
    <n v="80.66"/>
    <n v="80.66"/>
    <n v="100"/>
    <n v="100"/>
    <n v="100"/>
    <n v="0.12"/>
    <n v="44"/>
    <x v="2"/>
    <m/>
    <s v="Structural Overlay"/>
    <n v="1461531.1436346266"/>
    <n v="1065251.8563653734"/>
    <n v="2526783"/>
    <n v="0"/>
    <n v="35.799999999999997"/>
    <n v="38.1"/>
    <s v=""/>
    <s v=""/>
    <n v="0"/>
    <s v="F"/>
    <n v="25.4"/>
    <n v="47.1"/>
    <n v="50"/>
    <s v=""/>
    <s v=""/>
    <n v="25.4"/>
    <n v="25.4"/>
    <n v="6"/>
    <n v="17.272000000000002"/>
    <n v="18.941808008480546"/>
    <n v="12.880429445766772"/>
    <n v="196172.26355992671"/>
    <n v="3715857.3529411764"/>
    <n v="25.4"/>
    <n v="2526783"/>
    <n v="2526783"/>
    <n v="0"/>
    <s v=""/>
    <s v="2012"/>
    <s v="MO-MD 979.799.99S"/>
  </r>
  <r>
    <s v="eGIS Link"/>
    <n v="289"/>
    <s v="NorthBound Visi-Data"/>
    <s v="53263"/>
    <n v="2017"/>
    <n v="3"/>
    <x v="10"/>
    <s v="MO"/>
    <s v="MO-MD 191"/>
    <s v="6.5-7.16(N)"/>
    <s v="MD"/>
    <s v="191"/>
    <s v=""/>
    <n v="6.5"/>
    <n v="7.16"/>
    <s v="N"/>
    <s v="SPEED LIMIT 25 MPH"/>
    <s v="BRADLEY LA (AHEAD)"/>
    <n v="2"/>
    <n v="1.32"/>
    <s v="UNDIVIDED"/>
    <s v="URBAN"/>
    <s v="NON-IS"/>
    <n v="16"/>
    <s v="F"/>
    <n v="171.56"/>
    <n v="207.23"/>
    <n v="91.8"/>
    <n v="95.4"/>
    <n v="90.5"/>
    <n v="0.17"/>
    <n v="22"/>
    <n v="102.03"/>
    <n v="102.03"/>
    <n v="92.125"/>
    <n v="93.7"/>
    <n v="91.6"/>
    <n v="0.16"/>
    <n v="29"/>
    <n v="72.75"/>
    <n v="72.75"/>
    <n v="100"/>
    <n v="100"/>
    <n v="100"/>
    <n v="0.14000000000000001"/>
    <n v="49"/>
    <x v="5"/>
    <m/>
    <s v="Preventive Maintenance"/>
    <n v="101176.48711605583"/>
    <n v="73743.512883944175"/>
    <n v="174920"/>
    <n v="22.8"/>
    <n v="50"/>
    <n v="50"/>
    <s v=""/>
    <s v=""/>
    <n v="22.8"/>
    <s v="C"/>
    <n v="30.2"/>
    <n v="50"/>
    <n v="50"/>
    <s v=""/>
    <s v=""/>
    <n v="30.2"/>
    <n v="7.3999999999999986"/>
    <n v="4"/>
    <n v="10.56"/>
    <n v="5.9659237821985966"/>
    <n v="7.8750193925021481"/>
    <n v="22212.008794104349"/>
    <n v="132515.15151515152"/>
    <n v="7.3"/>
    <n v="174920"/>
    <n v="174920"/>
    <n v="0"/>
    <s v=""/>
    <s v="2001"/>
    <s v="MO-MD 1916.57.16N"/>
  </r>
  <r>
    <s v="eGIS Link"/>
    <n v="328"/>
    <s v="EastBound Visi-Data"/>
    <s v="53228"/>
    <n v="2017"/>
    <n v="3"/>
    <x v="11"/>
    <s v="MO"/>
    <s v="MO-IS 370"/>
    <s v="0-1.03(E)"/>
    <s v="IS"/>
    <s v="370"/>
    <s v=""/>
    <n v="0"/>
    <n v="1.03"/>
    <s v="E"/>
    <s v="RAMP 1 FR IS 270 TO IS 370"/>
    <s v="STRUC #15155"/>
    <n v="3.1"/>
    <n v="3.19"/>
    <s v="DIVIDED"/>
    <s v="URBAN"/>
    <s v="IS"/>
    <n v="11"/>
    <s v="RJ"/>
    <n v="175.97"/>
    <n v="173.63"/>
    <n v="88.9"/>
    <n v="88.1"/>
    <n v="89.2"/>
    <n v="0.2"/>
    <n v="52"/>
    <n v="87.08"/>
    <n v="87.08"/>
    <n v="91.5"/>
    <n v="90.3"/>
    <n v="91.9"/>
    <n v="0.12"/>
    <n v="40"/>
    <n v="89.86"/>
    <n v="89.86"/>
    <n v="92.525000000000006"/>
    <n v="91.4"/>
    <n v="92.9"/>
    <n v="0.12"/>
    <n v="40"/>
    <x v="6"/>
    <m/>
    <s v="Preventive Maintenance"/>
    <n v="207010.3780410442"/>
    <n v="150881.6219589558"/>
    <n v="357892"/>
    <n v="24.1"/>
    <n v="20"/>
    <n v="17.100000000000001"/>
    <s v=""/>
    <s v=""/>
    <n v="17.100000000000001"/>
    <s v="D"/>
    <n v="23.9"/>
    <n v="21.9"/>
    <n v="19.3"/>
    <s v=""/>
    <s v=""/>
    <n v="19.3"/>
    <n v="2.1999999999999993"/>
    <n v="2"/>
    <n v="12.76"/>
    <n v="2.9829618910992983"/>
    <n v="9.5156484326067616"/>
    <n v="37610.889319284928"/>
    <n v="112191.84952978056"/>
    <n v="2.1"/>
    <n v="357892"/>
    <n v="357892"/>
    <n v="0"/>
    <s v=""/>
    <s v="1990"/>
    <s v="MO-IS 37001.03E"/>
  </r>
  <r>
    <s v="eGIS Link"/>
    <n v="399"/>
    <s v="SouthBound Visi-Data"/>
    <s v="54182"/>
    <n v="2017"/>
    <n v="3"/>
    <x v="11"/>
    <s v="MO"/>
    <s v="MO-IS 270 RP1-10"/>
    <s v="0-0.24(S)"/>
    <s v="IS"/>
    <s v="270"/>
    <s v=""/>
    <n v="0"/>
    <n v="0.24"/>
    <s v="S"/>
    <s v=""/>
    <s v=""/>
    <n v="1"/>
    <n v="0.24"/>
    <s v="UNDIVIDED"/>
    <s v="URBAN"/>
    <s v="IS"/>
    <n v="11"/>
    <s v=""/>
    <s v=""/>
    <s v=""/>
    <s v=""/>
    <s v=""/>
    <s v=""/>
    <s v=""/>
    <s v=""/>
    <n v="64.78"/>
    <n v="64.78"/>
    <n v="91.625"/>
    <n v="91.7"/>
    <n v="91.6"/>
    <n v="0.26"/>
    <n v="37"/>
    <n v="67.11"/>
    <n v="67.11"/>
    <n v="92.724999999999994"/>
    <n v="92.8"/>
    <n v="92.7"/>
    <n v="0.25"/>
    <n v="37"/>
    <x v="6"/>
    <m/>
    <s v="Preventive Maintenance"/>
    <n v="119798.00453095578"/>
    <n v="87315.995469044225"/>
    <n v="207114"/>
    <n v="34.299999999999997"/>
    <n v="21.7"/>
    <n v="21"/>
    <s v=""/>
    <s v=""/>
    <n v="21"/>
    <s v="C"/>
    <n v="34"/>
    <n v="24.2"/>
    <n v="23.7"/>
    <s v=""/>
    <s v=""/>
    <n v="23.7"/>
    <n v="2.6999999999999993"/>
    <n v="2"/>
    <n v="0.96"/>
    <n v="2.9829618910992983"/>
    <n v="0.71591085386383158"/>
    <n v="289301.38282188092"/>
    <n v="862975"/>
    <n v="2.6"/>
    <n v="207114"/>
    <n v="207114"/>
    <n v="0"/>
    <s v=""/>
    <s v=""/>
    <s v="MO-IS 270 RP1-1000.24S"/>
  </r>
  <r>
    <s v="eGIS Link"/>
    <n v="293"/>
    <s v="NorthBound Visi-Data"/>
    <s v="53272"/>
    <n v="2017"/>
    <n v="3"/>
    <x v="11"/>
    <s v="MO"/>
    <s v="MO-MD 355"/>
    <s v="2.35-2.55(N)"/>
    <s v="MD"/>
    <s v="355"/>
    <s v=""/>
    <n v="2.35"/>
    <n v="2.5499999999999998"/>
    <s v="N"/>
    <s v="S CHELSEA LA"/>
    <s v="JONES BRIDGE RD"/>
    <n v="3.6"/>
    <n v="0.72"/>
    <s v="DIVIDED"/>
    <s v="URBAN"/>
    <s v="NON-IS"/>
    <n v="14"/>
    <s v="FCJ"/>
    <n v="432.45"/>
    <n v="308.38"/>
    <n v="48.4"/>
    <n v="60.6"/>
    <n v="44.3"/>
    <n v="0.21"/>
    <n v="20"/>
    <n v="256.26"/>
    <n v="256.26"/>
    <n v="82.575000000000003"/>
    <n v="54.6"/>
    <n v="91.9"/>
    <n v="0.25"/>
    <n v="33"/>
    <n v="82.42"/>
    <n v="82.42"/>
    <n v="100"/>
    <n v="100"/>
    <n v="100"/>
    <n v="0.12"/>
    <n v="44"/>
    <x v="2"/>
    <m/>
    <s v="Structural Overlay"/>
    <n v="237772.84254356142"/>
    <n v="173303.15745643858"/>
    <n v="411076"/>
    <n v="0"/>
    <n v="50"/>
    <n v="50"/>
    <s v=""/>
    <s v=""/>
    <n v="0"/>
    <s v="F"/>
    <n v="34"/>
    <n v="50"/>
    <n v="50"/>
    <s v=""/>
    <s v=""/>
    <n v="34"/>
    <n v="34"/>
    <n v="6"/>
    <n v="24.48"/>
    <n v="25.355176074344037"/>
    <n v="18.255726773527705"/>
    <n v="22517.646385686148"/>
    <n v="570938.88888888888"/>
    <n v="34"/>
    <n v="411076"/>
    <n v="411076"/>
    <n v="0"/>
    <s v=""/>
    <s v="2002"/>
    <s v="MO-MD 3552.352.55N"/>
  </r>
  <r>
    <s v="eGIS Link"/>
    <n v="110"/>
    <s v="NorthBound Visi-Data"/>
    <s v="53243"/>
    <n v="2017"/>
    <n v="3"/>
    <x v="11"/>
    <s v="MO"/>
    <s v="MO-MD 118"/>
    <s v="6.2-7.08(N)"/>
    <s v="MD"/>
    <s v="118"/>
    <s v=""/>
    <n v="6.2"/>
    <n v="7.08"/>
    <s v="N"/>
    <s v="EISENHOWER MEMORIAL HWY"/>
    <s v="GERMANTOWN RD (AHEAD)"/>
    <n v="3.6"/>
    <n v="3.17"/>
    <s v="DIVIDED"/>
    <s v="URBAN"/>
    <s v="NON-IS"/>
    <n v="14"/>
    <s v="F"/>
    <n v="127.2"/>
    <n v="116.48"/>
    <n v="97.3"/>
    <n v="97"/>
    <n v="97.4"/>
    <n v="0.2"/>
    <n v="33"/>
    <n v="221.68"/>
    <n v="221.68"/>
    <n v="73.8"/>
    <n v="87.3"/>
    <n v="69.3"/>
    <n v="0.19"/>
    <n v="32"/>
    <n v="73.959999999999994"/>
    <n v="73.959999999999994"/>
    <n v="100"/>
    <n v="100"/>
    <n v="100"/>
    <n v="0.08"/>
    <n v="44"/>
    <x v="2"/>
    <m/>
    <s v="Structural Overlay"/>
    <n v="347371.06332306209"/>
    <n v="253184.93667693791"/>
    <n v="600556"/>
    <n v="4.5"/>
    <n v="50"/>
    <n v="50"/>
    <s v=""/>
    <s v=""/>
    <n v="4.5"/>
    <s v="E"/>
    <n v="45"/>
    <n v="50"/>
    <n v="50"/>
    <s v=""/>
    <s v=""/>
    <n v="45"/>
    <n v="40.5"/>
    <n v="6"/>
    <n v="128.38499999999999"/>
    <n v="30.202489147380394"/>
    <n v="95.741890597195848"/>
    <n v="6272.6565796225195"/>
    <n v="189449.84227129337"/>
    <n v="40.6"/>
    <n v="600556"/>
    <n v="600556"/>
    <n v="0"/>
    <s v="SKID_35"/>
    <s v="2002"/>
    <s v="MO-MD 1186.27.08N"/>
  </r>
  <r>
    <s v="eGIS Link"/>
    <n v="278"/>
    <s v="SouthBound Visi-Data"/>
    <s v="53272"/>
    <n v="2017"/>
    <n v="3"/>
    <x v="11"/>
    <s v="MO"/>
    <s v="MO-MD 355"/>
    <s v="2.55-2.75(S)"/>
    <s v="MD"/>
    <s v="355"/>
    <s v=""/>
    <n v="2.5499999999999998"/>
    <n v="2.75"/>
    <s v="S"/>
    <s v="JONES BRIDGE RD"/>
    <s v="SOUTHWOOD DR"/>
    <n v="3.4"/>
    <n v="0.68"/>
    <s v="DIVIDED"/>
    <s v="URBAN"/>
    <s v="NON-IS"/>
    <n v="14"/>
    <s v="FCJ"/>
    <n v="283.27999999999997"/>
    <n v="252.96"/>
    <n v="60.3"/>
    <n v="70.3"/>
    <n v="56.9"/>
    <n v="0.13"/>
    <n v="23"/>
    <n v="139.49"/>
    <n v="139.49"/>
    <n v="88.9"/>
    <n v="92.8"/>
    <n v="87.6"/>
    <n v="0.27"/>
    <n v="45"/>
    <n v="56.34"/>
    <n v="56.34"/>
    <n v="100"/>
    <n v="100"/>
    <n v="100"/>
    <n v="0.12"/>
    <n v="44"/>
    <x v="2"/>
    <m/>
    <s v="Structural Overlay"/>
    <n v="180993.23654504493"/>
    <n v="131918.76345495507"/>
    <n v="312912"/>
    <n v="14.5"/>
    <n v="50"/>
    <n v="50"/>
    <s v=""/>
    <s v=""/>
    <n v="14.5"/>
    <s v="D"/>
    <n v="45.6"/>
    <n v="50"/>
    <n v="50"/>
    <s v=""/>
    <s v=""/>
    <n v="45.6"/>
    <n v="31.1"/>
    <n v="6"/>
    <n v="21.148000000000003"/>
    <n v="23.192528703297047"/>
    <n v="15.770919518241993"/>
    <n v="19841.07519146612"/>
    <n v="460164.70588235289"/>
    <n v="31.1"/>
    <n v="312912"/>
    <n v="312912"/>
    <n v="0"/>
    <s v=""/>
    <s v="1994"/>
    <s v="MO-MD 3552.552.75S"/>
  </r>
  <r>
    <s v="eGIS Link"/>
    <n v="337"/>
    <s v="EastBound Visi-Data"/>
    <s v="53261"/>
    <n v="2017"/>
    <n v="3"/>
    <x v="11"/>
    <s v="MO"/>
    <s v="MO-MD 190"/>
    <s v="9.81-10.44(E)"/>
    <s v="MD"/>
    <s v="190"/>
    <s v=""/>
    <n v="9.81"/>
    <n v="10.44"/>
    <s v="E"/>
    <s v="HARRINGTON DR"/>
    <s v="FENWAY DR"/>
    <n v="2.5"/>
    <n v="1.57"/>
    <s v="UNDIVIDED"/>
    <s v="URBAN"/>
    <s v="NON-IS"/>
    <n v="14"/>
    <s v="F"/>
    <n v="129.46"/>
    <n v="94.7"/>
    <n v="99.5"/>
    <n v="99.5"/>
    <n v="99.5"/>
    <n v="0.16"/>
    <n v="29"/>
    <n v="219.95"/>
    <n v="219.95"/>
    <n v="92.15"/>
    <n v="93.5"/>
    <n v="91.7"/>
    <n v="0.23"/>
    <n v="40"/>
    <n v="73.819999999999993"/>
    <n v="73.819999999999993"/>
    <n v="100"/>
    <n v="100"/>
    <n v="100"/>
    <n v="0.12"/>
    <n v="44"/>
    <x v="2"/>
    <m/>
    <s v="Structural Overlay"/>
    <n v="1063726.8521808581"/>
    <n v="775308.14781914186"/>
    <n v="1839035"/>
    <n v="2.4"/>
    <n v="50"/>
    <n v="50"/>
    <s v=""/>
    <s v=""/>
    <n v="2.4"/>
    <s v="E"/>
    <n v="37.299999999999997"/>
    <n v="50"/>
    <n v="50"/>
    <s v=""/>
    <s v=""/>
    <n v="37.299999999999997"/>
    <n v="34.9"/>
    <n v="6"/>
    <n v="54.792999999999999"/>
    <n v="26.026342499841377"/>
    <n v="40.861357724750967"/>
    <n v="45006.703213046705"/>
    <n v="1171359.8726114649"/>
    <n v="34.9"/>
    <n v="1839035"/>
    <n v="1839035"/>
    <n v="0"/>
    <s v="SKID_35"/>
    <s v="2012"/>
    <s v="MO-MD 1909.8110.44E"/>
  </r>
  <r>
    <s v="eGIS Link"/>
    <n v="372"/>
    <s v="SouthBound Visi-Data"/>
    <s v="79007"/>
    <n v="2017"/>
    <n v="3"/>
    <x v="11"/>
    <s v="MO"/>
    <s v="MO-MD 355 RP6-7"/>
    <s v="0-0.09(S)"/>
    <s v="MD"/>
    <s v="355"/>
    <s v=""/>
    <n v="0"/>
    <n v="0.09"/>
    <s v="S"/>
    <s v=""/>
    <s v=""/>
    <n v="1.5"/>
    <n v="0.14000000000000001"/>
    <s v="UNDIVIDED"/>
    <s v="URBAN"/>
    <s v="NON-IS"/>
    <s v=""/>
    <s v=""/>
    <s v=""/>
    <s v=""/>
    <s v=""/>
    <s v=""/>
    <s v=""/>
    <s v=""/>
    <s v=""/>
    <n v="208.4"/>
    <n v="208.4"/>
    <n v="90.924999999999997"/>
    <n v="92.8"/>
    <n v="90.3"/>
    <n v="0.33"/>
    <n v="43"/>
    <n v="71.180000000000007"/>
    <n v="71.180000000000007"/>
    <n v="100"/>
    <n v="100"/>
    <n v="100"/>
    <n v="0.12"/>
    <n v="44"/>
    <x v="2"/>
    <m/>
    <s v="Structural Overlay"/>
    <n v="241866.869389019"/>
    <n v="176287.130610981"/>
    <n v="418154"/>
    <n v="3.8"/>
    <n v="50"/>
    <n v="50"/>
    <s v=""/>
    <s v=""/>
    <n v="3.8"/>
    <s v="E"/>
    <n v="38.5"/>
    <n v="50"/>
    <n v="50"/>
    <s v=""/>
    <s v=""/>
    <n v="38.5"/>
    <n v="34.700000000000003"/>
    <n v="6"/>
    <n v="4.8580000000000005"/>
    <n v="25.877194405286417"/>
    <n v="3.6228072167400986"/>
    <n v="115422.64740663359"/>
    <n v="2986814.2857142854"/>
    <n v="34.6"/>
    <n v="418154"/>
    <n v="418154"/>
    <n v="0"/>
    <s v=""/>
    <s v=""/>
    <s v="MO-MD 355 RP6-700.09S"/>
  </r>
  <r>
    <s v="eGIS Link"/>
    <n v="394"/>
    <s v="NorthBound Visi-Data"/>
    <s v="53258"/>
    <n v="2017"/>
    <n v="3"/>
    <x v="11"/>
    <s v="MO"/>
    <s v="MO-MD 187B"/>
    <s v="0.086-0.166(N)"/>
    <s v="MD"/>
    <s v="187"/>
    <s v="B"/>
    <n v="8.5999999999999993E-2"/>
    <n v="0.16600000000000001"/>
    <s v="N"/>
    <s v=""/>
    <s v=""/>
    <n v="2.8"/>
    <n v="0.22"/>
    <s v="DIVIDED"/>
    <s v="URBAN"/>
    <s v="NON-IS"/>
    <n v="19"/>
    <s v=""/>
    <s v=""/>
    <s v=""/>
    <s v=""/>
    <s v=""/>
    <s v=""/>
    <s v=""/>
    <s v=""/>
    <n v="294.48"/>
    <n v="294.48"/>
    <n v="64.674999999999997"/>
    <n v="60.1"/>
    <n v="66.2"/>
    <n v="0.16"/>
    <n v="24"/>
    <n v="92.7"/>
    <n v="92.7"/>
    <n v="100"/>
    <n v="100"/>
    <n v="100"/>
    <n v="0.08"/>
    <n v="44"/>
    <x v="2"/>
    <m/>
    <s v="Structural Overlay"/>
    <n v="463161.22495882493"/>
    <n v="337579.77504117507"/>
    <n v="800741"/>
    <n v="0"/>
    <n v="6.2"/>
    <n v="14.4"/>
    <s v=""/>
    <s v=""/>
    <n v="0"/>
    <s v="F"/>
    <n v="22.3"/>
    <n v="47.1"/>
    <n v="50"/>
    <s v=""/>
    <s v=""/>
    <n v="22.3"/>
    <n v="22.3"/>
    <n v="6"/>
    <n v="4.9060000000000006"/>
    <n v="16.630012542878589"/>
    <n v="3.6586027594332897"/>
    <n v="218865.24792432869"/>
    <n v="3639731.8181818184"/>
    <n v="22.3"/>
    <n v="800741"/>
    <n v="800741"/>
    <n v="0"/>
    <s v=""/>
    <s v=""/>
    <s v="MO-MD 187B0.0860.166N"/>
  </r>
  <r>
    <s v="eGIS Link"/>
    <n v="56"/>
    <s v="NorthBound Visi-Data"/>
    <s v="53247"/>
    <n v="2017"/>
    <n v="3"/>
    <x v="11"/>
    <s v="MO"/>
    <s v="MO-MD 124"/>
    <s v="10.44-14.1(N)"/>
    <s v="MD"/>
    <s v="124"/>
    <s v=""/>
    <n v="10.44"/>
    <n v="14.1"/>
    <s v="N"/>
    <s v="EXODUS DR"/>
    <s v="PLEASANT VIEW LA"/>
    <n v="2.2000000000000002"/>
    <n v="8.0500000000000007"/>
    <s v="UNDIVIDED"/>
    <s v="URBAN"/>
    <s v="NON-IS"/>
    <n v="16"/>
    <s v="FCJ"/>
    <n v="121.07"/>
    <n v="122.08"/>
    <n v="87.7"/>
    <n v="90.5"/>
    <n v="86.7"/>
    <n v="0.15"/>
    <n v="34"/>
    <n v="117.15"/>
    <n v="117.15"/>
    <n v="75.974999999999994"/>
    <n v="87.9"/>
    <n v="72"/>
    <n v="0.14000000000000001"/>
    <n v="32"/>
    <n v="51.91"/>
    <n v="51.91"/>
    <n v="100"/>
    <n v="100"/>
    <n v="100"/>
    <n v="0.08"/>
    <n v="44"/>
    <x v="2"/>
    <m/>
    <s v="Structural Overlay"/>
    <n v="344469.15138696984"/>
    <n v="251069.84861303016"/>
    <n v="595539"/>
    <n v="19.2"/>
    <n v="50"/>
    <n v="44.8"/>
    <s v=""/>
    <s v=""/>
    <n v="19.2"/>
    <s v="D"/>
    <n v="48.1"/>
    <n v="50"/>
    <n v="50"/>
    <s v=""/>
    <s v=""/>
    <n v="48.1"/>
    <n v="28.900000000000002"/>
    <n v="6"/>
    <n v="232.64500000000004"/>
    <n v="21.551899663192433"/>
    <n v="173.49279228869909"/>
    <n v="3432.6440432695254"/>
    <n v="73980"/>
    <n v="29"/>
    <n v="595539"/>
    <n v="595539"/>
    <n v="0"/>
    <s v=""/>
    <s v="2000"/>
    <s v="MO-MD 12410.4414.1N"/>
  </r>
  <r>
    <s v="eGIS Link"/>
    <n v="310"/>
    <s v="West Bound Visi-Data"/>
    <s v="53232"/>
    <n v="2017"/>
    <n v="3"/>
    <x v="11"/>
    <s v="MO"/>
    <s v="MO-MD 28"/>
    <s v="22.7-23.15(W)"/>
    <s v="MD"/>
    <s v="28"/>
    <s v=""/>
    <n v="22.7"/>
    <n v="23.15"/>
    <s v="W"/>
    <s v="ROCKVILLE PIKE"/>
    <s v="FIRST ST"/>
    <n v="2.4"/>
    <n v="1.08"/>
    <s v="DIVIDED"/>
    <s v="URBAN"/>
    <s v="NON-IS"/>
    <n v="14"/>
    <s v="F"/>
    <n v="380.82"/>
    <n v="223.65"/>
    <n v="45.8"/>
    <n v="57.7"/>
    <n v="41.9"/>
    <n v="0.25"/>
    <n v="33"/>
    <n v="290.89"/>
    <n v="290.89"/>
    <n v="81.674999999999997"/>
    <n v="87.3"/>
    <n v="79.8"/>
    <n v="0.18"/>
    <n v="33"/>
    <n v="90.87"/>
    <n v="90.87"/>
    <n v="100"/>
    <n v="100"/>
    <n v="100"/>
    <n v="0.08"/>
    <n v="44"/>
    <x v="2"/>
    <m/>
    <s v="Structural Overlay"/>
    <n v="408268.41121375328"/>
    <n v="297570.58878624672"/>
    <n v="705839"/>
    <n v="0"/>
    <n v="50"/>
    <n v="50"/>
    <s v=""/>
    <s v=""/>
    <n v="0"/>
    <s v="F"/>
    <n v="31"/>
    <n v="50"/>
    <n v="50"/>
    <s v=""/>
    <s v=""/>
    <n v="31"/>
    <n v="31"/>
    <n v="6"/>
    <n v="33.480000000000004"/>
    <n v="23.117954656019563"/>
    <n v="24.96739102850113"/>
    <n v="28270.434792095846"/>
    <n v="653554.62962962955"/>
    <n v="31"/>
    <n v="705839"/>
    <n v="705839"/>
    <n v="0"/>
    <s v=""/>
    <s v="1983"/>
    <s v="MO-MD 2822.723.15W"/>
  </r>
  <r>
    <s v="eGIS Link"/>
    <n v="37"/>
    <s v="SouthBound Visi-Data"/>
    <s v="53238"/>
    <n v="2017"/>
    <n v="3"/>
    <x v="11"/>
    <s v="MO"/>
    <s v="MO-MD 109"/>
    <s v="6.15-8.45(S)"/>
    <s v="MD"/>
    <s v="109"/>
    <s v=""/>
    <n v="6.15"/>
    <n v="8.4499999999999993"/>
    <s v="S"/>
    <s v="SPEED LIMIT 40 MPH"/>
    <s v="COMUS RD"/>
    <n v="2"/>
    <n v="4.5999999999999996"/>
    <s v="UNDIVIDED"/>
    <s v="RURAL"/>
    <s v="NON-IS"/>
    <n v="7"/>
    <s v="FCJ"/>
    <n v="84.01"/>
    <n v="91.27"/>
    <s v=""/>
    <s v=""/>
    <s v=""/>
    <n v="0.24"/>
    <n v="51"/>
    <n v="98.88"/>
    <n v="98.88"/>
    <n v="87.424999999999997"/>
    <n v="87.5"/>
    <n v="87.4"/>
    <n v="0.14000000000000001"/>
    <n v="45"/>
    <n v="107.22"/>
    <n v="107.22"/>
    <n v="97.724999999999994"/>
    <n v="99.3"/>
    <n v="97.2"/>
    <n v="0.14000000000000001"/>
    <n v="55"/>
    <x v="4"/>
    <m/>
    <s v="Preventive Maintenance"/>
    <n v="38423.834241543147"/>
    <n v="15647.165758456853"/>
    <n v="54071"/>
    <n v="29.2"/>
    <n v="31.4"/>
    <n v="33.200000000000003"/>
    <s v=""/>
    <s v=""/>
    <n v="29.2"/>
    <s v="C"/>
    <n v="31.3"/>
    <n v="42.1"/>
    <n v="39.5"/>
    <s v=""/>
    <s v=""/>
    <n v="31.3"/>
    <n v="4"/>
    <n v="4"/>
    <n v="36.799999999999997"/>
    <n v="5.9659237821985966"/>
    <n v="27.443249398113544"/>
    <n v="1970.2841750116097"/>
    <n v="11754.565217391306"/>
    <n v="2.1"/>
    <n v="54071"/>
    <n v="54071"/>
    <n v="0"/>
    <s v=""/>
    <s v="2007"/>
    <s v="MO-MD 1096.158.45S"/>
  </r>
  <r>
    <s v="eGIS Link"/>
    <n v="215"/>
    <s v="West Bound Visi-Data"/>
    <s v="53232"/>
    <n v="2017"/>
    <n v="3"/>
    <x v="11"/>
    <s v="MO"/>
    <s v="MO-MD 28"/>
    <s v="9.81-13.18(W)"/>
    <s v="MD"/>
    <s v="28"/>
    <s v=""/>
    <n v="9.81"/>
    <n v="13.18"/>
    <s v="W"/>
    <s v="WHITES FERRY RD"/>
    <s v="SENECA RD"/>
    <n v="2.1"/>
    <n v="7.07"/>
    <s v="UNDIVIDED"/>
    <s v="RURAL"/>
    <s v="NON-IS"/>
    <n v="6"/>
    <s v="F"/>
    <n v="88.6"/>
    <n v="123.81"/>
    <n v="89"/>
    <n v="89.8"/>
    <n v="88.7"/>
    <n v="0.12"/>
    <n v="37"/>
    <n v="129.12"/>
    <n v="129.12"/>
    <n v="85.25"/>
    <n v="83"/>
    <n v="86"/>
    <n v="0.18"/>
    <n v="39"/>
    <n v="86.32"/>
    <n v="86.32"/>
    <n v="100"/>
    <n v="100"/>
    <n v="100"/>
    <n v="0.15"/>
    <n v="49"/>
    <x v="5"/>
    <m/>
    <s v="Preventive Maintenance"/>
    <n v="659418.11663257505"/>
    <n v="268531.88336742495"/>
    <n v="927950"/>
    <n v="26"/>
    <n v="33.299999999999997"/>
    <n v="37.9"/>
    <s v=""/>
    <s v=""/>
    <n v="26"/>
    <s v="C"/>
    <n v="39.9"/>
    <n v="46.8"/>
    <n v="50"/>
    <s v=""/>
    <s v=""/>
    <n v="39.9"/>
    <n v="13.899999999999999"/>
    <n v="4"/>
    <n v="98.272999999999996"/>
    <n v="10.365792571570061"/>
    <n v="73.286153481000341"/>
    <n v="12662.009887591847"/>
    <n v="131251.76803394625"/>
    <n v="13.9"/>
    <n v="927950"/>
    <n v="927950"/>
    <n v="0"/>
    <s v=""/>
    <s v="2012"/>
    <s v="MO-MD 289.8113.18W"/>
  </r>
  <r>
    <s v="eGIS Link"/>
    <n v="396"/>
    <s v="NorthBound Visi-Data"/>
    <s v="53263"/>
    <n v="2017"/>
    <n v="3"/>
    <x v="11"/>
    <s v="MO"/>
    <s v="MO-MD 191"/>
    <s v="1.6-1.9(N)"/>
    <s v="MD"/>
    <s v="191"/>
    <s v=""/>
    <n v="1.6"/>
    <n v="1.9"/>
    <s v="N"/>
    <s v="BEG BR"/>
    <s v="CAPITAL BELTWAY"/>
    <n v="2"/>
    <n v="0.6"/>
    <s v="DIVIDED"/>
    <s v="URBAN"/>
    <s v="NON-IS"/>
    <n v="16"/>
    <s v="F"/>
    <n v="167.49"/>
    <n v="216.12"/>
    <n v="100"/>
    <n v="100"/>
    <n v="100"/>
    <n v="0.21"/>
    <n v="40"/>
    <n v="105.27"/>
    <n v="105.27"/>
    <n v="87.224999999999994"/>
    <n v="90.3"/>
    <n v="86.2"/>
    <n v="0.17"/>
    <n v="44"/>
    <n v="74.19"/>
    <n v="74.19"/>
    <n v="100"/>
    <n v="100"/>
    <n v="100"/>
    <n v="0.14000000000000001"/>
    <n v="49"/>
    <x v="5"/>
    <m/>
    <s v="Preventive Maintenance"/>
    <n v="533185.39534096501"/>
    <n v="388617.60465903499"/>
    <n v="921803"/>
    <n v="27.3"/>
    <n v="50"/>
    <n v="50"/>
    <s v=""/>
    <s v=""/>
    <n v="27.3"/>
    <s v="C"/>
    <n v="35.9"/>
    <n v="50"/>
    <n v="50"/>
    <s v=""/>
    <s v=""/>
    <n v="35.9"/>
    <n v="8.5999999999999979"/>
    <n v="4"/>
    <n v="5.1599999999999984"/>
    <n v="6.41336806586349"/>
    <n v="3.8480208395180937"/>
    <n v="239552.49684028266"/>
    <n v="1536338.3333333335"/>
    <n v="8.5"/>
    <n v="921803"/>
    <n v="921803"/>
    <n v="0"/>
    <s v=""/>
    <s v="2012"/>
    <s v="MO-MD 1911.61.9N"/>
  </r>
  <r>
    <s v="eGIS Link"/>
    <n v="387"/>
    <s v="NorthBound Visi-Data"/>
    <s v="63977"/>
    <n v="2017"/>
    <n v="3"/>
    <x v="12"/>
    <s v="PG"/>
    <s v="PG-IS 595 RP2-11"/>
    <s v="0-0.35(N)"/>
    <s v="IS"/>
    <s v="595"/>
    <s v=""/>
    <n v="0"/>
    <n v="0.35"/>
    <s v="N"/>
    <s v=""/>
    <s v=""/>
    <n v="2"/>
    <n v="0.7"/>
    <s v="UNDIVIDED"/>
    <s v="URBAN"/>
    <s v="IS"/>
    <n v="11"/>
    <s v=""/>
    <s v=""/>
    <s v=""/>
    <s v=""/>
    <s v=""/>
    <s v=""/>
    <s v=""/>
    <s v=""/>
    <n v="174.65"/>
    <n v="174.65"/>
    <n v="99.325000000000003"/>
    <n v="98.5"/>
    <n v="99.6"/>
    <n v="0.18"/>
    <n v="52"/>
    <n v="88.74"/>
    <n v="88.74"/>
    <n v="99.125"/>
    <n v="98"/>
    <n v="99.5"/>
    <n v="0.18"/>
    <n v="52"/>
    <x v="3"/>
    <m/>
    <s v="Preventive Maintenance"/>
    <n v="1001925.4404360485"/>
    <n v="730263.55956395145"/>
    <n v="1732189"/>
    <n v="0"/>
    <n v="42.9"/>
    <n v="44.1"/>
    <s v=""/>
    <s v=""/>
    <n v="0"/>
    <s v="F"/>
    <n v="18.899999999999999"/>
    <n v="42.9"/>
    <n v="44.1"/>
    <s v=""/>
    <s v=""/>
    <n v="18.899999999999999"/>
    <n v="18.899999999999999"/>
    <n v="5"/>
    <n v="13.229999999999999"/>
    <n v="14.094494935444185"/>
    <n v="9.866146454810929"/>
    <n v="175568.95267405544"/>
    <n v="2474555.7142857146"/>
    <n v="18.899999999999999"/>
    <n v="1732189"/>
    <n v="1732189"/>
    <n v="0"/>
    <s v=""/>
    <s v=""/>
    <s v="PG-IS 595 RP2-1100.35N"/>
  </r>
  <r>
    <s v="eGIS Link"/>
    <n v="379"/>
    <s v="SouthBound Visi-Data"/>
    <s v="63977"/>
    <n v="2017"/>
    <n v="3"/>
    <x v="12"/>
    <s v="PG"/>
    <s v="PG-IS 595 RP2-11"/>
    <s v="0-0.35(S)"/>
    <s v="IS"/>
    <s v="595"/>
    <s v=""/>
    <n v="0"/>
    <n v="0.35"/>
    <s v="S"/>
    <s v=""/>
    <s v=""/>
    <n v="2"/>
    <n v="0.7"/>
    <s v="UNDIVIDED"/>
    <s v="URBAN"/>
    <s v="IS"/>
    <n v="11"/>
    <s v=""/>
    <s v=""/>
    <s v=""/>
    <s v=""/>
    <s v=""/>
    <s v=""/>
    <s v=""/>
    <s v=""/>
    <n v="102.41"/>
    <n v="102.41"/>
    <n v="99.325000000000003"/>
    <n v="98.5"/>
    <n v="99.6"/>
    <n v="0.19"/>
    <n v="52"/>
    <n v="61.43"/>
    <n v="61.43"/>
    <n v="99.125"/>
    <n v="98"/>
    <n v="99.5"/>
    <n v="0.19"/>
    <n v="52"/>
    <x v="3"/>
    <m/>
    <s v="Preventive Maintenance"/>
    <n v="823365.02063471579"/>
    <n v="600117.97936528421"/>
    <n v="1423483"/>
    <n v="17.8"/>
    <n v="42.9"/>
    <n v="44.1"/>
    <s v=""/>
    <s v=""/>
    <n v="17.8"/>
    <s v="D"/>
    <n v="37.799999999999997"/>
    <n v="42.9"/>
    <n v="44.1"/>
    <s v=""/>
    <s v=""/>
    <n v="37.799999999999997"/>
    <n v="19.999999999999996"/>
    <n v="5"/>
    <n v="13.999999999999996"/>
    <n v="14.91480945549649"/>
    <n v="10.440366618847543"/>
    <n v="136344.15839672217"/>
    <n v="2033547.142857143"/>
    <n v="20"/>
    <n v="1423483"/>
    <n v="1423483"/>
    <n v="0"/>
    <s v=""/>
    <s v=""/>
    <s v="PG-IS 595 RP2-1100.35S"/>
  </r>
  <r>
    <s v="eGIS Link"/>
    <n v="12"/>
    <s v="West Bound Visi-Data"/>
    <s v="62536"/>
    <n v="2017"/>
    <n v="3"/>
    <x v="12"/>
    <s v="PG"/>
    <s v="PG-MD 198"/>
    <s v="2.2-3.46(W)"/>
    <s v="MD"/>
    <s v="198"/>
    <s v=""/>
    <n v="2.2000000000000002"/>
    <n v="3.46"/>
    <s v="W"/>
    <s v="SPUR FR VAN DUSEN RD"/>
    <s v="US 1 (SB/L) WASHINGTON BLVD"/>
    <n v="3.3"/>
    <n v="4.1500000000000004"/>
    <s v="UNDIVIDED"/>
    <s v="URBAN"/>
    <s v="NON-IS"/>
    <n v="14"/>
    <s v="F"/>
    <n v="89.23"/>
    <n v="136.66"/>
    <n v="90.4"/>
    <n v="96.4"/>
    <n v="88.4"/>
    <n v="0.19"/>
    <n v="41"/>
    <n v="91.23"/>
    <n v="91.23"/>
    <n v="89.9"/>
    <n v="92"/>
    <n v="89.2"/>
    <n v="0.24"/>
    <n v="49"/>
    <n v="95.23"/>
    <n v="95.23"/>
    <n v="89.05"/>
    <n v="92.8"/>
    <n v="87.8"/>
    <n v="0.24"/>
    <n v="47"/>
    <x v="0"/>
    <m/>
    <s v="Preventive Maintenance"/>
    <n v="3062.1331053761692"/>
    <n v="2231.8668946238308"/>
    <n v="5294"/>
    <n v="25.8"/>
    <n v="50"/>
    <n v="50"/>
    <s v=""/>
    <s v=""/>
    <n v="25.8"/>
    <s v="C"/>
    <n v="25.7"/>
    <n v="50"/>
    <n v="50"/>
    <s v=""/>
    <s v=""/>
    <n v="25.7"/>
    <n v="1"/>
    <n v="1"/>
    <n v="8.3000000000000007"/>
    <n v="1.4914809455496492"/>
    <n v="6.1896459240310442"/>
    <n v="855.29932809989407"/>
    <n v="1275.6626506024095"/>
    <n v="-0.1"/>
    <n v="5294"/>
    <n v="5294"/>
    <n v="0"/>
    <s v=""/>
    <s v="2004"/>
    <s v="PG-MD 1982.23.46W"/>
  </r>
  <r>
    <s v="eGIS Link"/>
    <n v="332"/>
    <s v="NorthBound Visi-Data"/>
    <s v="62617"/>
    <n v="2017"/>
    <n v="3"/>
    <x v="12"/>
    <s v="PG"/>
    <s v="PG-MD 769B"/>
    <s v="0-0.45(N)"/>
    <s v="MD"/>
    <s v="769"/>
    <s v="B"/>
    <n v="0"/>
    <n v="0.45"/>
    <s v="N"/>
    <s v="ANNAPOLIS RD"/>
    <s v="EDMONSTON RD (AHEAD)"/>
    <n v="2.4"/>
    <n v="1.08"/>
    <s v="UNDIVIDED"/>
    <s v="URBAN"/>
    <s v="NON-IS"/>
    <n v="19"/>
    <s v="FCJ"/>
    <s v=""/>
    <s v=""/>
    <s v=""/>
    <s v=""/>
    <s v=""/>
    <s v=""/>
    <s v=""/>
    <n v="223.17"/>
    <n v="223.17"/>
    <n v="80.5"/>
    <n v="79.3"/>
    <n v="80.900000000000006"/>
    <n v="0.2"/>
    <n v="35"/>
    <n v="74.31"/>
    <n v="74.31"/>
    <n v="100"/>
    <n v="100"/>
    <n v="100"/>
    <n v="0.08"/>
    <n v="44"/>
    <x v="2"/>
    <m/>
    <s v="Structural Overlay"/>
    <n v="768504.59817296511"/>
    <n v="560132.40182703489"/>
    <n v="1328637"/>
    <n v="4.3"/>
    <n v="50"/>
    <n v="50"/>
    <s v=""/>
    <s v=""/>
    <n v="4.3"/>
    <s v="E"/>
    <n v="44.9"/>
    <n v="50"/>
    <n v="50"/>
    <s v=""/>
    <s v=""/>
    <n v="44.9"/>
    <n v="40.6"/>
    <n v="6"/>
    <n v="43.848000000000006"/>
    <n v="30.277063194657881"/>
    <n v="32.699228250230512"/>
    <n v="40632.059871034842"/>
    <n v="1230219.4444444443"/>
    <n v="40.6"/>
    <n v="1328637"/>
    <n v="1328637"/>
    <n v="0"/>
    <s v=""/>
    <s v="1992"/>
    <s v="PG-MD 769B00.45N"/>
  </r>
  <r>
    <s v="eGIS Link"/>
    <n v="204"/>
    <s v="West Bound Visi-Data"/>
    <s v="62569"/>
    <n v="2017"/>
    <n v="3"/>
    <x v="12"/>
    <s v="PG"/>
    <s v="PG-MD 212A"/>
    <s v="1.45-1.952(W)"/>
    <s v="MD"/>
    <s v="212"/>
    <s v="A"/>
    <n v="1.45"/>
    <n v="1.952"/>
    <s v="W"/>
    <s v=""/>
    <s v=""/>
    <n v="2.5"/>
    <n v="1.25"/>
    <s v="UNDIVIDED"/>
    <s v="URBAN"/>
    <s v="NON-IS"/>
    <n v="16"/>
    <s v="FCJ"/>
    <n v="289.45"/>
    <n v="246.92"/>
    <s v=""/>
    <s v=""/>
    <s v=""/>
    <n v="0.22"/>
    <n v="33"/>
    <n v="249.63"/>
    <n v="249.63"/>
    <n v="89.375"/>
    <n v="92"/>
    <n v="88.5"/>
    <n v="0.18"/>
    <n v="47"/>
    <n v="80.48"/>
    <n v="80.48"/>
    <n v="100"/>
    <n v="100"/>
    <n v="100"/>
    <n v="0.08"/>
    <n v="44"/>
    <x v="2"/>
    <m/>
    <s v="Structural Overlay"/>
    <n v="260985.24595343127"/>
    <n v="190221.75404656873"/>
    <n v="451207"/>
    <n v="0.8"/>
    <n v="50"/>
    <n v="50"/>
    <s v=""/>
    <s v=""/>
    <n v="0.8"/>
    <s v="F"/>
    <n v="42.1"/>
    <n v="50"/>
    <n v="50"/>
    <s v=""/>
    <s v=""/>
    <n v="42.1"/>
    <n v="41.300000000000004"/>
    <n v="6"/>
    <n v="51.625000000000007"/>
    <n v="30.799081525600261"/>
    <n v="38.498851907000329"/>
    <n v="11720.011835416735"/>
    <n v="360965.6"/>
    <n v="41.2"/>
    <n v="451207"/>
    <n v="451207"/>
    <n v="0"/>
    <s v=""/>
    <s v="2003"/>
    <s v="PG-MD 212A1.451.952W"/>
  </r>
  <r>
    <s v="eGIS Link"/>
    <n v="101"/>
    <s v="NorthBound Visi-Data"/>
    <s v="64045"/>
    <n v="2017"/>
    <n v="3"/>
    <x v="12"/>
    <s v="PG"/>
    <s v="PG-US 1AL"/>
    <s v="0-0.98(N)"/>
    <s v="US"/>
    <s v="1"/>
    <s v="AL"/>
    <n v="0"/>
    <n v="0.98"/>
    <s v="N"/>
    <s v="EASTERN AVE-DC MAINTENANCE"/>
    <s v="STRUC #16008 ANACOSTIA RIVER"/>
    <n v="3.4"/>
    <n v="3.33"/>
    <s v="DIVIDED"/>
    <s v="URBAN"/>
    <s v="NON-IS"/>
    <n v="16"/>
    <s v="FCJ"/>
    <n v="258.61"/>
    <n v="257.91000000000003"/>
    <n v="76.3"/>
    <n v="88.4"/>
    <n v="72.2"/>
    <n v="0.14000000000000001"/>
    <n v="47"/>
    <n v="234.43"/>
    <n v="234.43"/>
    <n v="81.45"/>
    <n v="87.9"/>
    <n v="79.3"/>
    <n v="0.21"/>
    <n v="27"/>
    <n v="77.23"/>
    <n v="77.23"/>
    <n v="100"/>
    <n v="100"/>
    <n v="100"/>
    <n v="0.12"/>
    <n v="44"/>
    <x v="2"/>
    <m/>
    <s v="Structural Overlay"/>
    <n v="292862.31765165302"/>
    <n v="213455.68234834698"/>
    <n v="506318"/>
    <n v="0.7"/>
    <n v="50"/>
    <n v="50"/>
    <s v=""/>
    <s v=""/>
    <n v="0.7"/>
    <s v="F"/>
    <n v="36"/>
    <n v="50"/>
    <n v="50"/>
    <s v=""/>
    <s v=""/>
    <n v="36"/>
    <n v="35.299999999999997"/>
    <n v="6"/>
    <n v="117.54899999999999"/>
    <n v="26.324638688951307"/>
    <n v="87.661046834207852"/>
    <n v="5775.8607532669821"/>
    <n v="152047.44744744746"/>
    <n v="35.299999999999997"/>
    <n v="506318"/>
    <n v="506318"/>
    <n v="0"/>
    <s v=""/>
    <s v="2004"/>
    <s v="PG-US 1AL00.98N"/>
  </r>
  <r>
    <s v="eGIS Link"/>
    <n v="351"/>
    <s v="SouthBound Visi-Data"/>
    <s v="62600"/>
    <n v="2017"/>
    <n v="3"/>
    <x v="12"/>
    <s v="PG"/>
    <s v="PG-MD 459"/>
    <s v="0-1.25(S)"/>
    <s v="MD"/>
    <s v="459"/>
    <s v=""/>
    <n v="0"/>
    <n v="1.25"/>
    <s v="S"/>
    <s v="COLUMBIA PARK RD (BACK)"/>
    <s v="KENILWORTH AVE"/>
    <n v="1.9"/>
    <n v="2.38"/>
    <s v="UNDIVIDED"/>
    <s v="URBAN"/>
    <s v="NON-IS"/>
    <n v="17"/>
    <s v="F"/>
    <n v="261.89999999999998"/>
    <n v="214.33"/>
    <s v=""/>
    <s v=""/>
    <s v=""/>
    <n v="0.17"/>
    <n v="37"/>
    <n v="134.94"/>
    <n v="134.94"/>
    <n v="81.525000000000006"/>
    <n v="87.3"/>
    <n v="79.599999999999994"/>
    <n v="0.17"/>
    <n v="37"/>
    <n v="55.44"/>
    <n v="55.44"/>
    <n v="100"/>
    <n v="100"/>
    <n v="100"/>
    <n v="0.08"/>
    <n v="44"/>
    <x v="2"/>
    <m/>
    <s v="Structural Overlay"/>
    <n v="1933472.1416207475"/>
    <n v="1409230.8583792525"/>
    <n v="3342703"/>
    <n v="15"/>
    <n v="50"/>
    <n v="50"/>
    <s v=""/>
    <s v=""/>
    <n v="15"/>
    <s v="D"/>
    <n v="46.1"/>
    <n v="50"/>
    <n v="50"/>
    <s v=""/>
    <s v=""/>
    <n v="46.1"/>
    <n v="31.1"/>
    <n v="6"/>
    <n v="74.018000000000001"/>
    <n v="23.192528703297047"/>
    <n v="55.198218313846965"/>
    <n v="60558.168399458162"/>
    <n v="1404497.0588235294"/>
    <n v="31.1"/>
    <n v="3342703"/>
    <n v="3342703"/>
    <n v="0"/>
    <s v=""/>
    <s v="2004"/>
    <s v="PG-MD 45901.25S"/>
  </r>
  <r>
    <s v="eGIS Link"/>
    <n v="261"/>
    <s v="West Bound Visi-Data"/>
    <s v="62525"/>
    <n v="2017"/>
    <n v="3"/>
    <x v="12"/>
    <s v="PG"/>
    <s v="PG-MD 193"/>
    <s v="6.19-6.82(W)"/>
    <s v="MD"/>
    <s v="193"/>
    <s v=""/>
    <n v="6.19"/>
    <n v="6.82"/>
    <s v="W"/>
    <s v="CAPITOL DR"/>
    <s v="SOUTH WAY"/>
    <n v="3.6"/>
    <n v="2.27"/>
    <s v="DIVIDED"/>
    <s v="URBAN"/>
    <s v="NON-IS"/>
    <n v="14"/>
    <s v="F"/>
    <n v="108.91"/>
    <n v="102.91"/>
    <n v="89.7"/>
    <n v="98.7"/>
    <n v="86.7"/>
    <n v="0.16"/>
    <n v="43"/>
    <n v="251.62"/>
    <n v="251.62"/>
    <n v="73.875"/>
    <n v="79.8"/>
    <n v="71.900000000000006"/>
    <n v="0.23"/>
    <n v="47"/>
    <n v="82.08"/>
    <n v="82.08"/>
    <n v="100"/>
    <n v="100"/>
    <n v="100"/>
    <n v="0.12"/>
    <n v="44"/>
    <x v="2"/>
    <m/>
    <s v="Structural Overlay"/>
    <n v="441375.77326239727"/>
    <n v="321701.22673760273"/>
    <n v="763077"/>
    <n v="0"/>
    <n v="34.5"/>
    <n v="20.5"/>
    <s v=""/>
    <s v=""/>
    <n v="0"/>
    <s v="F"/>
    <n v="25"/>
    <n v="47.1"/>
    <n v="50"/>
    <s v=""/>
    <s v=""/>
    <n v="25"/>
    <n v="25"/>
    <n v="6"/>
    <n v="56.75"/>
    <n v="18.643511819370612"/>
    <n v="42.320771829971292"/>
    <n v="18030.79119316992"/>
    <n v="336157.26872246695"/>
    <n v="25"/>
    <n v="763077"/>
    <n v="763077"/>
    <n v="0"/>
    <s v=""/>
    <s v="2000"/>
    <s v="PG-MD 1936.196.82W"/>
  </r>
  <r>
    <s v="eGIS Link"/>
    <n v="322"/>
    <s v="SouthBound Visi-Data"/>
    <s v="64042"/>
    <n v="2017"/>
    <n v="3"/>
    <x v="12"/>
    <s v="PG"/>
    <s v="PG-US 1"/>
    <s v="6.65-7.1(S)"/>
    <s v="US"/>
    <s v="1"/>
    <s v=""/>
    <n v="6.65"/>
    <n v="7.1"/>
    <s v="S"/>
    <s v="CIRCLE DR"/>
    <s v="CIRCLE DR"/>
    <n v="3.4"/>
    <n v="1.53"/>
    <s v="DIVIDED"/>
    <s v="URBAN"/>
    <s v="NON-IS"/>
    <n v="14"/>
    <s v="F"/>
    <n v="286.36"/>
    <n v="209.56"/>
    <n v="84.2"/>
    <n v="92.4"/>
    <n v="81.400000000000006"/>
    <n v="0.21"/>
    <n v="27"/>
    <n v="282.74"/>
    <n v="282.74"/>
    <n v="69.474999999999994"/>
    <n v="78.400000000000006"/>
    <n v="66.5"/>
    <n v="0.2"/>
    <n v="35"/>
    <n v="89.75"/>
    <n v="89.75"/>
    <n v="100"/>
    <n v="100"/>
    <n v="100"/>
    <n v="0.08"/>
    <n v="44"/>
    <x v="2"/>
    <m/>
    <s v="Structural Overlay"/>
    <n v="512736.66249729978"/>
    <n v="373713.33750270022"/>
    <n v="886450"/>
    <n v="0"/>
    <n v="32.5"/>
    <n v="14.7"/>
    <s v=""/>
    <s v=""/>
    <n v="0"/>
    <s v="F"/>
    <n v="23"/>
    <n v="47.1"/>
    <n v="50"/>
    <s v=""/>
    <s v=""/>
    <n v="23"/>
    <n v="23"/>
    <n v="6"/>
    <n v="35.19"/>
    <n v="17.152030873820966"/>
    <n v="26.242607236946078"/>
    <n v="33779.036968247463"/>
    <n v="579379.0849673202"/>
    <n v="23"/>
    <n v="886450"/>
    <n v="886450"/>
    <n v="0"/>
    <s v=""/>
    <s v="2003"/>
    <s v="PG-US 16.657.1S"/>
  </r>
  <r>
    <s v="eGIS Link"/>
    <n v="344"/>
    <s v="West Bound Visi-Data"/>
    <s v="62613"/>
    <n v="2017"/>
    <n v="3"/>
    <x v="12"/>
    <s v="PG"/>
    <s v="PG-MD 704"/>
    <s v="5.16-5.45(W)"/>
    <s v="MD"/>
    <s v="704"/>
    <s v=""/>
    <n v="5.16"/>
    <n v="5.45"/>
    <s v="W"/>
    <s v="STRUC #16092"/>
    <s v="RAMP 8 FR MD 704 TO IS 595"/>
    <n v="2.2999999999999998"/>
    <n v="0.66"/>
    <s v="DIVIDED"/>
    <s v="URBAN"/>
    <s v="NON-IS"/>
    <n v="14"/>
    <s v="F"/>
    <n v="113.61"/>
    <n v="128.96"/>
    <n v="99.5"/>
    <n v="98.2"/>
    <n v="100"/>
    <n v="0.31"/>
    <n v="39"/>
    <n v="136.75"/>
    <n v="136.75"/>
    <n v="91.45"/>
    <n v="86.8"/>
    <n v="93"/>
    <n v="0.2"/>
    <n v="46"/>
    <n v="56.16"/>
    <n v="56.16"/>
    <n v="100"/>
    <n v="100"/>
    <n v="100"/>
    <n v="0.08"/>
    <n v="44"/>
    <x v="2"/>
    <m/>
    <s v="Structural Overlay"/>
    <n v="347752.23931785673"/>
    <n v="253462.76068214327"/>
    <n v="601215"/>
    <n v="10.8"/>
    <n v="39.4"/>
    <n v="50"/>
    <s v=""/>
    <s v=""/>
    <n v="10.8"/>
    <s v="D"/>
    <n v="33.6"/>
    <n v="47.1"/>
    <n v="50"/>
    <s v=""/>
    <s v=""/>
    <n v="33.6"/>
    <n v="22.8"/>
    <n v="6"/>
    <n v="15.048000000000002"/>
    <n v="17.002882779265999"/>
    <n v="11.22190263431556"/>
    <n v="53575.13958119179"/>
    <n v="910931.81818181812"/>
    <n v="22.8"/>
    <n v="601215"/>
    <n v="601215"/>
    <n v="0"/>
    <s v=""/>
    <s v="1992"/>
    <s v="PG-MD 7045.165.45W"/>
  </r>
  <r>
    <s v="eGIS Link"/>
    <n v="404"/>
    <s v="SouthBound Visi-Data"/>
    <s v="62606"/>
    <n v="2017"/>
    <n v="3"/>
    <x v="12"/>
    <s v="PG"/>
    <s v="PG-MD 564B"/>
    <s v="0-0.04(S)"/>
    <s v="MD"/>
    <s v="564"/>
    <s v="B"/>
    <n v="0"/>
    <n v="0.04"/>
    <s v="S"/>
    <s v=""/>
    <s v=""/>
    <n v="2"/>
    <n v="0.08"/>
    <s v="UNDIVIDED"/>
    <s v="URBAN"/>
    <s v="NON-IS"/>
    <n v="19"/>
    <s v=""/>
    <s v=""/>
    <s v=""/>
    <s v=""/>
    <s v=""/>
    <s v=""/>
    <s v=""/>
    <s v=""/>
    <n v="182.61"/>
    <n v="182.61"/>
    <n v="78.775000000000006"/>
    <n v="89.8"/>
    <n v="75.099999999999994"/>
    <n v="0.18"/>
    <n v="44"/>
    <n v="65.23"/>
    <n v="65.23"/>
    <n v="100"/>
    <n v="100"/>
    <n v="100"/>
    <n v="0.08"/>
    <n v="44"/>
    <x v="2"/>
    <m/>
    <s v="Structural Overlay"/>
    <n v="440517.98267016589"/>
    <n v="321076.01732983411"/>
    <n v="761594"/>
    <n v="10.4"/>
    <n v="50"/>
    <n v="50"/>
    <s v=""/>
    <s v=""/>
    <n v="10.4"/>
    <s v="D"/>
    <n v="49.5"/>
    <n v="50"/>
    <n v="50"/>
    <s v=""/>
    <s v=""/>
    <n v="49.5"/>
    <n v="39.1"/>
    <n v="6"/>
    <n v="3.1280000000000001"/>
    <n v="29.158452485495644"/>
    <n v="2.3326761988396516"/>
    <n v="326489.37747075286"/>
    <n v="9519925"/>
    <n v="39"/>
    <n v="761594"/>
    <n v="761594"/>
    <n v="0"/>
    <s v=""/>
    <s v=""/>
    <s v="PG-MD 564B00.04S"/>
  </r>
  <r>
    <s v="eGIS Link"/>
    <n v="173"/>
    <s v="SouthBound Visi-Data"/>
    <s v="64042"/>
    <n v="2017"/>
    <n v="3"/>
    <x v="12"/>
    <s v="PG"/>
    <s v="PG-US 1"/>
    <s v="1.05-1.83(S)"/>
    <s v="US"/>
    <s v="1"/>
    <s v=""/>
    <n v="1.05"/>
    <n v="1.83"/>
    <s v="S"/>
    <s v="BEG BR"/>
    <s v="HAMILTON ST"/>
    <n v="2.8"/>
    <n v="2.1800000000000002"/>
    <s v="DIVIDED"/>
    <s v="URBAN"/>
    <s v="NON-IS"/>
    <n v="14"/>
    <s v="FCJ"/>
    <n v="200.92"/>
    <n v="141.94999999999999"/>
    <n v="100"/>
    <n v="100"/>
    <n v="100"/>
    <n v="0.24"/>
    <n v="42"/>
    <n v="154.57"/>
    <n v="154.57"/>
    <n v="90.525000000000006"/>
    <n v="92.4"/>
    <n v="89.9"/>
    <n v="0.19"/>
    <n v="41"/>
    <n v="59.44"/>
    <n v="59.44"/>
    <n v="100"/>
    <n v="100"/>
    <n v="100"/>
    <n v="0.08"/>
    <n v="44"/>
    <x v="2"/>
    <m/>
    <s v="Structural Overlay"/>
    <n v="284111.46541303647"/>
    <n v="207077.53458696353"/>
    <n v="491189"/>
    <n v="11.8"/>
    <n v="50"/>
    <n v="50"/>
    <s v=""/>
    <s v=""/>
    <n v="11.8"/>
    <s v="D"/>
    <n v="44"/>
    <n v="50"/>
    <n v="50"/>
    <s v=""/>
    <s v=""/>
    <n v="44"/>
    <n v="32.200000000000003"/>
    <n v="6"/>
    <n v="70.196000000000012"/>
    <n v="24.012843223349353"/>
    <n v="52.347998226901595"/>
    <n v="9383.1477160014565"/>
    <n v="225316.05504587153"/>
    <n v="32.200000000000003"/>
    <n v="491189"/>
    <n v="491189"/>
    <n v="0"/>
    <s v=""/>
    <s v="2010"/>
    <s v="PG-US 11.051.83S"/>
  </r>
  <r>
    <s v="eGIS Link"/>
    <n v="420"/>
    <s v="NorthBound Visi-Data"/>
    <s v="63878"/>
    <n v="2017"/>
    <n v="3"/>
    <x v="12"/>
    <s v="PG"/>
    <s v="PG-MD 201 RP2-1"/>
    <s v="0-0.05(N)"/>
    <s v="MD"/>
    <s v="201"/>
    <s v=""/>
    <n v="0"/>
    <n v="0.05"/>
    <s v="N"/>
    <s v=""/>
    <s v=""/>
    <n v="1"/>
    <n v="0.05"/>
    <s v="UNDIVIDED"/>
    <s v="URBAN"/>
    <s v="NON-IS"/>
    <n v="12"/>
    <s v=""/>
    <s v=""/>
    <s v=""/>
    <s v=""/>
    <s v=""/>
    <s v=""/>
    <s v=""/>
    <s v=""/>
    <n v="188.56"/>
    <n v="188.56"/>
    <n v="72.275000000000006"/>
    <n v="64.099999999999994"/>
    <n v="75"/>
    <n v="0.17"/>
    <n v="39"/>
    <n v="67.31"/>
    <n v="67.31"/>
    <n v="100"/>
    <n v="100"/>
    <n v="100"/>
    <n v="0.08"/>
    <n v="44"/>
    <x v="2"/>
    <m/>
    <s v="Structural Overlay"/>
    <n v="335363.15186337009"/>
    <n v="244432.84813662991"/>
    <n v="579796"/>
    <n v="4.5"/>
    <n v="10.5"/>
    <n v="25"/>
    <s v=""/>
    <s v=""/>
    <n v="4.5"/>
    <s v="E"/>
    <n v="29.5"/>
    <n v="47.1"/>
    <n v="50"/>
    <s v=""/>
    <s v=""/>
    <n v="29.5"/>
    <n v="25"/>
    <n v="6"/>
    <n v="1.25"/>
    <n v="18.643511819370612"/>
    <n v="0.93217559096853064"/>
    <n v="621981.5296789651"/>
    <n v="11595920"/>
    <n v="25"/>
    <n v="579796"/>
    <n v="579796"/>
    <n v="0"/>
    <s v=""/>
    <s v=""/>
    <s v="PG-MD 201 RP2-100.05N"/>
  </r>
  <r>
    <s v="eGIS Link"/>
    <n v="258"/>
    <s v="SouthBound Visi-Data"/>
    <s v="64042"/>
    <n v="2017"/>
    <n v="3"/>
    <x v="12"/>
    <s v="PG"/>
    <s v="PG-US 1"/>
    <s v="5.55-6.15(S)"/>
    <s v="US"/>
    <s v="1"/>
    <s v=""/>
    <n v="5.55"/>
    <n v="6.15"/>
    <s v="S"/>
    <s v="DELAWARE ST #1"/>
    <s v="CHERRY HILL RD"/>
    <n v="3.8"/>
    <n v="2.2799999999999998"/>
    <s v="UNDIVIDED"/>
    <s v="URBAN"/>
    <s v="NON-IS"/>
    <n v="14"/>
    <s v="FCJ"/>
    <n v="191.49"/>
    <n v="300.37"/>
    <n v="49.1"/>
    <n v="78.599999999999994"/>
    <n v="39.299999999999997"/>
    <n v="0.17"/>
    <n v="35"/>
    <n v="262.51"/>
    <n v="262.51"/>
    <n v="84.275000000000006"/>
    <n v="85.7"/>
    <n v="83.8"/>
    <n v="0.16"/>
    <n v="39"/>
    <n v="84.74"/>
    <n v="84.74"/>
    <n v="100"/>
    <n v="100"/>
    <n v="100"/>
    <n v="0.08"/>
    <n v="44"/>
    <x v="2"/>
    <m/>
    <s v="Structural Overlay"/>
    <n v="411698.99516690517"/>
    <n v="300071.00483309483"/>
    <n v="711770"/>
    <n v="0"/>
    <n v="38.799999999999997"/>
    <n v="43.8"/>
    <s v=""/>
    <s v=""/>
    <n v="0"/>
    <s v="F"/>
    <n v="24.3"/>
    <n v="47.1"/>
    <n v="50"/>
    <s v=""/>
    <s v=""/>
    <n v="24.3"/>
    <n v="24.3"/>
    <n v="6"/>
    <n v="55.403999999999996"/>
    <n v="18.121493488428239"/>
    <n v="41.317005153616385"/>
    <n v="17227.04724976177"/>
    <n v="312179.82456140354"/>
    <n v="24.3"/>
    <n v="711770"/>
    <n v="711770"/>
    <n v="0"/>
    <s v=""/>
    <s v="2001"/>
    <s v="PG-US 15.556.15S"/>
  </r>
  <r>
    <s v="eGIS Link"/>
    <n v="211"/>
    <s v="SouthBound Visi-Data"/>
    <s v="64042"/>
    <n v="2017"/>
    <n v="3"/>
    <x v="12"/>
    <s v="PG"/>
    <s v="PG-US 1"/>
    <s v="8-8.42(S)"/>
    <s v="US"/>
    <s v="1"/>
    <s v=""/>
    <n v="8"/>
    <n v="8.42"/>
    <s v="S"/>
    <s v="POWDER MILL RD"/>
    <s v="HOWARD AVE"/>
    <n v="4"/>
    <n v="1.68"/>
    <s v="UNDIVIDED"/>
    <s v="URBAN"/>
    <s v="NON-IS"/>
    <n v="14"/>
    <s v="FCJ"/>
    <n v="213.51"/>
    <n v="371.46"/>
    <n v="85.2"/>
    <n v="88.3"/>
    <n v="84.2"/>
    <n v="0.23"/>
    <n v="29"/>
    <n v="74.52"/>
    <n v="74.52"/>
    <n v="67.625"/>
    <n v="71.3"/>
    <n v="66.400000000000006"/>
    <n v="0.18"/>
    <n v="45"/>
    <n v="44.23"/>
    <n v="44.23"/>
    <n v="100"/>
    <n v="100"/>
    <n v="100"/>
    <n v="0.08"/>
    <n v="44"/>
    <x v="2"/>
    <m/>
    <s v="Structural Overlay"/>
    <n v="217230.40634457491"/>
    <n v="158330.59365542509"/>
    <n v="375561"/>
    <n v="22.6"/>
    <n v="17"/>
    <n v="14.6"/>
    <s v=""/>
    <s v=""/>
    <n v="14.6"/>
    <s v="D"/>
    <n v="38.9"/>
    <n v="47.1"/>
    <n v="50"/>
    <s v=""/>
    <s v=""/>
    <n v="38.9"/>
    <n v="24.299999999999997"/>
    <n v="6"/>
    <n v="40.823999999999991"/>
    <n v="18.121493488428236"/>
    <n v="30.444109060559434"/>
    <n v="12336.081152939438"/>
    <n v="223548.21428571429"/>
    <n v="24.3"/>
    <n v="375561"/>
    <n v="375561"/>
    <n v="0"/>
    <s v=""/>
    <s v="2012"/>
    <s v="PG-US 188.42S"/>
  </r>
  <r>
    <s v="eGIS Link"/>
    <n v="334"/>
    <s v="SouthBound Visi-Data"/>
    <s v="64042"/>
    <n v="2017"/>
    <n v="3"/>
    <x v="12"/>
    <s v="PG"/>
    <s v="PG-US 1"/>
    <s v="6.15-6.43(S)"/>
    <s v="US"/>
    <s v="1"/>
    <s v=""/>
    <n v="6.15"/>
    <n v="6.43"/>
    <s v="S"/>
    <s v="CHERRY HILL RD"/>
    <s v="EXIT #25"/>
    <n v="2.8"/>
    <n v="0.78"/>
    <s v="DIVIDED"/>
    <s v="URBAN"/>
    <s v="NON-IS"/>
    <n v="14"/>
    <s v="F"/>
    <n v="266.02999999999997"/>
    <n v="149.47"/>
    <n v="88.3"/>
    <n v="83.9"/>
    <n v="89.7"/>
    <n v="0.16"/>
    <n v="38"/>
    <n v="217.91"/>
    <n v="217.91"/>
    <n v="88.174999999999997"/>
    <n v="90.5"/>
    <n v="87.4"/>
    <n v="0.16"/>
    <n v="31"/>
    <n v="73.349999999999994"/>
    <n v="73.349999999999994"/>
    <n v="100"/>
    <n v="100"/>
    <n v="100"/>
    <n v="0.08"/>
    <n v="44"/>
    <x v="2"/>
    <m/>
    <s v="Structural Overlay"/>
    <n v="505188.91506774677"/>
    <n v="368212.08493225323"/>
    <n v="873401"/>
    <n v="2.7"/>
    <n v="50"/>
    <n v="50"/>
    <s v=""/>
    <s v=""/>
    <n v="2.7"/>
    <s v="E"/>
    <n v="37.5"/>
    <n v="50"/>
    <n v="50"/>
    <s v=""/>
    <s v=""/>
    <n v="37.5"/>
    <n v="34.799999999999997"/>
    <n v="6"/>
    <n v="27.143999999999998"/>
    <n v="25.951768452563893"/>
    <n v="20.242379392999837"/>
    <n v="43147.150986708468"/>
    <n v="1119744.8717948718"/>
    <n v="34.9"/>
    <n v="873401"/>
    <n v="873401"/>
    <n v="0"/>
    <s v=""/>
    <s v="1999"/>
    <s v="PG-US 16.156.43S"/>
  </r>
  <r>
    <s v="eGIS Link"/>
    <n v="395"/>
    <s v="West Bound Visi-Data"/>
    <s v="62525"/>
    <n v="2017"/>
    <n v="3"/>
    <x v="12"/>
    <s v="PG"/>
    <s v="PG-MD 193"/>
    <s v="12.74-12.95(W)"/>
    <s v="MD"/>
    <s v="193"/>
    <s v=""/>
    <n v="12.74"/>
    <n v="12.95"/>
    <s v="W"/>
    <s v="ANNAPOLIS RD"/>
    <s v="PARTELLO RD"/>
    <n v="2.2000000000000002"/>
    <n v="0.46"/>
    <s v="DIVIDED"/>
    <s v="URBAN"/>
    <s v="NON-IS"/>
    <n v="16"/>
    <s v="F"/>
    <n v="112.42"/>
    <n v="199.6"/>
    <n v="87.5"/>
    <n v="79.099999999999994"/>
    <n v="90.3"/>
    <n v="0.3"/>
    <n v="38"/>
    <n v="113.67"/>
    <n v="113.67"/>
    <n v="92.4"/>
    <n v="93.9"/>
    <n v="91.9"/>
    <n v="0.25"/>
    <n v="44"/>
    <n v="78.94"/>
    <n v="78.94"/>
    <n v="100"/>
    <n v="100"/>
    <n v="100"/>
    <n v="0.21"/>
    <n v="49"/>
    <x v="5"/>
    <m/>
    <s v="Preventive Maintenance"/>
    <n v="377459.09503357543"/>
    <n v="275114.90496642457"/>
    <n v="652574"/>
    <n v="20"/>
    <n v="50"/>
    <n v="50"/>
    <s v=""/>
    <s v=""/>
    <n v="20"/>
    <s v="C"/>
    <n v="28.2"/>
    <n v="50"/>
    <n v="50"/>
    <s v=""/>
    <s v=""/>
    <n v="28.2"/>
    <n v="8.1999999999999993"/>
    <n v="4"/>
    <n v="3.7719999999999998"/>
    <n v="6.1150718767535608"/>
    <n v="2.8129330633066383"/>
    <n v="231990.5896491156"/>
    <n v="1418639.1304347825"/>
    <n v="8.1999999999999993"/>
    <n v="652574"/>
    <n v="652574"/>
    <n v="0"/>
    <s v=""/>
    <s v="1984"/>
    <s v="PG-MD 19312.7412.95W"/>
  </r>
  <r>
    <s v="eGIS Link"/>
    <n v="316"/>
    <s v="EastBound Visi-Data"/>
    <s v="62536"/>
    <n v="2017"/>
    <n v="3"/>
    <x v="12"/>
    <s v="PG"/>
    <s v="PG-MD 198"/>
    <s v="0-1.25(E)"/>
    <s v="MD"/>
    <s v="198"/>
    <s v=""/>
    <n v="0"/>
    <n v="1.25"/>
    <s v="E"/>
    <s v="MONTGOMERY CO/L"/>
    <s v="END BR"/>
    <n v="3.2"/>
    <n v="4"/>
    <s v="DIVIDED"/>
    <s v="URBAN"/>
    <s v="NON-IS"/>
    <n v="14"/>
    <s v="F"/>
    <n v="120.53"/>
    <n v="109.12"/>
    <n v="83.5"/>
    <n v="80.8"/>
    <n v="84.4"/>
    <n v="0.34"/>
    <n v="48"/>
    <n v="105.24"/>
    <n v="105.24"/>
    <n v="85.95"/>
    <n v="85.2"/>
    <n v="86.2"/>
    <n v="0.13"/>
    <n v="44"/>
    <n v="74.45"/>
    <n v="74.45"/>
    <n v="100"/>
    <n v="100"/>
    <n v="100"/>
    <n v="0.11"/>
    <n v="49"/>
    <x v="5"/>
    <m/>
    <s v="Preventive Maintenance"/>
    <n v="429484.70178897009"/>
    <n v="313034.29821102991"/>
    <n v="742519"/>
    <n v="22"/>
    <n v="50"/>
    <n v="50"/>
    <s v=""/>
    <s v=""/>
    <n v="22"/>
    <s v="C"/>
    <n v="29.6"/>
    <n v="50"/>
    <n v="50"/>
    <s v=""/>
    <s v=""/>
    <n v="29.6"/>
    <n v="7.6000000000000014"/>
    <n v="4"/>
    <n v="32"/>
    <n v="5.9659237821985966"/>
    <n v="23.863695128794387"/>
    <n v="31115.005282818187"/>
    <n v="185629.75"/>
    <n v="7.6"/>
    <n v="742519"/>
    <n v="742519"/>
    <n v="0"/>
    <s v=""/>
    <s v="1998"/>
    <s v="PG-MD 19801.25E"/>
  </r>
  <r>
    <s v="eGIS Link"/>
    <n v="321"/>
    <s v="West Bound Visi-Data"/>
    <s v="62512"/>
    <n v="2017"/>
    <n v="3"/>
    <x v="12"/>
    <s v="PG"/>
    <s v="PG-MD 3E"/>
    <s v="2.15-2.67(W)"/>
    <s v="MD"/>
    <s v="3"/>
    <s v="E"/>
    <n v="2.15"/>
    <n v="2.67"/>
    <s v="W"/>
    <s v="BELAIR DR (BACK)"/>
    <s v="SPUR FR SCIENCE DR"/>
    <n v="2.7"/>
    <n v="1.4"/>
    <s v="DIVIDED"/>
    <s v="URBAN"/>
    <s v="NON-IS"/>
    <n v="16"/>
    <s v="F"/>
    <s v=""/>
    <s v=""/>
    <s v=""/>
    <s v=""/>
    <s v=""/>
    <s v=""/>
    <s v=""/>
    <n v="78.180000000000007"/>
    <n v="78.180000000000007"/>
    <n v="90.025000000000006"/>
    <n v="90.7"/>
    <n v="89.8"/>
    <n v="0.13"/>
    <n v="48"/>
    <n v="60.2"/>
    <n v="60.2"/>
    <n v="100"/>
    <n v="100"/>
    <n v="100"/>
    <n v="0.11"/>
    <n v="49"/>
    <x v="5"/>
    <m/>
    <s v="Preventive Maintenance"/>
    <n v="160794.37931556982"/>
    <n v="117196.62068443018"/>
    <n v="277991"/>
    <n v="29.9"/>
    <n v="50"/>
    <n v="50"/>
    <s v=""/>
    <s v=""/>
    <n v="29.9"/>
    <s v="C"/>
    <n v="34.799999999999997"/>
    <n v="50"/>
    <n v="50"/>
    <s v=""/>
    <s v=""/>
    <n v="34.799999999999997"/>
    <n v="4.8999999999999986"/>
    <n v="4"/>
    <n v="11.2"/>
    <n v="5.9659237821985966"/>
    <n v="8.3522932950780344"/>
    <n v="33283.194229280569"/>
    <n v="198565"/>
    <n v="4.9000000000000004"/>
    <n v="277991"/>
    <n v="277991"/>
    <n v="0"/>
    <s v=""/>
    <s v="1990"/>
    <s v="PG-MD 3E2.152.67W"/>
  </r>
  <r>
    <s v="eGIS Link"/>
    <n v="306"/>
    <s v="SouthBound Visi-Data"/>
    <s v="64042"/>
    <n v="2017"/>
    <n v="3"/>
    <x v="12"/>
    <s v="PG"/>
    <s v="PG-US 1"/>
    <s v="8.9-9.27(S)"/>
    <s v="US"/>
    <s v="1"/>
    <s v=""/>
    <n v="8.9"/>
    <n v="9.27"/>
    <s v="S"/>
    <s v="SPEED LIMIT 50 MPH"/>
    <s v="AMMENDALE RD"/>
    <n v="3"/>
    <n v="1.1100000000000001"/>
    <s v="DIVIDED"/>
    <s v="URBAN"/>
    <s v="NON-IS"/>
    <n v="14"/>
    <s v="FCJ"/>
    <n v="209.81"/>
    <n v="164.22"/>
    <n v="74.599999999999994"/>
    <n v="75.5"/>
    <n v="74.3"/>
    <n v="0.16"/>
    <n v="43"/>
    <n v="123.46"/>
    <n v="123.46"/>
    <n v="92.075000000000003"/>
    <n v="89.6"/>
    <n v="92.9"/>
    <n v="0.13"/>
    <n v="41"/>
    <n v="85.09"/>
    <n v="85.09"/>
    <n v="100"/>
    <n v="100"/>
    <n v="100"/>
    <n v="0.11"/>
    <n v="49"/>
    <x v="5"/>
    <m/>
    <s v="Preventive Maintenance"/>
    <n v="99040.397664194432"/>
    <n v="72186.602335805568"/>
    <n v="171227"/>
    <n v="12.8"/>
    <n v="40.799999999999997"/>
    <n v="50"/>
    <s v=""/>
    <s v=""/>
    <n v="12.8"/>
    <s v="D"/>
    <n v="19.3"/>
    <n v="47.1"/>
    <n v="50"/>
    <s v=""/>
    <s v=""/>
    <n v="19.3"/>
    <n v="6.5"/>
    <n v="4"/>
    <n v="8.8800000000000008"/>
    <n v="5.9659237821985966"/>
    <n v="6.6221753982404428"/>
    <n v="25856.608999739903"/>
    <n v="154258.55855855855"/>
    <n v="6.6"/>
    <n v="171227"/>
    <n v="171227"/>
    <n v="0"/>
    <s v=""/>
    <s v="1998"/>
    <s v="PG-US 18.99.27S"/>
  </r>
  <r>
    <s v="eGIS Link"/>
    <n v="424"/>
    <s v="SouthBound Visi-Data"/>
    <s v="64042"/>
    <n v="2017"/>
    <n v="3"/>
    <x v="12"/>
    <s v="PG"/>
    <s v="PG-US 1"/>
    <s v="7.1-7.11(S)"/>
    <s v="US"/>
    <s v="1"/>
    <s v=""/>
    <n v="7.1"/>
    <n v="7.11"/>
    <s v="S"/>
    <s v=""/>
    <s v="SUNNYSIDE AVE"/>
    <n v="3"/>
    <n v="0.03"/>
    <s v="DIVIDED"/>
    <s v="URBAN"/>
    <s v="NON-IS"/>
    <n v="14"/>
    <s v="COMPOSITE"/>
    <n v="164.6"/>
    <n v="166.28"/>
    <s v=""/>
    <s v=""/>
    <s v=""/>
    <n v="0.3"/>
    <n v="37"/>
    <n v="146.09"/>
    <n v="146.09"/>
    <n v="93.125"/>
    <n v="92.6"/>
    <n v="93.3"/>
    <n v="0.2"/>
    <n v="50"/>
    <n v="97.5"/>
    <n v="97.5"/>
    <n v="100"/>
    <n v="100"/>
    <n v="100"/>
    <n v="0.17"/>
    <n v="49"/>
    <x v="5"/>
    <m/>
    <s v="Preventive Maintenance"/>
    <n v="105155.40922256936"/>
    <n v="76643.59077743064"/>
    <n v="181799"/>
    <n v="9.5"/>
    <n v="42.1"/>
    <n v="50"/>
    <s v=""/>
    <s v=""/>
    <n v="9.5"/>
    <s v="E"/>
    <n v="16.899999999999999"/>
    <n v="47.1"/>
    <n v="50"/>
    <s v=""/>
    <s v=""/>
    <n v="16.899999999999999"/>
    <n v="7.3999999999999986"/>
    <n v="4"/>
    <n v="0.24"/>
    <n v="5.9659237821985966"/>
    <n v="0.17897771346595789"/>
    <n v="1015763.3399120317"/>
    <n v="6059966.666666667"/>
    <n v="7.4"/>
    <n v="181799"/>
    <n v="181799"/>
    <n v="0"/>
    <s v=""/>
    <s v="1993"/>
    <s v="PG-US 17.17.11S"/>
  </r>
  <r>
    <s v="eGIS Link"/>
    <n v="311"/>
    <s v="SouthBound Visi-Data"/>
    <s v="62505"/>
    <n v="2017"/>
    <n v="3"/>
    <x v="13"/>
    <s v="PG"/>
    <s v="PG-IS 95"/>
    <s v="6.9-8.1(S)"/>
    <s v="IS"/>
    <s v="95"/>
    <s v=""/>
    <n v="6.9"/>
    <n v="8.1"/>
    <s v="S"/>
    <s v="RAMP 6 FR IS 95 TO MD 5"/>
    <s v="INTERSTATE MILE MARKER 8.0"/>
    <n v="4.3"/>
    <n v="5.16"/>
    <s v="DIVIDED"/>
    <s v="URBAN"/>
    <s v="IS"/>
    <n v="11"/>
    <s v="FCJ"/>
    <n v="76.290000000000006"/>
    <n v="72.22"/>
    <n v="98.4"/>
    <n v="100"/>
    <n v="97.9"/>
    <n v="0.3"/>
    <n v="43"/>
    <n v="106.81"/>
    <n v="106.81"/>
    <n v="90.875"/>
    <n v="85.4"/>
    <n v="92.7"/>
    <n v="0.12"/>
    <n v="42"/>
    <n v="110.36"/>
    <n v="110.36"/>
    <n v="91.575000000000003"/>
    <n v="87"/>
    <n v="93.1"/>
    <n v="0.12"/>
    <n v="42"/>
    <x v="6"/>
    <m/>
    <s v="Preventive Maintenance"/>
    <n v="253012.9413460645"/>
    <n v="184411.0586539355"/>
    <n v="437424"/>
    <n v="14.7"/>
    <n v="10.8"/>
    <n v="21.3"/>
    <s v=""/>
    <s v=""/>
    <n v="10.8"/>
    <s v="D"/>
    <n v="14.6"/>
    <n v="12.7"/>
    <n v="22.7"/>
    <s v=""/>
    <s v=""/>
    <n v="12.7"/>
    <n v="2"/>
    <n v="2"/>
    <n v="20.64"/>
    <n v="2.9829618910992983"/>
    <n v="15.39208335807238"/>
    <n v="28418.76501211858"/>
    <n v="84772.093023255817"/>
    <n v="1.9"/>
    <n v="437424"/>
    <n v="437424"/>
    <n v="0"/>
    <s v="RUT_P1"/>
    <s v="2008"/>
    <s v="PG-IS 956.98.1S"/>
  </r>
  <r>
    <s v="eGIS Link"/>
    <n v="425"/>
    <s v="SouthBound Visi-Data"/>
    <s v="63911"/>
    <n v="2017"/>
    <n v="3"/>
    <x v="13"/>
    <s v="PG"/>
    <s v="PG-MD 210 RP5-13"/>
    <s v="0-0.121(S)"/>
    <s v="MD"/>
    <s v="210"/>
    <s v=""/>
    <n v="0"/>
    <n v="0.121"/>
    <s v="S"/>
    <s v=""/>
    <s v=""/>
    <n v="1.9"/>
    <n v="0.23"/>
    <s v="UNDIVIDED"/>
    <s v="URBAN"/>
    <s v="NON-IS"/>
    <n v="12"/>
    <s v=""/>
    <s v=""/>
    <s v=""/>
    <s v=""/>
    <s v=""/>
    <s v=""/>
    <s v=""/>
    <s v=""/>
    <n v="82.81"/>
    <n v="82.81"/>
    <n v="82.55"/>
    <n v="86.6"/>
    <n v="81.2"/>
    <n v="0.14000000000000001"/>
    <n v="42"/>
    <n v="85.35"/>
    <n v="85.35"/>
    <n v="85.424999999999997"/>
    <n v="89.1"/>
    <n v="84.2"/>
    <n v="0.14000000000000001"/>
    <n v="42"/>
    <x v="6"/>
    <m/>
    <s v="Preventive Maintenance"/>
    <n v="434466.59684688569"/>
    <n v="316665.40315311431"/>
    <n v="751132"/>
    <n v="30.1"/>
    <n v="25.7"/>
    <n v="21.1"/>
    <s v=""/>
    <s v=""/>
    <n v="21.1"/>
    <s v="C"/>
    <n v="29.9"/>
    <n v="31.1"/>
    <n v="25.2"/>
    <s v=""/>
    <s v=""/>
    <n v="25.2"/>
    <n v="4.0999999999999979"/>
    <n v="2"/>
    <n v="0.94299999999999951"/>
    <n v="3.0575359383767791"/>
    <n v="0.70323326582665924"/>
    <n v="1068112.1563796264"/>
    <n v="3265791.3043478262"/>
    <n v="4.0999999999999996"/>
    <n v="751132"/>
    <n v="751132"/>
    <n v="0"/>
    <s v=""/>
    <s v=""/>
    <s v="PG-MD 210 RP5-1300.121S"/>
  </r>
  <r>
    <s v="eGIS Link"/>
    <n v="280"/>
    <s v="SouthBound Visi-Data"/>
    <s v="62518"/>
    <n v="2017"/>
    <n v="3"/>
    <x v="13"/>
    <s v="PG"/>
    <s v="PG-MD 5"/>
    <s v="14-14.67(S)"/>
    <s v="MD"/>
    <s v="5"/>
    <s v=""/>
    <n v="14"/>
    <n v="14.67"/>
    <s v="S"/>
    <s v="SPUR FR IVERSON ST"/>
    <s v="CURTIS DR"/>
    <n v="3.8"/>
    <n v="2.5499999999999998"/>
    <s v="DIVIDED"/>
    <s v="URBAN"/>
    <s v="NON-IS"/>
    <n v="12"/>
    <s v="FCJ"/>
    <n v="230.19"/>
    <n v="163.9"/>
    <n v="67.5"/>
    <n v="72.099999999999994"/>
    <n v="66"/>
    <n v="0.17"/>
    <n v="36"/>
    <n v="126.13"/>
    <n v="126.13"/>
    <n v="81.174999999999997"/>
    <n v="76.3"/>
    <n v="82.8"/>
    <n v="0.16"/>
    <n v="44"/>
    <n v="66.59"/>
    <n v="66.59"/>
    <n v="100"/>
    <n v="100"/>
    <n v="100"/>
    <n v="0.08"/>
    <n v="44"/>
    <x v="1"/>
    <m/>
    <s v="Minor Rehabilitation"/>
    <n v="643204.70280363795"/>
    <n v="468806.29719636205"/>
    <n v="1112011"/>
    <n v="12.9"/>
    <n v="11.2"/>
    <n v="22.8"/>
    <s v=""/>
    <s v=""/>
    <n v="11.2"/>
    <s v="D"/>
    <n v="39.799999999999997"/>
    <n v="40"/>
    <n v="42.4"/>
    <s v=""/>
    <s v=""/>
    <n v="39.799999999999997"/>
    <n v="28.599999999999998"/>
    <n v="6"/>
    <n v="72.929999999999993"/>
    <n v="21.328177521359983"/>
    <n v="54.38685267946795"/>
    <n v="20446.320116254952"/>
    <n v="436082.74509803928"/>
    <n v="28.7"/>
    <n v="1112011"/>
    <n v="1112011"/>
    <n v="0"/>
    <s v="SKID_35"/>
    <s v="2000"/>
    <s v="PG-MD 51414.67S"/>
  </r>
  <r>
    <s v="eGIS Link"/>
    <n v="202"/>
    <s v="West Bound Visi-Data"/>
    <s v="62615"/>
    <n v="2017"/>
    <n v="3"/>
    <x v="13"/>
    <s v="PG"/>
    <s v="PG-MD 725"/>
    <s v="0-1.25(W)"/>
    <s v="MD"/>
    <s v="725"/>
    <s v=""/>
    <n v="0"/>
    <n v="1.25"/>
    <s v="W"/>
    <s v="BROWN STATION RD"/>
    <s v="LARGO RD"/>
    <n v="2.2000000000000002"/>
    <n v="2.75"/>
    <s v="UNDIVIDED"/>
    <s v="URBAN"/>
    <s v="NON-IS"/>
    <n v="16"/>
    <s v="FCJ"/>
    <n v="317.36"/>
    <n v="257.37"/>
    <s v=""/>
    <s v=""/>
    <s v=""/>
    <n v="0.18"/>
    <n v="35"/>
    <n v="209.72"/>
    <n v="209.72"/>
    <n v="79.674999999999997"/>
    <n v="79"/>
    <n v="79.900000000000006"/>
    <n v="0.14000000000000001"/>
    <n v="38"/>
    <n v="72.13"/>
    <n v="72.13"/>
    <n v="100"/>
    <n v="100"/>
    <n v="100"/>
    <n v="0.08"/>
    <n v="44"/>
    <x v="2"/>
    <m/>
    <s v="Structural Overlay"/>
    <n v="350973.43676096969"/>
    <n v="255810.56323903031"/>
    <n v="606784"/>
    <n v="2.4"/>
    <n v="33.5"/>
    <n v="38.200000000000003"/>
    <s v=""/>
    <s v=""/>
    <n v="2.4"/>
    <s v="E"/>
    <n v="27.9"/>
    <n v="47.1"/>
    <n v="50"/>
    <s v=""/>
    <s v=""/>
    <n v="27.9"/>
    <n v="25.5"/>
    <n v="6"/>
    <n v="70.125"/>
    <n v="19.016382055758026"/>
    <n v="52.29505065333457"/>
    <n v="11603.086571660271"/>
    <n v="220648.72727272726"/>
    <n v="25.5"/>
    <n v="606784"/>
    <n v="606784"/>
    <n v="0"/>
    <s v=""/>
    <s v="2001"/>
    <s v="PG-MD 72501.25W"/>
  </r>
  <r>
    <s v="eGIS Link"/>
    <n v="415"/>
    <s v="SouthBound Visi-Data"/>
    <s v="62574"/>
    <n v="2017"/>
    <n v="3"/>
    <x v="13"/>
    <s v="PG"/>
    <s v="PG-MD 223"/>
    <s v="0-0.09(S)"/>
    <s v="MD"/>
    <s v="223"/>
    <s v=""/>
    <n v="0"/>
    <n v="0.09"/>
    <s v="S"/>
    <s v="LIVINGSTON RD"/>
    <s v="SPEED LIMIT 30 MPH"/>
    <n v="2"/>
    <n v="0.18"/>
    <s v="UNDIVIDED"/>
    <s v="URBAN"/>
    <s v="NON-IS"/>
    <n v="14"/>
    <s v="F"/>
    <n v="160.99"/>
    <n v="91.29"/>
    <s v=""/>
    <s v=""/>
    <s v=""/>
    <n v="0.14000000000000001"/>
    <n v="41"/>
    <n v="178.07"/>
    <n v="178.07"/>
    <n v="90.224999999999994"/>
    <n v="92.4"/>
    <n v="89.5"/>
    <n v="0.16"/>
    <n v="39"/>
    <n v="64.44"/>
    <n v="64.44"/>
    <n v="100"/>
    <n v="100"/>
    <n v="100"/>
    <n v="0.08"/>
    <n v="44"/>
    <x v="2"/>
    <m/>
    <s v="Structural Overlay"/>
    <n v="1347284.7736985707"/>
    <n v="981982.22630142933"/>
    <n v="2329267"/>
    <n v="8"/>
    <n v="50"/>
    <n v="50"/>
    <s v=""/>
    <s v=""/>
    <n v="8"/>
    <s v="E"/>
    <n v="41.5"/>
    <n v="50"/>
    <n v="50"/>
    <s v=""/>
    <s v=""/>
    <n v="41.5"/>
    <n v="33.5"/>
    <n v="6"/>
    <n v="6.0299999999999994"/>
    <n v="24.982305837956623"/>
    <n v="4.4968150508321925"/>
    <n v="517981.49883192097"/>
    <n v="12940372.222222222"/>
    <n v="33.5"/>
    <n v="2329267"/>
    <n v="2329267"/>
    <n v="0"/>
    <s v=""/>
    <s v="2002"/>
    <s v="PG-MD 22300.09S"/>
  </r>
  <r>
    <s v="eGIS Link"/>
    <n v="355"/>
    <s v="SouthBound Visi-Data"/>
    <s v="62573"/>
    <n v="2017"/>
    <n v="3"/>
    <x v="13"/>
    <s v="PG"/>
    <s v="PG-MD 221A"/>
    <s v="5.197-5.784(S)"/>
    <s v="MD"/>
    <s v="221"/>
    <s v="A"/>
    <n v="5.1970000000000001"/>
    <n v="5.7839999999999998"/>
    <s v="S"/>
    <s v=""/>
    <s v=""/>
    <n v="2.6"/>
    <n v="1.52"/>
    <s v="DIVIDED"/>
    <s v="URBAN"/>
    <s v="NON-IS"/>
    <n v="16"/>
    <s v="F"/>
    <s v=""/>
    <s v=""/>
    <s v=""/>
    <s v=""/>
    <s v=""/>
    <s v=""/>
    <s v=""/>
    <n v="166.52"/>
    <n v="166.52"/>
    <n v="91.625"/>
    <n v="92.3"/>
    <n v="91.4"/>
    <n v="0.19"/>
    <n v="37"/>
    <n v="61.96"/>
    <n v="61.96"/>
    <n v="100"/>
    <n v="100"/>
    <n v="100"/>
    <n v="0.08"/>
    <n v="44"/>
    <x v="2"/>
    <m/>
    <s v="Structural Overlay"/>
    <n v="1388111.6726615233"/>
    <n v="1011739.3273384767"/>
    <n v="2399851"/>
    <n v="9.8000000000000007"/>
    <n v="50"/>
    <n v="50"/>
    <s v=""/>
    <s v=""/>
    <n v="9.8000000000000007"/>
    <s v="E"/>
    <n v="42.7"/>
    <n v="50"/>
    <n v="50"/>
    <s v=""/>
    <s v=""/>
    <n v="42.7"/>
    <n v="32.900000000000006"/>
    <n v="6"/>
    <n v="50.00800000000001"/>
    <n v="24.534861554291734"/>
    <n v="37.292989562523438"/>
    <n v="64351.263552538148"/>
    <n v="1578849.3421052631"/>
    <n v="32.9"/>
    <n v="2399851"/>
    <n v="2399851"/>
    <n v="0"/>
    <s v=""/>
    <s v="2002"/>
    <s v="PG-MD 221A5.1975.784S"/>
  </r>
  <r>
    <s v="eGIS Link"/>
    <n v="113"/>
    <s v="EastBound Visi-Data"/>
    <s v="62570"/>
    <n v="2017"/>
    <n v="3"/>
    <x v="13"/>
    <s v="PG"/>
    <s v="PG-MD 214"/>
    <s v="0-0.87(E)"/>
    <s v="MD"/>
    <s v="214"/>
    <s v=""/>
    <n v="0"/>
    <n v="0.87"/>
    <s v="E"/>
    <s v="WASH DC LINE"/>
    <s v="ADDISON RD"/>
    <n v="3.2"/>
    <n v="2.78"/>
    <s v="DIVIDED"/>
    <s v="URBAN"/>
    <s v="NON-IS"/>
    <n v="14"/>
    <s v="FCJ"/>
    <n v="132.04"/>
    <n v="137.25"/>
    <n v="96.5"/>
    <n v="93.8"/>
    <n v="97.4"/>
    <n v="0.17"/>
    <n v="35"/>
    <n v="177.21"/>
    <n v="177.21"/>
    <n v="75.099999999999994"/>
    <n v="73.3"/>
    <n v="75.7"/>
    <n v="0.17"/>
    <n v="44"/>
    <n v="64.069999999999993"/>
    <n v="64.069999999999993"/>
    <n v="100"/>
    <n v="100"/>
    <n v="100"/>
    <n v="0.08"/>
    <n v="44"/>
    <x v="2"/>
    <m/>
    <s v="Structural Overlay"/>
    <n v="293986.75791550858"/>
    <n v="214275.24208449142"/>
    <n v="508262"/>
    <n v="11.3"/>
    <n v="50"/>
    <n v="50"/>
    <s v=""/>
    <s v=""/>
    <n v="11.3"/>
    <s v="D"/>
    <n v="50"/>
    <n v="50"/>
    <n v="50"/>
    <s v=""/>
    <s v=""/>
    <n v="50"/>
    <n v="38.700000000000003"/>
    <n v="6"/>
    <n v="107.586"/>
    <n v="28.860156296385718"/>
    <n v="80.231234503952294"/>
    <n v="6334.96422113463"/>
    <n v="182828.05755395684"/>
    <n v="38.799999999999997"/>
    <n v="508262"/>
    <n v="508262"/>
    <n v="0"/>
    <s v=""/>
    <s v="2009"/>
    <s v="PG-MD 21400.87E"/>
  </r>
  <r>
    <s v="eGIS Link"/>
    <n v="159"/>
    <s v="NorthBound Visi-Data"/>
    <s v="62584"/>
    <n v="2017"/>
    <n v="3"/>
    <x v="13"/>
    <s v="PG"/>
    <s v="PG-MD 381"/>
    <s v="0-1.75(N)"/>
    <s v="MD"/>
    <s v="381"/>
    <s v=""/>
    <n v="0"/>
    <n v="1.75"/>
    <s v="N"/>
    <s v="CHARLES CO/L"/>
    <s v="EAGLE HARBOR RD"/>
    <n v="2"/>
    <n v="3.5"/>
    <s v="UNDIVIDED"/>
    <s v="URBAN"/>
    <s v="NON-IS"/>
    <n v="7"/>
    <s v="F"/>
    <n v="105.71"/>
    <n v="125.28"/>
    <s v=""/>
    <s v=""/>
    <s v=""/>
    <n v="0.16"/>
    <n v="49"/>
    <n v="288.48"/>
    <n v="288.48"/>
    <n v="81.424999999999997"/>
    <n v="77.599999999999994"/>
    <n v="82.7"/>
    <n v="0.15"/>
    <n v="36"/>
    <n v="90.13"/>
    <n v="90.13"/>
    <n v="100"/>
    <n v="100"/>
    <n v="100"/>
    <n v="0.08"/>
    <n v="44"/>
    <x v="2"/>
    <m/>
    <s v="Structural Overlay"/>
    <n v="385453.37944033853"/>
    <n v="280941.62055966147"/>
    <n v="666395"/>
    <n v="0"/>
    <n v="32"/>
    <n v="46.1"/>
    <s v=""/>
    <s v=""/>
    <n v="0"/>
    <s v="F"/>
    <n v="29.6"/>
    <n v="48.5"/>
    <n v="50"/>
    <s v=""/>
    <s v=""/>
    <n v="29.6"/>
    <n v="29.6"/>
    <n v="6"/>
    <n v="103.60000000000001"/>
    <n v="22.07391799413481"/>
    <n v="77.258712979471838"/>
    <n v="8625.4996271691143"/>
    <n v="190398.57142857142"/>
    <n v="29.6"/>
    <n v="666395"/>
    <n v="666395"/>
    <n v="0"/>
    <s v=""/>
    <s v="2012"/>
    <s v="PG-MD 38101.75N"/>
  </r>
  <r>
    <s v="eGIS Link"/>
    <n v="369"/>
    <s v="SouthBound Visi-Data"/>
    <s v="62577"/>
    <n v="2017"/>
    <n v="3"/>
    <x v="13"/>
    <s v="PG"/>
    <s v="PG-MD 228A"/>
    <s v="0.86-1.02(S)"/>
    <s v="MD"/>
    <s v="228"/>
    <s v="A"/>
    <n v="0.86"/>
    <n v="1.02"/>
    <s v="S"/>
    <s v=""/>
    <s v=""/>
    <n v="2.5"/>
    <n v="0.4"/>
    <s v="UNDIVIDED"/>
    <s v="URBAN"/>
    <s v="NON-IS"/>
    <n v="16"/>
    <s v=""/>
    <s v=""/>
    <s v=""/>
    <s v=""/>
    <s v=""/>
    <s v=""/>
    <s v=""/>
    <s v=""/>
    <n v="113.85"/>
    <n v="113.85"/>
    <n v="92.075000000000003"/>
    <n v="90.8"/>
    <n v="92.5"/>
    <n v="0.13"/>
    <n v="39"/>
    <n v="51.37"/>
    <n v="51.37"/>
    <n v="100"/>
    <n v="100"/>
    <n v="100"/>
    <n v="0.08"/>
    <n v="44"/>
    <x v="2"/>
    <m/>
    <s v="Structural Overlay"/>
    <n v="434879.58570922766"/>
    <n v="316966.41429077234"/>
    <n v="751846"/>
    <n v="19.100000000000001"/>
    <n v="42.7"/>
    <n v="50"/>
    <s v=""/>
    <s v=""/>
    <n v="19.100000000000001"/>
    <s v="D"/>
    <n v="45"/>
    <n v="48.5"/>
    <n v="50"/>
    <s v=""/>
    <s v=""/>
    <n v="45"/>
    <n v="25.9"/>
    <n v="6"/>
    <n v="10.36"/>
    <n v="19.314678244867956"/>
    <n v="7.7258712979471831"/>
    <n v="97315.366902341571"/>
    <n v="1879615"/>
    <n v="25.8"/>
    <n v="751846"/>
    <n v="751846"/>
    <n v="0"/>
    <s v=""/>
    <s v=""/>
    <s v="PG-MD 228A0.861.02S"/>
  </r>
  <r>
    <s v="eGIS Link"/>
    <n v="98"/>
    <s v="West Bound Visi-Data"/>
    <s v="62570"/>
    <n v="2017"/>
    <n v="3"/>
    <x v="13"/>
    <s v="PG"/>
    <s v="PG-MD 214"/>
    <s v="9.35-10.7(W)"/>
    <s v="MD"/>
    <s v="214"/>
    <s v=""/>
    <n v="9.35"/>
    <n v="10.7"/>
    <s v="W"/>
    <s v="SPUR FR DEVONWOOD DR"/>
    <s v="STRUC #16103"/>
    <n v="2.2999999999999998"/>
    <n v="3.1"/>
    <s v="DIVIDED"/>
    <s v="URBAN"/>
    <s v="NON-IS"/>
    <n v="14"/>
    <s v="F"/>
    <n v="165.44"/>
    <n v="131.69"/>
    <n v="76.2"/>
    <n v="82.1"/>
    <n v="74.3"/>
    <n v="0.2"/>
    <n v="44"/>
    <n v="178.82"/>
    <n v="178.82"/>
    <n v="76.775000000000006"/>
    <n v="84.5"/>
    <n v="74.2"/>
    <n v="0.17"/>
    <n v="45"/>
    <n v="64.41"/>
    <n v="64.41"/>
    <n v="100"/>
    <n v="100"/>
    <n v="100"/>
    <n v="0.08"/>
    <n v="44"/>
    <x v="2"/>
    <m/>
    <s v="Structural Overlay"/>
    <n v="287774.57250717084"/>
    <n v="209747.42749282916"/>
    <n v="497522"/>
    <n v="11.1"/>
    <n v="50"/>
    <n v="50"/>
    <s v=""/>
    <s v=""/>
    <n v="11.1"/>
    <s v="D"/>
    <n v="49.9"/>
    <n v="50"/>
    <n v="50"/>
    <s v=""/>
    <s v=""/>
    <n v="49.9"/>
    <n v="38.799999999999997"/>
    <n v="6"/>
    <n v="120.28"/>
    <n v="28.93473034366319"/>
    <n v="89.697664065355895"/>
    <n v="5546.6550348233532"/>
    <n v="160490.96774193548"/>
    <n v="38.799999999999997"/>
    <n v="497522"/>
    <n v="497522"/>
    <n v="0"/>
    <s v=""/>
    <s v="2001"/>
    <s v="PG-MD 2149.3510.7W"/>
  </r>
  <r>
    <s v="eGIS Link"/>
    <n v="381"/>
    <s v="West Bound Visi-Data"/>
    <s v="62620"/>
    <n v="2017"/>
    <n v="3"/>
    <x v="13"/>
    <s v="PG"/>
    <s v="PG-MD 810A"/>
    <s v="3.41-3.57(W)"/>
    <s v="MD"/>
    <s v="810"/>
    <s v="A"/>
    <n v="3.41"/>
    <n v="3.57"/>
    <s v="W"/>
    <s v=""/>
    <s v=""/>
    <n v="2"/>
    <n v="0.32"/>
    <s v="UNDIVIDED"/>
    <s v="URBAN"/>
    <s v="NON-IS"/>
    <n v="19"/>
    <s v=""/>
    <s v=""/>
    <s v=""/>
    <s v=""/>
    <s v=""/>
    <s v=""/>
    <s v=""/>
    <s v=""/>
    <n v="247.28"/>
    <n v="247.28"/>
    <n v="71.400000000000006"/>
    <n v="69.900000000000006"/>
    <n v="71.900000000000006"/>
    <n v="0.2"/>
    <n v="41"/>
    <n v="79.930000000000007"/>
    <n v="79.930000000000007"/>
    <n v="100"/>
    <n v="100"/>
    <n v="100"/>
    <n v="0.08"/>
    <n v="44"/>
    <x v="2"/>
    <m/>
    <s v="Structural Overlay"/>
    <n v="792520.42109234899"/>
    <n v="577636.57890765101"/>
    <n v="1370157"/>
    <n v="1.1000000000000001"/>
    <n v="50"/>
    <n v="50"/>
    <s v=""/>
    <s v=""/>
    <n v="1.1000000000000001"/>
    <s v="E"/>
    <n v="42.3"/>
    <n v="50"/>
    <n v="50"/>
    <s v=""/>
    <s v=""/>
    <n v="42.3"/>
    <n v="41.199999999999996"/>
    <n v="6"/>
    <n v="13.183999999999999"/>
    <n v="30.724507478322767"/>
    <n v="9.831842393063285"/>
    <n v="139359.12977680506"/>
    <n v="4281740.625"/>
    <n v="41.2"/>
    <n v="1370157"/>
    <n v="1370157"/>
    <n v="0"/>
    <s v=""/>
    <s v=""/>
    <s v="PG-MD 810A3.413.57W"/>
  </r>
  <r>
    <s v="eGIS Link"/>
    <n v="45"/>
    <s v="NorthBound Visi-Data"/>
    <s v="62597"/>
    <n v="2017"/>
    <n v="3"/>
    <x v="13"/>
    <s v="PG"/>
    <s v="PG-MD 458"/>
    <s v="0-3.12(N)"/>
    <s v="MD"/>
    <s v="458"/>
    <s v=""/>
    <n v="0"/>
    <n v="3.12"/>
    <s v="N"/>
    <s v="BRANCH AVE"/>
    <s v="WALKER MILL RD"/>
    <n v="3.4"/>
    <n v="10.6"/>
    <s v="DIVIDED"/>
    <s v="URBAN"/>
    <s v="NON-IS"/>
    <n v="14"/>
    <s v="FCJ"/>
    <n v="222.85"/>
    <n v="176.15"/>
    <n v="72"/>
    <n v="77.7"/>
    <n v="70"/>
    <n v="0.19"/>
    <n v="45"/>
    <n v="206.74"/>
    <n v="206.74"/>
    <n v="78.849999999999994"/>
    <n v="84.1"/>
    <n v="77.099999999999994"/>
    <n v="0.19"/>
    <n v="31"/>
    <n v="71.010000000000005"/>
    <n v="71.010000000000005"/>
    <n v="100"/>
    <n v="100"/>
    <n v="100"/>
    <n v="0.08"/>
    <n v="44"/>
    <x v="2"/>
    <m/>
    <s v="Structural Overlay"/>
    <n v="398833.29311498185"/>
    <n v="290693.70688501815"/>
    <n v="689527"/>
    <n v="4.9000000000000004"/>
    <n v="39.200000000000003"/>
    <n v="33.299999999999997"/>
    <s v=""/>
    <s v=""/>
    <n v="4.9000000000000004"/>
    <s v="E"/>
    <n v="36.1"/>
    <n v="48.5"/>
    <n v="50"/>
    <s v=""/>
    <s v=""/>
    <n v="36.1"/>
    <n v="31.200000000000003"/>
    <n v="6"/>
    <n v="330.72"/>
    <n v="23.26710275057453"/>
    <n v="246.63128915609002"/>
    <n v="2795.7807071413658"/>
    <n v="65049.716981132078"/>
    <n v="31.2"/>
    <n v="689527"/>
    <n v="689527"/>
    <n v="0"/>
    <s v=""/>
    <s v="2000"/>
    <s v="PG-MD 45803.12N"/>
  </r>
  <r>
    <s v="eGIS Link"/>
    <n v="386"/>
    <s v="SouthBound Visi-Data"/>
    <s v="62564"/>
    <n v="2017"/>
    <n v="3"/>
    <x v="13"/>
    <s v="PG"/>
    <s v="PG-MD 210S"/>
    <s v="0-0.05(S)"/>
    <s v="MD"/>
    <s v="210"/>
    <s v="S"/>
    <n v="0"/>
    <n v="0.05"/>
    <s v="S"/>
    <s v=""/>
    <s v=""/>
    <n v="2"/>
    <n v="0.1"/>
    <s v="UNDIVIDED"/>
    <s v="URBAN"/>
    <s v="NON-IS"/>
    <n v="17"/>
    <s v=""/>
    <s v=""/>
    <s v=""/>
    <s v=""/>
    <s v=""/>
    <s v=""/>
    <s v=""/>
    <s v=""/>
    <n v="155.24"/>
    <n v="155.24"/>
    <n v="85.924999999999997"/>
    <n v="85.1"/>
    <n v="86.2"/>
    <n v="0.21"/>
    <n v="39"/>
    <n v="100.68"/>
    <n v="100.68"/>
    <n v="100"/>
    <n v="100"/>
    <n v="100"/>
    <n v="0.18"/>
    <n v="49"/>
    <x v="5"/>
    <m/>
    <s v="Preventive Maintenance"/>
    <n v="94966.615370812418"/>
    <n v="69217.384629187582"/>
    <n v="164184"/>
    <n v="24.4"/>
    <n v="31.4"/>
    <n v="30.9"/>
    <s v=""/>
    <s v=""/>
    <n v="24.4"/>
    <s v="C"/>
    <n v="37"/>
    <n v="43.9"/>
    <n v="42.2"/>
    <s v=""/>
    <s v=""/>
    <n v="37"/>
    <n v="12.600000000000001"/>
    <n v="4"/>
    <n v="1.2600000000000002"/>
    <n v="9.3963299569627914"/>
    <n v="0.93963299569627923"/>
    <n v="174732.05044096787"/>
    <n v="1641840"/>
    <n v="12.6"/>
    <n v="164184"/>
    <n v="164184"/>
    <n v="0"/>
    <s v=""/>
    <s v=""/>
    <s v="PG-MD 210S00.05S"/>
  </r>
  <r>
    <s v="eGIS Link"/>
    <n v="268"/>
    <s v="SouthBound Visi-Data"/>
    <s v="62542"/>
    <n v="2017"/>
    <n v="3"/>
    <x v="13"/>
    <s v="PG"/>
    <s v="PG-MD 202"/>
    <s v="8-8.72(S)"/>
    <s v="MD"/>
    <s v="202"/>
    <s v=""/>
    <n v="8"/>
    <n v="8.7200000000000006"/>
    <s v="S"/>
    <s v="SPUR FR ARENA DR"/>
    <s v="SPUR FR LOTTSFORD RD"/>
    <n v="3.7"/>
    <n v="2.66"/>
    <s v="DIVIDED"/>
    <s v="URBAN"/>
    <s v="NON-IS"/>
    <n v="14"/>
    <s v="F"/>
    <n v="124.4"/>
    <n v="129.01"/>
    <n v="70.400000000000006"/>
    <n v="75.099999999999994"/>
    <n v="68.900000000000006"/>
    <n v="0.15"/>
    <n v="36"/>
    <n v="135.34"/>
    <n v="135.34"/>
    <n v="82.85"/>
    <n v="90.8"/>
    <n v="80.2"/>
    <n v="0.12"/>
    <n v="40"/>
    <n v="90.69"/>
    <n v="90.69"/>
    <n v="100"/>
    <n v="100"/>
    <n v="100"/>
    <n v="0.1"/>
    <n v="49"/>
    <x v="5"/>
    <m/>
    <s v="Preventive Maintenance"/>
    <n v="218471.10817892168"/>
    <n v="159234.89182107832"/>
    <n v="377706"/>
    <n v="14.7"/>
    <n v="50"/>
    <n v="50"/>
    <s v=""/>
    <s v=""/>
    <n v="14.7"/>
    <s v="D"/>
    <n v="24.8"/>
    <n v="50"/>
    <n v="50"/>
    <s v=""/>
    <s v=""/>
    <n v="24.8"/>
    <n v="10.100000000000001"/>
    <n v="4"/>
    <n v="26.866000000000007"/>
    <n v="7.5319787750257294"/>
    <n v="20.035063541568441"/>
    <n v="18852.24866975547"/>
    <n v="141994.73684210525"/>
    <n v="10.1"/>
    <n v="377706"/>
    <n v="377706"/>
    <n v="0"/>
    <s v=""/>
    <s v="2012"/>
    <s v="PG-MD 20288.72S"/>
  </r>
  <r>
    <s v="eGIS Link"/>
    <n v="319"/>
    <s v="SouthBound Visi-Data"/>
    <s v="62533"/>
    <n v="2017"/>
    <n v="3"/>
    <x v="13"/>
    <s v="PG"/>
    <s v="PG-MD 197"/>
    <s v="0.72-1.65(S)"/>
    <s v="MD"/>
    <s v="197"/>
    <s v=""/>
    <n v="0.72"/>
    <n v="1.65"/>
    <s v="S"/>
    <s v="EVERGREEN PKWY"/>
    <s v="EXIT #11"/>
    <n v="3.3"/>
    <n v="3.07"/>
    <s v="DIVIDED"/>
    <s v="URBAN"/>
    <s v="NON-IS"/>
    <n v="14"/>
    <s v="F"/>
    <n v="182.97"/>
    <n v="75.62"/>
    <n v="98.3"/>
    <n v="98.7"/>
    <n v="98.1"/>
    <n v="0.24"/>
    <n v="49"/>
    <n v="109.09"/>
    <n v="109.09"/>
    <n v="90.35"/>
    <n v="92"/>
    <n v="89.8"/>
    <n v="0.28000000000000003"/>
    <n v="34"/>
    <n v="76.5"/>
    <n v="76.5"/>
    <n v="100"/>
    <n v="100"/>
    <n v="100"/>
    <n v="0.24"/>
    <n v="49"/>
    <x v="5"/>
    <m/>
    <s v="Preventive Maintenance"/>
    <n v="340930.98209993058"/>
    <n v="248491.01790006942"/>
    <n v="589422"/>
    <n v="21.1"/>
    <n v="50"/>
    <n v="50"/>
    <s v=""/>
    <s v=""/>
    <n v="21.1"/>
    <s v="C"/>
    <n v="28.9"/>
    <n v="50"/>
    <n v="50"/>
    <s v=""/>
    <s v=""/>
    <n v="28.9"/>
    <n v="7.7999999999999972"/>
    <n v="4"/>
    <n v="24.56"/>
    <n v="5.9659237821985966"/>
    <n v="18.315386011349691"/>
    <n v="32181.795111211228"/>
    <n v="191994.13680781759"/>
    <n v="7.9"/>
    <n v="589422"/>
    <n v="589422"/>
    <n v="0"/>
    <s v=""/>
    <s v="2008"/>
    <s v="PG-MD 1970.721.65S"/>
  </r>
  <r>
    <s v="eGIS Link"/>
    <n v="194"/>
    <s v="SouthBound Visi-Data"/>
    <s v="62585"/>
    <n v="2017"/>
    <n v="3"/>
    <x v="13"/>
    <s v="PG"/>
    <s v="PG-MD 382"/>
    <s v="12.83-14.15(S)"/>
    <s v="MD"/>
    <s v="382"/>
    <s v=""/>
    <n v="12.83"/>
    <n v="14.15"/>
    <s v="S"/>
    <s v="MT CALVERT RD"/>
    <s v="STRUC #16061 CHARLES BRANCH"/>
    <n v="2"/>
    <n v="2.64"/>
    <s v="UNDIVIDED"/>
    <s v="RURAL"/>
    <s v="NON-IS"/>
    <n v="7"/>
    <s v="F"/>
    <n v="124.52"/>
    <n v="108.9"/>
    <s v=""/>
    <s v=""/>
    <s v=""/>
    <n v="0.15"/>
    <n v="42"/>
    <n v="146.62"/>
    <n v="146.62"/>
    <n v="87.224999999999994"/>
    <n v="86.1"/>
    <n v="87.6"/>
    <n v="0.13"/>
    <n v="46"/>
    <n v="95.81"/>
    <n v="95.81"/>
    <n v="100"/>
    <n v="100"/>
    <n v="100"/>
    <n v="0.11"/>
    <n v="49"/>
    <x v="5"/>
    <m/>
    <s v="Preventive Maintenance"/>
    <n v="214308.93370566153"/>
    <n v="87272.066294338467"/>
    <n v="301581"/>
    <n v="21.4"/>
    <n v="50"/>
    <n v="48.8"/>
    <s v=""/>
    <s v=""/>
    <n v="21.4"/>
    <s v="C"/>
    <n v="35.4"/>
    <n v="50"/>
    <n v="50"/>
    <s v=""/>
    <s v=""/>
    <n v="35.4"/>
    <n v="14"/>
    <n v="4"/>
    <n v="36.96"/>
    <n v="10.440366618847545"/>
    <n v="27.562567873757519"/>
    <n v="10941.68734137203"/>
    <n v="114235.22727272726"/>
    <n v="14"/>
    <n v="301581"/>
    <n v="301581"/>
    <n v="0"/>
    <s v=""/>
    <s v="2005"/>
    <s v="PG-MD 38212.8314.15S"/>
  </r>
  <r>
    <s v="eGIS Link"/>
    <n v="416"/>
    <s v="SouthBound Visi-Data"/>
    <s v="62542"/>
    <n v="2017"/>
    <n v="3"/>
    <x v="13"/>
    <s v="PG"/>
    <s v="PG-MD 202"/>
    <s v="8.72-8.75(S)"/>
    <s v="MD"/>
    <s v="202"/>
    <s v=""/>
    <n v="8.7200000000000006"/>
    <n v="8.75"/>
    <s v="S"/>
    <s v="SPUR TO LOTTSFORD RD"/>
    <s v="LOTTSFORD RD"/>
    <n v="4.7"/>
    <n v="0.14000000000000001"/>
    <s v="DIVIDED"/>
    <s v="URBAN"/>
    <s v="NON-IS"/>
    <n v="14"/>
    <s v="F"/>
    <n v="338.95"/>
    <n v="131.51"/>
    <s v=""/>
    <s v=""/>
    <s v=""/>
    <n v="0.14000000000000001"/>
    <n v="43"/>
    <n v="101.86"/>
    <n v="101.86"/>
    <n v="86.95"/>
    <n v="90.4"/>
    <n v="85.8"/>
    <n v="0.14000000000000001"/>
    <n v="34"/>
    <n v="72.739999999999995"/>
    <n v="72.739999999999995"/>
    <n v="100"/>
    <n v="100"/>
    <n v="100"/>
    <n v="0.12"/>
    <n v="49"/>
    <x v="5"/>
    <m/>
    <s v="Preventive Maintenance"/>
    <n v="260591.92322739126"/>
    <n v="189935.07677260874"/>
    <n v="450527"/>
    <n v="22"/>
    <n v="50"/>
    <n v="50"/>
    <s v=""/>
    <s v=""/>
    <n v="22"/>
    <s v="C"/>
    <n v="30.2"/>
    <n v="50"/>
    <n v="50"/>
    <s v=""/>
    <s v=""/>
    <n v="30.2"/>
    <n v="8.1999999999999993"/>
    <n v="4"/>
    <n v="1.1479999999999999"/>
    <n v="6.1150718767535608"/>
    <n v="0.85611006274549861"/>
    <n v="526248.92476463167"/>
    <n v="3218049.9999999995"/>
    <n v="8.1999999999999993"/>
    <n v="450527"/>
    <n v="450527"/>
    <n v="0"/>
    <s v=""/>
    <s v="2011"/>
    <s v="PG-MD 2028.728.75S"/>
  </r>
  <r>
    <s v="eGIS Link"/>
    <n v="304"/>
    <s v="NorthBound Visi-Data"/>
    <s v="62533"/>
    <n v="2017"/>
    <n v="3"/>
    <x v="13"/>
    <s v="PG"/>
    <s v="PG-MD 197"/>
    <s v="0.72-1.65(N)"/>
    <s v="MD"/>
    <s v="197"/>
    <s v=""/>
    <n v="0.72"/>
    <n v="1.65"/>
    <s v="N"/>
    <s v="EVERGREEN PKWY"/>
    <s v="RAMP 1 FR MD 197 TO IS 595"/>
    <n v="3.4"/>
    <n v="3.16"/>
    <s v="DIVIDED"/>
    <s v="URBAN"/>
    <s v="NON-IS"/>
    <n v="14"/>
    <s v="F"/>
    <n v="89.56"/>
    <n v="74.14"/>
    <n v="93.9"/>
    <n v="94.8"/>
    <n v="93.6"/>
    <n v="0.24"/>
    <n v="46"/>
    <n v="107.09"/>
    <n v="107.09"/>
    <n v="92.45"/>
    <n v="94.1"/>
    <n v="91.9"/>
    <n v="0.17"/>
    <n v="51"/>
    <n v="75.22"/>
    <n v="75.22"/>
    <n v="100"/>
    <n v="100"/>
    <n v="100"/>
    <n v="0.14000000000000001"/>
    <n v="49"/>
    <x v="5"/>
    <m/>
    <s v="Preventive Maintenance"/>
    <n v="330618.98568839935"/>
    <n v="240975.01431160065"/>
    <n v="571594"/>
    <n v="25.7"/>
    <n v="50"/>
    <n v="50"/>
    <s v=""/>
    <s v=""/>
    <n v="25.7"/>
    <s v="C"/>
    <n v="35.5"/>
    <n v="50"/>
    <n v="50"/>
    <s v=""/>
    <s v=""/>
    <n v="35.5"/>
    <n v="9.8000000000000007"/>
    <n v="4"/>
    <n v="30.968000000000004"/>
    <n v="7.308256633193281"/>
    <n v="23.094090960890767"/>
    <n v="24750.660286563318"/>
    <n v="180884.17721518988"/>
    <n v="9.6999999999999993"/>
    <n v="571594"/>
    <n v="571594"/>
    <n v="0"/>
    <s v=""/>
    <s v="2008"/>
    <s v="PG-MD 1970.721.65N"/>
  </r>
  <r>
    <s v="eGIS Link"/>
    <n v="108"/>
    <s v="SouthBound Visi-Data"/>
    <s v="62585"/>
    <n v="2017"/>
    <n v="3"/>
    <x v="13"/>
    <s v="PG"/>
    <s v="PG-MD 382"/>
    <s v="14.15-15.34(S)"/>
    <s v="MD"/>
    <s v="382"/>
    <s v=""/>
    <n v="14.15"/>
    <n v="15.34"/>
    <s v="S"/>
    <s v="SASSCER LA"/>
    <s v="CRAIN HWY"/>
    <n v="2"/>
    <n v="2.38"/>
    <s v="UNDIVIDED"/>
    <s v="RURAL"/>
    <s v="NON-IS"/>
    <n v="16"/>
    <s v="F"/>
    <n v="156.84"/>
    <n v="151.44"/>
    <s v=""/>
    <s v=""/>
    <s v=""/>
    <n v="0.22"/>
    <n v="54"/>
    <n v="138.32"/>
    <n v="138.32"/>
    <n v="87.224999999999994"/>
    <n v="86.1"/>
    <n v="87.6"/>
    <n v="0.15"/>
    <n v="42"/>
    <n v="91.44"/>
    <n v="91.44"/>
    <n v="100"/>
    <n v="100"/>
    <n v="100"/>
    <n v="0.13"/>
    <n v="49"/>
    <x v="5"/>
    <m/>
    <s v="Preventive Maintenance"/>
    <n v="111299.1472399847"/>
    <n v="45323.852760015303"/>
    <n v="156623"/>
    <n v="22.7"/>
    <n v="50"/>
    <n v="48.8"/>
    <s v=""/>
    <s v=""/>
    <n v="22.7"/>
    <s v="C"/>
    <n v="37"/>
    <n v="50"/>
    <n v="50"/>
    <s v=""/>
    <s v=""/>
    <n v="37"/>
    <n v="14.3"/>
    <n v="4"/>
    <n v="34.033999999999999"/>
    <n v="10.664088760679993"/>
    <n v="25.380531250418382"/>
    <n v="6170.9898210825731"/>
    <n v="65807.983193277309"/>
    <n v="14.3"/>
    <n v="156623"/>
    <n v="156623"/>
    <n v="0"/>
    <s v=""/>
    <s v="2000"/>
    <s v="PG-MD 38214.1515.34S"/>
  </r>
  <r>
    <s v="eGIS Link"/>
    <n v="392"/>
    <s v="NorthBound Visi-Data"/>
    <s v="63894"/>
    <n v="2017"/>
    <n v="3"/>
    <x v="13"/>
    <s v="PG"/>
    <s v="PG-MD 202 RP3-10"/>
    <s v="0-0.2(N)"/>
    <s v="MD"/>
    <s v="202"/>
    <s v=""/>
    <n v="0"/>
    <n v="0.2"/>
    <s v="N"/>
    <s v=""/>
    <s v=""/>
    <n v="1"/>
    <n v="0.2"/>
    <s v="UNDIVIDED"/>
    <s v="URBAN"/>
    <s v="NON-IS"/>
    <n v="14"/>
    <s v=""/>
    <s v=""/>
    <s v=""/>
    <s v=""/>
    <s v=""/>
    <s v=""/>
    <s v=""/>
    <s v=""/>
    <n v="108.89"/>
    <n v="108.89"/>
    <n v="89.375"/>
    <n v="92.6"/>
    <n v="88.3"/>
    <n v="0.13"/>
    <n v="36"/>
    <n v="76.48"/>
    <n v="76.48"/>
    <n v="100"/>
    <n v="100"/>
    <n v="100"/>
    <n v="0.11"/>
    <n v="49"/>
    <x v="5"/>
    <m/>
    <s v="Preventive Maintenance"/>
    <n v="146929.174806886"/>
    <n v="107090.825193114"/>
    <n v="254020"/>
    <n v="20.3"/>
    <n v="50"/>
    <n v="50"/>
    <s v=""/>
    <s v=""/>
    <n v="20.3"/>
    <s v="C"/>
    <n v="28.9"/>
    <n v="50"/>
    <n v="50"/>
    <s v=""/>
    <s v=""/>
    <n v="28.9"/>
    <n v="8.5999999999999979"/>
    <n v="4"/>
    <n v="1.7199999999999998"/>
    <n v="6.41336806586349"/>
    <n v="1.2826736131726981"/>
    <n v="198039.46802310881"/>
    <n v="1270100"/>
    <n v="8.6999999999999993"/>
    <n v="254020"/>
    <n v="254020"/>
    <n v="0"/>
    <s v=""/>
    <s v=""/>
    <s v="PG-MD 202 RP3-1000.2N"/>
  </r>
  <r>
    <s v="eGIS Link"/>
    <n v="244"/>
    <s v="NorthBound Visi-Data"/>
    <s v="62574"/>
    <n v="2017"/>
    <n v="3"/>
    <x v="13"/>
    <s v="PG"/>
    <s v="PG-MD 223"/>
    <s v="7.45-9.1(N)"/>
    <s v="MD"/>
    <s v="223"/>
    <s v=""/>
    <n v="7.45"/>
    <n v="9.1"/>
    <s v="N"/>
    <s v="BRANCH AVE"/>
    <s v="GREEN ST"/>
    <n v="2.2999999999999998"/>
    <n v="3.8"/>
    <s v="UNDIVIDED"/>
    <s v="RURAL"/>
    <s v="NON-IS"/>
    <n v="14"/>
    <s v="F"/>
    <n v="130.25"/>
    <n v="142.66"/>
    <n v="98.7"/>
    <n v="99.6"/>
    <n v="98.4"/>
    <n v="0.19"/>
    <n v="45"/>
    <n v="160.62"/>
    <n v="160.62"/>
    <n v="84.224999999999994"/>
    <n v="79.8"/>
    <n v="85.7"/>
    <n v="0.14000000000000001"/>
    <n v="46"/>
    <n v="103.29"/>
    <n v="103.29"/>
    <n v="100"/>
    <n v="100"/>
    <n v="100"/>
    <n v="0.12"/>
    <n v="49"/>
    <x v="5"/>
    <m/>
    <s v="Preventive Maintenance"/>
    <n v="508749.30238717207"/>
    <n v="207175.69761282793"/>
    <n v="715925"/>
    <n v="16.3"/>
    <n v="30.3"/>
    <n v="37.4"/>
    <s v=""/>
    <s v=""/>
    <n v="16.3"/>
    <s v="D"/>
    <n v="33.200000000000003"/>
    <n v="46.8"/>
    <n v="50"/>
    <s v=""/>
    <s v=""/>
    <n v="33.200000000000003"/>
    <n v="16.900000000000002"/>
    <n v="4"/>
    <n v="64.22"/>
    <n v="12.603013989894539"/>
    <n v="47.891453161599244"/>
    <n v="14948.909518035869"/>
    <n v="188401.31578947368"/>
    <n v="16.899999999999999"/>
    <n v="715925"/>
    <n v="715925"/>
    <n v="0"/>
    <s v=""/>
    <s v="2009"/>
    <s v="PG-MD 2237.459.1N"/>
  </r>
  <r>
    <s v="eGIS Link"/>
    <n v="152"/>
    <s v="SouthBound Visi-Data"/>
    <s v="62584"/>
    <n v="2017"/>
    <n v="3"/>
    <x v="13"/>
    <s v="PG"/>
    <s v="PG-MD 381"/>
    <s v="0-1.75(S)"/>
    <s v="MD"/>
    <s v="381"/>
    <s v=""/>
    <n v="0"/>
    <n v="1.75"/>
    <s v="S"/>
    <s v="CHARLES CO/L"/>
    <s v="EAGLE HARBOR RD"/>
    <n v="2"/>
    <n v="3.5"/>
    <s v="UNDIVIDED"/>
    <s v="URBAN"/>
    <s v="NON-IS"/>
    <n v="7"/>
    <s v="F"/>
    <n v="66"/>
    <n v="117.08"/>
    <n v="62.3"/>
    <n v="74.3"/>
    <n v="58.3"/>
    <n v="0.16"/>
    <n v="48"/>
    <n v="137.34"/>
    <n v="137.34"/>
    <n v="91.575000000000003"/>
    <n v="90"/>
    <n v="92.1"/>
    <n v="0.24"/>
    <n v="41"/>
    <n v="92.11"/>
    <n v="92.11"/>
    <n v="100"/>
    <n v="100"/>
    <n v="100"/>
    <n v="0.2"/>
    <n v="49"/>
    <x v="5"/>
    <m/>
    <s v="Preventive Maintenance"/>
    <n v="110504.01988093986"/>
    <n v="80541.980119060143"/>
    <n v="191046"/>
    <n v="14.1"/>
    <n v="42.3"/>
    <n v="50"/>
    <s v=""/>
    <s v=""/>
    <n v="14.1"/>
    <s v="D"/>
    <n v="23.1"/>
    <n v="48.5"/>
    <n v="50"/>
    <s v=""/>
    <s v=""/>
    <n v="23.1"/>
    <n v="9.0000000000000018"/>
    <n v="4"/>
    <n v="31.500000000000007"/>
    <n v="6.7116642549734227"/>
    <n v="23.49082489240698"/>
    <n v="8132.7923082748985"/>
    <n v="54584.571428571428"/>
    <n v="9"/>
    <n v="191046"/>
    <n v="191046"/>
    <n v="0"/>
    <s v=""/>
    <s v="2012"/>
    <s v="PG-MD 38101.75S"/>
  </r>
  <r>
    <s v="eGIS Link"/>
    <n v="299"/>
    <s v="NorthBound Visi-Data"/>
    <s v="62515"/>
    <n v="2017"/>
    <n v="3"/>
    <x v="13"/>
    <s v="PG"/>
    <s v="PG-MD 4"/>
    <s v="0-1.43(N)"/>
    <s v="MD"/>
    <s v="4"/>
    <s v=""/>
    <n v="0"/>
    <n v="1.43"/>
    <s v="N"/>
    <s v="ANNE ARUNDEL CO/L"/>
    <s v="STRUC #16097"/>
    <n v="2.2000000000000002"/>
    <n v="3.14"/>
    <s v="DIVIDED"/>
    <s v="RURAL"/>
    <s v="NON-IS"/>
    <n v="2"/>
    <s v="F"/>
    <n v="69.73"/>
    <n v="65.87"/>
    <n v="92.9"/>
    <n v="88.1"/>
    <n v="94.5"/>
    <n v="0.27"/>
    <n v="50"/>
    <n v="127.2"/>
    <n v="127.2"/>
    <n v="87.224999999999994"/>
    <n v="86.1"/>
    <n v="87.6"/>
    <n v="0.17"/>
    <n v="28"/>
    <n v="85.51"/>
    <n v="85.51"/>
    <n v="100"/>
    <n v="100"/>
    <n v="100"/>
    <n v="0.14000000000000001"/>
    <n v="49"/>
    <x v="5"/>
    <m/>
    <s v="Preventive Maintenance"/>
    <n v="544157.27318026579"/>
    <n v="221594.72681973421"/>
    <n v="765752"/>
    <n v="25.6"/>
    <n v="50"/>
    <n v="48.8"/>
    <s v=""/>
    <s v=""/>
    <n v="25.6"/>
    <s v="C"/>
    <n v="39.4"/>
    <n v="50"/>
    <n v="50"/>
    <s v=""/>
    <s v=""/>
    <n v="39.4"/>
    <n v="13.799999999999997"/>
    <n v="4"/>
    <n v="43.331999999999994"/>
    <n v="10.291218524292578"/>
    <n v="32.314426166278693"/>
    <n v="23696.908497143319"/>
    <n v="243870.0636942675"/>
    <n v="13.8"/>
    <n v="765752"/>
    <n v="765752"/>
    <n v="0"/>
    <s v=""/>
    <s v="2009"/>
    <s v="PG-MD 401.43N"/>
  </r>
  <r>
    <s v="eGIS Link"/>
    <n v="165"/>
    <s v="NorthBound Visi-Data"/>
    <s v="62574"/>
    <n v="2017"/>
    <n v="3"/>
    <x v="13"/>
    <s v="PG"/>
    <s v="PG-MD 223"/>
    <s v="6.25-7.45(N)"/>
    <s v="MD"/>
    <s v="223"/>
    <s v=""/>
    <n v="6.25"/>
    <n v="7.45"/>
    <s v="N"/>
    <s v="GWYNDALE DR"/>
    <s v="RAMP 1 FR MD 5 TO MD 223"/>
    <n v="3.8"/>
    <n v="4.5599999999999996"/>
    <s v="UNDIVIDED"/>
    <s v="URBAN"/>
    <s v="NON-IS"/>
    <n v="14"/>
    <s v="F"/>
    <n v="142.24"/>
    <n v="148.56"/>
    <n v="99.5"/>
    <n v="100"/>
    <n v="99.3"/>
    <n v="0.24"/>
    <n v="36"/>
    <n v="141.19999999999999"/>
    <n v="141.19999999999999"/>
    <n v="78.575000000000003"/>
    <n v="82.4"/>
    <n v="77.3"/>
    <n v="0.12"/>
    <n v="44"/>
    <n v="93.87"/>
    <n v="93.87"/>
    <n v="100"/>
    <n v="100"/>
    <n v="100"/>
    <n v="0.1"/>
    <n v="49"/>
    <x v="5"/>
    <m/>
    <s v="Preventive Maintenance"/>
    <n v="180893.74903198774"/>
    <n v="131846.25096801226"/>
    <n v="312740"/>
    <n v="13.6"/>
    <n v="50"/>
    <n v="50"/>
    <s v=""/>
    <s v=""/>
    <n v="13.6"/>
    <s v="D"/>
    <n v="23.9"/>
    <n v="50"/>
    <n v="50"/>
    <s v=""/>
    <s v=""/>
    <n v="23.9"/>
    <n v="10.299999999999999"/>
    <n v="4"/>
    <n v="46.967999999999989"/>
    <n v="7.6811268695806918"/>
    <n v="35.025938525287948"/>
    <n v="8928.81142283193"/>
    <n v="68583.333333333343"/>
    <n v="10.3"/>
    <n v="312740"/>
    <n v="312740"/>
    <n v="0"/>
    <s v="SKID_35"/>
    <s v="2008"/>
    <s v="PG-MD 2236.257.45N"/>
  </r>
  <r>
    <s v="eGIS Link"/>
    <n v="435"/>
    <s v="EastBound Visi-Data"/>
    <s v="54354"/>
    <n v="2017"/>
    <n v="3"/>
    <x v="4"/>
    <s v="MO"/>
    <s v="MO-IS 495 RP1-36"/>
    <s v="0-0.01(E)"/>
    <s v="IS"/>
    <s v="495"/>
    <s v=""/>
    <n v="0"/>
    <n v="0.01"/>
    <s v="E"/>
    <s v=""/>
    <s v=""/>
    <s v=""/>
    <n v="0.02"/>
    <s v="UNDIVIDED"/>
    <s v="URBAN"/>
    <s v="IS"/>
    <n v="11"/>
    <s v=""/>
    <s v=""/>
    <s v=""/>
    <s v=""/>
    <s v=""/>
    <s v=""/>
    <s v=""/>
    <s v=""/>
    <n v="94.82"/>
    <n v="94.82"/>
    <n v="94.375"/>
    <n v="94"/>
    <n v="94.5"/>
    <n v="0.18"/>
    <n v="53"/>
    <n v="56.33"/>
    <n v="56.33"/>
    <n v="100"/>
    <n v="100"/>
    <n v="100"/>
    <n v="0.08"/>
    <n v="44"/>
    <x v="7"/>
    <m/>
    <s v="Minor Rehabilitation"/>
    <n v="2485087.5987555548"/>
    <n v="1811281.4012444452"/>
    <n v="4296369"/>
    <n v="20.399999999999999"/>
    <n v="22.7"/>
    <n v="20"/>
    <s v=""/>
    <s v=""/>
    <n v="20"/>
    <s v="C"/>
    <n v="40.4"/>
    <n v="28.7"/>
    <n v="26"/>
    <s v=""/>
    <s v=""/>
    <n v="26"/>
    <n v="6"/>
    <n v="6"/>
    <n v="0.24"/>
    <n v="8.9488856732978945"/>
    <n v="0.17897771346595789"/>
    <n v="24005050.21993804"/>
    <n v="214818450"/>
    <n v="6"/>
    <n v="4296369"/>
    <n v="4296369"/>
    <n v="0"/>
    <s v=""/>
    <s v=""/>
    <s v="MO-IS 495 RP1-3600.01E"/>
  </r>
  <r>
    <s v="eGIS Link"/>
    <n v="388"/>
    <s v="NorthBound Visi-Data"/>
    <s v="63882"/>
    <n v="2017"/>
    <n v="3"/>
    <x v="4"/>
    <s v="PG"/>
    <s v="PG-MD 201 RP5-1"/>
    <s v="0-0.08(N)"/>
    <s v="MD"/>
    <s v="201"/>
    <s v=""/>
    <n v="0"/>
    <n v="0.08"/>
    <s v="N"/>
    <s v=""/>
    <s v=""/>
    <s v=""/>
    <n v="0.16"/>
    <s v="UNDIVIDED"/>
    <s v="URBAN"/>
    <s v="NON-IS"/>
    <n v="12"/>
    <s v=""/>
    <s v=""/>
    <s v=""/>
    <s v=""/>
    <s v=""/>
    <s v=""/>
    <s v=""/>
    <s v=""/>
    <n v="199.36"/>
    <n v="199.36"/>
    <n v="80.8"/>
    <n v="67"/>
    <n v="85.4"/>
    <n v="0.18"/>
    <n v="44"/>
    <n v="69.75"/>
    <n v="69.75"/>
    <n v="100"/>
    <n v="100"/>
    <n v="100"/>
    <n v="0.08"/>
    <n v="44"/>
    <x v="2"/>
    <m/>
    <s v="Structural Overlay"/>
    <n v="314654.13192159019"/>
    <n v="229338.86807840981"/>
    <n v="543993"/>
    <n v="3.4"/>
    <n v="13.1"/>
    <n v="45.3"/>
    <s v=""/>
    <s v=""/>
    <n v="3.4"/>
    <s v="E"/>
    <n v="28.7"/>
    <n v="47.1"/>
    <n v="50"/>
    <s v=""/>
    <s v=""/>
    <n v="28.7"/>
    <n v="25.3"/>
    <n v="6"/>
    <n v="4.048"/>
    <n v="18.867233961203063"/>
    <n v="3.0187574337924903"/>
    <n v="180204.27673666281"/>
    <n v="3399956.25"/>
    <n v="25.3"/>
    <n v="543993"/>
    <n v="543993"/>
    <n v="0"/>
    <s v=""/>
    <s v=""/>
    <s v="PG-MD 201 RP5-100.08N"/>
  </r>
  <r>
    <s v="eGIS Link"/>
    <n v="380"/>
    <s v="NorthBound Visi-Data"/>
    <s v="63648"/>
    <n v="2017"/>
    <n v="3"/>
    <x v="4"/>
    <s v="PG"/>
    <s v="PG-MD 5 RP3-13"/>
    <s v="0-0.16(N)"/>
    <s v="MD"/>
    <s v="5"/>
    <s v=""/>
    <n v="0"/>
    <n v="0.16"/>
    <s v="N"/>
    <s v=""/>
    <s v=""/>
    <s v=""/>
    <n v="0.32"/>
    <s v="UNDIVIDED"/>
    <s v="URBAN"/>
    <s v="NON-IS"/>
    <n v="12"/>
    <s v=""/>
    <s v=""/>
    <s v=""/>
    <s v=""/>
    <s v=""/>
    <s v=""/>
    <s v=""/>
    <s v=""/>
    <n v="195.32"/>
    <n v="195.32"/>
    <n v="62"/>
    <n v="62"/>
    <n v="62"/>
    <n v="0.17"/>
    <n v="36"/>
    <n v="68.47"/>
    <n v="68.47"/>
    <n v="100"/>
    <n v="100"/>
    <n v="100"/>
    <n v="0.08"/>
    <n v="44"/>
    <x v="2"/>
    <m/>
    <s v="Structural Overlay"/>
    <n v="494911.04518685729"/>
    <n v="360720.95481314271"/>
    <n v="855632"/>
    <n v="0"/>
    <n v="0.9"/>
    <n v="8.1999999999999993"/>
    <s v=""/>
    <s v=""/>
    <n v="0"/>
    <s v="F"/>
    <n v="25.9"/>
    <n v="28.2"/>
    <n v="50"/>
    <s v=""/>
    <s v=""/>
    <n v="25.9"/>
    <n v="25.9"/>
    <n v="6"/>
    <n v="8.2880000000000003"/>
    <n v="19.314678244867956"/>
    <n v="6.1806970383577458"/>
    <n v="138436.16580620289"/>
    <n v="2673850"/>
    <n v="25.9"/>
    <n v="855632"/>
    <n v="855632"/>
    <n v="0"/>
    <s v=""/>
    <s v=""/>
    <s v="PG-MD 5 RP3-1300.16N"/>
  </r>
  <r>
    <s v="eGIS Link"/>
    <n v="418"/>
    <s v="EastBound Visi-Data"/>
    <s v="63914"/>
    <n v="2017"/>
    <n v="3"/>
    <x v="4"/>
    <s v="PG"/>
    <s v="PG-MD 210 RP8-13"/>
    <s v="0-0.04(E)"/>
    <s v="MD"/>
    <s v="210"/>
    <s v=""/>
    <n v="0"/>
    <n v="0.04"/>
    <s v="E"/>
    <s v=""/>
    <s v=""/>
    <n v="2"/>
    <n v="0.08"/>
    <s v="UNDIVIDED"/>
    <s v="URBAN"/>
    <s v="NON-IS"/>
    <n v="12"/>
    <s v=""/>
    <s v=""/>
    <s v=""/>
    <s v=""/>
    <s v=""/>
    <s v=""/>
    <s v=""/>
    <s v=""/>
    <n v="138.19"/>
    <n v="138.19"/>
    <n v="90.275000000000006"/>
    <n v="87.5"/>
    <n v="91.2"/>
    <n v="0.21"/>
    <n v="44"/>
    <n v="56"/>
    <n v="56"/>
    <n v="100"/>
    <n v="100"/>
    <n v="100"/>
    <n v="0.12"/>
    <n v="44"/>
    <x v="2"/>
    <m/>
    <s v="Structural Overlay"/>
    <n v="507991.33949078183"/>
    <n v="370254.66050921817"/>
    <n v="878246"/>
    <n v="17.5"/>
    <n v="41.1"/>
    <n v="50"/>
    <s v=""/>
    <s v=""/>
    <n v="17.5"/>
    <s v="D"/>
    <n v="42.6"/>
    <n v="48.5"/>
    <n v="50"/>
    <s v=""/>
    <s v=""/>
    <n v="42.6"/>
    <n v="25.1"/>
    <n v="6"/>
    <n v="2.008"/>
    <n v="18.718085866648099"/>
    <n v="1.4974468693318479"/>
    <n v="586495.59993528738"/>
    <n v="10978075"/>
    <n v="25.1"/>
    <n v="878246"/>
    <n v="878246"/>
    <n v="0"/>
    <s v=""/>
    <s v=""/>
    <s v="PG-MD 210 RP8-1300.04E"/>
  </r>
  <r>
    <s v="eGIS Link"/>
    <n v="393"/>
    <s v="EastBound Visi-Data"/>
    <s v="63889"/>
    <n v="2017"/>
    <n v="3"/>
    <x v="4"/>
    <s v="PG"/>
    <s v="PG-MD 201 RP2-6"/>
    <s v="0-0.15(E)"/>
    <s v="MD"/>
    <s v="201"/>
    <s v=""/>
    <n v="0"/>
    <n v="0.15"/>
    <s v="E"/>
    <s v=""/>
    <s v=""/>
    <s v=""/>
    <n v="0.3"/>
    <s v="UNDIVIDED"/>
    <s v="URBAN"/>
    <s v="NON-IS"/>
    <n v="12"/>
    <s v=""/>
    <s v=""/>
    <s v=""/>
    <s v=""/>
    <s v=""/>
    <s v=""/>
    <s v=""/>
    <s v=""/>
    <n v="221.85"/>
    <n v="221.85"/>
    <n v="80.075000000000003"/>
    <n v="77.599999999999994"/>
    <n v="80.900000000000006"/>
    <n v="0.2"/>
    <n v="33"/>
    <n v="74.959999999999994"/>
    <n v="74.959999999999994"/>
    <n v="100"/>
    <n v="100"/>
    <n v="100"/>
    <n v="0.08"/>
    <n v="44"/>
    <x v="2"/>
    <m/>
    <s v="Structural Overlay"/>
    <n v="715669.78775032051"/>
    <n v="521623.21224967949"/>
    <n v="1237293"/>
    <n v="1.3"/>
    <n v="30.7"/>
    <n v="40.1"/>
    <s v=""/>
    <s v=""/>
    <n v="1.3"/>
    <s v="E"/>
    <n v="27.1"/>
    <n v="47.1"/>
    <n v="50"/>
    <s v=""/>
    <s v=""/>
    <n v="27.1"/>
    <n v="25.8"/>
    <n v="6"/>
    <n v="7.74"/>
    <n v="19.240104197590476"/>
    <n v="5.772031259277143"/>
    <n v="214360.06570673903"/>
    <n v="4124310"/>
    <n v="25.7"/>
    <n v="1237293"/>
    <n v="1237293"/>
    <n v="0"/>
    <s v=""/>
    <s v=""/>
    <s v="PG-MD 201 RP2-600.15E"/>
  </r>
  <r>
    <s v="eGIS Link"/>
    <n v="383"/>
    <s v="NorthBound Visi-Data"/>
    <s v="63899"/>
    <n v="2017"/>
    <n v="3"/>
    <x v="4"/>
    <s v="PG"/>
    <s v="PG-MD 202 RP5-7"/>
    <s v="0-0.24(N)"/>
    <s v="MD"/>
    <s v="202"/>
    <s v=""/>
    <n v="0"/>
    <n v="0.24"/>
    <s v="N"/>
    <s v=""/>
    <s v=""/>
    <s v=""/>
    <n v="0.48"/>
    <s v="UNDIVIDED"/>
    <s v="URBAN"/>
    <s v="NON-IS"/>
    <n v="14"/>
    <s v=""/>
    <s v=""/>
    <s v=""/>
    <s v=""/>
    <s v=""/>
    <s v=""/>
    <s v=""/>
    <s v=""/>
    <n v="189.73"/>
    <n v="189.73"/>
    <n v="78.900000000000006"/>
    <n v="81.3"/>
    <n v="78.099999999999994"/>
    <n v="0.2"/>
    <n v="23"/>
    <n v="67.66"/>
    <n v="67.66"/>
    <n v="100"/>
    <n v="100"/>
    <n v="100"/>
    <n v="0.08"/>
    <n v="44"/>
    <x v="2"/>
    <m/>
    <s v="Structural Overlay"/>
    <n v="833690.32060903951"/>
    <n v="607643.67939096049"/>
    <n v="1441334"/>
    <n v="4.2"/>
    <n v="35.9"/>
    <n v="33.1"/>
    <s v=""/>
    <s v=""/>
    <n v="4.2"/>
    <s v="E"/>
    <n v="29.4"/>
    <n v="47.1"/>
    <n v="50"/>
    <s v=""/>
    <s v=""/>
    <n v="29.4"/>
    <n v="25.2"/>
    <n v="6"/>
    <n v="12.096"/>
    <n v="18.792659913925579"/>
    <n v="9.0204767586842785"/>
    <n v="159784.68084986586"/>
    <n v="3002779.166666667"/>
    <n v="25.2"/>
    <n v="1441334"/>
    <n v="1441334"/>
    <n v="0"/>
    <s v=""/>
    <s v=""/>
    <s v="PG-MD 202 RP5-700.24N"/>
  </r>
  <r>
    <s v="eGIS Link"/>
    <n v="364"/>
    <s v="West Bound Visi-Data"/>
    <s v="53290"/>
    <n v="2017"/>
    <n v="3"/>
    <x v="4"/>
    <s v="MO"/>
    <s v="MO-MD 655B"/>
    <s v="0-0.38(W)"/>
    <s v="MD"/>
    <s v="655"/>
    <s v="B"/>
    <n v="0"/>
    <n v="0.38"/>
    <s v="W"/>
    <s v=""/>
    <s v=""/>
    <s v=""/>
    <n v="0.76"/>
    <s v="UNDIVIDED"/>
    <s v="URBAN"/>
    <s v="NON-IS"/>
    <n v="19"/>
    <s v=""/>
    <s v=""/>
    <s v=""/>
    <s v=""/>
    <s v=""/>
    <s v=""/>
    <s v=""/>
    <s v=""/>
    <n v="187.21"/>
    <n v="187.21"/>
    <n v="86.45"/>
    <n v="84.8"/>
    <n v="87"/>
    <n v="0.17"/>
    <n v="42"/>
    <n v="67.010000000000005"/>
    <n v="67.010000000000005"/>
    <n v="100"/>
    <n v="100"/>
    <n v="100"/>
    <n v="0.08"/>
    <n v="44"/>
    <x v="2"/>
    <m/>
    <s v="Structural Overlay"/>
    <n v="673642.67605717212"/>
    <n v="490991.32394282788"/>
    <n v="1164634"/>
    <n v="4.5999999999999996"/>
    <n v="38.299999999999997"/>
    <n v="46.6"/>
    <s v=""/>
    <s v=""/>
    <n v="4.5999999999999996"/>
    <s v="E"/>
    <n v="29.6"/>
    <n v="47.1"/>
    <n v="50"/>
    <s v=""/>
    <s v=""/>
    <n v="29.6"/>
    <n v="25"/>
    <n v="6"/>
    <n v="19"/>
    <n v="18.643511819370612"/>
    <n v="14.169068982721665"/>
    <n v="82195.520497514808"/>
    <n v="1532413.1578947369"/>
    <n v="24.9"/>
    <n v="1164634"/>
    <n v="1164634"/>
    <n v="0"/>
    <s v=""/>
    <s v=""/>
    <s v="MO-MD 655B00.38W"/>
  </r>
  <r>
    <s v="eGIS Link"/>
    <n v="431"/>
    <s v="SouthBound Visi-Data"/>
    <s v="63921"/>
    <n v="2017"/>
    <n v="3"/>
    <x v="4"/>
    <s v="PG"/>
    <s v="PG-MD 295 RP1-3"/>
    <s v="0-0.01(S)"/>
    <s v="MD"/>
    <s v="295"/>
    <s v=""/>
    <n v="0"/>
    <n v="0.01"/>
    <s v="S"/>
    <s v=""/>
    <s v=""/>
    <s v=""/>
    <n v="0.02"/>
    <s v="UNDIVIDED"/>
    <s v="URBAN"/>
    <s v="NON-IS"/>
    <n v="12"/>
    <s v=""/>
    <s v=""/>
    <s v=""/>
    <s v=""/>
    <s v=""/>
    <s v=""/>
    <s v=""/>
    <s v=""/>
    <n v="154.59"/>
    <n v="154.59"/>
    <n v="63.274999999999999"/>
    <n v="74.900000000000006"/>
    <n v="59.4"/>
    <n v="0.14000000000000001"/>
    <n v="37"/>
    <n v="59.49"/>
    <n v="59.49"/>
    <n v="100"/>
    <n v="100"/>
    <n v="100"/>
    <n v="0.08"/>
    <n v="44"/>
    <x v="2"/>
    <m/>
    <s v="Structural Overlay"/>
    <n v="680604.48830808024"/>
    <n v="496065.51169191976"/>
    <n v="1176670"/>
    <n v="11.3"/>
    <n v="50"/>
    <n v="20.8"/>
    <s v=""/>
    <s v=""/>
    <n v="11.3"/>
    <s v="D"/>
    <n v="44"/>
    <n v="50"/>
    <n v="50"/>
    <s v=""/>
    <s v=""/>
    <n v="44"/>
    <n v="32.700000000000003"/>
    <n v="6"/>
    <n v="0.65400000000000003"/>
    <n v="24.385713459736767"/>
    <n v="0.48771426919473537"/>
    <n v="2412621.6400081934"/>
    <n v="58833500"/>
    <n v="32.6"/>
    <n v="1176670"/>
    <n v="1176670"/>
    <n v="0"/>
    <s v=""/>
    <s v=""/>
    <s v="PG-MD 295 RP1-300.01S"/>
  </r>
  <r>
    <s v="eGIS Link"/>
    <n v="401"/>
    <s v="West Bound Visi-Data"/>
    <s v="53241"/>
    <n v="2017"/>
    <n v="3"/>
    <x v="4"/>
    <s v="MO"/>
    <s v="MO-MD 117"/>
    <s v="12.6-12.708(W)"/>
    <s v="MD"/>
    <s v="117"/>
    <s v=""/>
    <n v="12.6"/>
    <n v="12.708"/>
    <s v="W"/>
    <s v="SPUR FR MD 355"/>
    <s v="S FREDERICK RD"/>
    <n v="2"/>
    <n v="0.21"/>
    <s v="UNDIVIDED"/>
    <s v="RURAL"/>
    <s v="NON-IS"/>
    <n v="16"/>
    <s v="F"/>
    <n v="209.54"/>
    <n v="117.11"/>
    <n v="57.5"/>
    <n v="68.2"/>
    <n v="53.9"/>
    <n v="0.26"/>
    <n v="40"/>
    <n v="160.65"/>
    <n v="160.65"/>
    <n v="78.525000000000006"/>
    <n v="87.6"/>
    <n v="75.5"/>
    <n v="0.18"/>
    <n v="43"/>
    <n v="60.43"/>
    <n v="60.43"/>
    <n v="100"/>
    <n v="100"/>
    <n v="100"/>
    <n v="0.08"/>
    <n v="44"/>
    <x v="2"/>
    <m/>
    <s v="Structural Overlay"/>
    <n v="895783.92724125774"/>
    <n v="364786.07275874226"/>
    <n v="1260570"/>
    <n v="23.2"/>
    <n v="50"/>
    <n v="40.299999999999997"/>
    <s v=""/>
    <s v=""/>
    <n v="23.2"/>
    <s v="C"/>
    <n v="50"/>
    <n v="50"/>
    <n v="50"/>
    <s v=""/>
    <s v=""/>
    <n v="50"/>
    <n v="26.8"/>
    <n v="6"/>
    <n v="5.6280000000000001"/>
    <n v="19.985844670365299"/>
    <n v="4.1970273807767127"/>
    <n v="300348.29073874559"/>
    <n v="6002714.2857142864"/>
    <n v="40.9"/>
    <n v="1260570"/>
    <n v="1260570"/>
    <n v="0"/>
    <s v=""/>
    <s v="2004"/>
    <s v="MO-MD 11712.612.708W"/>
  </r>
  <r>
    <s v="eGIS Link"/>
    <n v="347"/>
    <s v="West Bound Visi-Data"/>
    <s v="63890"/>
    <n v="2017"/>
    <n v="3"/>
    <x v="4"/>
    <s v="PG"/>
    <s v="PG-MD 202 RP3-7"/>
    <s v="0-0.26(W)"/>
    <s v="MD"/>
    <s v="202"/>
    <s v=""/>
    <n v="0"/>
    <n v="0.26"/>
    <s v="W"/>
    <s v=""/>
    <s v=""/>
    <s v=""/>
    <n v="0.52"/>
    <s v="UNDIVIDED"/>
    <s v="URBAN"/>
    <s v="NON-IS"/>
    <n v="14"/>
    <s v=""/>
    <s v=""/>
    <s v=""/>
    <s v=""/>
    <s v=""/>
    <s v=""/>
    <s v=""/>
    <s v=""/>
    <n v="131.4"/>
    <n v="131.4"/>
    <n v="83.075000000000003"/>
    <n v="86.6"/>
    <n v="81.900000000000006"/>
    <n v="0.18"/>
    <n v="27"/>
    <n v="88.46"/>
    <n v="88.46"/>
    <n v="100"/>
    <n v="100"/>
    <n v="100"/>
    <n v="0.15"/>
    <n v="49"/>
    <x v="5"/>
    <m/>
    <s v="Preventive Maintenance"/>
    <n v="115818.50400866865"/>
    <n v="84415.495991331351"/>
    <n v="200234"/>
    <n v="16.100000000000001"/>
    <n v="50"/>
    <n v="50"/>
    <s v=""/>
    <s v=""/>
    <n v="16.100000000000001"/>
    <s v="D"/>
    <n v="25.4"/>
    <n v="50"/>
    <n v="50"/>
    <s v=""/>
    <s v=""/>
    <n v="25.4"/>
    <n v="9.2999999999999972"/>
    <n v="4"/>
    <n v="4.8359999999999985"/>
    <n v="6.9353863968058658"/>
    <n v="3.6064009263390502"/>
    <n v="55521.835783039976"/>
    <n v="385065.38461538462"/>
    <n v="9.3000000000000007"/>
    <n v="200234"/>
    <n v="200234"/>
    <n v="0"/>
    <s v=""/>
    <s v=""/>
    <s v="PG-MD 202 RP3-700.26W"/>
  </r>
  <r>
    <s v="eGIS Link"/>
    <n v="70"/>
    <s v="EastBound Visi-Data"/>
    <s v="40017"/>
    <n v="2017"/>
    <n v="4"/>
    <x v="14"/>
    <s v="HA"/>
    <s v="HA-MD 23"/>
    <s v="16.4-17.7(E)"/>
    <s v="MD"/>
    <s v="23"/>
    <s v=""/>
    <n v="16.399999999999999"/>
    <n v="17.7"/>
    <s v="E"/>
    <s v="HARFORD CREAMERY RD"/>
    <s v="UREY RD"/>
    <n v="2"/>
    <n v="2.6"/>
    <s v="UNDIVIDED"/>
    <s v="RURAL"/>
    <s v="NON-IS"/>
    <n v="7"/>
    <s v="FCJ"/>
    <n v="98.4"/>
    <n v="115.79"/>
    <s v=""/>
    <s v=""/>
    <s v=""/>
    <n v="0.18"/>
    <n v="65"/>
    <n v="62.44"/>
    <n v="62.44"/>
    <n v="88.625"/>
    <n v="91.7"/>
    <n v="87.6"/>
    <n v="0.19"/>
    <n v="48"/>
    <n v="64.930000000000007"/>
    <n v="64.930000000000007"/>
    <n v="88.1"/>
    <n v="92.3"/>
    <n v="86.7"/>
    <n v="0.19"/>
    <n v="46"/>
    <x v="0"/>
    <m/>
    <s v="Preventive Maintenance"/>
    <n v="12456.784146146907"/>
    <n v="3607.215853853093"/>
    <n v="16064"/>
    <n v="39.6"/>
    <n v="36.1"/>
    <n v="37.5"/>
    <s v=""/>
    <s v=""/>
    <n v="36.1"/>
    <s v="B"/>
    <n v="39.1"/>
    <n v="37.5"/>
    <n v="37.5"/>
    <s v=""/>
    <s v=""/>
    <n v="37.5"/>
    <n v="1.3999999999999986"/>
    <n v="1"/>
    <n v="5.2"/>
    <n v="1.4914809455496492"/>
    <n v="3.877850458429088"/>
    <n v="4142.5011542367483"/>
    <n v="6178.4615384615381"/>
    <n v="1.4"/>
    <n v="16064"/>
    <n v="16064"/>
    <n v="0"/>
    <s v=""/>
    <s v="1990"/>
    <s v="HA-MD 2316.417.7E"/>
  </r>
  <r>
    <s v="eGIS Link"/>
    <n v="16"/>
    <s v="SouthBound Visi-Data"/>
    <s v="40026"/>
    <n v="2017"/>
    <n v="4"/>
    <x v="14"/>
    <s v="HA"/>
    <s v="HA-MD 136"/>
    <s v="26.43-30.04(S)"/>
    <s v="MD"/>
    <s v="136"/>
    <s v=""/>
    <n v="26.43"/>
    <n v="30.04"/>
    <s v="S"/>
    <s v="TELEGRAPH RD"/>
    <s v="NORRISVILLE RD"/>
    <n v="2"/>
    <n v="7.22"/>
    <s v="UNDIVIDED"/>
    <s v="RURAL"/>
    <s v="NON-IS"/>
    <n v="7"/>
    <s v="F"/>
    <n v="129.13"/>
    <n v="140.36000000000001"/>
    <n v="86.9"/>
    <n v="94.2"/>
    <n v="84.4"/>
    <n v="0.15"/>
    <n v="61"/>
    <n v="94"/>
    <n v="94"/>
    <n v="84.2"/>
    <n v="83.6"/>
    <n v="84.4"/>
    <n v="0.16"/>
    <n v="56"/>
    <n v="98.07"/>
    <n v="98.07"/>
    <n v="82.9"/>
    <n v="85.3"/>
    <n v="82.1"/>
    <n v="0.16"/>
    <n v="54"/>
    <x v="0"/>
    <m/>
    <s v="Preventive Maintenance"/>
    <n v="8977.3524688709385"/>
    <n v="2599.6475311290615"/>
    <n v="11577"/>
    <n v="26.6"/>
    <n v="27.6"/>
    <n v="21.2"/>
    <s v=""/>
    <s v=""/>
    <n v="21.2"/>
    <s v="C"/>
    <n v="26.5"/>
    <n v="29.4"/>
    <n v="21.2"/>
    <s v=""/>
    <s v=""/>
    <n v="21.2"/>
    <n v="1"/>
    <n v="1"/>
    <n v="14.44"/>
    <n v="1.4914809455496492"/>
    <n v="10.768492426868466"/>
    <n v="1075.0808507896822"/>
    <n v="1603.4626038781164"/>
    <n v="0"/>
    <n v="11577"/>
    <n v="11577"/>
    <n v="0"/>
    <s v=""/>
    <s v="1995"/>
    <s v="HA-MD 13626.4330.04S"/>
  </r>
  <r>
    <s v="eGIS Link"/>
    <n v="176"/>
    <s v="SouthBound Visi-Data"/>
    <s v="40026"/>
    <n v="2017"/>
    <n v="4"/>
    <x v="14"/>
    <s v="HA"/>
    <s v="HA-MD 136"/>
    <s v="0-1.12(S)"/>
    <s v="MD"/>
    <s v="136"/>
    <s v=""/>
    <n v="0"/>
    <n v="1.1200000000000001"/>
    <s v="S"/>
    <s v="PHILADELPHIA RD"/>
    <s v="ENT BYNUM HILLS"/>
    <n v="2.1"/>
    <n v="2.35"/>
    <s v="UNDIVIDED"/>
    <s v="URBAN"/>
    <s v="NON-IS"/>
    <n v="8"/>
    <s v="F"/>
    <n v="123.99"/>
    <n v="129.1"/>
    <n v="67.900000000000006"/>
    <n v="92.5"/>
    <n v="59.7"/>
    <n v="0.16"/>
    <n v="53"/>
    <n v="173.27"/>
    <n v="173.27"/>
    <n v="73.474999999999994"/>
    <n v="83.9"/>
    <n v="70"/>
    <n v="0.18"/>
    <n v="46"/>
    <n v="83.74"/>
    <n v="83.74"/>
    <n v="100"/>
    <n v="100"/>
    <n v="100"/>
    <n v="0.08"/>
    <n v="49"/>
    <x v="1"/>
    <m/>
    <s v="Minor Rehabilitation"/>
    <n v="168533.98970185674"/>
    <n v="109904.01029814326"/>
    <n v="278438"/>
    <n v="10.7"/>
    <n v="24.9"/>
    <n v="13.5"/>
    <s v=""/>
    <s v=""/>
    <n v="10.7"/>
    <s v="D"/>
    <n v="30.7"/>
    <n v="34.4"/>
    <n v="27.3"/>
    <s v=""/>
    <s v=""/>
    <n v="27.3"/>
    <n v="16.600000000000001"/>
    <n v="6"/>
    <n v="39.010000000000005"/>
    <n v="12.37929184806209"/>
    <n v="29.091335842945913"/>
    <n v="9571.1658448134076"/>
    <n v="118484.25531914893"/>
    <n v="16.600000000000001"/>
    <n v="278438"/>
    <n v="278438"/>
    <n v="0"/>
    <s v=""/>
    <s v="2001"/>
    <s v="HA-MD 13601.12S"/>
  </r>
  <r>
    <s v="eGIS Link"/>
    <n v="42"/>
    <s v="West Bound Visi-Data"/>
    <s v="40395"/>
    <n v="2017"/>
    <n v="4"/>
    <x v="14"/>
    <s v="HA"/>
    <s v="HA-US 40"/>
    <s v="10.71-13.1(W)"/>
    <s v="US"/>
    <s v="40"/>
    <s v=""/>
    <n v="10.71"/>
    <n v="13.1"/>
    <s v="W"/>
    <s v="OLD PHILADELPHIA RD"/>
    <s v="W BELAIR AVE"/>
    <n v="2.5"/>
    <n v="5.98"/>
    <s v="DIVIDED"/>
    <s v="URBAN"/>
    <s v="NON-IS"/>
    <n v="14"/>
    <s v="FCJ"/>
    <n v="88.05"/>
    <n v="81.099999999999994"/>
    <n v="94.3"/>
    <n v="93.6"/>
    <n v="94.6"/>
    <n v="0.19"/>
    <n v="51"/>
    <n v="148.66999999999999"/>
    <n v="148.66999999999999"/>
    <n v="64.974999999999994"/>
    <n v="83.8"/>
    <n v="58.7"/>
    <n v="0.13"/>
    <n v="49"/>
    <n v="58.1"/>
    <n v="58.1"/>
    <n v="100"/>
    <n v="100"/>
    <n v="100"/>
    <n v="0.08"/>
    <n v="49"/>
    <x v="2"/>
    <m/>
    <s v="Structural Overlay"/>
    <n v="229062.36215886936"/>
    <n v="149375.63784113064"/>
    <n v="378438"/>
    <n v="16.100000000000001"/>
    <n v="50"/>
    <n v="50"/>
    <s v=""/>
    <s v=""/>
    <n v="16.100000000000001"/>
    <s v="D"/>
    <n v="50"/>
    <n v="50"/>
    <n v="50"/>
    <s v=""/>
    <s v=""/>
    <n v="50"/>
    <n v="33.9"/>
    <n v="6"/>
    <n v="202.72200000000001"/>
    <n v="25.28060202706655"/>
    <n v="151.17800012185799"/>
    <n v="2503.2610544851609"/>
    <n v="63283.946488294307"/>
    <n v="37.5"/>
    <n v="378438"/>
    <n v="378438"/>
    <n v="0"/>
    <s v=""/>
    <s v="2009"/>
    <s v="HA-US 4010.7113.1W"/>
  </r>
  <r>
    <s v="eGIS Link"/>
    <n v="67"/>
    <s v="EastBound Visi-Data"/>
    <s v="40011"/>
    <n v="2017"/>
    <n v="4"/>
    <x v="14"/>
    <s v="HA"/>
    <s v="HA-MD 7"/>
    <s v="4.52-6(E)"/>
    <s v="MD"/>
    <s v="7"/>
    <s v=""/>
    <n v="4.5199999999999996"/>
    <n v="6"/>
    <s v="E"/>
    <s v="VIETNAM VETERANS MEMORIAL HWY"/>
    <s v="PEVERLY RD"/>
    <n v="2.2000000000000002"/>
    <n v="3.26"/>
    <s v="UNDIVIDED"/>
    <s v="URBAN"/>
    <s v="NON-IS"/>
    <n v="16"/>
    <s v="FCJ"/>
    <n v="193.54"/>
    <n v="208.15"/>
    <n v="76.900000000000006"/>
    <n v="81.099999999999994"/>
    <n v="75.5"/>
    <n v="0.18"/>
    <n v="46"/>
    <n v="123.53"/>
    <n v="123.53"/>
    <n v="83.8"/>
    <n v="84.7"/>
    <n v="83.5"/>
    <n v="0.22"/>
    <n v="53"/>
    <n v="53.05"/>
    <n v="53.05"/>
    <n v="100"/>
    <n v="100"/>
    <n v="100"/>
    <n v="0.12"/>
    <n v="49"/>
    <x v="2"/>
    <m/>
    <s v="Structural Overlay"/>
    <n v="160474.03162548094"/>
    <n v="104647.96837451906"/>
    <n v="265122"/>
    <n v="21.9"/>
    <n v="50"/>
    <n v="50"/>
    <s v=""/>
    <s v=""/>
    <n v="21.9"/>
    <s v="C"/>
    <n v="50"/>
    <n v="50"/>
    <n v="50"/>
    <s v=""/>
    <s v=""/>
    <n v="50"/>
    <n v="28.1"/>
    <n v="6"/>
    <n v="91.605999999999995"/>
    <n v="20.955307284972573"/>
    <n v="68.314301749010582"/>
    <n v="3880.9150238272009"/>
    <n v="81325.766871165644"/>
    <n v="34.9"/>
    <n v="265122"/>
    <n v="265122"/>
    <n v="0"/>
    <s v=""/>
    <s v="1996"/>
    <s v="HA-MD 74.526E"/>
  </r>
  <r>
    <s v="eGIS Link"/>
    <n v="61"/>
    <s v="NorthBound Visi-Data"/>
    <s v="40046"/>
    <n v="2017"/>
    <n v="4"/>
    <x v="14"/>
    <s v="HA"/>
    <s v="HA-MD 623"/>
    <s v="0-3.14(N)"/>
    <s v="MD"/>
    <s v="623"/>
    <s v=""/>
    <n v="0"/>
    <n v="3.14"/>
    <s v="N"/>
    <s v="MAIN ST"/>
    <s v="CASTLETON RD"/>
    <n v="2"/>
    <n v="6.28"/>
    <s v="UNDIVIDED"/>
    <s v="URBAN"/>
    <s v="NON-IS"/>
    <n v="8"/>
    <s v="F"/>
    <n v="214.84"/>
    <n v="210.03"/>
    <n v="87.4"/>
    <n v="80.400000000000006"/>
    <n v="89.7"/>
    <n v="0.16"/>
    <n v="50"/>
    <n v="138.57"/>
    <n v="138.57"/>
    <n v="77.400000000000006"/>
    <n v="85.8"/>
    <n v="74.599999999999994"/>
    <n v="0.18"/>
    <n v="40"/>
    <n v="56.03"/>
    <n v="56.03"/>
    <n v="100"/>
    <n v="100"/>
    <n v="100"/>
    <n v="0.08"/>
    <n v="49"/>
    <x v="2"/>
    <m/>
    <s v="Structural Overlay"/>
    <n v="327728.45153359644"/>
    <n v="213717.54846640356"/>
    <n v="541446"/>
    <n v="18.399999999999999"/>
    <n v="50"/>
    <n v="50"/>
    <s v=""/>
    <s v=""/>
    <n v="18.399999999999999"/>
    <s v="D"/>
    <n v="50"/>
    <n v="50"/>
    <n v="50"/>
    <s v=""/>
    <s v=""/>
    <n v="50"/>
    <n v="31.6"/>
    <n v="6"/>
    <n v="198.44800000000001"/>
    <n v="23.56539893968446"/>
    <n v="147.99070534121842"/>
    <n v="3658.6486884537899"/>
    <n v="86217.515923566869"/>
    <n v="36.4"/>
    <n v="541446"/>
    <n v="541446"/>
    <n v="0"/>
    <s v=""/>
    <s v="2012"/>
    <s v="HA-MD 62303.14N"/>
  </r>
  <r>
    <s v="eGIS Link"/>
    <n v="209"/>
    <s v="NorthBound Visi-Data"/>
    <s v="40048"/>
    <n v="2017"/>
    <n v="4"/>
    <x v="14"/>
    <s v="HA"/>
    <s v="HA-MD 646"/>
    <s v="0-3.31(N)"/>
    <s v="MD"/>
    <s v="646"/>
    <s v=""/>
    <n v="0"/>
    <n v="3.31"/>
    <s v="N"/>
    <s v="ADY RD"/>
    <s v="WHITEFORD RD"/>
    <n v="2"/>
    <n v="6.62"/>
    <s v="UNDIVIDED"/>
    <s v="RURAL"/>
    <s v="NON-IS"/>
    <n v="8"/>
    <s v="F"/>
    <n v="135.33000000000001"/>
    <n v="148.31"/>
    <n v="96.3"/>
    <n v="98"/>
    <n v="95.7"/>
    <n v="0.16"/>
    <n v="52"/>
    <n v="151.29"/>
    <n v="151.29"/>
    <n v="61.2"/>
    <n v="74.099999999999994"/>
    <n v="56.9"/>
    <n v="0.13"/>
    <n v="52"/>
    <n v="58.44"/>
    <n v="58.44"/>
    <n v="100"/>
    <n v="100"/>
    <n v="100"/>
    <n v="0.08"/>
    <n v="49"/>
    <x v="2"/>
    <m/>
    <s v="Structural Overlay"/>
    <n v="1776579.8240416001"/>
    <n v="514459.17595839989"/>
    <n v="2291039"/>
    <n v="19.5"/>
    <n v="40.4"/>
    <n v="11.7"/>
    <s v=""/>
    <s v=""/>
    <n v="11.7"/>
    <s v="D"/>
    <n v="50"/>
    <n v="50"/>
    <n v="50"/>
    <s v=""/>
    <s v=""/>
    <n v="50"/>
    <n v="38.299999999999997"/>
    <n v="6"/>
    <n v="253.54599999999999"/>
    <n v="28.561860107275777"/>
    <n v="189.07951391016564"/>
    <n v="12116.80182914213"/>
    <n v="346078.39879154076"/>
    <n v="48.2"/>
    <n v="2291039"/>
    <n v="2291039"/>
    <n v="0"/>
    <s v=""/>
    <s v="2004"/>
    <s v="HA-MD 64603.31N"/>
  </r>
  <r>
    <s v="eGIS Link"/>
    <n v="73"/>
    <s v="NorthBound Visi-Data"/>
    <s v="40046"/>
    <n v="2017"/>
    <n v="4"/>
    <x v="14"/>
    <s v="HA"/>
    <s v="HA-MD 623"/>
    <s v="3.14-4.55(N)"/>
    <s v="MD"/>
    <s v="623"/>
    <s v=""/>
    <n v="3.14"/>
    <n v="4.55"/>
    <s v="N"/>
    <s v="CASTLETON RD"/>
    <s v="BROAD CREEK LANDING RD"/>
    <n v="2"/>
    <n v="2.82"/>
    <s v="UNDIVIDED"/>
    <s v="URBAN"/>
    <s v="NON-IS"/>
    <n v="8"/>
    <s v="F"/>
    <n v="128.51"/>
    <n v="190.97"/>
    <n v="57.7"/>
    <n v="81.900000000000006"/>
    <n v="49.7"/>
    <n v="0.18"/>
    <n v="52"/>
    <n v="144.5"/>
    <n v="144.5"/>
    <n v="80.575000000000003"/>
    <n v="84.1"/>
    <n v="79.400000000000006"/>
    <n v="0.23"/>
    <n v="49"/>
    <n v="57.23"/>
    <n v="57.23"/>
    <n v="100"/>
    <n v="100"/>
    <n v="100"/>
    <n v="0.12"/>
    <n v="49"/>
    <x v="2"/>
    <m/>
    <s v="Structural Overlay"/>
    <n v="184727.7504690059"/>
    <n v="120464.2495309941"/>
    <n v="305192"/>
    <n v="17.2"/>
    <n v="50"/>
    <n v="50"/>
    <s v=""/>
    <s v=""/>
    <n v="17.2"/>
    <s v="D"/>
    <n v="50"/>
    <n v="50"/>
    <n v="50"/>
    <s v=""/>
    <s v=""/>
    <n v="50"/>
    <n v="32.799999999999997"/>
    <n v="6"/>
    <n v="92.495999999999981"/>
    <n v="24.460287507014243"/>
    <n v="68.978010769780155"/>
    <n v="4424.4824777363274"/>
    <n v="108224.11347517731"/>
    <n v="36.9"/>
    <n v="305192"/>
    <n v="305192"/>
    <n v="0"/>
    <s v=""/>
    <s v="2000"/>
    <s v="HA-MD 6233.144.55N"/>
  </r>
  <r>
    <s v="eGIS Link"/>
    <n v="114"/>
    <s v="NorthBound Visi-Data"/>
    <s v="40393"/>
    <n v="2017"/>
    <n v="4"/>
    <x v="14"/>
    <s v="HA"/>
    <s v="HA-US 1"/>
    <s v="10.65-13.65(N)"/>
    <s v="US"/>
    <s v="1"/>
    <s v=""/>
    <n v="10.65"/>
    <n v="13.65"/>
    <s v="N"/>
    <s v="FORGE HILL RD"/>
    <s v="FORGE HILL RD"/>
    <n v="2"/>
    <n v="6"/>
    <s v="UNDIVIDED"/>
    <s v="URBAN"/>
    <s v="NON-IS"/>
    <n v="2"/>
    <s v="FCJ"/>
    <n v="125.13"/>
    <n v="117.2"/>
    <n v="77.099999999999994"/>
    <n v="73.900000000000006"/>
    <n v="78.2"/>
    <n v="0.15"/>
    <n v="57"/>
    <n v="189.92"/>
    <n v="189.92"/>
    <n v="85.974999999999994"/>
    <n v="83.8"/>
    <n v="86.7"/>
    <n v="0.19"/>
    <n v="41"/>
    <n v="67.290000000000006"/>
    <n v="67.290000000000006"/>
    <n v="100"/>
    <n v="100"/>
    <n v="100"/>
    <n v="0.08"/>
    <n v="49"/>
    <x v="2"/>
    <m/>
    <s v="Structural Overlay"/>
    <n v="532463.85551826784"/>
    <n v="347229.14448173216"/>
    <n v="879693"/>
    <n v="6.6"/>
    <n v="39.1"/>
    <n v="49.9"/>
    <s v=""/>
    <s v=""/>
    <n v="6.6"/>
    <s v="E"/>
    <n v="37.6"/>
    <n v="48.5"/>
    <n v="50"/>
    <s v=""/>
    <s v=""/>
    <n v="37.6"/>
    <n v="31"/>
    <n v="6"/>
    <n v="186"/>
    <n v="23.117954656019563"/>
    <n v="138.70772793611738"/>
    <n v="6342.0619246618153"/>
    <n v="146615.5"/>
    <n v="30.9"/>
    <n v="879693"/>
    <n v="879693"/>
    <n v="0"/>
    <s v=""/>
    <s v="1988"/>
    <s v="HA-US 110.6513.65N"/>
  </r>
  <r>
    <s v="eGIS Link"/>
    <n v="60"/>
    <s v="EastBound Visi-Data"/>
    <s v="40013"/>
    <n v="2017"/>
    <n v="4"/>
    <x v="14"/>
    <s v="HA"/>
    <s v="HA-MD 22"/>
    <s v="10-12.91(E)"/>
    <s v="MD"/>
    <s v="22"/>
    <s v=""/>
    <n v="10"/>
    <n v="12.91"/>
    <s v="E"/>
    <s v="RAMP 6 FR IS 95 TO MD 22"/>
    <s v="E BEL AIR AVE"/>
    <n v="2.2999999999999998"/>
    <n v="6.69"/>
    <s v="DIVIDED"/>
    <s v="RURAL"/>
    <s v="NON-IS"/>
    <n v="12"/>
    <s v="F"/>
    <n v="94.7"/>
    <n v="81.59"/>
    <n v="68.7"/>
    <n v="72.2"/>
    <n v="67.599999999999994"/>
    <n v="0.13"/>
    <n v="50"/>
    <n v="85.11"/>
    <n v="85.11"/>
    <n v="83.95"/>
    <n v="88.9"/>
    <n v="82.3"/>
    <n v="0.13"/>
    <n v="49"/>
    <n v="91.78"/>
    <n v="91.78"/>
    <n v="97.075000000000003"/>
    <n v="99.4"/>
    <n v="96.3"/>
    <n v="0.13"/>
    <n v="55"/>
    <x v="4"/>
    <m/>
    <s v="Preventive Maintenance"/>
    <n v="122595.87918036527"/>
    <n v="35501.120819634729"/>
    <n v="158097"/>
    <n v="41.2"/>
    <n v="32.799999999999997"/>
    <n v="28.4"/>
    <s v=""/>
    <s v=""/>
    <n v="28.4"/>
    <s v="C"/>
    <n v="37.1"/>
    <n v="42.2"/>
    <n v="39.1"/>
    <s v=""/>
    <s v=""/>
    <n v="37.1"/>
    <n v="8.7000000000000028"/>
    <n v="4"/>
    <n v="58.203000000000024"/>
    <n v="6.487942113140976"/>
    <n v="43.404332736913133"/>
    <n v="3642.4243855624741"/>
    <n v="23631.838565022419"/>
    <n v="8.6999999999999993"/>
    <n v="158097"/>
    <n v="158097"/>
    <n v="0"/>
    <s v=""/>
    <s v="1993"/>
    <s v="HA-MD 221012.91E"/>
  </r>
  <r>
    <s v="eGIS Link"/>
    <n v="99"/>
    <s v="EastBound Visi-Data"/>
    <s v="40042"/>
    <n v="2017"/>
    <n v="4"/>
    <x v="14"/>
    <s v="HA"/>
    <s v="HA-MD 440"/>
    <s v="0-1.95(E)"/>
    <s v="MD"/>
    <s v="440"/>
    <s v=""/>
    <n v="0"/>
    <n v="1.95"/>
    <s v="E"/>
    <s v="ADY RD"/>
    <s v="SPEED LIMIT 35 MPH"/>
    <n v="2"/>
    <n v="3.9"/>
    <s v="UNDIVIDED"/>
    <s v="RURAL"/>
    <s v="NON-IS"/>
    <n v="8"/>
    <s v="F"/>
    <n v="107.59"/>
    <n v="124.99"/>
    <n v="72.2"/>
    <n v="75.900000000000006"/>
    <n v="71"/>
    <n v="0.13"/>
    <n v="50"/>
    <n v="106"/>
    <n v="106"/>
    <n v="82.125"/>
    <n v="87.3"/>
    <n v="80.400000000000006"/>
    <n v="0.11"/>
    <n v="54"/>
    <n v="115.52"/>
    <n v="115.52"/>
    <n v="96.525000000000006"/>
    <n v="99.3"/>
    <n v="95.6"/>
    <n v="0.11"/>
    <n v="55"/>
    <x v="4"/>
    <m/>
    <s v="Preventive Maintenance"/>
    <n v="100305.64883418792"/>
    <n v="29046.351165812084"/>
    <n v="129352"/>
    <n v="24.4"/>
    <n v="29.4"/>
    <n v="19.399999999999999"/>
    <s v=""/>
    <s v=""/>
    <n v="19.399999999999999"/>
    <s v="D"/>
    <n v="25"/>
    <n v="37.9"/>
    <n v="27.6"/>
    <s v=""/>
    <s v=""/>
    <n v="25"/>
    <n v="5.6000000000000014"/>
    <n v="4"/>
    <n v="31.2"/>
    <n v="5.9659237821985966"/>
    <n v="23.267102750574526"/>
    <n v="5559.4373475144412"/>
    <n v="33167.179487179485"/>
    <n v="5.5"/>
    <n v="129352"/>
    <n v="129352"/>
    <n v="0"/>
    <s v=""/>
    <s v="2001"/>
    <s v="HA-MD 44001.95E"/>
  </r>
  <r>
    <s v="eGIS Link"/>
    <n v="26"/>
    <s v="NorthBound Visi-Data"/>
    <s v="40045"/>
    <n v="2017"/>
    <n v="4"/>
    <x v="14"/>
    <s v="HA"/>
    <s v="HA-MD 543"/>
    <s v="10.43-14.99(N)"/>
    <s v="MD"/>
    <s v="543"/>
    <s v=""/>
    <n v="10.43"/>
    <n v="14.99"/>
    <s v="N"/>
    <s v="CONOWINGO RD"/>
    <s v="DUBLIN RD"/>
    <n v="2"/>
    <n v="9.1199999999999992"/>
    <s v="UNDIVIDED"/>
    <s v="RURAL"/>
    <s v="NON-IS"/>
    <n v="7"/>
    <s v="F"/>
    <n v="137.78"/>
    <n v="156.1"/>
    <n v="63.9"/>
    <n v="75.3"/>
    <n v="60"/>
    <n v="0.13"/>
    <n v="52"/>
    <n v="146.62"/>
    <n v="146.62"/>
    <n v="42.475000000000001"/>
    <n v="54.1"/>
    <n v="38.6"/>
    <n v="0.17"/>
    <n v="49"/>
    <n v="91.88"/>
    <n v="91.88"/>
    <n v="100"/>
    <n v="100"/>
    <n v="100"/>
    <n v="0.17"/>
    <n v="49"/>
    <x v="8"/>
    <m/>
    <s v="Minor Rehabilitation"/>
    <n v="298811.6072995764"/>
    <n v="86529.392700423603"/>
    <n v="385341"/>
    <n v="27.7"/>
    <n v="8.5"/>
    <n v="0"/>
    <s v=""/>
    <s v=""/>
    <n v="0"/>
    <s v="F"/>
    <n v="41"/>
    <n v="50"/>
    <n v="50"/>
    <s v=""/>
    <s v=""/>
    <n v="41"/>
    <n v="41"/>
    <n v="4"/>
    <n v="373.91999999999996"/>
    <n v="30.575359383767807"/>
    <n v="278.84727757996239"/>
    <n v="1381.9069827192393"/>
    <n v="42252.302631578954"/>
    <n v="41"/>
    <n v="385341"/>
    <n v="385341"/>
    <n v="0"/>
    <s v=""/>
    <s v="1999"/>
    <s v="HA-MD 54310.4314.99N"/>
  </r>
  <r>
    <s v="eGIS Link"/>
    <n v="333"/>
    <s v="NorthBound Visi-Data"/>
    <s v="40012"/>
    <n v="2017"/>
    <n v="4"/>
    <x v="14"/>
    <s v="HA"/>
    <s v="HA-MD 7A"/>
    <s v="1.46-2(N)"/>
    <s v="MD"/>
    <s v="7"/>
    <s v="A"/>
    <n v="1.46"/>
    <n v="2"/>
    <s v="N"/>
    <s v="REVOLUTION ST"/>
    <s v="FRANKLIN ST"/>
    <n v="2.1"/>
    <n v="1.1299999999999999"/>
    <s v="UNDIVIDED"/>
    <s v="URBAN"/>
    <s v="NON-IS"/>
    <n v="16"/>
    <s v="F"/>
    <n v="201.64"/>
    <n v="214.13"/>
    <s v=""/>
    <s v=""/>
    <s v=""/>
    <n v="0.22"/>
    <n v="45"/>
    <n v="122.53"/>
    <n v="122.53"/>
    <n v="80.474999999999994"/>
    <n v="76.8"/>
    <n v="81.7"/>
    <n v="0.14000000000000001"/>
    <n v="49"/>
    <n v="83.97"/>
    <n v="83.97"/>
    <n v="100"/>
    <n v="100"/>
    <n v="100"/>
    <n v="0.12"/>
    <n v="49"/>
    <x v="5"/>
    <m/>
    <s v="Preventive Maintenance"/>
    <n v="172663.23527087414"/>
    <n v="112596.76472912586"/>
    <n v="285260"/>
    <n v="17.399999999999999"/>
    <n v="28.4"/>
    <n v="44.9"/>
    <s v=""/>
    <s v=""/>
    <n v="17.399999999999999"/>
    <s v="D"/>
    <n v="25.1"/>
    <n v="48.5"/>
    <n v="50"/>
    <s v=""/>
    <s v=""/>
    <n v="25.1"/>
    <n v="7.7000000000000028"/>
    <n v="4"/>
    <n v="9.0399999999999991"/>
    <n v="5.9659237821985966"/>
    <n v="6.7414938738844139"/>
    <n v="42314.063520113334"/>
    <n v="252442.47787610622"/>
    <n v="7.8"/>
    <n v="285260"/>
    <n v="285260"/>
    <n v="0"/>
    <s v=""/>
    <s v="1988"/>
    <s v="HA-MD 7A1.462N"/>
  </r>
  <r>
    <s v="eGIS Link"/>
    <n v="120"/>
    <s v="NorthBound Visi-Data"/>
    <s v="40393"/>
    <n v="2017"/>
    <n v="4"/>
    <x v="14"/>
    <s v="HA"/>
    <s v="HA-US 1"/>
    <s v="16.85-17.95(N)"/>
    <s v="US"/>
    <s v="1"/>
    <s v=""/>
    <n v="16.850000000000001"/>
    <n v="17.95"/>
    <s v="N"/>
    <s v="BERKLEY RD"/>
    <s v="MAIN ST"/>
    <n v="2"/>
    <n v="2.2000000000000002"/>
    <s v="UNDIVIDED"/>
    <s v="URBAN"/>
    <s v="NON-IS"/>
    <n v="2"/>
    <s v="F"/>
    <n v="83.7"/>
    <n v="83.3"/>
    <n v="96.7"/>
    <n v="94.6"/>
    <n v="97.4"/>
    <n v="0.12"/>
    <n v="54"/>
    <n v="132.27000000000001"/>
    <n v="132.27000000000001"/>
    <n v="86.974999999999994"/>
    <n v="87.2"/>
    <n v="86.9"/>
    <n v="0.2"/>
    <n v="35"/>
    <n v="88.66"/>
    <n v="88.66"/>
    <n v="100"/>
    <n v="100"/>
    <n v="100"/>
    <n v="0.17"/>
    <n v="49"/>
    <x v="5"/>
    <m/>
    <s v="Preventive Maintenance"/>
    <n v="73156.406802719139"/>
    <n v="47706.593197280861"/>
    <n v="120863"/>
    <n v="19.5"/>
    <n v="50"/>
    <n v="50"/>
    <s v=""/>
    <s v=""/>
    <n v="19.5"/>
    <s v="D"/>
    <n v="30.8"/>
    <n v="50"/>
    <n v="50"/>
    <s v=""/>
    <s v=""/>
    <n v="30.8"/>
    <n v="11.3"/>
    <n v="4"/>
    <n v="24.860000000000003"/>
    <n v="8.4268673423555178"/>
    <n v="18.539108153182141"/>
    <n v="6519.3535202098974"/>
    <n v="54937.727272727265"/>
    <n v="11.3"/>
    <n v="120863"/>
    <n v="120863"/>
    <n v="0"/>
    <s v=""/>
    <s v="2005"/>
    <s v="HA-US 116.8517.95N"/>
  </r>
  <r>
    <s v="eGIS Link"/>
    <n v="80"/>
    <s v="SouthBound Visi-Data"/>
    <s v="40393"/>
    <n v="2017"/>
    <n v="4"/>
    <x v="14"/>
    <s v="HA"/>
    <s v="HA-US 1"/>
    <s v="0-1.2(S)"/>
    <s v="US"/>
    <s v="1"/>
    <s v=""/>
    <n v="0"/>
    <n v="1.2"/>
    <s v="S"/>
    <s v="BALTIMORE CO/L"/>
    <s v="WILGIS RD"/>
    <n v="4.0999999999999996"/>
    <n v="4.92"/>
    <s v="UNDIVIDED"/>
    <s v="URBAN"/>
    <s v="NON-IS"/>
    <n v="2"/>
    <s v="FCJ"/>
    <n v="91.03"/>
    <n v="104.41"/>
    <n v="100"/>
    <n v="99.9"/>
    <n v="100"/>
    <n v="0.18"/>
    <n v="42"/>
    <n v="154.94999999999999"/>
    <n v="154.94999999999999"/>
    <n v="86.974999999999994"/>
    <n v="87.2"/>
    <n v="86.9"/>
    <n v="0.16"/>
    <n v="37"/>
    <n v="100.82"/>
    <n v="100.82"/>
    <n v="100"/>
    <n v="100"/>
    <n v="100"/>
    <n v="0.14000000000000001"/>
    <n v="49"/>
    <x v="5"/>
    <m/>
    <s v="Preventive Maintenance"/>
    <n v="124413.64845049112"/>
    <n v="81132.35154950888"/>
    <n v="205546"/>
    <n v="15.5"/>
    <n v="50"/>
    <n v="50"/>
    <s v=""/>
    <s v=""/>
    <n v="15.5"/>
    <s v="D"/>
    <n v="27.2"/>
    <n v="50"/>
    <n v="50"/>
    <s v=""/>
    <s v=""/>
    <n v="27.2"/>
    <n v="11.7"/>
    <n v="4"/>
    <n v="57.563999999999993"/>
    <n v="8.7251635314654479"/>
    <n v="42.927804574810004"/>
    <n v="4788.1787115806574"/>
    <n v="41777.642276422768"/>
    <n v="11.8"/>
    <n v="205546"/>
    <n v="205546"/>
    <n v="0"/>
    <s v=""/>
    <s v="2008"/>
    <s v="HA-US 101.2S"/>
  </r>
  <r>
    <s v="eGIS Link"/>
    <n v="286"/>
    <s v="West Bound Visi-Data"/>
    <s v="40017"/>
    <n v="2017"/>
    <n v="4"/>
    <x v="14"/>
    <s v="HA"/>
    <s v="HA-MD 23"/>
    <s v="17.7-18.97(W)"/>
    <s v="MD"/>
    <s v="23"/>
    <s v=""/>
    <n v="17.7"/>
    <n v="18.97"/>
    <s v="W"/>
    <s v="MEADOW TREE DR"/>
    <s v="NEW PARK RD"/>
    <n v="2"/>
    <n v="2.54"/>
    <s v="UNDIVIDED"/>
    <s v="URBAN"/>
    <s v="NON-IS"/>
    <n v="7"/>
    <s v="F"/>
    <n v="92.16"/>
    <n v="104.08"/>
    <n v="97.5"/>
    <n v="97.8"/>
    <n v="97.5"/>
    <n v="0.2"/>
    <n v="52"/>
    <n v="67.260000000000005"/>
    <n v="67.260000000000005"/>
    <n v="86.974999999999994"/>
    <n v="87.2"/>
    <n v="86.9"/>
    <n v="0.15"/>
    <n v="57"/>
    <n v="54.53"/>
    <n v="54.53"/>
    <n v="100"/>
    <n v="100"/>
    <n v="100"/>
    <n v="0.13"/>
    <n v="49"/>
    <x v="5"/>
    <m/>
    <s v="Preventive Maintenance"/>
    <n v="198532.45637527676"/>
    <n v="129466.54362472324"/>
    <n v="327999"/>
    <n v="33.9"/>
    <n v="50"/>
    <n v="50"/>
    <s v=""/>
    <s v=""/>
    <n v="33.9"/>
    <s v="B"/>
    <n v="37.200000000000003"/>
    <n v="50"/>
    <n v="50"/>
    <s v=""/>
    <s v=""/>
    <n v="37.200000000000003"/>
    <n v="4"/>
    <n v="4"/>
    <n v="20.32"/>
    <n v="5.9659237821985966"/>
    <n v="15.153446406784436"/>
    <n v="21645.175044348307"/>
    <n v="129133.46456692913"/>
    <n v="3.3"/>
    <n v="327999"/>
    <n v="327999"/>
    <n v="0"/>
    <s v=""/>
    <s v="1990"/>
    <s v="HA-MD 2317.718.97W"/>
  </r>
  <r>
    <s v="eGIS Link"/>
    <n v="402"/>
    <s v="SouthBound Visi-Data"/>
    <s v="40342"/>
    <n v="2017"/>
    <n v="4"/>
    <x v="14"/>
    <s v="HA"/>
    <s v="HA-US 40 RP2-11"/>
    <s v="0-0.2(S)"/>
    <s v="US"/>
    <s v="40"/>
    <s v=""/>
    <n v="0"/>
    <n v="0.2"/>
    <s v="S"/>
    <s v=""/>
    <s v=""/>
    <n v="1"/>
    <n v="0.2"/>
    <s v="UNDIVIDED"/>
    <s v="URBAN"/>
    <s v="NON-IS"/>
    <n v="14"/>
    <s v="F"/>
    <s v=""/>
    <s v=""/>
    <s v=""/>
    <s v=""/>
    <s v=""/>
    <s v=""/>
    <s v=""/>
    <n v="95.98"/>
    <n v="95.98"/>
    <n v="86.45"/>
    <n v="83.6"/>
    <n v="87.4"/>
    <n v="0.14000000000000001"/>
    <n v="43"/>
    <n v="70.239999999999995"/>
    <n v="70.239999999999995"/>
    <n v="100"/>
    <n v="100"/>
    <n v="100"/>
    <n v="0.12"/>
    <n v="49"/>
    <x v="5"/>
    <m/>
    <s v="Preventive Maintenance"/>
    <n v="222115.52085197801"/>
    <n v="144845.47914802199"/>
    <n v="366961"/>
    <n v="17.7"/>
    <n v="37.6"/>
    <n v="46.9"/>
    <s v=""/>
    <s v=""/>
    <n v="17.7"/>
    <s v="D"/>
    <n v="22.8"/>
    <n v="47.1"/>
    <n v="50"/>
    <s v=""/>
    <s v=""/>
    <n v="22.8"/>
    <n v="5.1000000000000014"/>
    <n v="4"/>
    <n v="1.6"/>
    <n v="5.9659237821985966"/>
    <n v="1.1931847564397193"/>
    <n v="307547.50931863685"/>
    <n v="1834805"/>
    <n v="5.0999999999999996"/>
    <n v="366961"/>
    <n v="366961"/>
    <n v="0"/>
    <s v=""/>
    <s v=""/>
    <s v="HA-US 40 RP2-1100.2S"/>
  </r>
  <r>
    <s v="eGIS Link"/>
    <n v="115"/>
    <s v="NorthBound Visi-Data"/>
    <s v="40053"/>
    <n v="2017"/>
    <n v="4"/>
    <x v="14"/>
    <s v="HA"/>
    <s v="HA-MD 924"/>
    <s v="4.81-5.93(N)"/>
    <s v="MD"/>
    <s v="924"/>
    <s v=""/>
    <n v="4.8099999999999996"/>
    <n v="5.93"/>
    <s v="N"/>
    <s v="ENT TO WAKE FOREST ELEM SCHOOL"/>
    <s v="GORDON ST"/>
    <n v="2.4"/>
    <n v="2.69"/>
    <s v="UNDIVIDED"/>
    <s v="URBAN"/>
    <s v="NON-IS"/>
    <n v="16"/>
    <s v="F"/>
    <n v="189.14"/>
    <n v="233.35"/>
    <s v=""/>
    <s v=""/>
    <s v=""/>
    <n v="0.19"/>
    <n v="42"/>
    <n v="126.03"/>
    <n v="126.03"/>
    <n v="88.575000000000003"/>
    <n v="91.2"/>
    <n v="87.7"/>
    <n v="0.16"/>
    <n v="47"/>
    <n v="85.22"/>
    <n v="85.22"/>
    <n v="100"/>
    <n v="100"/>
    <n v="100"/>
    <n v="0.14000000000000001"/>
    <n v="49"/>
    <x v="5"/>
    <m/>
    <s v="Preventive Maintenance"/>
    <n v="78209.92061915512"/>
    <n v="51002.07938084488"/>
    <n v="129212"/>
    <n v="21.8"/>
    <n v="50"/>
    <n v="50"/>
    <s v=""/>
    <s v=""/>
    <n v="21.8"/>
    <s v="C"/>
    <n v="31.9"/>
    <n v="50"/>
    <n v="50"/>
    <s v=""/>
    <s v=""/>
    <n v="31.9"/>
    <n v="10.099999999999998"/>
    <n v="4"/>
    <n v="27.168999999999993"/>
    <n v="7.5319787750257268"/>
    <n v="20.261022904819203"/>
    <n v="6377.3680434103926"/>
    <n v="48034.200743494424"/>
    <n v="10.199999999999999"/>
    <n v="129212"/>
    <n v="129212"/>
    <n v="0"/>
    <s v=""/>
    <s v="2012"/>
    <s v="HA-MD 9244.815.93N"/>
  </r>
  <r>
    <s v="eGIS Link"/>
    <n v="284"/>
    <s v="West Bound Visi-Data"/>
    <s v="40011"/>
    <n v="2017"/>
    <n v="4"/>
    <x v="14"/>
    <s v="HA"/>
    <s v="HA-MD 7"/>
    <s v="8.25-9.03(W)"/>
    <s v="MD"/>
    <s v="7"/>
    <s v=""/>
    <n v="8.25"/>
    <n v="9.0299999999999994"/>
    <s v="W"/>
    <s v="RIVERSIDE PKWY/CRESWELL RD"/>
    <s v="BRISTOL FOREST DR"/>
    <n v="2.5"/>
    <n v="1.95"/>
    <s v="DIVIDED"/>
    <s v="RURAL"/>
    <s v="NON-IS"/>
    <n v="16"/>
    <s v="F"/>
    <n v="151.35"/>
    <n v="112.56"/>
    <n v="96.2"/>
    <n v="97.5"/>
    <n v="95.8"/>
    <n v="0.16"/>
    <n v="47"/>
    <n v="155.77000000000001"/>
    <n v="155.77000000000001"/>
    <n v="87.224999999999994"/>
    <n v="86.1"/>
    <n v="87.6"/>
    <n v="0.16"/>
    <n v="50"/>
    <n v="100.79"/>
    <n v="100.79"/>
    <n v="100"/>
    <n v="100"/>
    <n v="100"/>
    <n v="0.14000000000000001"/>
    <n v="49"/>
    <x v="5"/>
    <m/>
    <s v="Preventive Maintenance"/>
    <n v="367164.95342323248"/>
    <n v="106323.04657676752"/>
    <n v="473488"/>
    <n v="20.7"/>
    <n v="50"/>
    <n v="48.8"/>
    <s v=""/>
    <s v=""/>
    <n v="20.7"/>
    <s v="C"/>
    <n v="36.1"/>
    <n v="50"/>
    <n v="50"/>
    <s v=""/>
    <s v=""/>
    <n v="36.1"/>
    <n v="15.400000000000002"/>
    <n v="4"/>
    <n v="30.030000000000005"/>
    <n v="11.4844032807323"/>
    <n v="22.394586397427986"/>
    <n v="21142.966947332414"/>
    <n v="242814.35897435897"/>
    <n v="15.4"/>
    <n v="473488"/>
    <n v="473488"/>
    <n v="0"/>
    <s v=""/>
    <s v="2001"/>
    <s v="HA-MD 78.259.03W"/>
  </r>
  <r>
    <s v="eGIS Link"/>
    <n v="398"/>
    <s v="West Bound Visi-Data"/>
    <s v="40346"/>
    <n v="2017"/>
    <n v="4"/>
    <x v="14"/>
    <s v="HA"/>
    <s v="HA-US 40 RP2-14"/>
    <s v="0-0.17(W)"/>
    <s v="US"/>
    <s v="40"/>
    <s v=""/>
    <n v="0"/>
    <n v="0.17"/>
    <s v="W"/>
    <s v=""/>
    <s v=""/>
    <n v="1"/>
    <n v="0.17"/>
    <s v="UNDIVIDED"/>
    <s v="URBAN"/>
    <s v="NON-IS"/>
    <n v="14"/>
    <s v=""/>
    <s v=""/>
    <s v=""/>
    <s v=""/>
    <s v=""/>
    <s v=""/>
    <s v=""/>
    <s v=""/>
    <n v="91.1"/>
    <n v="91.1"/>
    <n v="90.025000000000006"/>
    <n v="83.8"/>
    <n v="92.1"/>
    <n v="0.13"/>
    <n v="47"/>
    <n v="67.63"/>
    <n v="67.63"/>
    <n v="100"/>
    <n v="100"/>
    <n v="100"/>
    <n v="0.11"/>
    <n v="49"/>
    <x v="5"/>
    <m/>
    <s v="Preventive Maintenance"/>
    <n v="177115.09706508744"/>
    <n v="115499.90293491256"/>
    <n v="292615"/>
    <n v="18.7"/>
    <n v="37.700000000000003"/>
    <n v="50"/>
    <s v=""/>
    <s v=""/>
    <n v="18.7"/>
    <s v="D"/>
    <n v="23.4"/>
    <n v="47.1"/>
    <n v="50"/>
    <s v=""/>
    <s v=""/>
    <n v="23.4"/>
    <n v="4.6999999999999993"/>
    <n v="4"/>
    <n v="1.36"/>
    <n v="5.9659237821985966"/>
    <n v="1.0142070429737615"/>
    <n v="288516.04021800333"/>
    <n v="1721264.7058823528"/>
    <n v="4.7"/>
    <n v="292615"/>
    <n v="292615"/>
    <n v="0"/>
    <s v=""/>
    <s v=""/>
    <s v="HA-US 40 RP2-1400.17W"/>
  </r>
  <r>
    <s v="eGIS Link"/>
    <n v="76"/>
    <s v="SouthBound Visi-Data"/>
    <s v="40026"/>
    <n v="2017"/>
    <n v="4"/>
    <x v="14"/>
    <s v="HA"/>
    <s v="HA-MD 136"/>
    <s v="3.96-6.19(S)"/>
    <s v="MD"/>
    <s v="136"/>
    <s v=""/>
    <n v="3.96"/>
    <n v="6.19"/>
    <s v="S"/>
    <s v="STRUC #12034 JAMES RUN"/>
    <s v="CHURCHVILLE RD"/>
    <n v="2.1"/>
    <n v="4.68"/>
    <s v="UNDIVIDED"/>
    <s v="RURAL"/>
    <s v="NON-IS"/>
    <n v="7"/>
    <s v="F"/>
    <n v="108.09"/>
    <n v="126.94"/>
    <n v="89.5"/>
    <n v="95.2"/>
    <n v="87.6"/>
    <n v="0.12"/>
    <n v="54"/>
    <n v="102.29"/>
    <n v="102.29"/>
    <n v="87.224999999999994"/>
    <n v="86.1"/>
    <n v="87.6"/>
    <n v="0.16"/>
    <n v="51"/>
    <n v="72.319999999999993"/>
    <n v="72.319999999999993"/>
    <n v="100"/>
    <n v="100"/>
    <n v="100"/>
    <n v="0.14000000000000001"/>
    <n v="49"/>
    <x v="5"/>
    <m/>
    <s v="Preventive Maintenance"/>
    <n v="142975.40757583879"/>
    <n v="41402.592424161208"/>
    <n v="184378"/>
    <n v="36.299999999999997"/>
    <n v="50"/>
    <n v="48.8"/>
    <s v=""/>
    <s v=""/>
    <n v="36.299999999999997"/>
    <s v="B"/>
    <n v="47.9"/>
    <n v="50"/>
    <n v="50"/>
    <s v=""/>
    <s v=""/>
    <n v="47.9"/>
    <n v="11.600000000000001"/>
    <n v="4"/>
    <n v="54.288000000000004"/>
    <n v="8.6505894841879662"/>
    <n v="40.484758785999681"/>
    <n v="4554.2570964696242"/>
    <n v="39397.008547008547"/>
    <n v="11.5"/>
    <n v="184378"/>
    <n v="184378"/>
    <n v="0"/>
    <s v=""/>
    <s v="2002"/>
    <s v="HA-MD 1363.966.19S"/>
  </r>
  <r>
    <s v="eGIS Link"/>
    <n v="174"/>
    <s v="EastBound Visi-Data"/>
    <s v="40013"/>
    <n v="2017"/>
    <n v="4"/>
    <x v="14"/>
    <s v="HA"/>
    <s v="HA-MD 22"/>
    <s v="5.6-9.25(E)"/>
    <s v="MD"/>
    <s v="22"/>
    <s v=""/>
    <n v="5.6"/>
    <n v="9.25"/>
    <s v="E"/>
    <s v="GLENVILLE RD"/>
    <s v="ALDINO STEPNEY RD"/>
    <n v="2.2999999999999998"/>
    <n v="8.4"/>
    <s v="UNDIVIDED"/>
    <s v="RURAL"/>
    <s v="NON-IS"/>
    <n v="2"/>
    <s v="F"/>
    <n v="59.11"/>
    <n v="61.49"/>
    <n v="92.5"/>
    <n v="95.7"/>
    <n v="91.5"/>
    <n v="0.19"/>
    <n v="50"/>
    <n v="146.44999999999999"/>
    <n v="146.44999999999999"/>
    <n v="79.875"/>
    <n v="78.900000000000006"/>
    <n v="80.2"/>
    <n v="0.14000000000000001"/>
    <n v="44"/>
    <n v="96.05"/>
    <n v="96.05"/>
    <n v="100"/>
    <n v="100"/>
    <n v="100"/>
    <n v="0.12"/>
    <n v="49"/>
    <x v="5"/>
    <m/>
    <s v="Preventive Maintenance"/>
    <n v="620146.85455862642"/>
    <n v="179581.14544137358"/>
    <n v="799728"/>
    <n v="16.5"/>
    <n v="19.5"/>
    <n v="24.6"/>
    <s v=""/>
    <s v=""/>
    <n v="16.5"/>
    <s v="D"/>
    <n v="29.9"/>
    <n v="43.9"/>
    <n v="42.1"/>
    <s v=""/>
    <s v=""/>
    <n v="29.9"/>
    <n v="13.399999999999999"/>
    <n v="4"/>
    <n v="112.55999999999999"/>
    <n v="9.9929223351826479"/>
    <n v="83.940547615534243"/>
    <n v="9527.314542465534"/>
    <n v="95205.714285714275"/>
    <n v="13.4"/>
    <n v="799728"/>
    <n v="799728"/>
    <n v="0"/>
    <s v=""/>
    <s v="2009"/>
    <s v="HA-MD 225.69.25E"/>
  </r>
  <r>
    <s v="eGIS Link"/>
    <n v="285"/>
    <s v="SouthBound Visi-Data"/>
    <s v="40026"/>
    <n v="2017"/>
    <n v="4"/>
    <x v="14"/>
    <s v="HA"/>
    <s v="HA-MD 136"/>
    <s v="11.81-12.8(S)"/>
    <s v="MD"/>
    <s v="136"/>
    <s v=""/>
    <n v="11.81"/>
    <n v="12.8"/>
    <s v="S"/>
    <s v="CONOWINGO RD"/>
    <s v="DUBLIN SCHOOL RD"/>
    <n v="2.1"/>
    <n v="2.08"/>
    <s v="UNDIVIDED"/>
    <s v="RURAL"/>
    <s v="NON-IS"/>
    <n v="6"/>
    <s v="F"/>
    <n v="115.21"/>
    <n v="99.71"/>
    <n v="66.400000000000006"/>
    <n v="87.1"/>
    <n v="59.4"/>
    <n v="0.22"/>
    <n v="56"/>
    <n v="96.9"/>
    <n v="96.9"/>
    <n v="87.224999999999994"/>
    <n v="86.1"/>
    <n v="87.6"/>
    <n v="0.08"/>
    <n v="51"/>
    <n v="69.510000000000005"/>
    <n v="69.510000000000005"/>
    <n v="100"/>
    <n v="100"/>
    <n v="100"/>
    <n v="7.0000000000000007E-2"/>
    <n v="49"/>
    <x v="5"/>
    <m/>
    <s v="Preventive Maintenance"/>
    <n v="282211.60865561682"/>
    <n v="81722.391344383184"/>
    <n v="363934"/>
    <n v="35.700000000000003"/>
    <n v="50"/>
    <n v="48.8"/>
    <s v=""/>
    <s v=""/>
    <n v="35.700000000000003"/>
    <s v="B"/>
    <n v="46.6"/>
    <n v="50"/>
    <n v="50"/>
    <s v=""/>
    <s v=""/>
    <n v="46.6"/>
    <n v="10.899999999999999"/>
    <n v="4"/>
    <n v="22.671999999999997"/>
    <n v="8.128571153245586"/>
    <n v="16.907427998750819"/>
    <n v="21525.095362043758"/>
    <n v="174968.26923076922"/>
    <n v="10.9"/>
    <n v="363934"/>
    <n v="363934"/>
    <n v="0"/>
    <s v=""/>
    <s v="2001"/>
    <s v="HA-MD 13611.8112.8S"/>
  </r>
  <r>
    <s v="eGIS Link"/>
    <n v="51"/>
    <s v="SouthBound Visi-Data"/>
    <s v="40040"/>
    <n v="2017"/>
    <n v="4"/>
    <x v="14"/>
    <s v="HA"/>
    <s v="HA-MD 165"/>
    <s v="6.8-9.8(S)"/>
    <s v="MD"/>
    <s v="165"/>
    <s v=""/>
    <n v="6.8"/>
    <n v="9.8000000000000007"/>
    <s v="S"/>
    <s v="W JARRETTSVILLE RD"/>
    <s v="TWIN OAKS RD"/>
    <n v="2.2999999999999998"/>
    <n v="6.9"/>
    <s v="UNDIVIDED"/>
    <s v="RURAL"/>
    <s v="NON-IS"/>
    <n v="6"/>
    <s v="FCJ"/>
    <n v="146.43"/>
    <n v="132"/>
    <s v=""/>
    <s v=""/>
    <s v=""/>
    <n v="0.16"/>
    <n v="47"/>
    <n v="140.4"/>
    <n v="140.4"/>
    <n v="87.224999999999994"/>
    <n v="86.1"/>
    <n v="87.6"/>
    <n v="0.17"/>
    <n v="52"/>
    <n v="92.55"/>
    <n v="92.55"/>
    <n v="100"/>
    <n v="100"/>
    <n v="100"/>
    <n v="0.14000000000000001"/>
    <n v="49"/>
    <x v="5"/>
    <m/>
    <s v="Preventive Maintenance"/>
    <n v="185145.00286042638"/>
    <n v="53613.997139573621"/>
    <n v="238759"/>
    <n v="22.2"/>
    <n v="50"/>
    <n v="48.8"/>
    <s v=""/>
    <s v=""/>
    <n v="22.2"/>
    <s v="C"/>
    <n v="36.6"/>
    <n v="50"/>
    <n v="50"/>
    <s v=""/>
    <s v=""/>
    <n v="36.6"/>
    <n v="14.400000000000002"/>
    <n v="4"/>
    <n v="99.360000000000014"/>
    <n v="10.738662807957477"/>
    <n v="74.09677337490659"/>
    <n v="3222.2590691224009"/>
    <n v="34602.753623188401"/>
    <n v="14.4"/>
    <n v="238759"/>
    <n v="238759"/>
    <n v="0"/>
    <s v=""/>
    <s v="1985"/>
    <s v="HA-MD 1656.89.8S"/>
  </r>
  <r>
    <s v="eGIS Link"/>
    <n v="405"/>
    <s v="NorthBound Visi-Data"/>
    <s v="40031"/>
    <n v="2017"/>
    <n v="4"/>
    <x v="14"/>
    <s v="HA"/>
    <s v="HA-MD 152A"/>
    <s v="0-0.09(N)"/>
    <s v="MD"/>
    <s v="152"/>
    <s v="A"/>
    <n v="0"/>
    <n v="0.09"/>
    <s v="N"/>
    <s v=""/>
    <s v=""/>
    <n v="2"/>
    <n v="0.18"/>
    <s v="UNDIVIDED"/>
    <s v="URBAN"/>
    <s v="NON-IS"/>
    <n v="9"/>
    <s v=""/>
    <n v="429.42"/>
    <s v=""/>
    <s v=""/>
    <s v=""/>
    <s v=""/>
    <s v=""/>
    <s v=""/>
    <n v="63.84"/>
    <n v="63.84"/>
    <n v="92.45"/>
    <n v="94.1"/>
    <n v="91.9"/>
    <n v="0.15"/>
    <n v="49"/>
    <n v="52.76"/>
    <n v="52.76"/>
    <n v="100"/>
    <n v="100"/>
    <n v="100"/>
    <n v="0.13"/>
    <n v="49"/>
    <x v="5"/>
    <m/>
    <s v="Preventive Maintenance"/>
    <n v="213091.34580236202"/>
    <n v="138960.65419763798"/>
    <n v="352052"/>
    <n v="35.299999999999997"/>
    <n v="50"/>
    <n v="50"/>
    <s v=""/>
    <s v=""/>
    <n v="35.299999999999997"/>
    <s v="B"/>
    <n v="38"/>
    <n v="50"/>
    <n v="50"/>
    <s v=""/>
    <s v=""/>
    <n v="38"/>
    <n v="4"/>
    <n v="4"/>
    <n v="1.44"/>
    <n v="5.9659237821985966"/>
    <n v="1.0738662807957473"/>
    <n v="327835.975759594"/>
    <n v="1955844.4444444445"/>
    <n v="2.7"/>
    <n v="352052"/>
    <n v="352052"/>
    <n v="0"/>
    <s v=""/>
    <s v=""/>
    <s v="HA-MD 152A00.09N"/>
  </r>
  <r>
    <s v="eGIS Link"/>
    <n v="271"/>
    <s v="SouthBound Visi-Data"/>
    <s v="20041"/>
    <n v="2017"/>
    <n v="4"/>
    <x v="15"/>
    <s v="BA"/>
    <s v="BA-MD 695"/>
    <s v="6.5-8.75(S)"/>
    <s v="MD"/>
    <s v="695"/>
    <s v=""/>
    <n v="6.5"/>
    <n v="8.75"/>
    <s v="S"/>
    <s v="STRUC #3248"/>
    <s v="END BR"/>
    <n v="2"/>
    <n v="4.5"/>
    <s v="DIVIDED"/>
    <s v="URBAN"/>
    <s v="NON-IS"/>
    <n v="12"/>
    <s v="F"/>
    <n v="77.22"/>
    <n v="72.84"/>
    <s v=""/>
    <s v=""/>
    <s v=""/>
    <n v="0.14000000000000001"/>
    <n v="48"/>
    <n v="82.46"/>
    <n v="82.46"/>
    <n v="88.65"/>
    <n v="88.8"/>
    <n v="88.6"/>
    <n v="0.14000000000000001"/>
    <n v="46"/>
    <n v="84.61"/>
    <n v="84.61"/>
    <n v="90.25"/>
    <n v="90.4"/>
    <n v="90.2"/>
    <n v="0.14000000000000001"/>
    <n v="46"/>
    <x v="6"/>
    <m/>
    <s v="Preventive Maintenance"/>
    <n v="156655.90189089259"/>
    <n v="102158.09810910741"/>
    <n v="258814"/>
    <n v="37.200000000000003"/>
    <n v="29.7"/>
    <n v="29.4"/>
    <s v=""/>
    <s v=""/>
    <n v="29.4"/>
    <s v="C"/>
    <n v="36.9"/>
    <n v="32.4"/>
    <n v="32.4"/>
    <s v=""/>
    <s v=""/>
    <n v="32.4"/>
    <n v="3"/>
    <n v="2"/>
    <n v="18"/>
    <n v="2.9829618910992983"/>
    <n v="13.423328509946842"/>
    <n v="19280.910826865023"/>
    <n v="57514.222222222219"/>
    <n v="3"/>
    <n v="258814"/>
    <n v="258814"/>
    <n v="0"/>
    <s v=""/>
    <s v="2003"/>
    <s v="BA-MD 6956.58.75S"/>
  </r>
  <r>
    <s v="eGIS Link"/>
    <n v="309"/>
    <s v="SouthBound Visi-Data"/>
    <s v="20041"/>
    <n v="2017"/>
    <n v="4"/>
    <x v="15"/>
    <s v="BA"/>
    <s v="BA-MD 695"/>
    <s v="8.75-9.223(S)"/>
    <s v="MD"/>
    <s v="695"/>
    <s v=""/>
    <n v="8.75"/>
    <n v="9.2230000000000008"/>
    <s v="S"/>
    <s v="RAMP 2 FR MD 151 TO MD 695"/>
    <s v="END BR"/>
    <n v="2"/>
    <n v="0.94"/>
    <s v="DIVIDED"/>
    <s v="URBAN"/>
    <s v="NON-IS"/>
    <n v="12"/>
    <s v="RC"/>
    <n v="148.69"/>
    <n v="116.33"/>
    <s v=""/>
    <s v=""/>
    <s v=""/>
    <n v="0.21"/>
    <n v="54"/>
    <n v="137.79"/>
    <n v="137.79"/>
    <n v="88.525000000000006"/>
    <n v="87.1"/>
    <n v="89"/>
    <n v="0.21"/>
    <n v="54"/>
    <n v="74.3"/>
    <n v="74.3"/>
    <n v="87.825000000000003"/>
    <n v="86.4"/>
    <n v="88.3"/>
    <n v="0.21"/>
    <n v="54"/>
    <x v="3"/>
    <m/>
    <s v="Preventive Maintenance"/>
    <n v="286325.83420555072"/>
    <n v="186718.16579444928"/>
    <n v="473044"/>
    <n v="8.9"/>
    <n v="50"/>
    <n v="35.200000000000003"/>
    <s v=""/>
    <s v=""/>
    <n v="8.9"/>
    <s v="E"/>
    <n v="32.9"/>
    <n v="50"/>
    <n v="35.200000000000003"/>
    <s v=""/>
    <s v=""/>
    <n v="32.9"/>
    <n v="24"/>
    <n v="5"/>
    <n v="22.56"/>
    <n v="17.897771346595789"/>
    <n v="16.823905065800041"/>
    <n v="28117.372164778379"/>
    <n v="503238.29787234048"/>
    <n v="23.9"/>
    <n v="473044"/>
    <n v="473044"/>
    <n v="0"/>
    <s v=""/>
    <s v="1998"/>
    <s v="BA-MD 6958.759.223S"/>
  </r>
  <r>
    <s v="eGIS Link"/>
    <n v="9"/>
    <s v="NorthBound Visi-Data"/>
    <s v="21436"/>
    <n v="2017"/>
    <n v="4"/>
    <x v="15"/>
    <s v="BA"/>
    <s v="BA-US 1"/>
    <s v="22.2-23.25(N)"/>
    <s v="US"/>
    <s v="1"/>
    <s v=""/>
    <n v="22.2"/>
    <n v="23.25"/>
    <s v="N"/>
    <s v="ENT TO PARK &amp; RIDE"/>
    <s v="SHERADALE DR"/>
    <n v="2.5"/>
    <n v="2.62"/>
    <s v="DIVIDED"/>
    <s v="RURAL"/>
    <s v="NON-IS"/>
    <n v="2"/>
    <s v="F"/>
    <n v="64.5"/>
    <n v="64.14"/>
    <n v="85.1"/>
    <n v="81.900000000000006"/>
    <n v="86.1"/>
    <n v="0.12"/>
    <n v="49"/>
    <n v="69.36"/>
    <n v="69.36"/>
    <n v="83.125"/>
    <n v="82"/>
    <n v="83.5"/>
    <n v="0.12"/>
    <n v="47"/>
    <n v="71.95"/>
    <n v="71.95"/>
    <n v="83.375"/>
    <n v="84.8"/>
    <n v="82.9"/>
    <n v="0.12"/>
    <n v="45"/>
    <x v="0"/>
    <m/>
    <s v="Preventive Maintenance"/>
    <n v="3895.0713873316681"/>
    <n v="1127.9286126683319"/>
    <n v="5023"/>
    <n v="35.5"/>
    <n v="28.1"/>
    <n v="31.7"/>
    <s v=""/>
    <s v=""/>
    <n v="28.1"/>
    <s v="C"/>
    <n v="35.1"/>
    <n v="31.6"/>
    <n v="31.7"/>
    <s v=""/>
    <s v=""/>
    <n v="31.6"/>
    <n v="3.5"/>
    <n v="1"/>
    <n v="9.17"/>
    <n v="2.6100916547118862"/>
    <n v="6.8384401353451425"/>
    <n v="734.5242336827863"/>
    <n v="1917.175572519084"/>
    <n v="3.5"/>
    <n v="5023"/>
    <n v="5023"/>
    <n v="0"/>
    <s v=""/>
    <s v="2000"/>
    <s v="BA-US 122.223.25N"/>
  </r>
  <r>
    <s v="eGIS Link"/>
    <n v="300"/>
    <s v="West Bound Visi-Data"/>
    <s v="19995"/>
    <n v="2017"/>
    <n v="4"/>
    <x v="15"/>
    <s v="BA"/>
    <s v="BA-MD 43"/>
    <s v="0-3.61(W)"/>
    <s v="MD"/>
    <s v="43"/>
    <s v=""/>
    <n v="0"/>
    <n v="3.61"/>
    <s v="W"/>
    <s v="BALTO BELTWAY"/>
    <s v="HONEYGO BLVD"/>
    <n v="2.2000000000000002"/>
    <n v="7.94"/>
    <s v="DIVIDED"/>
    <s v="URBAN"/>
    <s v="NON-IS"/>
    <n v="12"/>
    <s v="F"/>
    <n v="89.79"/>
    <n v="73.7"/>
    <n v="99.3"/>
    <n v="99.2"/>
    <n v="99.3"/>
    <n v="0.15"/>
    <n v="52"/>
    <n v="80.23"/>
    <n v="80.23"/>
    <n v="93.55"/>
    <n v="92.2"/>
    <n v="94"/>
    <n v="0.15"/>
    <n v="52"/>
    <n v="51.59"/>
    <n v="51.59"/>
    <n v="100"/>
    <n v="100"/>
    <n v="100"/>
    <n v="0.08"/>
    <n v="49"/>
    <x v="1"/>
    <m/>
    <s v="Minor Rehabilitation"/>
    <n v="1028597.9766041122"/>
    <n v="670767.02339588781"/>
    <n v="1699365"/>
    <n v="31.4"/>
    <n v="32.799999999999997"/>
    <n v="35.799999999999997"/>
    <s v=""/>
    <s v=""/>
    <n v="31.4"/>
    <s v="B"/>
    <n v="50"/>
    <n v="40"/>
    <n v="42.4"/>
    <s v=""/>
    <s v=""/>
    <n v="40"/>
    <n v="8.6000000000000014"/>
    <n v="6"/>
    <n v="95.28"/>
    <n v="8.9488856732978945"/>
    <n v="71.054152245985293"/>
    <n v="23916.477028913079"/>
    <n v="214025.81863979847"/>
    <n v="8.6999999999999993"/>
    <n v="1699365"/>
    <n v="1699365"/>
    <n v="0"/>
    <s v=""/>
    <s v="2006"/>
    <s v="BA-MD 4303.61W"/>
  </r>
  <r>
    <s v="eGIS Link"/>
    <n v="267"/>
    <s v="NorthBound Visi-Data"/>
    <s v="20023"/>
    <n v="2017"/>
    <n v="4"/>
    <x v="15"/>
    <s v="BA"/>
    <s v="BA-MD 147"/>
    <s v="9.22-10.69(N)"/>
    <s v="MD"/>
    <s v="147"/>
    <s v=""/>
    <n v="9.2200000000000006"/>
    <n v="10.69"/>
    <s v="N"/>
    <s v="FORK RD"/>
    <s v="HARFORD CO/L"/>
    <n v="2"/>
    <n v="2.94"/>
    <s v="UNDIVIDED"/>
    <s v="RURAL"/>
    <s v="NON-IS"/>
    <n v="7"/>
    <s v="FCJ"/>
    <n v="196.47"/>
    <n v="235.47"/>
    <n v="83"/>
    <n v="86.9"/>
    <n v="81.7"/>
    <n v="0.18"/>
    <n v="52"/>
    <n v="216.01"/>
    <n v="216.01"/>
    <n v="74.45"/>
    <n v="79.099999999999994"/>
    <n v="72.900000000000006"/>
    <n v="0.18"/>
    <n v="52"/>
    <n v="98.93"/>
    <n v="98.93"/>
    <n v="100"/>
    <n v="100"/>
    <n v="100"/>
    <n v="0.08"/>
    <n v="49"/>
    <x v="1"/>
    <m/>
    <s v="Minor Rehabilitation"/>
    <n v="720606.81738964468"/>
    <n v="208672.18261035532"/>
    <n v="929279"/>
    <n v="4.7"/>
    <n v="25.2"/>
    <n v="16"/>
    <s v=""/>
    <s v=""/>
    <n v="4.7"/>
    <s v="E"/>
    <n v="27.3"/>
    <n v="38.700000000000003"/>
    <n v="31.6"/>
    <s v=""/>
    <s v=""/>
    <n v="27.3"/>
    <n v="22.6"/>
    <n v="6"/>
    <n v="66.444000000000003"/>
    <n v="16.853734684711036"/>
    <n v="49.549979973050441"/>
    <n v="18754.376903995162"/>
    <n v="316081.2925170068"/>
    <n v="22.6"/>
    <n v="929279"/>
    <n v="929279"/>
    <n v="0"/>
    <s v=""/>
    <s v="1999"/>
    <s v="BA-MD 1479.2210.69N"/>
  </r>
  <r>
    <s v="eGIS Link"/>
    <n v="301"/>
    <s v="EastBound Visi-Data"/>
    <s v="19995"/>
    <n v="2017"/>
    <n v="4"/>
    <x v="15"/>
    <s v="BA"/>
    <s v="BA-MD 43"/>
    <s v="0-3.61(E)"/>
    <s v="MD"/>
    <s v="43"/>
    <s v=""/>
    <n v="0"/>
    <n v="3.61"/>
    <s v="E"/>
    <s v="BALTO BELTWAY"/>
    <s v="HONEYGO BLVD"/>
    <n v="2.2999999999999998"/>
    <n v="8.3000000000000007"/>
    <s v="DIVIDED"/>
    <s v="URBAN"/>
    <s v="NON-IS"/>
    <n v="12"/>
    <s v="F"/>
    <n v="86.63"/>
    <n v="80.37"/>
    <n v="97.3"/>
    <n v="98"/>
    <n v="97"/>
    <n v="0.14000000000000001"/>
    <n v="48"/>
    <n v="80.290000000000006"/>
    <n v="80.290000000000006"/>
    <n v="92.85"/>
    <n v="92.1"/>
    <n v="93.1"/>
    <n v="0.14000000000000001"/>
    <n v="48"/>
    <n v="51.61"/>
    <n v="51.61"/>
    <n v="100"/>
    <n v="100"/>
    <n v="100"/>
    <n v="0.08"/>
    <n v="49"/>
    <x v="1"/>
    <m/>
    <s v="Minor Rehabilitation"/>
    <n v="1075352.512624807"/>
    <n v="701256.48737519304"/>
    <n v="1776609"/>
    <n v="31.3"/>
    <n v="32.700000000000003"/>
    <n v="34.9"/>
    <s v=""/>
    <s v=""/>
    <n v="31.3"/>
    <s v="B"/>
    <n v="50"/>
    <n v="40"/>
    <n v="42.4"/>
    <s v=""/>
    <s v=""/>
    <n v="40"/>
    <n v="8.6999999999999993"/>
    <n v="6"/>
    <n v="99.600000000000009"/>
    <n v="8.9488856732978945"/>
    <n v="74.27575108837253"/>
    <n v="23919.098413238647"/>
    <n v="214049.27710843371"/>
    <n v="8.6999999999999993"/>
    <n v="1776609"/>
    <n v="1776609"/>
    <n v="0"/>
    <s v=""/>
    <s v="2006"/>
    <s v="BA-MD 4303.61E"/>
  </r>
  <r>
    <s v="eGIS Link"/>
    <n v="236"/>
    <s v="NorthBound Visi-Data"/>
    <s v="19996"/>
    <n v="2017"/>
    <n v="4"/>
    <x v="15"/>
    <s v="BA"/>
    <s v="BA-MD 45"/>
    <s v="1.86-2.85(N)"/>
    <s v="MD"/>
    <s v="45"/>
    <s v=""/>
    <n v="1.86"/>
    <n v="2.85"/>
    <s v="N"/>
    <s v="TOWSONTOWN BLVD"/>
    <s v="SPUR FR FAIRMOUNT AVE"/>
    <n v="3.2"/>
    <n v="3.16"/>
    <s v="UNDIVIDED"/>
    <s v="URBAN"/>
    <s v="NON-IS"/>
    <n v="14"/>
    <s v="FCJ"/>
    <n v="546.47"/>
    <n v="217.89"/>
    <n v="78.599999999999994"/>
    <n v="79.2"/>
    <n v="78.400000000000006"/>
    <n v="0.17"/>
    <n v="32"/>
    <n v="322.11"/>
    <n v="322.11"/>
    <n v="77.224999999999994"/>
    <n v="77.3"/>
    <n v="77.2"/>
    <n v="0.17"/>
    <n v="32"/>
    <n v="99.74"/>
    <n v="99.74"/>
    <n v="100"/>
    <n v="100"/>
    <n v="100"/>
    <n v="0.08"/>
    <n v="49"/>
    <x v="2"/>
    <m/>
    <s v="Structural Overlay"/>
    <n v="413442.67976997199"/>
    <n v="269613.32023002801"/>
    <n v="683056"/>
    <n v="0"/>
    <n v="29.8"/>
    <n v="30.2"/>
    <s v=""/>
    <s v=""/>
    <n v="0"/>
    <s v="F"/>
    <n v="20.6"/>
    <n v="47.1"/>
    <n v="50"/>
    <s v=""/>
    <s v=""/>
    <n v="20.6"/>
    <n v="20.6"/>
    <n v="6"/>
    <n v="65.096000000000004"/>
    <n v="15.362253739161387"/>
    <n v="48.544721815749988"/>
    <n v="14070.654325562276"/>
    <n v="216156.96202531643"/>
    <n v="20.6"/>
    <n v="683056"/>
    <n v="683056"/>
    <n v="0"/>
    <s v="SKID_35"/>
    <s v="2002"/>
    <s v="BA-MD 451.862.85N"/>
  </r>
  <r>
    <s v="eGIS Link"/>
    <n v="253"/>
    <s v="NorthBound Visi-Data"/>
    <s v="20041"/>
    <n v="2017"/>
    <n v="4"/>
    <x v="15"/>
    <s v="BA"/>
    <s v="BA-MD 695"/>
    <s v="0.6-1.05(N)"/>
    <s v="MD"/>
    <s v="695"/>
    <s v=""/>
    <n v="0.6"/>
    <n v="1.05"/>
    <s v="N"/>
    <s v="RAMP 1 FR MD 695 TO MD 7"/>
    <s v="END BR"/>
    <n v="3.3"/>
    <n v="1.48"/>
    <s v="DIVIDED"/>
    <s v="URBAN"/>
    <s v="NON-IS"/>
    <n v="12"/>
    <s v="FCJ"/>
    <n v="95.17"/>
    <n v="134.72999999999999"/>
    <n v="91.7"/>
    <n v="74.3"/>
    <n v="97.4"/>
    <n v="0.16"/>
    <n v="48"/>
    <n v="148.46"/>
    <n v="148.46"/>
    <n v="86.875"/>
    <n v="69.7"/>
    <n v="92.6"/>
    <n v="0.16"/>
    <n v="48"/>
    <n v="58.16"/>
    <n v="58.16"/>
    <n v="100"/>
    <n v="100"/>
    <n v="100"/>
    <n v="0.08"/>
    <n v="49"/>
    <x v="2"/>
    <m/>
    <s v="Structural Overlay"/>
    <n v="260724.75379113265"/>
    <n v="170023.24620886735"/>
    <n v="430748"/>
    <n v="4.2"/>
    <n v="4.2"/>
    <n v="50"/>
    <s v=""/>
    <s v=""/>
    <n v="4.2"/>
    <s v="E"/>
    <n v="30.2"/>
    <n v="28.2"/>
    <n v="50"/>
    <s v=""/>
    <s v=""/>
    <n v="28.2"/>
    <n v="24"/>
    <n v="6"/>
    <n v="35.519999999999996"/>
    <n v="17.897771346595789"/>
    <n v="26.488701592961768"/>
    <n v="16261.574712837293"/>
    <n v="291045.94594594598"/>
    <n v="24.1"/>
    <n v="430748"/>
    <n v="430748"/>
    <n v="0"/>
    <s v=""/>
    <s v="1996"/>
    <s v="BA-MD 6950.61.05N"/>
  </r>
  <r>
    <s v="eGIS Link"/>
    <n v="148"/>
    <s v="NorthBound Visi-Data"/>
    <s v="19996"/>
    <n v="2017"/>
    <n v="4"/>
    <x v="15"/>
    <s v="BA"/>
    <s v="BA-MD 45"/>
    <s v="0-0.85(N)"/>
    <s v="MD"/>
    <s v="45"/>
    <s v=""/>
    <n v="0"/>
    <n v="0.85"/>
    <s v="N"/>
    <s v="BALTO CITY LINE"/>
    <s v="STEVENSON LA"/>
    <n v="4"/>
    <n v="3.4"/>
    <s v="UNDIVIDED"/>
    <s v="URBAN"/>
    <s v="NON-IS"/>
    <n v="14"/>
    <s v="FCJ"/>
    <n v="161.33000000000001"/>
    <n v="110.2"/>
    <n v="69.7"/>
    <n v="79.599999999999994"/>
    <n v="66.400000000000006"/>
    <n v="0.24"/>
    <n v="40"/>
    <n v="112"/>
    <n v="112"/>
    <n v="65.95"/>
    <n v="77.5"/>
    <n v="62.1"/>
    <n v="0.24"/>
    <n v="40"/>
    <n v="51.21"/>
    <n v="51.21"/>
    <n v="100"/>
    <n v="100"/>
    <n v="100"/>
    <n v="0.12"/>
    <n v="49"/>
    <x v="2"/>
    <m/>
    <s v="Structural Overlay"/>
    <n v="295564.27969366452"/>
    <n v="192742.72030633548"/>
    <n v="488307"/>
    <n v="14.7"/>
    <n v="30.3"/>
    <n v="10.7"/>
    <s v=""/>
    <s v=""/>
    <n v="10.7"/>
    <s v="D"/>
    <n v="35.6"/>
    <n v="47.1"/>
    <n v="50"/>
    <s v=""/>
    <s v=""/>
    <n v="35.6"/>
    <n v="24.900000000000002"/>
    <n v="6"/>
    <n v="84.660000000000011"/>
    <n v="18.568937772093133"/>
    <n v="63.134388425116647"/>
    <n v="7734.4061165521271"/>
    <n v="143619.70588235295"/>
    <n v="25"/>
    <n v="488307"/>
    <n v="488307"/>
    <n v="0"/>
    <s v=""/>
    <s v="2005"/>
    <s v="BA-MD 4500.85N"/>
  </r>
  <r>
    <s v="eGIS Link"/>
    <n v="135"/>
    <s v="NorthBound Visi-Data"/>
    <s v="20028"/>
    <n v="2017"/>
    <n v="4"/>
    <x v="15"/>
    <s v="BA"/>
    <s v="BA-MD 157"/>
    <s v="0-1.23(N)"/>
    <s v="MD"/>
    <s v="157"/>
    <s v=""/>
    <n v="0"/>
    <n v="1.23"/>
    <s v="N"/>
    <s v="BETHLEHEM BLVD"/>
    <s v="BEG BR"/>
    <n v="3.4"/>
    <n v="4.18"/>
    <s v="UNDIVIDED"/>
    <s v="URBAN"/>
    <s v="NON-IS"/>
    <n v="16"/>
    <s v="F"/>
    <n v="141.44999999999999"/>
    <n v="128.55000000000001"/>
    <n v="92.6"/>
    <n v="94.4"/>
    <n v="91.9"/>
    <n v="0.15"/>
    <n v="49"/>
    <n v="151.52000000000001"/>
    <n v="151.52000000000001"/>
    <n v="87.3"/>
    <n v="90"/>
    <n v="86.4"/>
    <n v="0.15"/>
    <n v="49"/>
    <n v="99.06"/>
    <n v="99.06"/>
    <n v="100"/>
    <n v="100"/>
    <n v="100"/>
    <n v="0.13"/>
    <n v="49"/>
    <x v="5"/>
    <m/>
    <s v="Preventive Maintenance"/>
    <n v="167730.17291562763"/>
    <n v="109379.82708437237"/>
    <n v="277110"/>
    <n v="15.5"/>
    <n v="50"/>
    <n v="50"/>
    <s v=""/>
    <s v=""/>
    <n v="15.5"/>
    <s v="D"/>
    <n v="27.7"/>
    <n v="50"/>
    <n v="50"/>
    <s v=""/>
    <s v=""/>
    <n v="27.7"/>
    <n v="12.2"/>
    <n v="4"/>
    <n v="50.995999999999995"/>
    <n v="9.0980337678528596"/>
    <n v="38.029781149624952"/>
    <n v="7286.6577619717082"/>
    <n v="66294.258373205739"/>
    <n v="12.2"/>
    <n v="277110"/>
    <n v="277110"/>
    <n v="0"/>
    <s v=""/>
    <s v="2002"/>
    <s v="BA-MD 15701.23N"/>
  </r>
  <r>
    <s v="eGIS Link"/>
    <n v="191"/>
    <s v="NorthBound Visi-Data"/>
    <s v="20023"/>
    <n v="2017"/>
    <n v="4"/>
    <x v="15"/>
    <s v="BA"/>
    <s v="BA-MD 147"/>
    <s v="8.29-9.2(N)"/>
    <s v="MD"/>
    <s v="147"/>
    <s v=""/>
    <n v="8.2899999999999991"/>
    <n v="9.1999999999999993"/>
    <s v="N"/>
    <s v="MT VISTA RD"/>
    <s v="COUNTRY HILL CT"/>
    <n v="2.2000000000000002"/>
    <n v="2"/>
    <s v="UNDIVIDED"/>
    <s v="URBAN"/>
    <s v="NON-IS"/>
    <n v="16"/>
    <s v="FCJ"/>
    <n v="122.09"/>
    <n v="131.37"/>
    <n v="85.7"/>
    <n v="85.3"/>
    <n v="85.8"/>
    <n v="0.18"/>
    <n v="47"/>
    <n v="134.77000000000001"/>
    <n v="134.77000000000001"/>
    <n v="81.400000000000006"/>
    <n v="79.900000000000006"/>
    <n v="81.900000000000006"/>
    <n v="0.18"/>
    <n v="47"/>
    <n v="90.59"/>
    <n v="90.59"/>
    <n v="100"/>
    <n v="100"/>
    <n v="100"/>
    <n v="0.15"/>
    <n v="49"/>
    <x v="5"/>
    <m/>
    <s v="Preventive Maintenance"/>
    <n v="80295.123050299211"/>
    <n v="52361.876949700789"/>
    <n v="132657"/>
    <n v="15.1"/>
    <n v="36"/>
    <n v="45.1"/>
    <s v=""/>
    <s v=""/>
    <n v="15.1"/>
    <s v="D"/>
    <n v="23.5"/>
    <n v="48.5"/>
    <n v="50"/>
    <s v=""/>
    <s v=""/>
    <n v="23.5"/>
    <n v="8.4"/>
    <n v="4"/>
    <n v="16.8"/>
    <n v="6.2642199713085276"/>
    <n v="12.528439942617055"/>
    <n v="10588.469163566857"/>
    <n v="66328.5"/>
    <n v="8.4"/>
    <n v="132657"/>
    <n v="132657"/>
    <n v="0"/>
    <s v=""/>
    <s v="2010"/>
    <s v="BA-MD 1478.299.2N"/>
  </r>
  <r>
    <s v="eGIS Link"/>
    <n v="134"/>
    <s v="NorthBound Visi-Data"/>
    <s v="20028"/>
    <n v="2017"/>
    <n v="4"/>
    <x v="15"/>
    <s v="BA"/>
    <s v="BA-MD 157"/>
    <s v="1.23-2.73(N)"/>
    <s v="MD"/>
    <s v="157"/>
    <s v=""/>
    <n v="1.23"/>
    <n v="2.73"/>
    <s v="N"/>
    <s v="BEG BR"/>
    <s v="MERRITT AVE"/>
    <n v="2.7"/>
    <n v="4.05"/>
    <s v="DIVIDED"/>
    <s v="URBAN"/>
    <s v="NON-IS"/>
    <n v="16"/>
    <s v="F"/>
    <n v="148.82"/>
    <n v="147.43"/>
    <n v="99.7"/>
    <n v="98.8"/>
    <n v="100"/>
    <n v="0.16"/>
    <n v="55"/>
    <n v="154.88999999999999"/>
    <n v="154.88999999999999"/>
    <n v="92.224999999999994"/>
    <n v="93.2"/>
    <n v="91.9"/>
    <n v="0.16"/>
    <n v="55"/>
    <n v="100.89"/>
    <n v="100.89"/>
    <n v="100"/>
    <n v="100"/>
    <n v="100"/>
    <n v="0.14000000000000001"/>
    <n v="49"/>
    <x v="5"/>
    <m/>
    <s v="Preventive Maintenance"/>
    <n v="162435.75617681272"/>
    <n v="105927.24382318728"/>
    <n v="268363"/>
    <n v="14.9"/>
    <n v="50"/>
    <n v="50"/>
    <s v=""/>
    <s v=""/>
    <n v="14.9"/>
    <s v="D"/>
    <n v="27.2"/>
    <n v="50"/>
    <n v="50"/>
    <s v=""/>
    <s v=""/>
    <n v="27.2"/>
    <n v="12.299999999999999"/>
    <n v="4"/>
    <n v="49.814999999999991"/>
    <n v="9.1726078151303412"/>
    <n v="37.149061651277883"/>
    <n v="7223.9509713368125"/>
    <n v="66262.469135802472"/>
    <n v="12.3"/>
    <n v="268363"/>
    <n v="268363"/>
    <n v="0"/>
    <s v=""/>
    <s v="1997"/>
    <s v="BA-MD 1571.232.73N"/>
  </r>
  <r>
    <s v="eGIS Link"/>
    <n v="198"/>
    <s v="SouthBound Visi-Data"/>
    <s v="20025"/>
    <n v="2017"/>
    <n v="4"/>
    <x v="15"/>
    <s v="BA"/>
    <s v="BA-MD 151"/>
    <s v="4.15-5.91(S)"/>
    <s v="MD"/>
    <s v="151"/>
    <s v=""/>
    <n v="4.1500000000000004"/>
    <n v="5.91"/>
    <s v="S"/>
    <s v="SPUR FR MD 20B"/>
    <s v="STRUC #3223"/>
    <n v="2.1"/>
    <n v="3.69"/>
    <s v="DIVIDED"/>
    <s v="URBAN"/>
    <s v="NON-IS"/>
    <n v="16"/>
    <s v="F"/>
    <n v="87.13"/>
    <n v="75.28"/>
    <n v="100"/>
    <n v="100"/>
    <n v="100"/>
    <n v="0.21"/>
    <n v="59"/>
    <n v="88.53"/>
    <n v="88.53"/>
    <n v="90.95"/>
    <n v="92.9"/>
    <n v="90.3"/>
    <n v="0.21"/>
    <n v="59"/>
    <n v="65.39"/>
    <n v="65.39"/>
    <n v="100"/>
    <n v="100"/>
    <n v="100"/>
    <n v="0.18"/>
    <n v="49"/>
    <x v="5"/>
    <m/>
    <s v="Preventive Maintenance"/>
    <n v="148237.61584957127"/>
    <n v="96668.384150428727"/>
    <n v="244906"/>
    <n v="32.6"/>
    <n v="50"/>
    <n v="50"/>
    <s v=""/>
    <s v=""/>
    <n v="32.6"/>
    <s v="B"/>
    <n v="39.4"/>
    <n v="50"/>
    <n v="50"/>
    <s v=""/>
    <s v=""/>
    <n v="39.4"/>
    <n v="6.7999999999999972"/>
    <n v="4"/>
    <n v="29.52"/>
    <n v="5.9659237821985966"/>
    <n v="22.01425875631282"/>
    <n v="11124.880592664544"/>
    <n v="66370.189701897019"/>
    <n v="6.8"/>
    <n v="244906"/>
    <n v="244906"/>
    <n v="0"/>
    <s v=""/>
    <s v="2011"/>
    <s v="BA-MD 1514.155.91S"/>
  </r>
  <r>
    <s v="eGIS Link"/>
    <n v="251"/>
    <s v="EastBound Visi-Data"/>
    <s v="20024"/>
    <n v="2017"/>
    <n v="4"/>
    <x v="15"/>
    <s v="BA"/>
    <s v="BA-MD 150"/>
    <s v="6.46-6.82(E)"/>
    <s v="MD"/>
    <s v="150"/>
    <s v=""/>
    <n v="6.46"/>
    <n v="6.82"/>
    <s v="E"/>
    <s v="WILSON POINT RD"/>
    <s v="SPUR FR MD 587"/>
    <n v="2.2000000000000002"/>
    <n v="0.79"/>
    <s v="DIVIDED"/>
    <s v="URBAN"/>
    <s v="NON-IS"/>
    <n v="14"/>
    <s v="FCJ"/>
    <n v="77.37"/>
    <n v="72.11"/>
    <n v="95.6"/>
    <n v="94.6"/>
    <n v="95.9"/>
    <n v="0.2"/>
    <n v="49"/>
    <n v="88.31"/>
    <n v="88.31"/>
    <n v="88.575000000000003"/>
    <n v="86.1"/>
    <n v="89.4"/>
    <n v="0.2"/>
    <n v="49"/>
    <n v="66.14"/>
    <n v="66.14"/>
    <n v="100"/>
    <n v="100"/>
    <n v="100"/>
    <n v="0.17"/>
    <n v="49"/>
    <x v="5"/>
    <m/>
    <s v="Preventive Maintenance"/>
    <n v="45255.24823493461"/>
    <n v="29511.75176506539"/>
    <n v="74767"/>
    <n v="19.3"/>
    <n v="39"/>
    <n v="48.4"/>
    <s v=""/>
    <s v=""/>
    <n v="19.3"/>
    <s v="D"/>
    <n v="23.8"/>
    <n v="47.1"/>
    <n v="50"/>
    <s v=""/>
    <s v=""/>
    <n v="23.8"/>
    <n v="4.5"/>
    <n v="4"/>
    <n v="6.32"/>
    <n v="5.9659237821985966"/>
    <n v="4.7130797879368913"/>
    <n v="15863.724648024385"/>
    <n v="94641.772151898724"/>
    <n v="4.5"/>
    <n v="74767"/>
    <n v="74767"/>
    <n v="0"/>
    <s v=""/>
    <s v="2007"/>
    <s v="BA-MD 1506.466.82E"/>
  </r>
  <r>
    <s v="eGIS Link"/>
    <n v="273"/>
    <s v="NorthBound Visi-Data"/>
    <s v="19984"/>
    <n v="2017"/>
    <n v="4"/>
    <x v="16"/>
    <s v="BA"/>
    <s v="BA-IS 695"/>
    <s v="18.86-19.94(N)"/>
    <s v="IS"/>
    <s v="695"/>
    <s v=""/>
    <n v="18.86"/>
    <n v="19.940000000000001"/>
    <s v="N"/>
    <s v="STRUC #3158"/>
    <s v="RAMP 4 FR MD 139 TO IS 695"/>
    <n v="4"/>
    <n v="4.32"/>
    <s v="DIVIDED"/>
    <s v="URBAN"/>
    <s v="IS"/>
    <n v="11"/>
    <s v="F"/>
    <n v="84.4"/>
    <n v="101.28"/>
    <n v="87.7"/>
    <n v="84.9"/>
    <n v="88.6"/>
    <n v="0.23"/>
    <n v="49"/>
    <n v="111.44"/>
    <n v="111.44"/>
    <n v="87.6"/>
    <n v="86.1"/>
    <n v="88.1"/>
    <n v="0.23"/>
    <n v="49"/>
    <n v="114.84"/>
    <n v="114.84"/>
    <n v="89.525000000000006"/>
    <n v="88.7"/>
    <n v="89.8"/>
    <n v="0.22"/>
    <n v="49"/>
    <x v="6"/>
    <m/>
    <s v="Preventive Maintenance"/>
    <n v="150390.00477414264"/>
    <n v="98071.995225857361"/>
    <n v="248462"/>
    <n v="14.5"/>
    <n v="12.5"/>
    <n v="12.4"/>
    <s v=""/>
    <s v=""/>
    <n v="12.4"/>
    <s v="D"/>
    <n v="14.4"/>
    <n v="19.399999999999999"/>
    <n v="15.5"/>
    <s v=""/>
    <s v=""/>
    <n v="14.4"/>
    <n v="2"/>
    <n v="2"/>
    <n v="17.28"/>
    <n v="2.9829618910992983"/>
    <n v="12.886395369548969"/>
    <n v="19280.95428354813"/>
    <n v="57514.351851851847"/>
    <n v="1.9"/>
    <n v="248462"/>
    <n v="248462"/>
    <n v="0"/>
    <s v=""/>
    <s v="2012"/>
    <s v="BA-IS 69518.8619.94N"/>
  </r>
  <r>
    <s v="eGIS Link"/>
    <n v="272"/>
    <s v="SouthBound Visi-Data"/>
    <s v="19984"/>
    <n v="2017"/>
    <n v="4"/>
    <x v="16"/>
    <s v="BA"/>
    <s v="BA-IS 695"/>
    <s v="13.25-17(S)"/>
    <s v="IS"/>
    <s v="695"/>
    <s v=""/>
    <n v="13.25"/>
    <n v="17"/>
    <s v="S"/>
    <s v="RAMP 6 FR IS 695 TO MD 129"/>
    <s v="STRUC #3151"/>
    <n v="5.6"/>
    <n v="21"/>
    <s v="DIVIDED"/>
    <s v="URBAN"/>
    <s v="IS"/>
    <n v="11"/>
    <s v="F"/>
    <n v="71.77"/>
    <n v="68.52"/>
    <n v="94.1"/>
    <n v="95.6"/>
    <n v="93.6"/>
    <n v="0.12"/>
    <n v="49"/>
    <n v="83.81"/>
    <n v="83.81"/>
    <n v="91.25"/>
    <n v="90.8"/>
    <n v="91.4"/>
    <n v="0.12"/>
    <n v="49"/>
    <n v="87.09"/>
    <n v="87.09"/>
    <n v="92.224999999999994"/>
    <n v="91.7"/>
    <n v="92.4"/>
    <n v="0.12"/>
    <n v="49"/>
    <x v="6"/>
    <m/>
    <s v="Preventive Maintenance"/>
    <n v="731061.68253579817"/>
    <n v="476738.31746420183"/>
    <n v="1207800"/>
    <n v="20.2"/>
    <n v="20.399999999999999"/>
    <n v="16.5"/>
    <s v=""/>
    <s v=""/>
    <n v="16.5"/>
    <s v="D"/>
    <n v="20.100000000000001"/>
    <n v="22.1"/>
    <n v="18.8"/>
    <s v=""/>
    <s v=""/>
    <n v="18.8"/>
    <n v="2.3000000000000007"/>
    <n v="2"/>
    <n v="84"/>
    <n v="2.9829618910992983"/>
    <n v="62.642199713085262"/>
    <n v="19280.932111771035"/>
    <n v="57514.285714285717"/>
    <n v="2.2999999999999998"/>
    <n v="1207800"/>
    <n v="1207800"/>
    <n v="0"/>
    <s v=""/>
    <s v="1998"/>
    <s v="BA-IS 69513.2517S"/>
  </r>
  <r>
    <s v="eGIS Link"/>
    <n v="315"/>
    <s v="NorthBound Visi-Data"/>
    <s v="19981"/>
    <n v="2017"/>
    <n v="4"/>
    <x v="16"/>
    <s v="BA"/>
    <s v="BA-IS 83"/>
    <s v="22.06-25(N)"/>
    <s v="IS"/>
    <s v="83"/>
    <s v=""/>
    <n v="22.06"/>
    <n v="25"/>
    <s v="N"/>
    <s v="INTERSTATE MILE MARKER 32.0"/>
    <s v="DOWNES RD"/>
    <n v="2.1"/>
    <n v="6.17"/>
    <s v="DIVIDED"/>
    <s v="RURAL"/>
    <s v="IS"/>
    <n v="1"/>
    <s v="FCC"/>
    <n v="66.98"/>
    <n v="61.24"/>
    <n v="90.8"/>
    <n v="93.7"/>
    <n v="89.9"/>
    <n v="0.21"/>
    <n v="53"/>
    <n v="68.47"/>
    <n v="68.47"/>
    <n v="85.8"/>
    <n v="86.7"/>
    <n v="85.5"/>
    <n v="0.21"/>
    <n v="53"/>
    <n v="70.349999999999994"/>
    <n v="70.349999999999994"/>
    <n v="87.775000000000006"/>
    <n v="88.3"/>
    <n v="87.6"/>
    <n v="0.21"/>
    <n v="53"/>
    <x v="6"/>
    <m/>
    <s v="Preventive Maintenance"/>
    <n v="436469.77328613924"/>
    <n v="126392.22671386076"/>
    <n v="562862"/>
    <n v="45.2"/>
    <n v="10.4"/>
    <n v="9.1999999999999993"/>
    <s v=""/>
    <s v=""/>
    <n v="9.1999999999999993"/>
    <s v="E"/>
    <n v="44.8"/>
    <n v="12.4"/>
    <n v="12.1"/>
    <s v=""/>
    <s v=""/>
    <n v="12.1"/>
    <n v="2.9000000000000004"/>
    <n v="2"/>
    <n v="24.68"/>
    <n v="2.9829618910992983"/>
    <n v="18.404874868082672"/>
    <n v="30582.223679015762"/>
    <n v="91225.607779578611"/>
    <n v="2.9"/>
    <n v="562862"/>
    <n v="562862"/>
    <n v="0"/>
    <s v=""/>
    <s v="2009"/>
    <s v="BA-IS 8322.0625N"/>
  </r>
  <r>
    <s v="eGIS Link"/>
    <n v="24"/>
    <s v="NorthBound Visi-Data"/>
    <s v="20037"/>
    <n v="2017"/>
    <n v="4"/>
    <x v="16"/>
    <s v="BA"/>
    <s v="BA-MD 562"/>
    <s v="0-1.39(N)"/>
    <s v="MD"/>
    <s v="562"/>
    <s v=""/>
    <n v="0"/>
    <n v="1.39"/>
    <s v="N"/>
    <s v="OLD YORK RD (BACK)"/>
    <s v="SHEPPERD RD/TROYER RD"/>
    <n v="2"/>
    <n v="2.78"/>
    <s v="UNDIVIDED"/>
    <s v="RURAL"/>
    <s v="NON-IS"/>
    <n v="7"/>
    <s v="FCJ"/>
    <n v="80.790000000000006"/>
    <n v="91.97"/>
    <n v="99.8"/>
    <n v="100"/>
    <n v="99.7"/>
    <n v="0.18"/>
    <n v="50"/>
    <n v="90.57"/>
    <n v="90.57"/>
    <n v="95"/>
    <n v="95.9"/>
    <n v="94.7"/>
    <n v="0.18"/>
    <n v="48"/>
    <n v="94.41"/>
    <n v="94.41"/>
    <n v="93.45"/>
    <n v="95.4"/>
    <n v="92.8"/>
    <n v="0.18"/>
    <n v="46"/>
    <x v="0"/>
    <m/>
    <s v="Preventive Maintenance"/>
    <n v="4125.3792117468593"/>
    <n v="1194.6207882531407"/>
    <n v="5320"/>
    <n v="28.7"/>
    <n v="34.200000000000003"/>
    <n v="26.1"/>
    <s v=""/>
    <s v=""/>
    <n v="26.1"/>
    <s v="C"/>
    <n v="28.6"/>
    <n v="34.9"/>
    <n v="26.1"/>
    <s v=""/>
    <s v=""/>
    <n v="26.1"/>
    <n v="1"/>
    <n v="1"/>
    <n v="5.56"/>
    <n v="1.4914809455496492"/>
    <n v="4.1463170286280242"/>
    <n v="1283.0663847622709"/>
    <n v="1913.6690647482017"/>
    <n v="0"/>
    <n v="5320"/>
    <n v="5320"/>
    <n v="0"/>
    <s v=""/>
    <s v="2011"/>
    <s v="BA-MD 56201.39N"/>
  </r>
  <r>
    <s v="eGIS Link"/>
    <n v="303"/>
    <s v="NorthBound Visi-Data"/>
    <s v="19981"/>
    <n v="2017"/>
    <n v="4"/>
    <x v="16"/>
    <s v="BA"/>
    <s v="BA-IS 83"/>
    <s v="25-27.8(N)"/>
    <s v="IS"/>
    <s v="83"/>
    <s v=""/>
    <n v="25"/>
    <n v="27.8"/>
    <s v="N"/>
    <s v="DOWNES RD"/>
    <s v="PENNSYLVANIA ST/L"/>
    <n v="2.2000000000000002"/>
    <n v="6.16"/>
    <s v="DIVIDED"/>
    <s v="URBAN"/>
    <s v="IS"/>
    <n v="11"/>
    <s v="FCJ"/>
    <n v="65.66"/>
    <n v="55.47"/>
    <n v="88.8"/>
    <n v="88.6"/>
    <n v="88.9"/>
    <n v="0.22"/>
    <n v="53"/>
    <n v="70.12"/>
    <n v="70.12"/>
    <n v="88.375"/>
    <n v="88.6"/>
    <n v="88.3"/>
    <n v="0.22"/>
    <n v="53"/>
    <n v="48.51"/>
    <n v="48.51"/>
    <n v="100"/>
    <n v="100"/>
    <n v="100"/>
    <n v="0.12"/>
    <n v="49"/>
    <x v="7"/>
    <m/>
    <s v="Minor Rehabilitation"/>
    <n v="993857.71723240986"/>
    <n v="648112.28276759014"/>
    <n v="1641970"/>
    <n v="28.9"/>
    <n v="17.5"/>
    <n v="14.2"/>
    <s v=""/>
    <s v=""/>
    <n v="14.2"/>
    <s v="D"/>
    <n v="42.4"/>
    <n v="28.7"/>
    <n v="37.9"/>
    <s v=""/>
    <s v=""/>
    <n v="28.7"/>
    <n v="14.5"/>
    <n v="6"/>
    <n v="89.320000000000007"/>
    <n v="10.813236855234956"/>
    <n v="66.60953902824734"/>
    <n v="24650.673521455898"/>
    <n v="266553.57142857142"/>
    <n v="14.5"/>
    <n v="1641970"/>
    <n v="1641970"/>
    <n v="0"/>
    <s v=""/>
    <s v="2009"/>
    <s v="BA-IS 832527.8N"/>
  </r>
  <r>
    <s v="eGIS Link"/>
    <n v="153"/>
    <s v="NorthBound Visi-Data"/>
    <s v="19996"/>
    <n v="2017"/>
    <n v="4"/>
    <x v="16"/>
    <s v="BA"/>
    <s v="BA-MD 45"/>
    <s v="8.89-9.21(N)"/>
    <s v="MD"/>
    <s v="45"/>
    <s v=""/>
    <n v="8.89"/>
    <n v="9.2100000000000009"/>
    <s v="N"/>
    <s v="ASHLAND RD"/>
    <s v="ENT TO INDUSTRIAL PARK"/>
    <n v="4.5"/>
    <n v="1.44"/>
    <s v="UNDIVIDED"/>
    <s v="URBAN"/>
    <s v="NON-IS"/>
    <n v="14"/>
    <s v="F"/>
    <n v="244.55"/>
    <n v="235.37"/>
    <n v="95.8"/>
    <n v="96.6"/>
    <n v="95.5"/>
    <n v="0.25"/>
    <n v="32"/>
    <n v="241.21"/>
    <n v="241.21"/>
    <n v="89.5"/>
    <n v="91.6"/>
    <n v="88.8"/>
    <n v="0.25"/>
    <n v="32"/>
    <n v="78.78"/>
    <n v="78.78"/>
    <n v="100"/>
    <n v="100"/>
    <n v="100"/>
    <n v="0.12"/>
    <n v="49"/>
    <x v="2"/>
    <m/>
    <s v="Structural Overlay"/>
    <n v="187928.49080453272"/>
    <n v="122551.50919546728"/>
    <n v="310480"/>
    <n v="0"/>
    <n v="50"/>
    <n v="50"/>
    <s v=""/>
    <s v=""/>
    <n v="0"/>
    <s v="F"/>
    <n v="35.4"/>
    <n v="50"/>
    <n v="50"/>
    <s v=""/>
    <s v=""/>
    <n v="35.4"/>
    <n v="35.4"/>
    <n v="6"/>
    <n v="50.975999999999999"/>
    <n v="26.39921273622879"/>
    <n v="38.014866340169455"/>
    <n v="8167.3310967799662"/>
    <n v="215611.11111111112"/>
    <n v="35.4"/>
    <n v="310480"/>
    <n v="310480"/>
    <n v="0"/>
    <s v=""/>
    <s v="2006"/>
    <s v="BA-MD 458.899.21N"/>
  </r>
  <r>
    <s v="eGIS Link"/>
    <n v="161"/>
    <s v="West Bound Visi-Data"/>
    <s v="20051"/>
    <n v="2017"/>
    <n v="4"/>
    <x v="16"/>
    <s v="BA"/>
    <s v="BA-MD 943"/>
    <s v="0-0.59(W)"/>
    <s v="MD"/>
    <s v="943"/>
    <s v=""/>
    <n v="0"/>
    <n v="0.59"/>
    <s v="W"/>
    <s v="RAMP 4 FR IS 83 TO MD 943"/>
    <s v="WARREN RD (AHEAD)"/>
    <n v="1.9"/>
    <n v="1.1200000000000001"/>
    <s v="DIVIDED"/>
    <s v="URBAN"/>
    <s v="NON-IS"/>
    <n v="16"/>
    <s v="F"/>
    <n v="104.66"/>
    <n v="113.22"/>
    <s v=""/>
    <s v=""/>
    <s v=""/>
    <n v="0.15"/>
    <s v=""/>
    <n v="123.65"/>
    <n v="123.65"/>
    <n v="86.974999999999994"/>
    <n v="87.2"/>
    <n v="86.9"/>
    <n v="0.15"/>
    <n v="44"/>
    <n v="53.07"/>
    <n v="53.07"/>
    <n v="100"/>
    <n v="100"/>
    <n v="100"/>
    <n v="0.08"/>
    <n v="49"/>
    <x v="2"/>
    <m/>
    <s v="Structural Overlay"/>
    <n v="123319.29547646834"/>
    <n v="80418.704523531662"/>
    <n v="203738"/>
    <n v="21.9"/>
    <n v="50"/>
    <n v="50"/>
    <s v=""/>
    <s v=""/>
    <n v="21.9"/>
    <s v="C"/>
    <n v="50"/>
    <n v="50"/>
    <n v="50"/>
    <s v=""/>
    <s v=""/>
    <n v="50"/>
    <n v="28.1"/>
    <n v="6"/>
    <n v="31.472000000000005"/>
    <n v="20.955307284972573"/>
    <n v="23.469944159169284"/>
    <n v="8680.8046332910944"/>
    <n v="181908.92857142855"/>
    <n v="34.9"/>
    <n v="203738"/>
    <n v="203738"/>
    <n v="0"/>
    <s v=""/>
    <s v="1994"/>
    <s v="BA-MD 94300.59W"/>
  </r>
  <r>
    <s v="eGIS Link"/>
    <n v="143"/>
    <s v="EastBound Visi-Data"/>
    <s v="20051"/>
    <n v="2017"/>
    <n v="4"/>
    <x v="16"/>
    <s v="BA"/>
    <s v="BA-MD 943"/>
    <s v="0-0.59(E)"/>
    <s v="MD"/>
    <s v="943"/>
    <s v=""/>
    <n v="0"/>
    <n v="0.59"/>
    <s v="E"/>
    <s v="RAMP 4 FR IS 83 TO MD 943"/>
    <s v="WARREN RD (AHEAD)"/>
    <n v="2.8"/>
    <n v="1.65"/>
    <s v="DIVIDED"/>
    <s v="URBAN"/>
    <s v="NON-IS"/>
    <n v="16"/>
    <s v="F"/>
    <n v="103.59"/>
    <n v="104.29"/>
    <s v=""/>
    <s v=""/>
    <s v=""/>
    <n v="0.15"/>
    <s v=""/>
    <n v="122.38"/>
    <n v="122.38"/>
    <n v="86.974999999999994"/>
    <n v="87.2"/>
    <n v="86.9"/>
    <n v="0.15"/>
    <n v="44"/>
    <n v="52.82"/>
    <n v="52.82"/>
    <n v="100"/>
    <n v="100"/>
    <n v="100"/>
    <n v="0.08"/>
    <n v="49"/>
    <x v="2"/>
    <m/>
    <s v="Structural Overlay"/>
    <n v="155324.27769683831"/>
    <n v="101289.72230316169"/>
    <n v="256614"/>
    <n v="22.2"/>
    <n v="50"/>
    <n v="50"/>
    <s v=""/>
    <s v=""/>
    <n v="22.2"/>
    <s v="C"/>
    <n v="50"/>
    <n v="50"/>
    <n v="50"/>
    <s v=""/>
    <s v=""/>
    <n v="50"/>
    <n v="27.8"/>
    <n v="6"/>
    <n v="45.87"/>
    <n v="20.731585143140123"/>
    <n v="34.207115486181202"/>
    <n v="7501.7725509087568"/>
    <n v="155523.63636363638"/>
    <n v="34.700000000000003"/>
    <n v="256614"/>
    <n v="256614"/>
    <n v="0"/>
    <s v=""/>
    <s v="1994"/>
    <s v="BA-MD 94300.59E"/>
  </r>
  <r>
    <s v="eGIS Link"/>
    <n v="119"/>
    <s v="NorthBound Visi-Data"/>
    <s v="19996"/>
    <n v="2017"/>
    <n v="4"/>
    <x v="16"/>
    <s v="BA"/>
    <s v="BA-MD 45"/>
    <s v="24.57-25.83(N)"/>
    <s v="MD"/>
    <s v="45"/>
    <s v=""/>
    <n v="24.57"/>
    <n v="25.83"/>
    <s v="N"/>
    <s v="SPUR TO MD 439"/>
    <s v="PENNSYLVANIA ST/L"/>
    <n v="2"/>
    <n v="2.52"/>
    <s v="UNDIVIDED"/>
    <s v="URBAN"/>
    <s v="NON-IS"/>
    <n v="16"/>
    <s v="FCJ"/>
    <n v="107.58"/>
    <n v="109.7"/>
    <n v="70.3"/>
    <n v="81.400000000000006"/>
    <n v="66.599999999999994"/>
    <n v="0.18"/>
    <n v="47"/>
    <n v="124.09"/>
    <n v="124.09"/>
    <n v="66.25"/>
    <n v="78.099999999999994"/>
    <n v="62.3"/>
    <n v="0.18"/>
    <n v="47"/>
    <n v="53.41"/>
    <n v="53.41"/>
    <n v="100"/>
    <n v="100"/>
    <n v="100"/>
    <n v="0.08"/>
    <n v="49"/>
    <x v="2"/>
    <m/>
    <s v="Structural Overlay"/>
    <n v="219064.89088014458"/>
    <n v="142856.10911985542"/>
    <n v="361921"/>
    <n v="16.399999999999999"/>
    <n v="33.4"/>
    <n v="14.3"/>
    <s v=""/>
    <s v=""/>
    <n v="14.3"/>
    <s v="D"/>
    <n v="43.9"/>
    <n v="48.5"/>
    <n v="50"/>
    <s v=""/>
    <s v=""/>
    <n v="43.9"/>
    <n v="29.599999999999998"/>
    <n v="6"/>
    <n v="74.591999999999999"/>
    <n v="22.073917994134806"/>
    <n v="55.626273345219715"/>
    <n v="6506.2960042981549"/>
    <n v="143619.44444444444"/>
    <n v="29.6"/>
    <n v="361921"/>
    <n v="361921"/>
    <n v="0"/>
    <s v=""/>
    <s v="1999"/>
    <s v="BA-MD 4524.5725.83N"/>
  </r>
  <r>
    <s v="eGIS Link"/>
    <n v="155"/>
    <s v="NorthBound Visi-Data"/>
    <s v="19996"/>
    <n v="2017"/>
    <n v="4"/>
    <x v="16"/>
    <s v="BA"/>
    <s v="BA-MD 45"/>
    <s v="2.85-3.85(N)"/>
    <s v="MD"/>
    <s v="45"/>
    <s v=""/>
    <n v="2.85"/>
    <n v="3.85"/>
    <s v="N"/>
    <s v="SPUR FR FAIRMOUNT AVE"/>
    <s v="CROFTLEY RD"/>
    <n v="3.8"/>
    <n v="3.8"/>
    <s v="UNDIVIDED"/>
    <s v="URBAN"/>
    <s v="NON-IS"/>
    <n v="14"/>
    <s v="F"/>
    <n v="233.76"/>
    <n v="186.43"/>
    <n v="89.2"/>
    <n v="96.5"/>
    <n v="86.8"/>
    <n v="0.24"/>
    <n v="38"/>
    <n v="203.31"/>
    <n v="203.31"/>
    <n v="85.224999999999994"/>
    <n v="91.6"/>
    <n v="83.1"/>
    <n v="0.24"/>
    <n v="38"/>
    <n v="70.03"/>
    <n v="70.03"/>
    <n v="100"/>
    <n v="100"/>
    <n v="100"/>
    <n v="0.12"/>
    <n v="49"/>
    <x v="2"/>
    <m/>
    <s v="Structural Overlay"/>
    <n v="495922.27178224479"/>
    <n v="323399.72821775521"/>
    <n v="819322"/>
    <n v="4.5"/>
    <n v="50"/>
    <n v="50"/>
    <s v=""/>
    <s v=""/>
    <n v="4.5"/>
    <s v="E"/>
    <n v="39"/>
    <n v="50"/>
    <n v="50"/>
    <s v=""/>
    <s v=""/>
    <n v="39"/>
    <n v="34.5"/>
    <n v="6"/>
    <n v="131.1"/>
    <n v="25.72804631073145"/>
    <n v="97.766575980779507"/>
    <n v="8380.3896350126361"/>
    <n v="215611.05263157896"/>
    <n v="34.5"/>
    <n v="819322"/>
    <n v="819322"/>
    <n v="0"/>
    <s v=""/>
    <s v="2009"/>
    <s v="BA-MD 452.853.85N"/>
  </r>
  <r>
    <s v="eGIS Link"/>
    <n v="175"/>
    <s v="NorthBound Visi-Data"/>
    <s v="19990"/>
    <n v="2017"/>
    <n v="4"/>
    <x v="16"/>
    <s v="BA"/>
    <s v="BA-MD 25"/>
    <s v="2.2-3.35(N)"/>
    <s v="MD"/>
    <s v="25"/>
    <s v=""/>
    <n v="2.2000000000000002"/>
    <n v="3.35"/>
    <s v="N"/>
    <s v="STRUC #3027 JONES FALLS"/>
    <s v="STRUC #3026 JONES FALLS"/>
    <n v="2.2000000000000002"/>
    <n v="2.5299999999999998"/>
    <s v="UNDIVIDED"/>
    <s v="URBAN"/>
    <s v="NON-IS"/>
    <n v="16"/>
    <s v="FCJ"/>
    <n v="154.16"/>
    <n v="165.7"/>
    <n v="78.900000000000006"/>
    <n v="87"/>
    <n v="76.3"/>
    <n v="0.18"/>
    <n v="41"/>
    <n v="180.24"/>
    <n v="180.24"/>
    <n v="75.849999999999994"/>
    <n v="80.8"/>
    <n v="74.2"/>
    <n v="0.18"/>
    <n v="41"/>
    <n v="65.09"/>
    <n v="65.09"/>
    <n v="100"/>
    <n v="100"/>
    <n v="100"/>
    <n v="0.08"/>
    <n v="49"/>
    <x v="2"/>
    <m/>
    <s v="Structural Overlay"/>
    <n v="330179.85061810544"/>
    <n v="215316.14938189456"/>
    <n v="545496"/>
    <n v="8.1999999999999993"/>
    <n v="36.9"/>
    <n v="27.2"/>
    <s v=""/>
    <s v=""/>
    <n v="8.1999999999999993"/>
    <s v="E"/>
    <n v="38.5"/>
    <n v="48.5"/>
    <n v="50"/>
    <s v=""/>
    <s v=""/>
    <n v="38.5"/>
    <n v="30.3"/>
    <n v="6"/>
    <n v="76.658999999999992"/>
    <n v="22.595936325077187"/>
    <n v="57.16771890244528"/>
    <n v="9542.0284466985631"/>
    <n v="215611.0671936759"/>
    <n v="30.3"/>
    <n v="545496"/>
    <n v="545496"/>
    <n v="0"/>
    <s v=""/>
    <s v="2003"/>
    <s v="BA-MD 252.23.35N"/>
  </r>
  <r>
    <s v="eGIS Link"/>
    <n v="84"/>
    <s v="EastBound Visi-Data"/>
    <s v="20002"/>
    <n v="2017"/>
    <n v="4"/>
    <x v="16"/>
    <s v="BA"/>
    <s v="BA-MD 88"/>
    <s v="3.55-6.95(E)"/>
    <s v="MD"/>
    <s v="88"/>
    <s v=""/>
    <n v="3.55"/>
    <n v="6.95"/>
    <s v="E"/>
    <s v="MT ZION RD"/>
    <s v="FALLS RD"/>
    <n v="2"/>
    <n v="6.8"/>
    <s v="UNDIVIDED"/>
    <s v="RURAL"/>
    <s v="NON-IS"/>
    <n v="7"/>
    <s v="FCJ"/>
    <n v="87.3"/>
    <n v="90.64"/>
    <n v="92.8"/>
    <n v="94.3"/>
    <n v="92.3"/>
    <n v="0.19"/>
    <n v="46"/>
    <n v="95.4"/>
    <n v="95.4"/>
    <n v="84.45"/>
    <n v="87"/>
    <n v="83.6"/>
    <n v="0.19"/>
    <n v="46"/>
    <n v="104.01"/>
    <n v="104.01"/>
    <n v="97.025000000000006"/>
    <n v="99.2"/>
    <n v="96.3"/>
    <n v="0.19"/>
    <n v="55"/>
    <x v="4"/>
    <m/>
    <s v="Preventive Maintenance"/>
    <n v="151573.56635400595"/>
    <n v="43892.433645994053"/>
    <n v="195466"/>
    <n v="27.3"/>
    <n v="29.2"/>
    <n v="20.8"/>
    <s v=""/>
    <s v=""/>
    <n v="20.8"/>
    <s v="C"/>
    <n v="28.1"/>
    <n v="37.9"/>
    <n v="28"/>
    <s v=""/>
    <s v=""/>
    <n v="28"/>
    <n v="7.1999999999999993"/>
    <n v="4"/>
    <n v="54.4"/>
    <n v="5.9659237821985966"/>
    <n v="40.568281718950459"/>
    <n v="4818.1976588052767"/>
    <n v="28745"/>
    <n v="7.2"/>
    <n v="195466"/>
    <n v="195466"/>
    <n v="0"/>
    <s v=""/>
    <s v="2004"/>
    <s v="BA-MD 883.556.95E"/>
  </r>
  <r>
    <s v="eGIS Link"/>
    <n v="87"/>
    <s v="EastBound Visi-Data"/>
    <s v="20002"/>
    <n v="2017"/>
    <n v="4"/>
    <x v="16"/>
    <s v="BA"/>
    <s v="BA-MD 88"/>
    <s v="2.65-3.55(E)"/>
    <s v="MD"/>
    <s v="88"/>
    <s v=""/>
    <n v="2.65"/>
    <n v="3.55"/>
    <s v="E"/>
    <s v="RIDGE RD"/>
    <s v="MT ZION RD"/>
    <n v="2"/>
    <n v="1.8"/>
    <s v="UNDIVIDED"/>
    <s v="RURAL"/>
    <s v="NON-IS"/>
    <n v="7"/>
    <s v="FCJ"/>
    <n v="97.13"/>
    <n v="103.01"/>
    <n v="90.4"/>
    <n v="96.1"/>
    <n v="88.5"/>
    <n v="0.16"/>
    <n v="40"/>
    <n v="106.91"/>
    <n v="106.91"/>
    <n v="81.924999999999997"/>
    <n v="89.2"/>
    <n v="79.5"/>
    <n v="0.16"/>
    <n v="40"/>
    <n v="116.69"/>
    <n v="116.69"/>
    <n v="96.4"/>
    <n v="99.4"/>
    <n v="95.4"/>
    <n v="0.16"/>
    <n v="55"/>
    <x v="4"/>
    <m/>
    <s v="Preventive Maintenance"/>
    <n v="41984.263398947078"/>
    <n v="12157.736601052922"/>
    <n v="54142"/>
    <n v="23"/>
    <n v="30.4"/>
    <n v="19"/>
    <s v=""/>
    <s v=""/>
    <n v="19"/>
    <s v="D"/>
    <n v="24.7"/>
    <n v="38"/>
    <n v="27.5"/>
    <s v=""/>
    <s v=""/>
    <n v="24.7"/>
    <n v="5.6999999999999993"/>
    <n v="4"/>
    <n v="14.4"/>
    <n v="5.9659237821985966"/>
    <n v="10.738662807957475"/>
    <n v="5041.7822934043652"/>
    <n v="30078.888888888887"/>
    <n v="5.6"/>
    <n v="54142"/>
    <n v="54142"/>
    <n v="0"/>
    <s v=""/>
    <s v="2001"/>
    <s v="BA-MD 882.653.55E"/>
  </r>
  <r>
    <s v="eGIS Link"/>
    <n v="83"/>
    <s v="NorthBound Visi-Data"/>
    <s v="19990"/>
    <n v="2017"/>
    <n v="4"/>
    <x v="16"/>
    <s v="BA"/>
    <s v="BA-MD 25"/>
    <s v="12.15-18.24(N)"/>
    <s v="MD"/>
    <s v="25"/>
    <s v=""/>
    <n v="12.15"/>
    <n v="18.239999999999998"/>
    <s v="N"/>
    <s v="STRUC #3023 WESTERN RUN"/>
    <s v="MT CARMEL RD"/>
    <n v="2"/>
    <n v="12.18"/>
    <s v="UNDIVIDED"/>
    <s v="RURAL"/>
    <s v="NON-IS"/>
    <n v="7"/>
    <s v="FCJ"/>
    <n v="73.86"/>
    <n v="74.180000000000007"/>
    <n v="99.9"/>
    <n v="100"/>
    <n v="99.9"/>
    <n v="0.25"/>
    <n v="52"/>
    <n v="76.83"/>
    <n v="76.83"/>
    <n v="95.25"/>
    <n v="95.1"/>
    <n v="95.3"/>
    <n v="0.25"/>
    <n v="52"/>
    <n v="83.66"/>
    <n v="83.66"/>
    <n v="98.95"/>
    <n v="99.7"/>
    <n v="98.7"/>
    <n v="0.25"/>
    <n v="55"/>
    <x v="4"/>
    <m/>
    <s v="Preventive Maintenance"/>
    <n v="271494.92807171802"/>
    <n v="78619.071928281977"/>
    <n v="350114"/>
    <n v="33.299999999999997"/>
    <n v="33.700000000000003"/>
    <n v="26.5"/>
    <s v=""/>
    <s v=""/>
    <n v="26.5"/>
    <s v="C"/>
    <n v="34.700000000000003"/>
    <n v="38.4"/>
    <n v="29.9"/>
    <s v=""/>
    <s v=""/>
    <n v="29.9"/>
    <n v="4"/>
    <n v="4"/>
    <n v="97.44"/>
    <n v="5.9659237821985966"/>
    <n v="72.664951667178912"/>
    <n v="4818.1962826260087"/>
    <n v="28744.991789819378"/>
    <n v="3.4"/>
    <n v="350114"/>
    <n v="350114"/>
    <n v="0"/>
    <s v=""/>
    <s v="2011"/>
    <s v="BA-MD 2512.1518.24N"/>
  </r>
  <r>
    <s v="eGIS Link"/>
    <n v="82"/>
    <s v="NorthBound Visi-Data"/>
    <s v="19990"/>
    <n v="2017"/>
    <n v="4"/>
    <x v="16"/>
    <s v="BA"/>
    <s v="BA-MD 25"/>
    <s v="18.24-21.83(N)"/>
    <s v="MD"/>
    <s v="25"/>
    <s v=""/>
    <n v="18.239999999999998"/>
    <n v="21.83"/>
    <s v="N"/>
    <s v="MT CARMEL RD"/>
    <s v="FALLS RD (AHEAD)"/>
    <n v="2"/>
    <n v="7.18"/>
    <s v="UNDIVIDED"/>
    <s v="RURAL"/>
    <s v="NON-IS"/>
    <n v="7"/>
    <s v="FCJ"/>
    <n v="71.569999999999993"/>
    <n v="74.72"/>
    <n v="97.6"/>
    <n v="98.5"/>
    <n v="97.3"/>
    <n v="0.25"/>
    <n v="48"/>
    <n v="79.03"/>
    <n v="79.03"/>
    <n v="90.625"/>
    <n v="92.5"/>
    <n v="90"/>
    <n v="0.25"/>
    <n v="48"/>
    <n v="86.08"/>
    <n v="86.08"/>
    <n v="98.075000000000003"/>
    <n v="99.5"/>
    <n v="97.6"/>
    <n v="0.25"/>
    <n v="55"/>
    <x v="4"/>
    <m/>
    <s v="Preventive Maintenance"/>
    <n v="160043.7763408313"/>
    <n v="46345.223659168696"/>
    <n v="206389"/>
    <n v="32.5"/>
    <n v="32.200000000000003"/>
    <n v="23.7"/>
    <s v=""/>
    <s v=""/>
    <n v="23.7"/>
    <s v="C"/>
    <n v="33.799999999999997"/>
    <n v="38.200000000000003"/>
    <n v="28.9"/>
    <s v=""/>
    <s v=""/>
    <n v="28.9"/>
    <n v="5.1999999999999993"/>
    <n v="4"/>
    <n v="57.44"/>
    <n v="5.9659237821985966"/>
    <n v="42.83533275618592"/>
    <n v="4818.1953242838999"/>
    <n v="28744.986072423399"/>
    <n v="5.2"/>
    <n v="206389"/>
    <n v="206389"/>
    <n v="0"/>
    <s v=""/>
    <s v="2006"/>
    <s v="BA-MD 2518.2421.83N"/>
  </r>
  <r>
    <s v="eGIS Link"/>
    <n v="196"/>
    <s v="NorthBound Visi-Data"/>
    <s v="19990"/>
    <n v="2017"/>
    <n v="4"/>
    <x v="16"/>
    <s v="BA"/>
    <s v="BA-MD 25"/>
    <s v="4.16-5.8(N)"/>
    <s v="MD"/>
    <s v="25"/>
    <s v=""/>
    <n v="4.16"/>
    <n v="5.8"/>
    <s v="N"/>
    <s v="SEMINARY AVE"/>
    <s v="CHESTNUT RIDGE DR"/>
    <n v="2.4"/>
    <n v="3.94"/>
    <s v="UNDIVIDED"/>
    <s v="URBAN"/>
    <s v="NON-IS"/>
    <n v="16"/>
    <s v="FCJ"/>
    <n v="85.53"/>
    <n v="91.08"/>
    <n v="95.7"/>
    <n v="97.4"/>
    <n v="95.1"/>
    <n v="0.22"/>
    <n v="44"/>
    <n v="93.17"/>
    <n v="93.17"/>
    <n v="88.75"/>
    <n v="88.9"/>
    <n v="88.7"/>
    <n v="0.22"/>
    <n v="44"/>
    <n v="68.28"/>
    <n v="68.28"/>
    <n v="100"/>
    <n v="100"/>
    <n v="100"/>
    <n v="0.19"/>
    <n v="49"/>
    <x v="5"/>
    <m/>
    <s v="Preventive Maintenance"/>
    <n v="157863.44292140999"/>
    <n v="102945.55707859001"/>
    <n v="260809"/>
    <n v="23.9"/>
    <n v="41.8"/>
    <n v="50"/>
    <s v=""/>
    <s v=""/>
    <n v="23.9"/>
    <s v="C"/>
    <n v="29.7"/>
    <n v="48.5"/>
    <n v="50"/>
    <s v=""/>
    <s v=""/>
    <n v="29.7"/>
    <n v="5.8000000000000007"/>
    <n v="4"/>
    <n v="31.52"/>
    <n v="5.9659237821985966"/>
    <n v="23.505739701862471"/>
    <n v="11095.545313953038"/>
    <n v="66195.177664974617"/>
    <n v="5.8"/>
    <n v="260809"/>
    <n v="260809"/>
    <n v="0"/>
    <s v=""/>
    <s v="2008"/>
    <s v="BA-MD 254.165.8N"/>
  </r>
  <r>
    <s v="eGIS Link"/>
    <n v="147"/>
    <s v="EastBound Visi-Data"/>
    <s v="20011"/>
    <n v="2017"/>
    <n v="4"/>
    <x v="16"/>
    <s v="BA"/>
    <s v="BA-MD 133"/>
    <s v="0-1.98(E)"/>
    <s v="MD"/>
    <s v="133"/>
    <s v=""/>
    <n v="0"/>
    <n v="1.98"/>
    <s v="E"/>
    <s v="OLD COURT RD (BACK)"/>
    <s v="GREENSPRING AVE"/>
    <n v="2"/>
    <n v="3.96"/>
    <s v="UNDIVIDED"/>
    <s v="URBAN"/>
    <s v="NON-IS"/>
    <n v="16"/>
    <s v="F"/>
    <n v="157.72999999999999"/>
    <n v="172.69"/>
    <s v=""/>
    <s v=""/>
    <s v=""/>
    <n v="0.21"/>
    <n v="43"/>
    <n v="150.85"/>
    <n v="150.85"/>
    <n v="86.974999999999994"/>
    <n v="87.2"/>
    <n v="86.9"/>
    <n v="0.21"/>
    <n v="43"/>
    <n v="98.59"/>
    <n v="98.59"/>
    <n v="100"/>
    <n v="100"/>
    <n v="100"/>
    <n v="0.18"/>
    <n v="49"/>
    <x v="5"/>
    <m/>
    <s v="Preventive Maintenance"/>
    <n v="158825.84404347651"/>
    <n v="103573.15595652349"/>
    <n v="262399"/>
    <n v="16.3"/>
    <n v="50"/>
    <n v="50"/>
    <s v=""/>
    <s v=""/>
    <n v="16.3"/>
    <s v="D"/>
    <n v="27.8"/>
    <n v="50"/>
    <n v="50"/>
    <s v=""/>
    <s v=""/>
    <n v="27.8"/>
    <n v="11.5"/>
    <n v="4"/>
    <n v="45.54"/>
    <n v="8.5760154369104828"/>
    <n v="33.961021130165513"/>
    <n v="7726.4755672180572"/>
    <n v="66262.373737373739"/>
    <n v="11.6"/>
    <n v="262399"/>
    <n v="262399"/>
    <n v="0"/>
    <s v=""/>
    <s v="2003"/>
    <s v="BA-MD 13301.98E"/>
  </r>
  <r>
    <s v="eGIS Link"/>
    <n v="228"/>
    <s v="NorthBound Visi-Data"/>
    <s v="20021"/>
    <n v="2017"/>
    <n v="4"/>
    <x v="16"/>
    <s v="BA"/>
    <s v="BA-MD 146"/>
    <s v="9.24-11.67(N)"/>
    <s v="MD"/>
    <s v="146"/>
    <s v=""/>
    <n v="9.24"/>
    <n v="11.67"/>
    <s v="N"/>
    <s v="PAPER MILL RD/SWEET AIR RD"/>
    <s v="STRUC #3089 LITTLE GUNPOWDER FALLS"/>
    <n v="2.1"/>
    <n v="5.0999999999999996"/>
    <s v="UNDIVIDED"/>
    <s v="RURAL"/>
    <s v="NON-IS"/>
    <n v="6"/>
    <s v="FCJ"/>
    <n v="122.26"/>
    <n v="123.86"/>
    <s v=""/>
    <s v=""/>
    <s v=""/>
    <n v="0.19"/>
    <n v="50"/>
    <n v="119.64"/>
    <n v="119.64"/>
    <n v="86.174999999999997"/>
    <n v="86.4"/>
    <n v="86.1"/>
    <n v="0.19"/>
    <n v="50"/>
    <n v="81.680000000000007"/>
    <n v="81.680000000000007"/>
    <n v="100"/>
    <n v="100"/>
    <n v="100"/>
    <n v="0.16"/>
    <n v="49"/>
    <x v="5"/>
    <m/>
    <s v="Preventive Maintenance"/>
    <n v="458639.03386595706"/>
    <n v="132811.96613404294"/>
    <n v="591451"/>
    <n v="23.1"/>
    <n v="30.3"/>
    <n v="32.299999999999997"/>
    <s v=""/>
    <s v=""/>
    <n v="23.1"/>
    <s v="C"/>
    <n v="35"/>
    <n v="43.9"/>
    <n v="42.1"/>
    <s v=""/>
    <s v=""/>
    <n v="35"/>
    <n v="11.899999999999999"/>
    <n v="4"/>
    <n v="60.689999999999991"/>
    <n v="8.8743116260204111"/>
    <n v="45.258989292704094"/>
    <n v="13068.144234836989"/>
    <n v="115970.7843137255"/>
    <n v="11.8"/>
    <n v="591451"/>
    <n v="591451"/>
    <n v="0"/>
    <s v=""/>
    <s v="1997"/>
    <s v="BA-MD 1469.2411.67N"/>
  </r>
  <r>
    <s v="eGIS Link"/>
    <n v="274"/>
    <s v="NorthBound Visi-Data"/>
    <s v="19985"/>
    <n v="2017"/>
    <n v="4"/>
    <x v="17"/>
    <s v="BA"/>
    <s v="BA-IS 795"/>
    <s v="3.93-5.94(N)"/>
    <s v="IS"/>
    <s v="795"/>
    <s v=""/>
    <n v="3.93"/>
    <n v="5.94"/>
    <s v="N"/>
    <s v="STRUC #3323"/>
    <s v="INTERSTATE MILE MARKER 6.0"/>
    <n v="2.1"/>
    <n v="4.22"/>
    <s v="DIVIDED"/>
    <s v="URBAN"/>
    <s v="IS"/>
    <n v="11"/>
    <s v="F"/>
    <n v="73.08"/>
    <n v="71.150000000000006"/>
    <n v="91.2"/>
    <n v="92.2"/>
    <n v="90.9"/>
    <n v="0.18"/>
    <n v="46"/>
    <n v="80.22"/>
    <n v="80.22"/>
    <n v="89.974999999999994"/>
    <n v="89.9"/>
    <n v="90"/>
    <n v="0.18"/>
    <n v="46"/>
    <n v="83.33"/>
    <n v="83.33"/>
    <n v="91.25"/>
    <n v="91.1"/>
    <n v="91.3"/>
    <n v="0.17"/>
    <n v="46"/>
    <x v="6"/>
    <m/>
    <s v="Preventive Maintenance"/>
    <n v="146943.51924644035"/>
    <n v="95824.480753559648"/>
    <n v="242768"/>
    <n v="22.1"/>
    <n v="19.600000000000001"/>
    <n v="14.7"/>
    <s v=""/>
    <s v=""/>
    <n v="14.7"/>
    <s v="D"/>
    <n v="21.9"/>
    <n v="21.7"/>
    <n v="17.399999999999999"/>
    <s v=""/>
    <s v=""/>
    <n v="17.399999999999999"/>
    <n v="2.6999999999999993"/>
    <n v="2"/>
    <n v="16.88"/>
    <n v="2.9829618910992983"/>
    <n v="12.588099180439038"/>
    <n v="19285.51694105201"/>
    <n v="57527.962085308063"/>
    <n v="2.7"/>
    <n v="242768"/>
    <n v="242768"/>
    <n v="0"/>
    <s v=""/>
    <s v="1991"/>
    <s v="BA-IS 7953.935.94N"/>
  </r>
  <r>
    <s v="eGIS Link"/>
    <n v="274"/>
    <s v="SouthBound Visi-Data"/>
    <s v="19985"/>
    <n v="2017"/>
    <n v="4"/>
    <x v="17"/>
    <s v="BA"/>
    <s v="BA-IS 795"/>
    <s v="3.93-5.94(S)"/>
    <s v="IS"/>
    <s v="795"/>
    <s v=""/>
    <n v="3.93"/>
    <n v="5.94"/>
    <s v="S"/>
    <s v="OWINGS MILLS BLVD"/>
    <s v="INTERSTATE MILE MARKER 6.0"/>
    <n v="2.1"/>
    <n v="4.22"/>
    <s v="DIVIDED"/>
    <s v="URBAN"/>
    <s v="IS"/>
    <n v="11"/>
    <s v="F"/>
    <n v="75.67"/>
    <n v="72.599999999999994"/>
    <n v="93.4"/>
    <n v="94.6"/>
    <n v="93"/>
    <n v="0.15"/>
    <n v="47"/>
    <n v="89.96"/>
    <n v="89.96"/>
    <n v="90.75"/>
    <n v="90.3"/>
    <n v="90.9"/>
    <n v="0.15"/>
    <n v="47"/>
    <n v="93.35"/>
    <n v="93.35"/>
    <n v="91.924999999999997"/>
    <n v="91.4"/>
    <n v="92.1"/>
    <n v="0.14000000000000001"/>
    <n v="47"/>
    <x v="6"/>
    <m/>
    <s v="Preventive Maintenance"/>
    <n v="146943.51924644035"/>
    <n v="95824.480753559648"/>
    <n v="242768"/>
    <n v="18.5"/>
    <n v="20"/>
    <n v="15.9"/>
    <s v=""/>
    <s v=""/>
    <n v="15.9"/>
    <s v="D"/>
    <n v="18.399999999999999"/>
    <n v="21.9"/>
    <n v="18.3"/>
    <s v=""/>
    <s v=""/>
    <n v="18.3"/>
    <n v="2.4000000000000004"/>
    <n v="2"/>
    <n v="16.88"/>
    <n v="2.9829618910992983"/>
    <n v="12.588099180439038"/>
    <n v="19285.51694105201"/>
    <n v="57527.962085308063"/>
    <n v="2.4"/>
    <n v="242768"/>
    <n v="242768"/>
    <n v="0"/>
    <s v=""/>
    <s v="1991"/>
    <s v="BA-IS 7953.935.94S"/>
  </r>
  <r>
    <s v="eGIS Link"/>
    <n v="270"/>
    <s v="EastBound Visi-Data"/>
    <s v="19980"/>
    <n v="2017"/>
    <n v="4"/>
    <x v="17"/>
    <s v="BA"/>
    <s v="BA-IS 70"/>
    <s v="1.98-2.89(E)"/>
    <s v="IS"/>
    <s v="70"/>
    <s v=""/>
    <n v="1.98"/>
    <n v="2.89"/>
    <s v="E"/>
    <s v="RAMP 6 FR IS 70 TO IS 695"/>
    <s v="RAMP 1 FR IS 695 TO RAMP 8"/>
    <n v="2.6"/>
    <n v="2.37"/>
    <s v="DIVIDED"/>
    <s v="URBAN"/>
    <s v="IS"/>
    <n v="11"/>
    <s v="FCJ"/>
    <n v="100.2"/>
    <n v="90.95"/>
    <n v="95.6"/>
    <n v="94.1"/>
    <n v="96.1"/>
    <n v="0.2"/>
    <n v="48"/>
    <n v="108.34"/>
    <n v="108.34"/>
    <n v="89.7"/>
    <n v="85.5"/>
    <n v="91.1"/>
    <n v="0.2"/>
    <n v="48"/>
    <n v="111.93"/>
    <n v="111.93"/>
    <n v="90.7"/>
    <n v="87.1"/>
    <n v="91.9"/>
    <n v="0.2"/>
    <n v="48"/>
    <x v="6"/>
    <m/>
    <s v="Preventive Maintenance"/>
    <n v="82366.40395577818"/>
    <n v="53712.59604422182"/>
    <n v="136079"/>
    <n v="14.2"/>
    <n v="10.9"/>
    <n v="20.100000000000001"/>
    <s v=""/>
    <s v=""/>
    <n v="10.9"/>
    <s v="D"/>
    <n v="14.1"/>
    <n v="12.7"/>
    <n v="21.7"/>
    <s v=""/>
    <s v=""/>
    <n v="12.7"/>
    <n v="2"/>
    <n v="2"/>
    <n v="9.48"/>
    <n v="2.9829618910992983"/>
    <n v="7.069619681905337"/>
    <n v="19248.418744263381"/>
    <n v="57417.299578059072"/>
    <n v="1.9"/>
    <n v="136079"/>
    <n v="136079"/>
    <n v="0"/>
    <s v=""/>
    <s v="2006"/>
    <s v="BA-IS 701.982.89E"/>
  </r>
  <r>
    <s v="eGIS Link"/>
    <n v="276"/>
    <s v="NorthBound Visi-Data"/>
    <s v="19984"/>
    <n v="2017"/>
    <n v="4"/>
    <x v="17"/>
    <s v="BA"/>
    <s v="BA-IS 695"/>
    <s v="10.2-10.67(N)"/>
    <s v="IS"/>
    <s v="695"/>
    <s v=""/>
    <n v="10.199999999999999"/>
    <n v="10.67"/>
    <s v="N"/>
    <s v="STRUC #3139"/>
    <s v="RAMP 2 FR MD 26 TO IS 695"/>
    <n v="4.3"/>
    <n v="2.02"/>
    <s v="DIVIDED"/>
    <s v="URBAN"/>
    <s v="IS"/>
    <n v="11"/>
    <s v="FCJ"/>
    <n v="85.94"/>
    <n v="113.67"/>
    <n v="84.7"/>
    <n v="93.4"/>
    <n v="81.8"/>
    <n v="0.19"/>
    <n v="45"/>
    <n v="126.96"/>
    <n v="126.96"/>
    <n v="84.65"/>
    <n v="91.4"/>
    <n v="82.4"/>
    <n v="0.19"/>
    <n v="45"/>
    <n v="131.03"/>
    <n v="131.03"/>
    <n v="87"/>
    <n v="92.4"/>
    <n v="85.2"/>
    <n v="0.18"/>
    <n v="45"/>
    <x v="6"/>
    <m/>
    <s v="Preventive Maintenance"/>
    <n v="70355.759009133166"/>
    <n v="45880.240990866834"/>
    <n v="116236"/>
    <n v="8.9"/>
    <n v="21"/>
    <n v="7.3"/>
    <s v=""/>
    <s v=""/>
    <n v="7.3"/>
    <s v="E"/>
    <n v="8.8000000000000007"/>
    <n v="23"/>
    <n v="11.5"/>
    <s v=""/>
    <s v=""/>
    <n v="8.8000000000000007"/>
    <n v="2"/>
    <n v="2"/>
    <n v="8.08"/>
    <n v="2.9829618910992983"/>
    <n v="6.0255830200205827"/>
    <n v="19290.415485737172"/>
    <n v="57542.574257425746"/>
    <n v="1.5"/>
    <n v="116236"/>
    <n v="116236"/>
    <n v="0"/>
    <s v=""/>
    <s v="2012"/>
    <s v="BA-IS 69510.210.67N"/>
  </r>
  <r>
    <s v="eGIS Link"/>
    <n v="23"/>
    <s v="NorthBound Visi-Data"/>
    <s v="20007"/>
    <n v="2017"/>
    <n v="4"/>
    <x v="17"/>
    <s v="BA"/>
    <s v="BA-MD 129"/>
    <s v="2.6-3.7(N)"/>
    <s v="MD"/>
    <s v="129"/>
    <s v=""/>
    <n v="2.6"/>
    <n v="3.7"/>
    <s v="N"/>
    <s v="STRUC #3073 JONES FALLS"/>
    <s v="VELVET VALLEY WAY"/>
    <n v="2"/>
    <n v="2.2000000000000002"/>
    <s v="UNDIVIDED"/>
    <s v="URBAN"/>
    <s v="NON-IS"/>
    <n v="17"/>
    <s v="F"/>
    <n v="95.29"/>
    <n v="100.83"/>
    <n v="100"/>
    <n v="100"/>
    <n v="100"/>
    <n v="0.24"/>
    <n v="40"/>
    <n v="94.54"/>
    <n v="94.54"/>
    <n v="95.825000000000003"/>
    <n v="96.2"/>
    <n v="95.7"/>
    <n v="0.24"/>
    <n v="38"/>
    <n v="97.61"/>
    <n v="97.61"/>
    <n v="94.8"/>
    <n v="96"/>
    <n v="94.4"/>
    <n v="0.24"/>
    <n v="36"/>
    <x v="0"/>
    <m/>
    <s v="Preventive Maintenance"/>
    <n v="2548.2444804402307"/>
    <n v="1661.7555195597693"/>
    <n v="4210"/>
    <n v="39.200000000000003"/>
    <n v="35.799999999999997"/>
    <n v="34.200000000000003"/>
    <s v=""/>
    <s v=""/>
    <n v="34.200000000000003"/>
    <s v="B"/>
    <n v="39"/>
    <n v="36.6"/>
    <n v="34.200000000000003"/>
    <s v=""/>
    <s v=""/>
    <n v="34.200000000000003"/>
    <n v="1"/>
    <n v="1"/>
    <n v="4.4000000000000004"/>
    <n v="1.4914809455496492"/>
    <n v="3.2812580802092284"/>
    <n v="1283.044459499373"/>
    <n v="1913.6363636363635"/>
    <n v="0"/>
    <n v="4210"/>
    <n v="4210"/>
    <n v="0"/>
    <s v=""/>
    <s v="2003"/>
    <s v="BA-MD 1292.63.7N"/>
  </r>
  <r>
    <s v="eGIS Link"/>
    <n v="5"/>
    <s v="NorthBound Visi-Data"/>
    <s v="19984"/>
    <n v="2017"/>
    <n v="4"/>
    <x v="17"/>
    <s v="BA"/>
    <s v="BA-IS 695"/>
    <s v="12.85-13.85(N)"/>
    <s v="IS"/>
    <s v="695"/>
    <s v=""/>
    <n v="12.85"/>
    <n v="13.85"/>
    <s v="N"/>
    <s v="STRUC #3146"/>
    <s v="EXIT #21"/>
    <n v="4.4000000000000004"/>
    <n v="4.4000000000000004"/>
    <s v="DIVIDED"/>
    <s v="URBAN"/>
    <s v="IS"/>
    <n v="11"/>
    <s v="FCJ"/>
    <n v="77.94"/>
    <n v="76.72"/>
    <n v="82"/>
    <n v="75"/>
    <n v="84.4"/>
    <n v="0.13"/>
    <n v="48"/>
    <n v="84.24"/>
    <n v="84.24"/>
    <n v="79.95"/>
    <n v="77.400000000000006"/>
    <n v="80.8"/>
    <n v="0.13"/>
    <n v="46"/>
    <n v="87.36"/>
    <n v="87.36"/>
    <n v="80.424999999999997"/>
    <n v="81.400000000000006"/>
    <n v="80.099999999999994"/>
    <n v="0.13"/>
    <n v="44"/>
    <x v="0"/>
    <m/>
    <s v="Preventive Maintenance"/>
    <n v="5096.4889608804615"/>
    <n v="3323.5110391195385"/>
    <n v="8420"/>
    <n v="22.7"/>
    <n v="3.1"/>
    <n v="10.3"/>
    <s v=""/>
    <s v=""/>
    <n v="3.1"/>
    <s v="E"/>
    <n v="22.5"/>
    <n v="9"/>
    <n v="10.3"/>
    <s v=""/>
    <s v=""/>
    <n v="9"/>
    <n v="5.9"/>
    <n v="1"/>
    <n v="25.960000000000004"/>
    <n v="4.3998687893714656"/>
    <n v="19.359422673234452"/>
    <n v="434.93032525402469"/>
    <n v="1913.6363636363635"/>
    <n v="5.9"/>
    <n v="8420"/>
    <n v="8420"/>
    <n v="0"/>
    <s v=""/>
    <s v="1998"/>
    <s v="BA-IS 69512.8513.85N"/>
  </r>
  <r>
    <s v="eGIS Link"/>
    <n v="302"/>
    <s v="EastBound Visi-Data"/>
    <s v="20048"/>
    <n v="2017"/>
    <n v="4"/>
    <x v="17"/>
    <s v="BA"/>
    <s v="BA-MD 795"/>
    <s v="0-0.47(E)"/>
    <s v="MD"/>
    <s v="795"/>
    <s v=""/>
    <n v="0"/>
    <n v="0.47"/>
    <s v="E"/>
    <s v="NORTHWEST EXPRESSWAY (BACK)"/>
    <s v="BUTLER RD (AHEAD)"/>
    <n v="4.2"/>
    <n v="1.97"/>
    <s v="UNDIVIDED"/>
    <s v="URBAN"/>
    <s v="NON-IS"/>
    <n v="12"/>
    <s v="F"/>
    <n v="122.6"/>
    <n v="99.15"/>
    <n v="100"/>
    <n v="100"/>
    <n v="100"/>
    <n v="0.15"/>
    <s v=""/>
    <n v="87.22"/>
    <n v="87.22"/>
    <n v="94.375"/>
    <n v="94"/>
    <n v="94.5"/>
    <n v="0.15"/>
    <n v="44"/>
    <n v="53.82"/>
    <n v="53.82"/>
    <n v="100"/>
    <n v="100"/>
    <n v="100"/>
    <n v="0.08"/>
    <n v="49"/>
    <x v="1"/>
    <m/>
    <s v="Minor Rehabilitation"/>
    <n v="255660.34486765441"/>
    <n v="166720.65513234559"/>
    <n v="422381"/>
    <n v="28"/>
    <n v="34"/>
    <n v="36.4"/>
    <s v=""/>
    <s v=""/>
    <n v="28"/>
    <s v="C"/>
    <n v="48.3"/>
    <n v="40"/>
    <n v="42.4"/>
    <s v=""/>
    <s v=""/>
    <n v="40"/>
    <n v="12"/>
    <n v="6"/>
    <n v="23.64"/>
    <n v="8.9488856732978945"/>
    <n v="17.62930477639685"/>
    <n v="23959.027616648193"/>
    <n v="214406.59898477158"/>
    <n v="12"/>
    <n v="422381"/>
    <n v="422381"/>
    <n v="0"/>
    <s v=""/>
    <s v="2007"/>
    <s v="BA-MD 79500.47E"/>
  </r>
  <r>
    <s v="eGIS Link"/>
    <n v="313"/>
    <s v="SouthBound Visi-Data"/>
    <s v="19985"/>
    <n v="2017"/>
    <n v="4"/>
    <x v="17"/>
    <s v="BA"/>
    <s v="BA-IS 795"/>
    <s v="5.94-8.99(S)"/>
    <s v="IS"/>
    <s v="795"/>
    <s v=""/>
    <n v="5.94"/>
    <n v="8.99"/>
    <s v="S"/>
    <s v="BEG BR"/>
    <s v="NO NAME (AHEAD)"/>
    <n v="2.2000000000000002"/>
    <n v="6.71"/>
    <s v="DIVIDED"/>
    <s v="URBAN"/>
    <s v="IS"/>
    <n v="11"/>
    <s v="F"/>
    <n v="91.01"/>
    <n v="81.58"/>
    <n v="92.9"/>
    <n v="94.9"/>
    <n v="92.3"/>
    <n v="0.19"/>
    <n v="44"/>
    <n v="98.23"/>
    <n v="98.23"/>
    <n v="90.4"/>
    <n v="90.4"/>
    <n v="90.4"/>
    <n v="0.19"/>
    <n v="44"/>
    <n v="57.6"/>
    <n v="57.6"/>
    <n v="100"/>
    <n v="100"/>
    <n v="100"/>
    <n v="0.08"/>
    <n v="49"/>
    <x v="7"/>
    <m/>
    <s v="Minor Rehabilitation"/>
    <n v="1082595.3376730131"/>
    <n v="705979.6623269869"/>
    <n v="1788575"/>
    <n v="15.8"/>
    <n v="20.100000000000001"/>
    <n v="15.3"/>
    <s v=""/>
    <s v=""/>
    <n v="15.3"/>
    <s v="D"/>
    <n v="39.6"/>
    <n v="28.7"/>
    <n v="26"/>
    <s v=""/>
    <s v=""/>
    <n v="26"/>
    <n v="10.7"/>
    <n v="6"/>
    <n v="80.52"/>
    <n v="8.9488856732978945"/>
    <n v="60.047022867828872"/>
    <n v="29786.239426672008"/>
    <n v="266553.65126676601"/>
    <n v="10.8"/>
    <n v="1788575"/>
    <n v="1788575"/>
    <n v="0"/>
    <s v=""/>
    <s v="1991"/>
    <s v="BA-IS 7955.948.99S"/>
  </r>
  <r>
    <s v="eGIS Link"/>
    <n v="177"/>
    <s v="NorthBound Visi-Data"/>
    <s v="21436"/>
    <n v="2017"/>
    <n v="4"/>
    <x v="17"/>
    <s v="BA"/>
    <s v="BA-US 1"/>
    <s v="1.83-9.4(N)"/>
    <s v="US"/>
    <s v="1"/>
    <s v=""/>
    <n v="1.83"/>
    <n v="9.4"/>
    <s v="N"/>
    <s v="TOM DAY BLVD"/>
    <s v="BEGIN BALTO CITY MAINTENANCE"/>
    <n v="3.7"/>
    <n v="28.01"/>
    <s v="UNDIVIDED"/>
    <s v="URBAN"/>
    <s v="NON-IS"/>
    <n v="14"/>
    <s v="FCJ"/>
    <n v="85.81"/>
    <n v="96.83"/>
    <n v="91"/>
    <n v="85.9"/>
    <n v="92.7"/>
    <n v="0.18"/>
    <n v="39"/>
    <n v="101.74"/>
    <n v="101.74"/>
    <n v="85.15"/>
    <n v="80.2"/>
    <n v="86.8"/>
    <n v="0.18"/>
    <n v="39"/>
    <n v="49.23"/>
    <n v="49.23"/>
    <n v="100"/>
    <n v="100"/>
    <n v="100"/>
    <n v="0.08"/>
    <n v="49"/>
    <x v="2"/>
    <m/>
    <s v="Structural Overlay"/>
    <n v="2434839.1270884965"/>
    <n v="1587801.8729115035"/>
    <n v="4022641"/>
    <n v="16.600000000000001"/>
    <n v="34.9"/>
    <n v="46.5"/>
    <s v=""/>
    <s v=""/>
    <n v="16.600000000000001"/>
    <s v="D"/>
    <n v="36.5"/>
    <n v="47.1"/>
    <n v="50"/>
    <s v=""/>
    <s v=""/>
    <n v="36.5"/>
    <n v="19.899999999999999"/>
    <n v="6"/>
    <n v="557.399"/>
    <n v="14.840235408219009"/>
    <n v="415.67499378421445"/>
    <n v="9677.3706866000139"/>
    <n v="143614.45912174223"/>
    <n v="20"/>
    <n v="4022641"/>
    <n v="4022641"/>
    <n v="0"/>
    <s v=""/>
    <s v="2004"/>
    <s v="BA-US 11.839.4N"/>
  </r>
  <r>
    <s v="eGIS Link"/>
    <n v="126"/>
    <s v="EastBound Visi-Data"/>
    <s v="20034"/>
    <n v="2017"/>
    <n v="4"/>
    <x v="17"/>
    <s v="BA"/>
    <s v="BA-MD 372"/>
    <s v="1.22-2.47(E)"/>
    <s v="MD"/>
    <s v="372"/>
    <s v=""/>
    <n v="1.22"/>
    <n v="2.4700000000000002"/>
    <s v="E"/>
    <s v="RAMP 6 FR MD 372 TO IS 695"/>
    <s v="BALTO CITY LINE"/>
    <n v="2.5"/>
    <n v="3.13"/>
    <s v="DIVIDED"/>
    <s v="URBAN"/>
    <s v="NON-IS"/>
    <n v="16"/>
    <s v="F"/>
    <n v="136.9"/>
    <n v="121.04"/>
    <n v="94.4"/>
    <n v="95.6"/>
    <n v="94.1"/>
    <n v="0.23"/>
    <n v="34"/>
    <n v="124.04"/>
    <n v="124.04"/>
    <n v="88.65"/>
    <n v="90.9"/>
    <n v="87.9"/>
    <n v="0.23"/>
    <n v="34"/>
    <n v="53.17"/>
    <n v="53.17"/>
    <n v="100"/>
    <n v="100"/>
    <n v="100"/>
    <n v="0.12"/>
    <n v="49"/>
    <x v="2"/>
    <m/>
    <s v="Structural Overlay"/>
    <n v="271657.99370804284"/>
    <n v="177153.00629195716"/>
    <n v="448811"/>
    <n v="21.3"/>
    <n v="50"/>
    <n v="50"/>
    <s v=""/>
    <s v=""/>
    <n v="21.3"/>
    <s v="C"/>
    <n v="50"/>
    <n v="50"/>
    <n v="50"/>
    <s v=""/>
    <s v=""/>
    <n v="50"/>
    <n v="28.7"/>
    <n v="6"/>
    <n v="89.830999999999989"/>
    <n v="21.402751568637466"/>
    <n v="66.990612409835265"/>
    <n v="6699.6103462118454"/>
    <n v="143390.09584664536"/>
    <n v="35.4"/>
    <n v="448811"/>
    <n v="448811"/>
    <n v="0"/>
    <s v="SKID_30"/>
    <s v="1989"/>
    <s v="BA-MD 3721.222.47E"/>
  </r>
  <r>
    <s v="eGIS Link"/>
    <n v="181"/>
    <s v="NorthBound Visi-Data"/>
    <s v="21436"/>
    <n v="2017"/>
    <n v="4"/>
    <x v="17"/>
    <s v="BA"/>
    <s v="BA-US 1"/>
    <s v="0.9-1.83(N)"/>
    <s v="US"/>
    <s v="1"/>
    <s v=""/>
    <n v="0.9"/>
    <n v="1.83"/>
    <s v="N"/>
    <s v="SPEED LIMIT 50 MPH"/>
    <s v="TOM DAY BLVD"/>
    <n v="1.4"/>
    <n v="1.3"/>
    <s v="DIVIDED"/>
    <s v="URBAN"/>
    <s v="NON-IS"/>
    <n v="14"/>
    <s v="FCJ"/>
    <n v="135.22"/>
    <n v="116.5"/>
    <n v="71.7"/>
    <n v="87.1"/>
    <n v="66.5"/>
    <n v="0.21"/>
    <n v="31"/>
    <n v="136"/>
    <n v="136"/>
    <n v="66.875"/>
    <n v="80.900000000000006"/>
    <n v="62.2"/>
    <n v="0.21"/>
    <n v="31"/>
    <n v="56.06"/>
    <n v="56.06"/>
    <n v="100"/>
    <n v="100"/>
    <n v="100"/>
    <n v="0.12"/>
    <n v="49"/>
    <x v="2"/>
    <m/>
    <s v="Structural Overlay"/>
    <n v="134988.5604024558"/>
    <n v="88028.439597544202"/>
    <n v="223017"/>
    <n v="10.4"/>
    <n v="35.5"/>
    <n v="10.8"/>
    <s v=""/>
    <s v=""/>
    <n v="10.4"/>
    <s v="D"/>
    <n v="33.6"/>
    <n v="47.1"/>
    <n v="50"/>
    <s v=""/>
    <s v=""/>
    <n v="33.6"/>
    <n v="23.200000000000003"/>
    <n v="6"/>
    <n v="30.160000000000004"/>
    <n v="17.301178968375932"/>
    <n v="22.491532658888712"/>
    <n v="9915.5981667555734"/>
    <n v="171551.53846153847"/>
    <n v="23.2"/>
    <n v="223017"/>
    <n v="223017"/>
    <n v="0"/>
    <s v="SKID_35"/>
    <s v="2004"/>
    <s v="BA-US 10.91.83N"/>
  </r>
  <r>
    <s v="eGIS Link"/>
    <n v="230"/>
    <s v="EastBound Visi-Data"/>
    <s v="20005"/>
    <n v="2017"/>
    <n v="4"/>
    <x v="17"/>
    <s v="BA"/>
    <s v="BA-MD 125"/>
    <s v="0-1.55(E)"/>
    <s v="MD"/>
    <s v="125"/>
    <s v=""/>
    <n v="0"/>
    <n v="1.55"/>
    <s v="E"/>
    <s v="HOWARD CO/L"/>
    <s v="ST PAUL AVE"/>
    <n v="2"/>
    <n v="3.1"/>
    <s v="UNDIVIDED"/>
    <s v="RURAL"/>
    <s v="NON-IS"/>
    <n v="7"/>
    <s v="F"/>
    <n v="185.18"/>
    <n v="205.73"/>
    <n v="94.8"/>
    <n v="98.7"/>
    <n v="93.6"/>
    <n v="0.19"/>
    <n v="42"/>
    <n v="191.84"/>
    <n v="191.84"/>
    <n v="90.325000000000003"/>
    <n v="94.6"/>
    <n v="88.9"/>
    <n v="0.19"/>
    <n v="42"/>
    <n v="66.989999999999995"/>
    <n v="66.989999999999995"/>
    <n v="100"/>
    <n v="100"/>
    <n v="100"/>
    <n v="0.08"/>
    <n v="49"/>
    <x v="2"/>
    <m/>
    <s v="Structural Overlay"/>
    <n v="911787.12596530141"/>
    <n v="264033.87403469859"/>
    <n v="1175821"/>
    <n v="11.2"/>
    <n v="50"/>
    <n v="49.9"/>
    <s v=""/>
    <s v=""/>
    <n v="11.2"/>
    <s v="D"/>
    <n v="50"/>
    <n v="50"/>
    <n v="50"/>
    <s v=""/>
    <s v=""/>
    <n v="50"/>
    <n v="38.799999999999997"/>
    <n v="6"/>
    <n v="120.28"/>
    <n v="28.93473034366319"/>
    <n v="89.697664065355895"/>
    <n v="13108.713724621282"/>
    <n v="379297.09677419352"/>
    <n v="48.7"/>
    <n v="1175821"/>
    <n v="1175821"/>
    <n v="0"/>
    <s v=""/>
    <s v="2007"/>
    <s v="BA-MD 12501.55E"/>
  </r>
  <r>
    <s v="eGIS Link"/>
    <n v="238"/>
    <s v="EastBound Visi-Data"/>
    <s v="20005"/>
    <n v="2017"/>
    <n v="4"/>
    <x v="17"/>
    <s v="BA"/>
    <s v="BA-MD 125"/>
    <s v="1.55-3.5(E)"/>
    <s v="MD"/>
    <s v="125"/>
    <s v=""/>
    <n v="1.55"/>
    <n v="3.5"/>
    <s v="E"/>
    <s v="MELROSE AVE"/>
    <s v="STRUC #3066 BRICE RUN"/>
    <n v="2"/>
    <n v="3.9"/>
    <s v="UNDIVIDED"/>
    <s v="RURAL"/>
    <s v="NON-IS"/>
    <n v="7"/>
    <s v="F"/>
    <n v="158.49"/>
    <n v="187.45"/>
    <n v="89.1"/>
    <n v="94.6"/>
    <n v="87.2"/>
    <n v="0.19"/>
    <n v="42"/>
    <n v="173.67"/>
    <n v="173.67"/>
    <n v="84.775000000000006"/>
    <n v="89.8"/>
    <n v="83.1"/>
    <n v="0.19"/>
    <n v="42"/>
    <n v="63.11"/>
    <n v="63.11"/>
    <n v="100"/>
    <n v="100"/>
    <n v="100"/>
    <n v="0.08"/>
    <n v="49"/>
    <x v="2"/>
    <m/>
    <s v="Structural Overlay"/>
    <n v="1147087.2795844825"/>
    <n v="332171.72041551745"/>
    <n v="1479259"/>
    <n v="14.4"/>
    <n v="50"/>
    <n v="44.4"/>
    <s v=""/>
    <s v=""/>
    <n v="14.4"/>
    <s v="D"/>
    <n v="50"/>
    <n v="50"/>
    <n v="50"/>
    <s v=""/>
    <s v=""/>
    <n v="50"/>
    <n v="35.6"/>
    <n v="6"/>
    <n v="138.84"/>
    <n v="26.548360830783757"/>
    <n v="103.53860724005665"/>
    <n v="14287.028186213707"/>
    <n v="379297.1794871795"/>
    <n v="45.5"/>
    <n v="1479259"/>
    <n v="1479259"/>
    <n v="0"/>
    <s v=""/>
    <s v="1994"/>
    <s v="BA-MD 1251.553.5E"/>
  </r>
  <r>
    <s v="eGIS Link"/>
    <n v="162"/>
    <s v="SouthBound Visi-Data"/>
    <s v="21436"/>
    <n v="2017"/>
    <n v="4"/>
    <x v="17"/>
    <s v="BA"/>
    <s v="BA-US 1"/>
    <s v="0-0.9(S)"/>
    <s v="US"/>
    <s v="1"/>
    <s v=""/>
    <n v="0"/>
    <n v="0.9"/>
    <s v="S"/>
    <s v="HOWARD CO/L"/>
    <s v="WASHINGTON BLVD"/>
    <n v="2.8"/>
    <n v="2.52"/>
    <s v="DIVIDED"/>
    <s v="URBAN"/>
    <s v="NON-IS"/>
    <n v="14"/>
    <s v="F"/>
    <n v="128.77000000000001"/>
    <n v="136.27000000000001"/>
    <s v=""/>
    <s v=""/>
    <s v=""/>
    <n v="0.34"/>
    <n v="39"/>
    <n v="171.72"/>
    <n v="171.72"/>
    <n v="86.974999999999994"/>
    <n v="87.2"/>
    <n v="86.9"/>
    <n v="0.34"/>
    <n v="39"/>
    <n v="63.07"/>
    <n v="63.07"/>
    <n v="100"/>
    <n v="100"/>
    <n v="100"/>
    <n v="0.12"/>
    <n v="49"/>
    <x v="2"/>
    <m/>
    <s v="Structural Overlay"/>
    <n v="328874.8589079323"/>
    <n v="214465.1410920677"/>
    <n v="543340"/>
    <n v="9"/>
    <n v="50"/>
    <n v="50"/>
    <s v=""/>
    <s v=""/>
    <n v="9"/>
    <s v="E"/>
    <n v="42.2"/>
    <n v="50"/>
    <n v="50"/>
    <s v=""/>
    <s v=""/>
    <n v="42.2"/>
    <n v="33.200000000000003"/>
    <n v="6"/>
    <n v="83.664000000000001"/>
    <n v="24.75858369612418"/>
    <n v="62.391630914232934"/>
    <n v="8708.539783915985"/>
    <n v="215611.11111111112"/>
    <n v="33.200000000000003"/>
    <n v="543340"/>
    <n v="543340"/>
    <n v="0"/>
    <s v="RUT_P1"/>
    <s v="1989"/>
    <s v="BA-US 100.9S"/>
  </r>
  <r>
    <s v="eGIS Link"/>
    <n v="121"/>
    <s v="West Bound Visi-Data"/>
    <s v="20034"/>
    <n v="2017"/>
    <n v="4"/>
    <x v="17"/>
    <s v="BA"/>
    <s v="BA-MD 372"/>
    <s v="1.22-2.47(W)"/>
    <s v="MD"/>
    <s v="372"/>
    <s v=""/>
    <n v="1.22"/>
    <n v="2.4700000000000002"/>
    <s v="W"/>
    <s v="RAMP 6 FR MD 372 TO IS 695"/>
    <s v="BALTO CITY LINE"/>
    <n v="2.7"/>
    <n v="3.38"/>
    <s v="DIVIDED"/>
    <s v="URBAN"/>
    <s v="NON-IS"/>
    <n v="16"/>
    <s v="F"/>
    <n v="145.16999999999999"/>
    <n v="111.74"/>
    <n v="97.5"/>
    <n v="95.7"/>
    <n v="98.1"/>
    <n v="0.18"/>
    <n v="44"/>
    <n v="126.58"/>
    <n v="126.58"/>
    <n v="89.4"/>
    <n v="90"/>
    <n v="89.2"/>
    <n v="0.18"/>
    <n v="44"/>
    <n v="53.66"/>
    <n v="53.66"/>
    <n v="100"/>
    <n v="100"/>
    <n v="100"/>
    <n v="0.08"/>
    <n v="49"/>
    <x v="2"/>
    <m/>
    <s v="Structural Overlay"/>
    <n v="293390.70583873318"/>
    <n v="191325.29416126682"/>
    <n v="484716"/>
    <n v="20.7"/>
    <n v="50"/>
    <n v="50"/>
    <s v=""/>
    <s v=""/>
    <n v="20.7"/>
    <s v="C"/>
    <n v="50"/>
    <n v="50"/>
    <n v="50"/>
    <s v=""/>
    <s v=""/>
    <n v="50"/>
    <n v="29.3"/>
    <n v="6"/>
    <n v="99.034000000000006"/>
    <n v="21.85019585230236"/>
    <n v="73.853661980781979"/>
    <n v="6563.1952025091405"/>
    <n v="143407.10059171598"/>
    <n v="35.700000000000003"/>
    <n v="484716"/>
    <n v="484716"/>
    <n v="0"/>
    <s v=""/>
    <s v="1989"/>
    <s v="BA-MD 3721.222.47W"/>
  </r>
  <r>
    <s v="eGIS Link"/>
    <n v="104"/>
    <s v="NorthBound Visi-Data"/>
    <s v="21436"/>
    <n v="2017"/>
    <n v="4"/>
    <x v="17"/>
    <s v="BA"/>
    <s v="BA-US 1"/>
    <s v="0-0.9(N)"/>
    <s v="US"/>
    <s v="1"/>
    <s v=""/>
    <n v="0"/>
    <n v="0.9"/>
    <s v="N"/>
    <s v="STRUC #3010 PATAPSCO RIVER"/>
    <s v="WASHINGTON BLVD"/>
    <n v="2.9"/>
    <n v="2.61"/>
    <s v="DIVIDED"/>
    <s v="URBAN"/>
    <s v="NON-IS"/>
    <n v="14"/>
    <s v="F"/>
    <n v="131.55000000000001"/>
    <n v="151.52000000000001"/>
    <n v="89.7"/>
    <n v="83.8"/>
    <n v="91.6"/>
    <n v="0.17"/>
    <n v="30"/>
    <n v="146.65"/>
    <n v="146.65"/>
    <n v="85.25"/>
    <n v="82.4"/>
    <n v="86.2"/>
    <n v="0.17"/>
    <n v="30"/>
    <n v="57.8"/>
    <n v="57.8"/>
    <n v="100"/>
    <n v="100"/>
    <n v="100"/>
    <n v="0.08"/>
    <n v="49"/>
    <x v="2"/>
    <m/>
    <s v="Structural Overlay"/>
    <n v="226888.78830393802"/>
    <n v="147958.21169606198"/>
    <n v="374847"/>
    <n v="13.2"/>
    <n v="50"/>
    <n v="50"/>
    <s v=""/>
    <s v=""/>
    <n v="13.2"/>
    <s v="D"/>
    <n v="44.8"/>
    <n v="50"/>
    <n v="50"/>
    <s v=""/>
    <s v=""/>
    <n v="44.8"/>
    <n v="31.599999999999998"/>
    <n v="6"/>
    <n v="82.475999999999985"/>
    <n v="23.565398939684457"/>
    <n v="61.505691232576432"/>
    <n v="6094.5091826146754"/>
    <n v="143619.54022988505"/>
    <n v="31.6"/>
    <n v="374847"/>
    <n v="374847"/>
    <n v="0"/>
    <s v=""/>
    <s v="1989"/>
    <s v="BA-US 100.9N"/>
  </r>
  <r>
    <s v="eGIS Link"/>
    <n v="170"/>
    <s v="NorthBound Visi-Data"/>
    <s v="20040"/>
    <n v="2017"/>
    <n v="4"/>
    <x v="17"/>
    <s v="BA"/>
    <s v="BA-MD 648E"/>
    <s v="0-1.5(N)"/>
    <s v="MD"/>
    <s v="648"/>
    <s v="E"/>
    <n v="0"/>
    <n v="1.5"/>
    <s v="N"/>
    <s v="STRUC #2056 PATAPSCO RIVER"/>
    <s v="BALTO CITY LINE"/>
    <n v="2.1"/>
    <n v="3.15"/>
    <s v="UNDIVIDED"/>
    <s v="URBAN"/>
    <s v="NON-IS"/>
    <n v="16"/>
    <s v="FCJ"/>
    <n v="207.71"/>
    <n v="197.68"/>
    <n v="92.4"/>
    <n v="95.3"/>
    <n v="91.4"/>
    <n v="0.2"/>
    <n v="28"/>
    <n v="211.44"/>
    <n v="211.44"/>
    <n v="86.05"/>
    <n v="86.8"/>
    <n v="85.8"/>
    <n v="0.2"/>
    <n v="28"/>
    <n v="72.16"/>
    <n v="72.16"/>
    <n v="100"/>
    <n v="100"/>
    <n v="100"/>
    <n v="0.08"/>
    <n v="49"/>
    <x v="2"/>
    <m/>
    <s v="Structural Overlay"/>
    <n v="411093.57363491534"/>
    <n v="268081.42636508466"/>
    <n v="679175"/>
    <n v="4.2"/>
    <n v="40.700000000000003"/>
    <n v="49.1"/>
    <s v=""/>
    <s v=""/>
    <n v="4.2"/>
    <s v="E"/>
    <n v="35.700000000000003"/>
    <n v="48.5"/>
    <n v="50"/>
    <s v=""/>
    <s v=""/>
    <n v="35.700000000000003"/>
    <n v="31.500000000000004"/>
    <n v="6"/>
    <n v="99.225000000000009"/>
    <n v="23.49082489240698"/>
    <n v="73.996098411081988"/>
    <n v="9178.5244706670055"/>
    <n v="215611.11111111112"/>
    <n v="31.5"/>
    <n v="679175"/>
    <n v="679175"/>
    <n v="0"/>
    <s v="SKID_30"/>
    <s v="1988"/>
    <s v="BA-MD 648E01.5N"/>
  </r>
  <r>
    <s v="eGIS Link"/>
    <n v="85"/>
    <s v="NorthBound Visi-Data"/>
    <s v="20003"/>
    <n v="2017"/>
    <n v="4"/>
    <x v="17"/>
    <s v="BA"/>
    <s v="BA-MD 91"/>
    <s v="0-1.42(N)"/>
    <s v="MD"/>
    <s v="91"/>
    <s v=""/>
    <n v="0"/>
    <n v="1.42"/>
    <s v="N"/>
    <s v="CARROLL CO/L"/>
    <s v="HANOVER PIKE"/>
    <n v="2"/>
    <n v="2.84"/>
    <s v="UNDIVIDED"/>
    <s v="RURAL"/>
    <s v="NON-IS"/>
    <n v="7"/>
    <s v="FCJ"/>
    <n v="53.96"/>
    <n v="57.89"/>
    <s v=""/>
    <s v=""/>
    <s v=""/>
    <n v="0.26"/>
    <n v="42"/>
    <n v="60.22"/>
    <n v="60.22"/>
    <n v="84.95"/>
    <n v="86.6"/>
    <n v="84.4"/>
    <n v="0.26"/>
    <n v="40"/>
    <n v="65.22"/>
    <n v="65.22"/>
    <n v="97.1"/>
    <n v="99.2"/>
    <n v="96.4"/>
    <n v="0.26"/>
    <n v="55"/>
    <x v="4"/>
    <m/>
    <s v="Preventive Maintenance"/>
    <n v="63304.409272587705"/>
    <n v="18331.590727412295"/>
    <n v="81636"/>
    <n v="40"/>
    <n v="29"/>
    <n v="21.2"/>
    <s v=""/>
    <s v=""/>
    <n v="21.2"/>
    <s v="C"/>
    <n v="42.2"/>
    <n v="37.9"/>
    <n v="28.1"/>
    <s v=""/>
    <s v=""/>
    <n v="28.1"/>
    <n v="6.9000000000000021"/>
    <n v="4"/>
    <n v="22.72"/>
    <n v="5.9659237821985966"/>
    <n v="16.943223541444013"/>
    <n v="4818.209462934492"/>
    <n v="28745.070422535213"/>
    <n v="6.9"/>
    <n v="81636"/>
    <n v="81636"/>
    <n v="0"/>
    <s v=""/>
    <s v="2011"/>
    <s v="BA-MD 9101.42N"/>
  </r>
  <r>
    <s v="eGIS Link"/>
    <n v="86"/>
    <s v="EastBound Visi-Data"/>
    <s v="19992"/>
    <n v="2017"/>
    <n v="4"/>
    <x v="17"/>
    <s v="BA"/>
    <s v="BA-MD 26"/>
    <s v="0.87-2.307(E)"/>
    <s v="MD"/>
    <s v="26"/>
    <s v=""/>
    <n v="0.87"/>
    <n v="2.3069999999999999"/>
    <s v="E"/>
    <s v="SPEED LIMIT 40 MPH"/>
    <s v="SPUR TO LYONS MILL RD"/>
    <n v="2.2999999999999998"/>
    <n v="3.3"/>
    <s v="UNDIVIDED"/>
    <s v="RURAL"/>
    <s v="NON-IS"/>
    <n v="6"/>
    <s v="FCJ"/>
    <n v="84.78"/>
    <n v="88.06"/>
    <n v="87.6"/>
    <n v="93.3"/>
    <n v="85.6"/>
    <n v="0.26"/>
    <n v="37"/>
    <n v="92.48"/>
    <n v="92.48"/>
    <n v="84.05"/>
    <n v="90.2"/>
    <n v="82"/>
    <n v="0.26"/>
    <n v="35"/>
    <n v="100.15"/>
    <n v="100.15"/>
    <n v="97.1"/>
    <n v="99.5"/>
    <n v="96.3"/>
    <n v="0.26"/>
    <n v="55"/>
    <x v="4"/>
    <m/>
    <s v="Preventive Maintenance"/>
    <n v="73671.363160152323"/>
    <n v="21333.636839847677"/>
    <n v="95005"/>
    <n v="32.9"/>
    <n v="33.9"/>
    <n v="27.9"/>
    <s v=""/>
    <s v=""/>
    <n v="27.9"/>
    <s v="C"/>
    <n v="33.799999999999997"/>
    <n v="42.3"/>
    <n v="39"/>
    <s v=""/>
    <s v=""/>
    <n v="33.799999999999997"/>
    <n v="5.8999999999999986"/>
    <n v="4"/>
    <n v="26.4"/>
    <n v="5.9659237821985966"/>
    <n v="19.687548481255369"/>
    <n v="4825.6389103221672"/>
    <n v="28789.39393939394"/>
    <n v="5.9"/>
    <n v="95005"/>
    <n v="95005"/>
    <n v="0"/>
    <s v=""/>
    <s v="2012"/>
    <s v="BA-MD 260.872.307E"/>
  </r>
  <r>
    <s v="eGIS Link"/>
    <n v="156"/>
    <s v="NorthBound Visi-Data"/>
    <s v="20031"/>
    <n v="2017"/>
    <n v="4"/>
    <x v="17"/>
    <s v="BA"/>
    <s v="BA-MD 166"/>
    <s v="1.74-2.71(N)"/>
    <s v="MD"/>
    <s v="166"/>
    <s v=""/>
    <n v="1.74"/>
    <n v="2.71"/>
    <s v="N"/>
    <s v="BLOOMSBURY AVE"/>
    <s v="FREDERICK RD"/>
    <n v="2"/>
    <n v="1.94"/>
    <s v="UNDIVIDED"/>
    <s v="URBAN"/>
    <s v="NON-IS"/>
    <n v="14"/>
    <s v="F"/>
    <n v="168.75"/>
    <n v="181.55"/>
    <n v="97.7"/>
    <n v="94.8"/>
    <n v="98.7"/>
    <n v="0.16"/>
    <n v="30"/>
    <n v="162.78"/>
    <n v="162.78"/>
    <n v="90.825000000000003"/>
    <n v="90.3"/>
    <n v="91"/>
    <n v="0.16"/>
    <n v="30"/>
    <n v="105.52"/>
    <n v="105.52"/>
    <n v="100"/>
    <n v="100"/>
    <n v="100"/>
    <n v="0.14000000000000001"/>
    <n v="49"/>
    <x v="5"/>
    <m/>
    <s v="Preventive Maintenance"/>
    <n v="79332.116644508133"/>
    <n v="51733.883355491867"/>
    <n v="131066"/>
    <n v="10.4"/>
    <n v="50"/>
    <n v="50"/>
    <s v=""/>
    <s v=""/>
    <n v="10.4"/>
    <s v="D"/>
    <n v="21.1"/>
    <n v="50"/>
    <n v="50"/>
    <s v=""/>
    <s v=""/>
    <n v="21.1"/>
    <n v="10.700000000000001"/>
    <n v="4"/>
    <n v="20.758000000000003"/>
    <n v="7.9794230586906236"/>
    <n v="15.480080733859809"/>
    <n v="8466.7517084272949"/>
    <n v="67559.793814432996"/>
    <n v="10.7"/>
    <n v="131066"/>
    <n v="131066"/>
    <n v="0"/>
    <s v=""/>
    <s v="2006"/>
    <s v="BA-MD 1661.742.71N"/>
  </r>
  <r>
    <s v="eGIS Link"/>
    <n v="224"/>
    <s v="EastBound Visi-Data"/>
    <s v="19992"/>
    <n v="2017"/>
    <n v="4"/>
    <x v="17"/>
    <s v="BA"/>
    <s v="BA-MD 26"/>
    <s v="0-0.87(E)"/>
    <s v="MD"/>
    <s v="26"/>
    <s v=""/>
    <n v="0"/>
    <n v="0.87"/>
    <s v="E"/>
    <s v="CARROLL CO/L"/>
    <s v="LIBERTY RIDGE CT"/>
    <n v="2"/>
    <n v="1.74"/>
    <s v="UNDIVIDED"/>
    <s v="RURAL"/>
    <s v="NON-IS"/>
    <n v="6"/>
    <s v="FCJ"/>
    <n v="121.44"/>
    <n v="119.03"/>
    <n v="91.5"/>
    <n v="82.8"/>
    <n v="94.3"/>
    <n v="0.18"/>
    <n v="42"/>
    <n v="135.76"/>
    <n v="135.76"/>
    <n v="85.375"/>
    <n v="80.2"/>
    <n v="87.1"/>
    <n v="0.18"/>
    <n v="42"/>
    <n v="90.29"/>
    <n v="90.29"/>
    <n v="100"/>
    <n v="100"/>
    <n v="100"/>
    <n v="0.15"/>
    <n v="49"/>
    <x v="5"/>
    <m/>
    <s v="Preventive Maintenance"/>
    <n v="165739.43617359083"/>
    <n v="47994.563826409169"/>
    <n v="213734"/>
    <n v="19"/>
    <n v="21.1"/>
    <n v="33"/>
    <s v=""/>
    <s v=""/>
    <n v="19"/>
    <s v="D"/>
    <n v="31.8"/>
    <n v="43.9"/>
    <n v="42.1"/>
    <s v=""/>
    <s v=""/>
    <n v="31.8"/>
    <n v="12.8"/>
    <n v="4"/>
    <n v="22.272000000000002"/>
    <n v="9.5454780515177546"/>
    <n v="16.609131809640893"/>
    <n v="12868.463111114364"/>
    <n v="122835.63218390805"/>
    <n v="12.8"/>
    <n v="213734"/>
    <n v="213734"/>
    <n v="0"/>
    <s v=""/>
    <s v="1986"/>
    <s v="BA-MD 2600.87E"/>
  </r>
  <r>
    <s v="eGIS Link"/>
    <n v="167"/>
    <s v="SouthBound Visi-Data"/>
    <s v="20018"/>
    <n v="2017"/>
    <n v="4"/>
    <x v="17"/>
    <s v="BA"/>
    <s v="BA-MD 140"/>
    <s v="9.93-10.75(S)"/>
    <s v="MD"/>
    <s v="140"/>
    <s v=""/>
    <n v="9.93"/>
    <n v="10.75"/>
    <s v="S"/>
    <s v="HANOVER PIKE"/>
    <s v="RAMP 1 FR IS 795 TO MD 140"/>
    <n v="2.1"/>
    <n v="1.72"/>
    <s v="DIVIDED"/>
    <s v="URBAN"/>
    <s v="NON-IS"/>
    <n v="14"/>
    <s v="F"/>
    <n v="141.4"/>
    <n v="141.35"/>
    <n v="82.7"/>
    <n v="89.7"/>
    <n v="80.3"/>
    <n v="0.22"/>
    <n v="52"/>
    <n v="157.25"/>
    <n v="157.25"/>
    <n v="80.55"/>
    <n v="86.1"/>
    <n v="78.7"/>
    <n v="0.22"/>
    <n v="52"/>
    <n v="102.5"/>
    <n v="102.5"/>
    <n v="100"/>
    <n v="100"/>
    <n v="100"/>
    <n v="0.19"/>
    <n v="49"/>
    <x v="5"/>
    <m/>
    <s v="Preventive Maintenance"/>
    <n v="73489.918134957275"/>
    <n v="47924.081865042725"/>
    <n v="121414"/>
    <n v="11.3"/>
    <n v="50"/>
    <n v="50"/>
    <s v=""/>
    <s v=""/>
    <n v="11.3"/>
    <s v="D"/>
    <n v="21.8"/>
    <n v="50"/>
    <n v="50"/>
    <s v=""/>
    <s v=""/>
    <n v="21.8"/>
    <n v="10.5"/>
    <n v="4"/>
    <n v="18.059999999999999"/>
    <n v="7.8302749641356586"/>
    <n v="13.468072938313332"/>
    <n v="9014.9496929592078"/>
    <n v="70589.534883720931"/>
    <n v="10.4"/>
    <n v="121414"/>
    <n v="121414"/>
    <n v="0"/>
    <s v=""/>
    <s v="2007"/>
    <s v="BA-MD 1409.9310.75S"/>
  </r>
  <r>
    <s v="eGIS Link"/>
    <n v="199"/>
    <s v="EastBound Visi-Data"/>
    <s v="19992"/>
    <n v="2017"/>
    <n v="4"/>
    <x v="17"/>
    <s v="BA"/>
    <s v="BA-MD 26"/>
    <s v="2.307-3.43(E)"/>
    <s v="MD"/>
    <s v="26"/>
    <s v=""/>
    <n v="2.3069999999999999"/>
    <n v="3.43"/>
    <s v="E"/>
    <s v="FALLS RUN RD"/>
    <s v="KINGS POINT SQUARE"/>
    <n v="1.9"/>
    <n v="2.13"/>
    <s v="UNDIVIDED"/>
    <s v="URBAN"/>
    <s v="NON-IS"/>
    <n v="14"/>
    <s v="F"/>
    <n v="67.41"/>
    <n v="68.400000000000006"/>
    <n v="94.9"/>
    <n v="97.8"/>
    <n v="93.9"/>
    <n v="0.25"/>
    <n v="40"/>
    <n v="70.650000000000006"/>
    <n v="70.650000000000006"/>
    <n v="88.974999999999994"/>
    <n v="92.5"/>
    <n v="87.8"/>
    <n v="0.25"/>
    <n v="40"/>
    <n v="56.29"/>
    <n v="56.29"/>
    <n v="100"/>
    <n v="100"/>
    <n v="100"/>
    <n v="0.21"/>
    <n v="49"/>
    <x v="5"/>
    <m/>
    <s v="Preventive Maintenance"/>
    <n v="85577.434114622694"/>
    <n v="55806.565885377306"/>
    <n v="141384"/>
    <n v="32.6"/>
    <n v="50"/>
    <n v="50"/>
    <s v=""/>
    <s v=""/>
    <n v="32.6"/>
    <s v="B"/>
    <n v="36.4"/>
    <n v="50"/>
    <n v="50"/>
    <s v=""/>
    <s v=""/>
    <n v="36.4"/>
    <n v="4"/>
    <n v="4"/>
    <n v="17.04"/>
    <n v="5.9659237821985966"/>
    <n v="12.70741765608301"/>
    <n v="11126.100032788316"/>
    <n v="66377.464788732395"/>
    <n v="3.8"/>
    <n v="141384"/>
    <n v="141384"/>
    <n v="0"/>
    <s v=""/>
    <s v="2012"/>
    <s v="BA-MD 262.3073.43E"/>
  </r>
  <r>
    <s v="eGIS Link"/>
    <n v="1"/>
    <s v="NorthBound Visi-Data"/>
    <s v="40008"/>
    <n v="2017"/>
    <n v="4"/>
    <x v="4"/>
    <s v="HA"/>
    <s v="HA-IS 95"/>
    <s v="8.37-11.45(N)"/>
    <s v="IS"/>
    <s v="95"/>
    <s v=""/>
    <n v="8.3699999999999992"/>
    <n v="11.45"/>
    <s v="N"/>
    <s v="IS 95 SERVICE AREA"/>
    <s v="INTERSTATE MILE MARKER 84.0"/>
    <n v="3.1"/>
    <n v="9.5399999999999991"/>
    <s v="DIVIDED"/>
    <s v="RURAL"/>
    <s v="IS"/>
    <n v="1"/>
    <s v="FCJ"/>
    <n v="60.71"/>
    <n v="54.51"/>
    <n v="94.3"/>
    <n v="80.400000000000006"/>
    <n v="98.9"/>
    <n v="0.16"/>
    <s v=""/>
    <n v="66.150000000000006"/>
    <n v="66.150000000000006"/>
    <n v="88.825000000000003"/>
    <n v="88.6"/>
    <n v="88.9"/>
    <n v="0.17"/>
    <n v="66"/>
    <n v="68.790000000000006"/>
    <n v="68.790000000000006"/>
    <n v="87.6"/>
    <n v="89.7"/>
    <n v="86.9"/>
    <n v="0.17"/>
    <n v="64"/>
    <x v="0"/>
    <m/>
    <s v="Preventive Maintenance"/>
    <n v="3836.1373985924274"/>
    <n v="1110.8626014075726"/>
    <n v="4947"/>
    <n v="49.3"/>
    <n v="18"/>
    <n v="15.6"/>
    <s v=""/>
    <s v=""/>
    <n v="15.6"/>
    <s v="D"/>
    <n v="48.9"/>
    <n v="19.7"/>
    <n v="15.6"/>
    <s v=""/>
    <s v=""/>
    <n v="15.6"/>
    <n v="1"/>
    <n v="1"/>
    <n v="19.079999999999998"/>
    <n v="1.4914809455496492"/>
    <n v="14.228728220543651"/>
    <n v="347.67689166045403"/>
    <n v="518.55345911949689"/>
    <n v="0"/>
    <n v="4947"/>
    <n v="4947"/>
    <n v="0"/>
    <s v=""/>
    <s v="2004"/>
    <s v="HA-IS 958.3711.45N"/>
  </r>
  <r>
    <s v="eGIS Link"/>
    <n v="414"/>
    <s v="West Bound Visi-Data"/>
    <s v="40329"/>
    <n v="2017"/>
    <n v="4"/>
    <x v="4"/>
    <s v="HA"/>
    <s v="HA-US 1 RP7-6"/>
    <s v="0-0.03(W)"/>
    <s v="US"/>
    <s v="1"/>
    <s v=""/>
    <n v="0"/>
    <n v="0.03"/>
    <s v="W"/>
    <s v=""/>
    <s v=""/>
    <s v=""/>
    <n v="0.06"/>
    <s v="UNDIVIDED"/>
    <s v="URBAN"/>
    <s v="NON-IS"/>
    <n v="14"/>
    <s v=""/>
    <s v=""/>
    <s v=""/>
    <s v=""/>
    <s v=""/>
    <s v=""/>
    <s v=""/>
    <s v=""/>
    <n v="91.18"/>
    <n v="91.18"/>
    <n v="82.825000000000003"/>
    <n v="83.5"/>
    <n v="82.6"/>
    <n v="0.17"/>
    <n v="57"/>
    <n v="67.06"/>
    <n v="67.06"/>
    <n v="100"/>
    <n v="100"/>
    <n v="100"/>
    <n v="0.14000000000000001"/>
    <n v="49"/>
    <x v="5"/>
    <m/>
    <s v="Preventive Maintenance"/>
    <n v="105884.09779022586"/>
    <n v="69048.90220977414"/>
    <n v="174933"/>
    <n v="25.2"/>
    <n v="50"/>
    <n v="50"/>
    <s v=""/>
    <s v=""/>
    <n v="25.2"/>
    <s v="C"/>
    <n v="32.200000000000003"/>
    <n v="50"/>
    <n v="50"/>
    <s v=""/>
    <s v=""/>
    <n v="32.200000000000003"/>
    <n v="7.0000000000000036"/>
    <n v="4"/>
    <n v="0.48"/>
    <n v="5.9659237821985966"/>
    <n v="0.35795542693191579"/>
    <n v="488700.51084118022"/>
    <n v="2915550"/>
    <n v="6.9"/>
    <n v="174933"/>
    <n v="174933"/>
    <n v="0"/>
    <s v=""/>
    <s v=""/>
    <s v="HA-US 1 RP7-600.03W"/>
  </r>
  <r>
    <s v="eGIS Link"/>
    <n v="362"/>
    <s v="EastBound Visi-Data"/>
    <s v="40346"/>
    <n v="2017"/>
    <n v="4"/>
    <x v="4"/>
    <s v="HA"/>
    <s v="HA-US 40 RP2-14"/>
    <s v="0-0.17(E)"/>
    <s v="US"/>
    <s v="40"/>
    <s v=""/>
    <n v="0"/>
    <n v="0.17"/>
    <s v="E"/>
    <s v=""/>
    <s v=""/>
    <s v=""/>
    <n v="0.34"/>
    <s v="UNDIVIDED"/>
    <s v="URBAN"/>
    <s v="NON-IS"/>
    <n v="14"/>
    <s v=""/>
    <s v=""/>
    <s v=""/>
    <s v=""/>
    <s v=""/>
    <s v=""/>
    <s v=""/>
    <s v=""/>
    <n v="115.89"/>
    <n v="115.89"/>
    <n v="84.575000000000003"/>
    <n v="78.8"/>
    <n v="86.5"/>
    <n v="0.15"/>
    <n v="44"/>
    <n v="80.98"/>
    <n v="80.98"/>
    <n v="100"/>
    <n v="100"/>
    <n v="100"/>
    <n v="0.13"/>
    <n v="49"/>
    <x v="5"/>
    <m/>
    <s v="Preventive Maintenance"/>
    <n v="94213.017013064687"/>
    <n v="61437.982986935313"/>
    <n v="155651"/>
    <n v="14"/>
    <n v="33.200000000000003"/>
    <n v="46.2"/>
    <s v=""/>
    <s v=""/>
    <n v="14"/>
    <s v="D"/>
    <n v="20.2"/>
    <n v="47.1"/>
    <n v="50"/>
    <s v=""/>
    <s v=""/>
    <n v="20.2"/>
    <n v="6.1999999999999993"/>
    <n v="4"/>
    <n v="2.72"/>
    <n v="5.9659237821985966"/>
    <n v="2.028414085947523"/>
    <n v="76735.31803901447"/>
    <n v="457797.0588235294"/>
    <n v="6.2"/>
    <n v="155651"/>
    <n v="155651"/>
    <n v="0"/>
    <s v=""/>
    <s v=""/>
    <s v="HA-US 40 RP2-1400.17E"/>
  </r>
  <r>
    <s v="eGIS Link"/>
    <n v="237"/>
    <s v="SouthBound Visi-Data"/>
    <s v="9160"/>
    <n v="2017"/>
    <n v="5"/>
    <x v="18"/>
    <s v="AA"/>
    <s v="AA-IS 97"/>
    <s v="4.8-6.63(S)"/>
    <s v="IS"/>
    <s v="97"/>
    <s v=""/>
    <n v="4.8"/>
    <n v="6.63"/>
    <s v="S"/>
    <s v="INTERSTATE MILE MARKER 5.0"/>
    <s v="MD 32 (SB/L)"/>
    <n v="2.5"/>
    <n v="4.57"/>
    <s v="DIVIDED"/>
    <s v="URBAN"/>
    <s v="IS"/>
    <n v="11"/>
    <s v="F"/>
    <n v="52.03"/>
    <n v="70.59"/>
    <n v="84.3"/>
    <n v="95.5"/>
    <n v="80.599999999999994"/>
    <n v="0.1"/>
    <n v="35"/>
    <n v="84.35"/>
    <n v="84.35"/>
    <n v="84.325000000000003"/>
    <n v="93.4"/>
    <n v="81.3"/>
    <n v="0.1"/>
    <n v="35"/>
    <n v="87.12"/>
    <n v="87.12"/>
    <n v="86.924999999999997"/>
    <n v="94.2"/>
    <n v="84.5"/>
    <n v="0.1"/>
    <n v="35"/>
    <x v="6"/>
    <m/>
    <s v="Preventive Maintenance"/>
    <n v="164740.66663846435"/>
    <n v="80009.333361535653"/>
    <n v="244750"/>
    <n v="24.7"/>
    <n v="24.1"/>
    <n v="7.5"/>
    <s v=""/>
    <s v=""/>
    <n v="7.5"/>
    <s v="E"/>
    <n v="24.5"/>
    <n v="26.2"/>
    <n v="12.6"/>
    <s v=""/>
    <s v=""/>
    <n v="12.6"/>
    <n v="5.0999999999999996"/>
    <n v="2"/>
    <n v="23.306999999999999"/>
    <n v="3.8032764111516051"/>
    <n v="17.380973198962835"/>
    <n v="14081.489983230906"/>
    <n v="53555.798687089715"/>
    <n v="5.0999999999999996"/>
    <n v="244750"/>
    <n v="244750"/>
    <n v="0"/>
    <s v="SKID_35"/>
    <s v="2012"/>
    <s v="AA-IS 974.86.63S"/>
  </r>
  <r>
    <s v="eGIS Link"/>
    <n v="17"/>
    <s v="NorthBound Visi-Data"/>
    <s v="9177"/>
    <n v="2017"/>
    <n v="5"/>
    <x v="18"/>
    <s v="AA"/>
    <s v="AA-MD 32"/>
    <s v="6.08-8.32(N)"/>
    <s v="MD"/>
    <s v="32"/>
    <s v=""/>
    <n v="6.08"/>
    <n v="8.32"/>
    <s v="N"/>
    <s v="STRUC #2209"/>
    <s v="STRUC #2213 ROGUE HARBOR BRANCH"/>
    <n v="2.1"/>
    <n v="4.7"/>
    <s v="DIVIDED"/>
    <s v="URBAN"/>
    <s v="NON-IS"/>
    <n v="12"/>
    <s v="F"/>
    <n v="57.52"/>
    <n v="55.83"/>
    <n v="100"/>
    <n v="100"/>
    <n v="100"/>
    <n v="0.17"/>
    <n v="43"/>
    <n v="62.93"/>
    <n v="62.93"/>
    <n v="95.6"/>
    <n v="96.2"/>
    <n v="95.4"/>
    <n v="0.17"/>
    <n v="41"/>
    <n v="65.36"/>
    <n v="65.36"/>
    <n v="94.825000000000003"/>
    <n v="95.8"/>
    <n v="94.5"/>
    <n v="0.17"/>
    <n v="39"/>
    <x v="0"/>
    <m/>
    <s v="Preventive Maintenance"/>
    <n v="5431.8985894684665"/>
    <n v="2638.1014105315335"/>
    <n v="8070"/>
    <n v="41.1"/>
    <n v="35.5"/>
    <n v="37.4"/>
    <s v=""/>
    <s v=""/>
    <n v="35.5"/>
    <s v="B"/>
    <n v="40.6"/>
    <n v="36.200000000000003"/>
    <n v="37.4"/>
    <s v=""/>
    <s v=""/>
    <n v="36.200000000000003"/>
    <n v="1"/>
    <n v="1"/>
    <n v="9.4"/>
    <n v="1.4914809455496492"/>
    <n v="7.0099604440833509"/>
    <n v="1151.2190495755735"/>
    <n v="1717.0212765957447"/>
    <n v="0.7"/>
    <n v="8070"/>
    <n v="8070"/>
    <n v="0"/>
    <s v=""/>
    <s v="2012"/>
    <s v="AA-MD 326.088.32N"/>
  </r>
  <r>
    <s v="eGIS Link"/>
    <n v="11"/>
    <s v="EastBound Visi-Data"/>
    <s v="9162"/>
    <n v="2017"/>
    <n v="5"/>
    <x v="18"/>
    <s v="AA"/>
    <s v="AA-IS 595"/>
    <s v="6.2-7.78(E)"/>
    <s v="IS"/>
    <s v="595"/>
    <s v=""/>
    <n v="6.2"/>
    <n v="7.78"/>
    <s v="E"/>
    <s v="STRUC #2031"/>
    <s v="STRUC #2161"/>
    <n v="3.2"/>
    <n v="5.0599999999999996"/>
    <s v="DIVIDED"/>
    <s v="URBAN"/>
    <s v="IS"/>
    <n v="11"/>
    <s v="F"/>
    <n v="66.56"/>
    <n v="72.760000000000005"/>
    <n v="100"/>
    <n v="100"/>
    <n v="100"/>
    <n v="0.12"/>
    <n v="51"/>
    <n v="73.72"/>
    <n v="73.72"/>
    <n v="98.974999999999994"/>
    <n v="97.1"/>
    <n v="99.6"/>
    <n v="0.12"/>
    <n v="51"/>
    <n v="76.459999999999994"/>
    <n v="76.459999999999994"/>
    <n v="98.825000000000003"/>
    <n v="97.1"/>
    <n v="99.4"/>
    <n v="0.12"/>
    <n v="49"/>
    <x v="0"/>
    <m/>
    <s v="Preventive Maintenance"/>
    <n v="4167.8210738523849"/>
    <n v="2024.1789261476151"/>
    <n v="6192"/>
    <n v="29.6"/>
    <n v="29.3"/>
    <n v="39.1"/>
    <s v=""/>
    <s v=""/>
    <n v="29.3"/>
    <s v="C"/>
    <n v="29.3"/>
    <n v="30.3"/>
    <n v="39.1"/>
    <s v=""/>
    <s v=""/>
    <n v="29.3"/>
    <n v="1"/>
    <n v="1"/>
    <n v="10.119999999999999"/>
    <n v="1.4914809455496492"/>
    <n v="7.5468935844812242"/>
    <n v="820.47002924921196"/>
    <n v="1223.715415019763"/>
    <n v="0"/>
    <n v="6192"/>
    <n v="6192"/>
    <n v="0"/>
    <s v=""/>
    <s v="2007"/>
    <s v="AA-IS 5956.27.78E"/>
  </r>
  <r>
    <s v="eGIS Link"/>
    <n v="282"/>
    <s v="EastBound Visi-Data"/>
    <s v="9260"/>
    <n v="2017"/>
    <n v="5"/>
    <x v="18"/>
    <s v="AA"/>
    <s v="AA-MD 665"/>
    <s v="0-2.68(E)"/>
    <s v="MD"/>
    <s v="665"/>
    <s v=""/>
    <n v="0"/>
    <n v="2.68"/>
    <s v="E"/>
    <s v="RAMP 11 FR IS 595 TO IS 595"/>
    <s v="BYWATER RD"/>
    <n v="2.7"/>
    <n v="7.24"/>
    <s v="DIVIDED"/>
    <s v="URBAN"/>
    <s v="NON-IS"/>
    <n v="12"/>
    <s v="F"/>
    <n v="80.41"/>
    <n v="78.8"/>
    <n v="91.2"/>
    <n v="93.6"/>
    <n v="90.4"/>
    <n v="0.17"/>
    <n v="47"/>
    <n v="89.22"/>
    <n v="89.22"/>
    <n v="87.525000000000006"/>
    <n v="88.8"/>
    <n v="87.1"/>
    <n v="0.17"/>
    <n v="47"/>
    <n v="54.46"/>
    <n v="54.46"/>
    <n v="100"/>
    <n v="100"/>
    <n v="100"/>
    <n v="0.08"/>
    <n v="49"/>
    <x v="1"/>
    <m/>
    <s v="Minor Rehabilitation"/>
    <n v="969362.35260490736"/>
    <n v="470788.64739509264"/>
    <n v="1440151"/>
    <n v="27.1"/>
    <n v="29.7"/>
    <n v="27.6"/>
    <s v=""/>
    <s v=""/>
    <n v="27.1"/>
    <s v="C"/>
    <n v="47.9"/>
    <n v="40"/>
    <n v="42.4"/>
    <s v=""/>
    <s v=""/>
    <n v="40"/>
    <n v="12.899999999999999"/>
    <n v="6"/>
    <n v="93.395999999999987"/>
    <n v="9.6200520987952363"/>
    <n v="69.649177195277517"/>
    <n v="20677.21483575039"/>
    <n v="198915.88397790055"/>
    <n v="12.9"/>
    <n v="1440151"/>
    <n v="1440151"/>
    <n v="0"/>
    <s v=""/>
    <s v="2004"/>
    <s v="AA-MD 66502.68E"/>
  </r>
  <r>
    <s v="eGIS Link"/>
    <n v="145"/>
    <s v="EastBound Visi-Data"/>
    <s v="9302"/>
    <n v="2017"/>
    <n v="5"/>
    <x v="18"/>
    <s v="AA"/>
    <s v="AA-MD 908B"/>
    <s v="0-2.09(E)"/>
    <s v="MD"/>
    <s v="908"/>
    <s v="B"/>
    <n v="0"/>
    <n v="2.09"/>
    <s v="E"/>
    <s v="EAST COLLEGE PKWY"/>
    <s v="OCEANIC DR"/>
    <n v="2.1"/>
    <n v="4.3899999999999997"/>
    <s v="UNDIVIDED"/>
    <s v="URBAN"/>
    <s v="NON-IS"/>
    <n v="19"/>
    <s v="F"/>
    <n v="131.03"/>
    <n v="129.12"/>
    <n v="83.9"/>
    <n v="94"/>
    <n v="80.5"/>
    <n v="0.13"/>
    <n v="47"/>
    <n v="141.72"/>
    <n v="141.72"/>
    <n v="76.05"/>
    <n v="87"/>
    <n v="72.400000000000006"/>
    <n v="0.13"/>
    <n v="47"/>
    <n v="72.09"/>
    <n v="72.09"/>
    <n v="100"/>
    <n v="100"/>
    <n v="100"/>
    <n v="0.08"/>
    <n v="49"/>
    <x v="1"/>
    <m/>
    <s v="Minor Rehabilitation"/>
    <n v="334317.54038539599"/>
    <n v="162367.45961460401"/>
    <n v="496685"/>
    <n v="26.5"/>
    <n v="32.700000000000003"/>
    <n v="22.4"/>
    <s v=""/>
    <s v=""/>
    <n v="22.4"/>
    <s v="C"/>
    <n v="50"/>
    <n v="43.9"/>
    <n v="42.2"/>
    <s v=""/>
    <s v=""/>
    <n v="42.2"/>
    <n v="19.800000000000004"/>
    <n v="6"/>
    <n v="86.922000000000011"/>
    <n v="14.765661360941531"/>
    <n v="64.821253374533313"/>
    <n v="7662.3788363082685"/>
    <n v="113140.09111617313"/>
    <n v="19.8"/>
    <n v="496685"/>
    <n v="496685"/>
    <n v="0"/>
    <s v=""/>
    <s v="1998"/>
    <s v="AA-MD 908B02.09E"/>
  </r>
  <r>
    <s v="eGIS Link"/>
    <n v="123"/>
    <s v="EastBound Visi-Data"/>
    <s v="9303"/>
    <n v="2017"/>
    <n v="5"/>
    <x v="18"/>
    <s v="AA"/>
    <s v="AA-MD 908C"/>
    <s v="0-1.1(E)"/>
    <s v="MD"/>
    <s v="908"/>
    <s v="C"/>
    <n v="0"/>
    <n v="1.1000000000000001"/>
    <s v="E"/>
    <s v="BUSCHS FRONTAGE RD (BACK)"/>
    <s v="CEDAR LANE FARM RD"/>
    <n v="1.9"/>
    <n v="2.09"/>
    <s v="UNDIVIDED"/>
    <s v="URBAN"/>
    <s v="NON-IS"/>
    <n v="19"/>
    <s v="F"/>
    <n v="184.19"/>
    <n v="183.78"/>
    <n v="73.7"/>
    <n v="85"/>
    <n v="70"/>
    <n v="0.18"/>
    <n v="50"/>
    <n v="187.86"/>
    <n v="187.86"/>
    <n v="67.974999999999994"/>
    <n v="79"/>
    <n v="64.3"/>
    <n v="0.18"/>
    <n v="50"/>
    <n v="88.24"/>
    <n v="88.24"/>
    <n v="100"/>
    <n v="100"/>
    <n v="100"/>
    <n v="0.08"/>
    <n v="49"/>
    <x v="1"/>
    <m/>
    <s v="Minor Rehabilitation"/>
    <n v="175977.35995353083"/>
    <n v="85466.640046469169"/>
    <n v="261444"/>
    <n v="17.399999999999999"/>
    <n v="27.3"/>
    <n v="16.899999999999999"/>
    <s v=""/>
    <s v=""/>
    <n v="16.899999999999999"/>
    <s v="D"/>
    <n v="44.8"/>
    <n v="43.9"/>
    <n v="42.2"/>
    <s v=""/>
    <s v=""/>
    <n v="42.2"/>
    <n v="25.300000000000004"/>
    <n v="6"/>
    <n v="52.877000000000002"/>
    <n v="18.867233961203066"/>
    <n v="39.432518978914409"/>
    <n v="6630.1622815372484"/>
    <n v="125092.82296650718"/>
    <n v="25.4"/>
    <n v="261444"/>
    <n v="261444"/>
    <n v="0"/>
    <s v=""/>
    <s v="1992"/>
    <s v="AA-MD 908C01.1E"/>
  </r>
  <r>
    <s v="eGIS Link"/>
    <n v="265"/>
    <s v="SouthBound Visi-Data"/>
    <s v="9171"/>
    <n v="2017"/>
    <n v="5"/>
    <x v="18"/>
    <s v="AA"/>
    <s v="AA-MD 3"/>
    <s v="3.08-3.93(S)"/>
    <s v="MD"/>
    <s v="3"/>
    <s v=""/>
    <n v="3.08"/>
    <n v="3.93"/>
    <s v="S"/>
    <s v="SPUR TO JOHNS HOPKINS RD"/>
    <s v="BRICK HEAD RD"/>
    <n v="4"/>
    <n v="3.4"/>
    <s v="DIVIDED"/>
    <s v="URBAN"/>
    <s v="NON-IS"/>
    <n v="14"/>
    <s v="F"/>
    <n v="89.02"/>
    <n v="59.94"/>
    <n v="100"/>
    <n v="100"/>
    <n v="100"/>
    <n v="0.1"/>
    <n v="41"/>
    <n v="68.13"/>
    <n v="68.13"/>
    <n v="90.95"/>
    <n v="92.9"/>
    <n v="90.3"/>
    <n v="0.1"/>
    <n v="41"/>
    <n v="42.88"/>
    <n v="42.88"/>
    <n v="100"/>
    <n v="100"/>
    <n v="100"/>
    <n v="0.08"/>
    <n v="49"/>
    <x v="2"/>
    <m/>
    <s v="Structural Overlay"/>
    <n v="377329.15770455636"/>
    <n v="183256.84229544364"/>
    <n v="560586"/>
    <n v="40.299999999999997"/>
    <n v="50"/>
    <n v="50"/>
    <s v=""/>
    <s v=""/>
    <n v="40.299999999999997"/>
    <s v="A"/>
    <n v="50"/>
    <n v="50"/>
    <n v="50"/>
    <s v=""/>
    <s v=""/>
    <n v="50"/>
    <n v="9.7000000000000028"/>
    <n v="6"/>
    <n v="40.799999999999997"/>
    <n v="8.9488856732978945"/>
    <n v="30.426211289212841"/>
    <n v="18424.443144478766"/>
    <n v="164878.23529411765"/>
    <n v="13.7"/>
    <n v="560586"/>
    <n v="560586"/>
    <n v="0"/>
    <s v=""/>
    <s v="2008"/>
    <s v="AA-MD 33.083.93S"/>
  </r>
  <r>
    <s v="eGIS Link"/>
    <n v="171"/>
    <s v="EastBound Visi-Data"/>
    <s v="9240"/>
    <n v="2017"/>
    <n v="5"/>
    <x v="18"/>
    <s v="AA"/>
    <s v="AA-MD 450"/>
    <s v="14.4-15.83(E)"/>
    <s v="MD"/>
    <s v="450"/>
    <s v=""/>
    <n v="14.4"/>
    <n v="15.83"/>
    <s v="E"/>
    <s v="BALTO ANNAPOLIS BLVD"/>
    <s v="EXIT #27"/>
    <n v="2.1"/>
    <n v="3"/>
    <s v="DIVIDED"/>
    <s v="URBAN"/>
    <s v="NON-IS"/>
    <n v="14"/>
    <s v="FCJ"/>
    <n v="133.93"/>
    <n v="135.57"/>
    <n v="78.099999999999994"/>
    <n v="70.099999999999994"/>
    <n v="80.8"/>
    <n v="0.17"/>
    <n v="38"/>
    <n v="155.46"/>
    <n v="155.46"/>
    <n v="75.650000000000006"/>
    <n v="65.599999999999994"/>
    <n v="79"/>
    <n v="0.17"/>
    <n v="38"/>
    <n v="60.14"/>
    <n v="60.14"/>
    <n v="100"/>
    <n v="100"/>
    <n v="100"/>
    <n v="0.08"/>
    <n v="49"/>
    <x v="2"/>
    <m/>
    <s v="Structural Overlay"/>
    <n v="333270.2003351837"/>
    <n v="161858.7996648163"/>
    <n v="495129"/>
    <n v="7.9"/>
    <n v="11.9"/>
    <n v="36"/>
    <s v=""/>
    <s v=""/>
    <n v="7.9"/>
    <s v="E"/>
    <n v="32"/>
    <n v="47.1"/>
    <n v="50"/>
    <s v=""/>
    <s v=""/>
    <n v="32"/>
    <n v="24.1"/>
    <n v="6"/>
    <n v="72.300000000000011"/>
    <n v="17.972345393873276"/>
    <n v="53.917036181619828"/>
    <n v="9183.1642661543065"/>
    <n v="165043"/>
    <n v="24.1"/>
    <n v="495129"/>
    <n v="495129"/>
    <n v="0"/>
    <s v=""/>
    <s v="1998"/>
    <s v="AA-MD 45014.415.83E"/>
  </r>
  <r>
    <s v="eGIS Link"/>
    <n v="130"/>
    <s v="West Bound Visi-Data"/>
    <s v="9215"/>
    <n v="2017"/>
    <n v="5"/>
    <x v="18"/>
    <s v="AA"/>
    <s v="AA-MD 214"/>
    <s v="5.6-6.65(W)"/>
    <s v="MD"/>
    <s v="214"/>
    <s v=""/>
    <n v="5.6"/>
    <n v="6.65"/>
    <s v="W"/>
    <s v="SPUR FR MD 214A"/>
    <s v="SPUR TO MD 253"/>
    <n v="3.3"/>
    <n v="3.47"/>
    <s v="DIVIDED"/>
    <s v="URBAN"/>
    <s v="NON-IS"/>
    <n v="14"/>
    <s v="F"/>
    <n v="193.75"/>
    <n v="195.12"/>
    <n v="94.7"/>
    <n v="93.4"/>
    <n v="95.2"/>
    <n v="0.2"/>
    <n v="43"/>
    <n v="215.18"/>
    <n v="215.18"/>
    <n v="87.674999999999997"/>
    <n v="88.5"/>
    <n v="87.4"/>
    <n v="0.2"/>
    <n v="43"/>
    <n v="72.8"/>
    <n v="72.8"/>
    <n v="100"/>
    <n v="100"/>
    <n v="100"/>
    <n v="0.08"/>
    <n v="49"/>
    <x v="2"/>
    <m/>
    <s v="Structural Overlay"/>
    <n v="425068.61339948216"/>
    <n v="206442.38660051784"/>
    <n v="631511"/>
    <n v="2.8"/>
    <n v="50"/>
    <n v="50"/>
    <s v=""/>
    <s v=""/>
    <n v="2.8"/>
    <s v="E"/>
    <n v="37.799999999999997"/>
    <n v="50"/>
    <n v="50"/>
    <s v=""/>
    <s v=""/>
    <n v="37.799999999999997"/>
    <n v="35"/>
    <n v="6"/>
    <n v="121.45"/>
    <n v="26.10091654711886"/>
    <n v="90.570180418502446"/>
    <n v="6972.6150161338264"/>
    <n v="181991.64265129683"/>
    <n v="34.9"/>
    <n v="631511"/>
    <n v="631511"/>
    <n v="0"/>
    <s v=""/>
    <s v="1995"/>
    <s v="AA-MD 2145.66.65W"/>
  </r>
  <r>
    <s v="eGIS Link"/>
    <n v="138"/>
    <s v="EastBound Visi-Data"/>
    <s v="9215"/>
    <n v="2017"/>
    <n v="5"/>
    <x v="18"/>
    <s v="AA"/>
    <s v="AA-MD 214"/>
    <s v="5.6-6.65(E)"/>
    <s v="MD"/>
    <s v="214"/>
    <s v=""/>
    <n v="5.6"/>
    <n v="6.65"/>
    <s v="E"/>
    <s v="SPUR FR MD 214A"/>
    <s v="SPUR TO MD 253"/>
    <n v="3.4"/>
    <n v="3.57"/>
    <s v="DIVIDED"/>
    <s v="URBAN"/>
    <s v="NON-IS"/>
    <n v="14"/>
    <s v="F"/>
    <n v="154.87"/>
    <n v="157.22999999999999"/>
    <n v="90.5"/>
    <n v="91.1"/>
    <n v="90.2"/>
    <n v="0.16"/>
    <n v="41"/>
    <n v="169.4"/>
    <n v="169.4"/>
    <n v="85.9"/>
    <n v="87.7"/>
    <n v="85.3"/>
    <n v="0.16"/>
    <n v="41"/>
    <n v="62.6"/>
    <n v="62.6"/>
    <n v="100"/>
    <n v="100"/>
    <n v="100"/>
    <n v="0.08"/>
    <n v="49"/>
    <x v="2"/>
    <m/>
    <s v="Structural Overlay"/>
    <n v="437949.01134348073"/>
    <n v="212697.98865651927"/>
    <n v="650647"/>
    <n v="9.1"/>
    <n v="50"/>
    <n v="50"/>
    <s v=""/>
    <s v=""/>
    <n v="9.1"/>
    <s v="E"/>
    <n v="42.4"/>
    <n v="50"/>
    <n v="50"/>
    <s v=""/>
    <s v=""/>
    <n v="42.4"/>
    <n v="33.299999999999997"/>
    <n v="6"/>
    <n v="118.88099999999999"/>
    <n v="24.833157743401657"/>
    <n v="88.654373143943914"/>
    <n v="7339.1416229809129"/>
    <n v="182254.06162464985"/>
    <n v="33.299999999999997"/>
    <n v="650647"/>
    <n v="650647"/>
    <n v="0"/>
    <s v=""/>
    <s v="1995"/>
    <s v="AA-MD 2145.66.65E"/>
  </r>
  <r>
    <s v="eGIS Link"/>
    <n v="95"/>
    <s v="NorthBound Visi-Data"/>
    <s v="9167"/>
    <n v="2017"/>
    <n v="5"/>
    <x v="18"/>
    <s v="AA"/>
    <s v="AA-MD 2"/>
    <s v="9.9-12.95(N)"/>
    <s v="MD"/>
    <s v="2"/>
    <s v=""/>
    <n v="9.9"/>
    <n v="12.95"/>
    <s v="N"/>
    <s v="OLD SOLOMONS ISLAND RD"/>
    <s v="MARYS MOUNT RD"/>
    <n v="2"/>
    <n v="6.1"/>
    <s v="UNDIVIDED"/>
    <s v="RURAL"/>
    <s v="NON-IS"/>
    <n v="6"/>
    <s v="F"/>
    <n v="77.25"/>
    <n v="78.349999999999994"/>
    <n v="92.9"/>
    <n v="95.5"/>
    <n v="92.1"/>
    <n v="0.19"/>
    <n v="38"/>
    <n v="81.319999999999993"/>
    <n v="81.319999999999993"/>
    <n v="88.724999999999994"/>
    <n v="89.7"/>
    <n v="88.4"/>
    <n v="0.19"/>
    <n v="38"/>
    <n v="87.65"/>
    <n v="87.65"/>
    <n v="97.974999999999994"/>
    <n v="99.4"/>
    <n v="97.5"/>
    <n v="0.19"/>
    <n v="55"/>
    <x v="4"/>
    <m/>
    <s v="Preventive Maintenance"/>
    <n v="169618.9520316415"/>
    <n v="29932.0479683585"/>
    <n v="199551"/>
    <n v="43.2"/>
    <n v="50"/>
    <n v="50"/>
    <s v=""/>
    <s v=""/>
    <n v="43.2"/>
    <s v="A"/>
    <n v="46.5"/>
    <n v="46.5"/>
    <n v="49.4"/>
    <s v=""/>
    <s v=""/>
    <n v="46.5"/>
    <n v="4"/>
    <n v="4"/>
    <n v="48.8"/>
    <n v="5.9659237821985966"/>
    <n v="36.392135071411438"/>
    <n v="5483.3551152859191"/>
    <n v="32713.278688524591"/>
    <n v="3.3"/>
    <n v="199551"/>
    <n v="199551"/>
    <n v="0"/>
    <s v=""/>
    <s v="1997"/>
    <s v="AA-MD 29.912.95N"/>
  </r>
  <r>
    <s v="eGIS Link"/>
    <n v="229"/>
    <s v="EastBound Visi-Data"/>
    <s v="9223"/>
    <n v="2017"/>
    <n v="5"/>
    <x v="18"/>
    <s v="AA"/>
    <s v="AA-MD 256"/>
    <s v="3.31-5.28(E)"/>
    <s v="MD"/>
    <s v="256"/>
    <s v=""/>
    <n v="3.31"/>
    <n v="5.28"/>
    <s v="E"/>
    <s v="BAY FRONT RD"/>
    <s v="MUDDY CREEK RD"/>
    <n v="2.1"/>
    <n v="4.1399999999999997"/>
    <s v="UNDIVIDED"/>
    <s v="RURAL"/>
    <s v="NON-IS"/>
    <n v="6"/>
    <s v="F"/>
    <n v="97.27"/>
    <n v="101.7"/>
    <n v="99.3"/>
    <n v="99.1"/>
    <n v="99.3"/>
    <n v="0.15"/>
    <n v="39"/>
    <n v="97.99"/>
    <n v="97.99"/>
    <n v="93.375"/>
    <n v="93"/>
    <n v="93.5"/>
    <n v="0.15"/>
    <n v="39"/>
    <n v="59.81"/>
    <n v="59.81"/>
    <n v="100"/>
    <n v="100"/>
    <n v="100"/>
    <n v="0.08"/>
    <n v="49"/>
    <x v="9"/>
    <m/>
    <s v="Structural Overlay"/>
    <n v="487968.03195383982"/>
    <n v="86109.968046160182"/>
    <n v="574078"/>
    <n v="35.799999999999997"/>
    <n v="41.3"/>
    <n v="45.5"/>
    <s v=""/>
    <s v=""/>
    <n v="35.799999999999997"/>
    <s v="B"/>
    <n v="50"/>
    <n v="50"/>
    <n v="50"/>
    <s v=""/>
    <s v=""/>
    <n v="50"/>
    <n v="14.200000000000003"/>
    <n v="4"/>
    <n v="58.788000000000004"/>
    <n v="10.589514713402512"/>
    <n v="43.840590913486395"/>
    <n v="13094.668389230132"/>
    <n v="138666.18357487925"/>
    <n v="20.399999999999999"/>
    <n v="574078"/>
    <n v="574078"/>
    <n v="0"/>
    <s v=""/>
    <s v="2005"/>
    <s v="AA-MD 2563.315.28E"/>
  </r>
  <r>
    <s v="eGIS Link"/>
    <n v="218"/>
    <s v="SouthBound Visi-Data"/>
    <s v="9171"/>
    <n v="2017"/>
    <n v="5"/>
    <x v="18"/>
    <s v="AA"/>
    <s v="AA-MD 3"/>
    <s v="0-1.47(S)"/>
    <s v="MD"/>
    <s v="3"/>
    <s v=""/>
    <n v="0"/>
    <n v="1.47"/>
    <s v="S"/>
    <s v="STRUC #16053 PATUXENT RIVER"/>
    <s v="CLUB HOUSE GATE"/>
    <n v="3.1"/>
    <n v="4.5599999999999996"/>
    <s v="DIVIDED"/>
    <s v="URBAN"/>
    <s v="NON-IS"/>
    <n v="14"/>
    <s v="FCJ"/>
    <n v="77.540000000000006"/>
    <n v="71.459999999999994"/>
    <n v="99.7"/>
    <n v="99.4"/>
    <n v="99.8"/>
    <n v="0.11"/>
    <n v="41"/>
    <n v="90.04"/>
    <n v="90.04"/>
    <n v="91"/>
    <n v="89.5"/>
    <n v="91.5"/>
    <n v="0.11"/>
    <n v="41"/>
    <n v="67.069999999999993"/>
    <n v="67.069999999999993"/>
    <n v="100"/>
    <n v="100"/>
    <n v="100"/>
    <n v="0.09"/>
    <n v="49"/>
    <x v="5"/>
    <m/>
    <s v="Preventive Maintenance"/>
    <n v="233333.3627547436"/>
    <n v="113322.6372452564"/>
    <n v="346656"/>
    <n v="18.899999999999999"/>
    <n v="40.700000000000003"/>
    <n v="49.7"/>
    <s v=""/>
    <s v=""/>
    <n v="18.899999999999999"/>
    <s v="D"/>
    <n v="23.6"/>
    <n v="47.1"/>
    <n v="50"/>
    <s v=""/>
    <s v=""/>
    <n v="23.6"/>
    <n v="4.7000000000000028"/>
    <n v="4"/>
    <n v="36.479999999999997"/>
    <n v="5.9659237821985966"/>
    <n v="27.2046124468256"/>
    <n v="12742.545062076411"/>
    <n v="76021.052631578961"/>
    <n v="4.7"/>
    <n v="346656"/>
    <n v="346656"/>
    <n v="0"/>
    <s v=""/>
    <s v="2010"/>
    <s v="AA-MD 301.47S"/>
  </r>
  <r>
    <s v="eGIS Link"/>
    <n v="192"/>
    <s v="NorthBound Visi-Data"/>
    <s v="9205"/>
    <n v="2017"/>
    <n v="5"/>
    <x v="18"/>
    <s v="AA"/>
    <s v="AA-MD 175"/>
    <s v="7.006-8.05(N)"/>
    <s v="MD"/>
    <s v="175"/>
    <s v=""/>
    <n v="7.0060000000000002"/>
    <n v="8.0500000000000007"/>
    <s v="N"/>
    <s v="DISNEY RD"/>
    <s v="MCCARRON CT"/>
    <n v="3.9"/>
    <n v="4.07"/>
    <s v="UNDIVIDED"/>
    <s v="URBAN"/>
    <s v="NON-IS"/>
    <n v="16"/>
    <s v="FCJ"/>
    <n v="145.15"/>
    <n v="137.65"/>
    <n v="90.6"/>
    <n v="93.6"/>
    <n v="89.6"/>
    <n v="0.25"/>
    <n v="41"/>
    <n v="159.22999999999999"/>
    <n v="159.22999999999999"/>
    <n v="84.7"/>
    <n v="85.3"/>
    <n v="84.5"/>
    <n v="0.25"/>
    <n v="41"/>
    <n v="104.05"/>
    <n v="104.05"/>
    <n v="100"/>
    <n v="100"/>
    <n v="100"/>
    <n v="0.21"/>
    <n v="49"/>
    <x v="5"/>
    <m/>
    <s v="Preventive Maintenance"/>
    <n v="208479.22949376178"/>
    <n v="101251.77050623822"/>
    <n v="309731"/>
    <n v="10.9"/>
    <n v="40"/>
    <n v="47.9"/>
    <s v=""/>
    <s v=""/>
    <n v="10.9"/>
    <s v="D"/>
    <n v="20.399999999999999"/>
    <n v="48.5"/>
    <n v="50"/>
    <s v=""/>
    <s v=""/>
    <n v="20.399999999999999"/>
    <n v="9.4999999999999982"/>
    <n v="4"/>
    <n v="38.664999999999992"/>
    <n v="7.0845344913608326"/>
    <n v="28.834055379838592"/>
    <n v="10741.846608804488"/>
    <n v="76100.982800982791"/>
    <n v="9.6"/>
    <n v="309731"/>
    <n v="309731"/>
    <n v="0"/>
    <s v=""/>
    <s v="2012"/>
    <s v="AA-MD 1757.0068.05N"/>
  </r>
  <r>
    <s v="eGIS Link"/>
    <n v="168"/>
    <s v="NorthBound Visi-Data"/>
    <s v="9241"/>
    <n v="2017"/>
    <n v="5"/>
    <x v="18"/>
    <s v="AA"/>
    <s v="AA-MD 468"/>
    <s v="2.8-3.9(N)"/>
    <s v="MD"/>
    <s v="468"/>
    <s v=""/>
    <n v="2.8"/>
    <n v="3.9"/>
    <s v="N"/>
    <s v="DEALE CHURCHTON RD"/>
    <s v="PLANTATION BLVD"/>
    <n v="2.6"/>
    <n v="2.86"/>
    <s v="UNDIVIDED"/>
    <s v="RURAL"/>
    <s v="NON-IS"/>
    <n v="7"/>
    <s v="F"/>
    <n v="103.97"/>
    <n v="99.49"/>
    <n v="94.7"/>
    <n v="99.9"/>
    <n v="93"/>
    <n v="0.14000000000000001"/>
    <n v="40"/>
    <n v="103.36"/>
    <n v="103.36"/>
    <n v="90.5"/>
    <n v="96.8"/>
    <n v="88.4"/>
    <n v="0.14000000000000001"/>
    <n v="40"/>
    <n v="72.900000000000006"/>
    <n v="72.900000000000006"/>
    <n v="100"/>
    <n v="100"/>
    <n v="100"/>
    <n v="0.12"/>
    <n v="49"/>
    <x v="5"/>
    <m/>
    <s v="Preventive Maintenance"/>
    <n v="189004.12083577484"/>
    <n v="33352.87916422516"/>
    <n v="222357"/>
    <n v="33.4"/>
    <n v="50"/>
    <n v="49.5"/>
    <s v=""/>
    <s v=""/>
    <n v="33.4"/>
    <s v="B"/>
    <n v="44.9"/>
    <n v="50"/>
    <n v="50"/>
    <s v=""/>
    <s v=""/>
    <n v="44.9"/>
    <n v="11.5"/>
    <n v="4"/>
    <n v="32.89"/>
    <n v="8.5760154369104828"/>
    <n v="24.527404149563981"/>
    <n v="9065.6556496604553"/>
    <n v="77747.202797202801"/>
    <n v="11.6"/>
    <n v="222357"/>
    <n v="222357"/>
    <n v="0"/>
    <s v=""/>
    <s v="2002"/>
    <s v="AA-MD 4682.83.9N"/>
  </r>
  <r>
    <s v="eGIS Link"/>
    <n v="208"/>
    <s v="NorthBound Visi-Data"/>
    <s v="9205"/>
    <n v="2017"/>
    <n v="5"/>
    <x v="18"/>
    <s v="AA"/>
    <s v="AA-MD 175"/>
    <s v="0-2.15(N)"/>
    <s v="MD"/>
    <s v="175"/>
    <s v=""/>
    <n v="0"/>
    <n v="2.15"/>
    <s v="N"/>
    <s v="ROBERT CRAIN HWY"/>
    <s v="WATTS RD"/>
    <n v="2.2000000000000002"/>
    <n v="4.7300000000000004"/>
    <s v="UNDIVIDED"/>
    <s v="URBAN"/>
    <s v="NON-IS"/>
    <n v="16"/>
    <s v="FCJ"/>
    <n v="115.4"/>
    <n v="116.42"/>
    <n v="95.5"/>
    <n v="94.7"/>
    <n v="95.8"/>
    <n v="0.19"/>
    <n v="38"/>
    <n v="124.3"/>
    <n v="124.3"/>
    <n v="88.525000000000006"/>
    <n v="86.2"/>
    <n v="89.3"/>
    <n v="0.19"/>
    <n v="38"/>
    <n v="85.04"/>
    <n v="85.04"/>
    <n v="100"/>
    <n v="100"/>
    <n v="100"/>
    <n v="0.16"/>
    <n v="49"/>
    <x v="5"/>
    <m/>
    <s v="Preventive Maintenance"/>
    <n v="242191.3287321172"/>
    <n v="117624.6712678828"/>
    <n v="359816"/>
    <n v="16.399999999999999"/>
    <n v="40.5"/>
    <n v="50"/>
    <s v=""/>
    <s v=""/>
    <n v="16.399999999999999"/>
    <s v="D"/>
    <n v="24.9"/>
    <n v="48.5"/>
    <n v="50"/>
    <s v=""/>
    <s v=""/>
    <n v="24.9"/>
    <n v="8.5"/>
    <n v="4"/>
    <n v="40.205000000000005"/>
    <n v="6.3387940185860092"/>
    <n v="29.982495707911827"/>
    <n v="12000.868890479027"/>
    <n v="76071.035940803369"/>
    <n v="8.5"/>
    <n v="359816"/>
    <n v="359816"/>
    <n v="0"/>
    <s v=""/>
    <s v="2006"/>
    <s v="AA-MD 17502.15N"/>
  </r>
  <r>
    <s v="eGIS Link"/>
    <n v="180"/>
    <s v="NorthBound Visi-Data"/>
    <s v="9241"/>
    <n v="2017"/>
    <n v="5"/>
    <x v="18"/>
    <s v="AA"/>
    <s v="AA-MD 468"/>
    <s v="1.07-2.8(N)"/>
    <s v="MD"/>
    <s v="468"/>
    <s v=""/>
    <n v="1.07"/>
    <n v="2.8"/>
    <s v="N"/>
    <s v="COLUMBIA BEACH RD"/>
    <s v="BROWNS WAY"/>
    <n v="2"/>
    <n v="3.46"/>
    <s v="UNDIVIDED"/>
    <s v="URBAN"/>
    <s v="NON-IS"/>
    <n v="16"/>
    <s v="F"/>
    <n v="104.33"/>
    <n v="94.46"/>
    <n v="97.8"/>
    <n v="99.4"/>
    <n v="97.3"/>
    <n v="0.13"/>
    <n v="32"/>
    <n v="112.72"/>
    <n v="112.72"/>
    <n v="91"/>
    <n v="93.7"/>
    <n v="90.1"/>
    <n v="0.13"/>
    <n v="32"/>
    <n v="78.22"/>
    <n v="78.22"/>
    <n v="100"/>
    <n v="100"/>
    <n v="100"/>
    <n v="0.11"/>
    <n v="49"/>
    <x v="5"/>
    <m/>
    <s v="Preventive Maintenance"/>
    <n v="177163.35813378406"/>
    <n v="86042.641866215941"/>
    <n v="263206"/>
    <n v="24.1"/>
    <n v="50"/>
    <n v="50"/>
    <s v=""/>
    <s v=""/>
    <n v="24.1"/>
    <s v="C"/>
    <n v="34.4"/>
    <n v="50"/>
    <n v="50"/>
    <s v=""/>
    <s v=""/>
    <n v="34.4"/>
    <n v="10.299999999999997"/>
    <n v="4"/>
    <n v="35.637999999999991"/>
    <n v="7.6811268695806909"/>
    <n v="26.576698968749191"/>
    <n v="9903.6377809560436"/>
    <n v="76071.098265895955"/>
    <n v="10.3"/>
    <n v="263206"/>
    <n v="263206"/>
    <n v="0"/>
    <s v="SKID_30"/>
    <s v="2006"/>
    <s v="AA-MD 4681.072.8N"/>
  </r>
  <r>
    <s v="eGIS Link"/>
    <n v="220"/>
    <s v="NorthBound Visi-Data"/>
    <s v="9237"/>
    <n v="2017"/>
    <n v="5"/>
    <x v="18"/>
    <s v="AA"/>
    <s v="AA-MD 424"/>
    <s v="5.85-8.24(N)"/>
    <s v="MD"/>
    <s v="424"/>
    <s v=""/>
    <n v="5.85"/>
    <n v="8.24"/>
    <s v="N"/>
    <s v="DEFENSE HWY"/>
    <s v="ROBERT CRAIN HWY"/>
    <n v="3"/>
    <n v="7.17"/>
    <s v="UNDIVIDED"/>
    <s v="URBAN"/>
    <s v="NON-IS"/>
    <n v="14"/>
    <s v="F"/>
    <n v="97.65"/>
    <n v="99.58"/>
    <n v="94.8"/>
    <n v="94.3"/>
    <n v="95"/>
    <n v="0.21"/>
    <n v="37"/>
    <n v="102.86"/>
    <n v="102.86"/>
    <n v="88.875"/>
    <n v="90"/>
    <n v="88.5"/>
    <n v="0.21"/>
    <n v="37"/>
    <n v="73.19"/>
    <n v="73.19"/>
    <n v="100"/>
    <n v="100"/>
    <n v="100"/>
    <n v="0.18"/>
    <n v="49"/>
    <x v="5"/>
    <m/>
    <s v="Preventive Maintenance"/>
    <n v="367127.01558304788"/>
    <n v="178301.98441695212"/>
    <n v="545429"/>
    <n v="22.6"/>
    <n v="50"/>
    <n v="50"/>
    <s v=""/>
    <s v=""/>
    <n v="22.6"/>
    <s v="C"/>
    <n v="30"/>
    <n v="50"/>
    <n v="50"/>
    <s v=""/>
    <s v=""/>
    <n v="30"/>
    <n v="7.3999999999999986"/>
    <n v="4"/>
    <n v="57.36"/>
    <n v="5.9659237821985966"/>
    <n v="42.775673518363938"/>
    <n v="12750.915535341435"/>
    <n v="76070.990237099031"/>
    <n v="7.4"/>
    <n v="545429"/>
    <n v="545429"/>
    <n v="0"/>
    <s v=""/>
    <s v="2008"/>
    <s v="AA-MD 4245.858.24N"/>
  </r>
  <r>
    <s v="eGIS Link"/>
    <n v="231"/>
    <s v="NorthBound Visi-Data"/>
    <s v="9210"/>
    <n v="2017"/>
    <n v="5"/>
    <x v="18"/>
    <s v="AA"/>
    <s v="AA-MD 178"/>
    <s v="0.34-1(N)"/>
    <s v="MD"/>
    <s v="178"/>
    <s v=""/>
    <n v="0.34"/>
    <n v="1"/>
    <s v="N"/>
    <s v="BESTGATE RD"/>
    <s v="EPPING FOREST RD"/>
    <n v="2.2000000000000002"/>
    <n v="1.45"/>
    <s v="UNDIVIDED"/>
    <s v="URBAN"/>
    <s v="NON-IS"/>
    <n v="16"/>
    <s v="FCJ"/>
    <n v="127.23"/>
    <n v="118.62"/>
    <n v="89.1"/>
    <n v="89.4"/>
    <n v="89"/>
    <n v="0.18"/>
    <n v="39"/>
    <n v="130.02000000000001"/>
    <n v="130.02000000000001"/>
    <n v="83.65"/>
    <n v="82.3"/>
    <n v="84.1"/>
    <n v="0.18"/>
    <n v="39"/>
    <n v="88.14"/>
    <n v="88.14"/>
    <n v="100"/>
    <n v="100"/>
    <n v="100"/>
    <n v="0.15"/>
    <n v="49"/>
    <x v="5"/>
    <m/>
    <s v="Preventive Maintenance"/>
    <n v="84773.965272514935"/>
    <n v="41172.034727485065"/>
    <n v="125946"/>
    <n v="15.3"/>
    <n v="38"/>
    <n v="47.5"/>
    <s v=""/>
    <s v=""/>
    <n v="15.3"/>
    <s v="D"/>
    <n v="24.1"/>
    <n v="48.5"/>
    <n v="50"/>
    <s v=""/>
    <s v=""/>
    <n v="24.1"/>
    <n v="8.8000000000000007"/>
    <n v="4"/>
    <n v="12.76"/>
    <n v="6.5625161604184568"/>
    <n v="9.5156484326067616"/>
    <n v="13235.671840126795"/>
    <n v="86859.310344827594"/>
    <n v="8.8000000000000007"/>
    <n v="125946"/>
    <n v="125946"/>
    <n v="0"/>
    <s v=""/>
    <s v="1996"/>
    <s v="AA-MD 1780.341N"/>
  </r>
  <r>
    <s v="eGIS Link"/>
    <n v="140"/>
    <s v="EastBound Visi-Data"/>
    <s v="9224"/>
    <n v="2017"/>
    <n v="5"/>
    <x v="18"/>
    <s v="AA"/>
    <s v="AA-MD 258"/>
    <s v="0-4.18(E)"/>
    <s v="MD"/>
    <s v="258"/>
    <s v=""/>
    <n v="0"/>
    <n v="4.18"/>
    <s v="E"/>
    <s v="WRIGHTON RD"/>
    <s v="STRUC #X0249 LYONS CREEK"/>
    <n v="2.1"/>
    <n v="8.7799999999999994"/>
    <s v="UNDIVIDED"/>
    <s v="RURAL"/>
    <s v="NON-IS"/>
    <n v="6"/>
    <s v="F"/>
    <n v="108.99"/>
    <n v="114.74"/>
    <s v=""/>
    <s v=""/>
    <s v=""/>
    <n v="0.15"/>
    <n v="43"/>
    <n v="118.5"/>
    <n v="118.5"/>
    <n v="87.6"/>
    <n v="85.5"/>
    <n v="88.3"/>
    <n v="0.15"/>
    <n v="43"/>
    <n v="80.760000000000005"/>
    <n v="80.760000000000005"/>
    <n v="100"/>
    <n v="100"/>
    <n v="100"/>
    <n v="0.13"/>
    <n v="49"/>
    <x v="5"/>
    <m/>
    <s v="Preventive Maintenance"/>
    <n v="580097.30894996377"/>
    <n v="102367.69105003623"/>
    <n v="682465"/>
    <n v="28.4"/>
    <n v="49.3"/>
    <n v="50"/>
    <s v=""/>
    <s v=""/>
    <n v="28.4"/>
    <s v="C"/>
    <n v="42.4"/>
    <n v="46.8"/>
    <n v="50"/>
    <s v=""/>
    <s v=""/>
    <n v="42.4"/>
    <n v="14"/>
    <n v="4"/>
    <n v="122.91999999999999"/>
    <n v="10.440366618847545"/>
    <n v="91.666418913481436"/>
    <n v="7445.0928495869221"/>
    <n v="77729.498861047847"/>
    <n v="14"/>
    <n v="682465"/>
    <n v="682465"/>
    <n v="0"/>
    <s v=""/>
    <s v="1987"/>
    <s v="AA-MD 25804.18E"/>
  </r>
  <r>
    <s v="eGIS Link"/>
    <n v="308"/>
    <s v="NorthBound Visi-Data"/>
    <s v="9163"/>
    <n v="2017"/>
    <n v="5"/>
    <x v="19"/>
    <s v="AA"/>
    <s v="AA-IS 695"/>
    <s v="2.05-2.92(N)"/>
    <s v="IS"/>
    <s v="695"/>
    <s v=""/>
    <n v="2.0499999999999998"/>
    <n v="2.92"/>
    <s v="N"/>
    <s v="EXIT #7"/>
    <s v="BALTIMORE CO/L"/>
    <n v="3.4"/>
    <n v="2.96"/>
    <s v="DIVIDED"/>
    <s v="URBAN"/>
    <s v="IS"/>
    <n v="11"/>
    <s v="FCJ"/>
    <n v="113.48"/>
    <n v="108.97"/>
    <n v="99.9"/>
    <n v="99.8"/>
    <n v="100"/>
    <n v="0.14000000000000001"/>
    <n v="44"/>
    <n v="122.74"/>
    <n v="122.74"/>
    <n v="94.825000000000003"/>
    <n v="89.5"/>
    <n v="96.6"/>
    <n v="0.14000000000000001"/>
    <n v="44"/>
    <n v="65.62"/>
    <n v="65.62"/>
    <n v="100"/>
    <n v="100"/>
    <n v="100"/>
    <n v="0.08"/>
    <n v="49"/>
    <x v="7"/>
    <m/>
    <s v="Minor Rehabilitation"/>
    <n v="493643.13587735797"/>
    <n v="239746.86412264203"/>
    <n v="733390"/>
    <n v="10"/>
    <n v="12.9"/>
    <n v="24.5"/>
    <s v=""/>
    <s v=""/>
    <n v="10"/>
    <s v="D"/>
    <n v="32.200000000000003"/>
    <n v="18"/>
    <n v="29.5"/>
    <s v=""/>
    <s v=""/>
    <n v="18"/>
    <n v="8"/>
    <n v="6"/>
    <n v="35.519999999999996"/>
    <n v="8.9488856732978945"/>
    <n v="26.488701592961768"/>
    <n v="27686.898786872469"/>
    <n v="247766.89189189189"/>
    <n v="8"/>
    <n v="733390"/>
    <n v="733390"/>
    <n v="0"/>
    <s v=""/>
    <s v="2009"/>
    <s v="AA-IS 6952.052.92N"/>
  </r>
  <r>
    <s v="eGIS Link"/>
    <n v="111"/>
    <s v="NorthBound Visi-Data"/>
    <s v="9172"/>
    <n v="2017"/>
    <n v="5"/>
    <x v="19"/>
    <s v="AA"/>
    <s v="AA-MD 3BU"/>
    <s v="0-0.85(N)"/>
    <s v="MD"/>
    <s v="3"/>
    <s v="BU"/>
    <n v="0"/>
    <n v="0.85"/>
    <s v="N"/>
    <s v="NEW CUT RD (BACK)"/>
    <s v="GREEN BRANCH LA"/>
    <n v="3.4"/>
    <n v="2.89"/>
    <s v="DIVIDED"/>
    <s v="URBAN"/>
    <s v="NON-IS"/>
    <n v="16"/>
    <s v="F"/>
    <n v="200.44"/>
    <n v="178.86"/>
    <n v="84.7"/>
    <n v="90.6"/>
    <n v="82.7"/>
    <n v="0.22"/>
    <n v="36"/>
    <n v="177.01"/>
    <n v="177.01"/>
    <n v="82.2"/>
    <n v="87.3"/>
    <n v="80.5"/>
    <n v="0.22"/>
    <n v="36"/>
    <n v="64.05"/>
    <n v="64.05"/>
    <n v="100"/>
    <n v="100"/>
    <n v="100"/>
    <n v="0.12"/>
    <n v="49"/>
    <x v="2"/>
    <m/>
    <s v="Structural Overlay"/>
    <n v="354529.99177859904"/>
    <n v="172184.00822140096"/>
    <n v="526714"/>
    <n v="11.1"/>
    <n v="50"/>
    <n v="50"/>
    <s v=""/>
    <s v=""/>
    <n v="11.1"/>
    <s v="D"/>
    <n v="50"/>
    <n v="50"/>
    <n v="50"/>
    <s v=""/>
    <s v=""/>
    <n v="50"/>
    <n v="38.9"/>
    <n v="6"/>
    <n v="112.42100000000001"/>
    <n v="29.009304390940677"/>
    <n v="83.836889689818562"/>
    <n v="6282.6042562975226"/>
    <n v="182253.97923875431"/>
    <n v="39"/>
    <n v="526714"/>
    <n v="526714"/>
    <n v="0"/>
    <s v=""/>
    <s v="1990"/>
    <s v="AA-MD 3BU00.85N"/>
  </r>
  <r>
    <s v="eGIS Link"/>
    <n v="103"/>
    <s v="SouthBound Visi-Data"/>
    <s v="9172"/>
    <n v="2017"/>
    <n v="5"/>
    <x v="19"/>
    <s v="AA"/>
    <s v="AA-MD 3BU"/>
    <s v="0-0.85(S)"/>
    <s v="MD"/>
    <s v="3"/>
    <s v="BU"/>
    <n v="0"/>
    <n v="0.85"/>
    <s v="S"/>
    <s v="NEW CUT RD (BACK)"/>
    <s v="GREEN BRANCH LA"/>
    <n v="3.4"/>
    <n v="2.89"/>
    <s v="DIVIDED"/>
    <s v="URBAN"/>
    <s v="NON-IS"/>
    <n v="16"/>
    <s v="F"/>
    <n v="175.75"/>
    <n v="196.98"/>
    <n v="91.3"/>
    <n v="91.7"/>
    <n v="91.2"/>
    <n v="0.15"/>
    <n v="37"/>
    <n v="213.88"/>
    <n v="213.88"/>
    <n v="85.6"/>
    <n v="87.4"/>
    <n v="85"/>
    <n v="0.15"/>
    <n v="37"/>
    <n v="72.22"/>
    <n v="72.22"/>
    <n v="100"/>
    <n v="100"/>
    <n v="100"/>
    <n v="0.08"/>
    <n v="49"/>
    <x v="2"/>
    <m/>
    <s v="Structural Overlay"/>
    <n v="354529.99177859904"/>
    <n v="172184.00822140096"/>
    <n v="526714"/>
    <n v="5.4"/>
    <n v="50"/>
    <n v="50"/>
    <s v=""/>
    <s v=""/>
    <n v="5.4"/>
    <s v="E"/>
    <n v="45.9"/>
    <n v="50"/>
    <n v="50"/>
    <s v=""/>
    <s v=""/>
    <n v="45.9"/>
    <n v="40.5"/>
    <n v="6"/>
    <n v="117.045"/>
    <n v="30.202489147380394"/>
    <n v="87.285193635929346"/>
    <n v="6034.4026066660163"/>
    <n v="182253.97923875431"/>
    <n v="40.4"/>
    <n v="526714"/>
    <n v="526714"/>
    <n v="0"/>
    <s v=""/>
    <s v="1990"/>
    <s v="AA-MD 3BU00.85S"/>
  </r>
  <r>
    <s v="eGIS Link"/>
    <n v="182"/>
    <s v="SouthBound Visi-Data"/>
    <s v="9167"/>
    <n v="2017"/>
    <n v="5"/>
    <x v="19"/>
    <s v="AA"/>
    <s v="AA-MD 2"/>
    <s v="40-41.4(S)"/>
    <s v="MD"/>
    <s v="2"/>
    <s v=""/>
    <n v="40"/>
    <n v="41.4"/>
    <s v="S"/>
    <s v="CAMROSE AVE"/>
    <s v="POTEE ST (AHEAD)"/>
    <n v="2.2000000000000002"/>
    <n v="3.08"/>
    <s v="DIVIDED"/>
    <s v="URBAN"/>
    <s v="NON-IS"/>
    <n v="14"/>
    <s v="FCJ"/>
    <n v="148.43"/>
    <n v="259.27"/>
    <n v="100"/>
    <n v="100"/>
    <n v="100"/>
    <n v="0.23"/>
    <n v="37"/>
    <n v="258.33999999999997"/>
    <n v="258.33999999999997"/>
    <n v="91.375"/>
    <n v="90.4"/>
    <n v="91.7"/>
    <n v="0.23"/>
    <n v="37"/>
    <n v="83.72"/>
    <n v="83.72"/>
    <n v="100"/>
    <n v="100"/>
    <n v="100"/>
    <n v="0.12"/>
    <n v="49"/>
    <x v="2"/>
    <m/>
    <s v="Structural Overlay"/>
    <n v="377839.3657752896"/>
    <n v="183504.6342247104"/>
    <n v="561344"/>
    <n v="0"/>
    <n v="41.1"/>
    <n v="49.8"/>
    <s v=""/>
    <s v=""/>
    <n v="0"/>
    <s v="F"/>
    <n v="24.6"/>
    <n v="47.1"/>
    <n v="50"/>
    <s v=""/>
    <s v=""/>
    <n v="24.6"/>
    <n v="24.6"/>
    <n v="6"/>
    <n v="75.768000000000001"/>
    <n v="18.345215630260686"/>
    <n v="56.503264141202912"/>
    <n v="9934.7180827852499"/>
    <n v="182254.54545454544"/>
    <n v="24.6"/>
    <n v="561344"/>
    <n v="561344"/>
    <n v="0"/>
    <s v=""/>
    <s v="2010"/>
    <s v="AA-MD 24041.4S"/>
  </r>
  <r>
    <s v="eGIS Link"/>
    <n v="105"/>
    <s v="SouthBound Visi-Data"/>
    <s v="9228"/>
    <n v="2017"/>
    <n v="5"/>
    <x v="19"/>
    <s v="AA"/>
    <s v="AA-MD 270"/>
    <s v="1.1-2.16(S)"/>
    <s v="MD"/>
    <s v="270"/>
    <s v=""/>
    <n v="1.1000000000000001"/>
    <n v="2.16"/>
    <s v="S"/>
    <s v="RENFRO DR"/>
    <s v="CRAIN HWY"/>
    <n v="2.7"/>
    <n v="2.86"/>
    <s v="DIVIDED"/>
    <s v="URBAN"/>
    <s v="NON-IS"/>
    <n v="16"/>
    <s v="F"/>
    <n v="202.36"/>
    <n v="179.81"/>
    <s v=""/>
    <s v=""/>
    <s v=""/>
    <n v="0.13"/>
    <n v="41"/>
    <n v="198.29"/>
    <n v="198.29"/>
    <n v="86.974999999999994"/>
    <n v="87.2"/>
    <n v="86.9"/>
    <n v="0.13"/>
    <n v="41"/>
    <n v="68.75"/>
    <n v="68.75"/>
    <n v="100"/>
    <n v="100"/>
    <n v="100"/>
    <n v="0.08"/>
    <n v="49"/>
    <x v="2"/>
    <m/>
    <s v="Structural Overlay"/>
    <n v="351095.1741203515"/>
    <n v="170515.8258796485"/>
    <n v="521611"/>
    <n v="7.5"/>
    <n v="50"/>
    <n v="50"/>
    <s v=""/>
    <s v=""/>
    <n v="7.5"/>
    <s v="E"/>
    <n v="47.6"/>
    <n v="50"/>
    <n v="50"/>
    <s v=""/>
    <s v=""/>
    <n v="47.6"/>
    <n v="40.1"/>
    <n v="6"/>
    <n v="114.68599999999999"/>
    <n v="29.904192958270468"/>
    <n v="85.525991860653534"/>
    <n v="6098.8594069724968"/>
    <n v="182381.46853146853"/>
    <n v="40.1"/>
    <n v="521611"/>
    <n v="521611"/>
    <n v="0"/>
    <s v=""/>
    <s v="1995"/>
    <s v="AA-MD 2701.12.16S"/>
  </r>
  <r>
    <s v="eGIS Link"/>
    <n v="178"/>
    <s v="NorthBound Visi-Data"/>
    <s v="9167"/>
    <n v="2017"/>
    <n v="5"/>
    <x v="19"/>
    <s v="AA"/>
    <s v="AA-MD 2"/>
    <s v="40-41.4(N)"/>
    <s v="MD"/>
    <s v="2"/>
    <s v=""/>
    <n v="40"/>
    <n v="41.4"/>
    <s v="N"/>
    <s v="CAMROSE AVE"/>
    <s v="POTEE ST (AHEAD)"/>
    <n v="2.2999999999999998"/>
    <n v="3.22"/>
    <s v="DIVIDED"/>
    <s v="URBAN"/>
    <s v="NON-IS"/>
    <n v="14"/>
    <s v="FCJ"/>
    <n v="242.47"/>
    <n v="288.93"/>
    <n v="97.3"/>
    <n v="98"/>
    <n v="97"/>
    <n v="0.23"/>
    <n v="41"/>
    <n v="249.45"/>
    <n v="249.45"/>
    <n v="90.2"/>
    <n v="89.6"/>
    <n v="90.4"/>
    <n v="0.23"/>
    <n v="41"/>
    <n v="81.55"/>
    <n v="81.55"/>
    <n v="100"/>
    <n v="100"/>
    <n v="100"/>
    <n v="0.12"/>
    <n v="49"/>
    <x v="2"/>
    <m/>
    <s v="Structural Overlay"/>
    <n v="395013.45406652725"/>
    <n v="191845.54593347275"/>
    <n v="586859"/>
    <n v="0"/>
    <n v="40.799999999999997"/>
    <n v="49"/>
    <s v=""/>
    <s v=""/>
    <n v="0"/>
    <s v="F"/>
    <n v="25.2"/>
    <n v="47.1"/>
    <n v="50"/>
    <s v=""/>
    <s v=""/>
    <n v="25.2"/>
    <n v="25.2"/>
    <n v="6"/>
    <n v="81.144000000000005"/>
    <n v="18.792659913925579"/>
    <n v="60.512364922840369"/>
    <n v="9698.1666597943567"/>
    <n v="182254.34782608695"/>
    <n v="25.2"/>
    <n v="586859"/>
    <n v="586859"/>
    <n v="0"/>
    <s v=""/>
    <s v="2010"/>
    <s v="AA-MD 24041.4N"/>
  </r>
  <r>
    <s v="eGIS Link"/>
    <n v="160"/>
    <s v="EastBound Visi-Data"/>
    <s v="9209"/>
    <n v="2017"/>
    <n v="5"/>
    <x v="19"/>
    <s v="AA"/>
    <s v="AA-MD 177"/>
    <s v="0-1.08(E)"/>
    <s v="MD"/>
    <s v="177"/>
    <s v=""/>
    <n v="0"/>
    <n v="1.08"/>
    <s v="E"/>
    <s v="GOV RITCHIE HWY"/>
    <s v="FREETOWN RD"/>
    <n v="2.7"/>
    <n v="2.92"/>
    <s v="DIVIDED"/>
    <s v="URBAN"/>
    <s v="NON-IS"/>
    <n v="16"/>
    <s v="FCJ"/>
    <n v="110.17"/>
    <n v="101.25"/>
    <n v="93.6"/>
    <n v="97"/>
    <n v="92.4"/>
    <n v="0.16"/>
    <n v="32"/>
    <n v="111.21"/>
    <n v="111.21"/>
    <n v="87.05"/>
    <n v="88.4"/>
    <n v="86.6"/>
    <n v="0.16"/>
    <n v="32"/>
    <n v="50.86"/>
    <n v="50.86"/>
    <n v="100"/>
    <n v="100"/>
    <n v="100"/>
    <n v="0.08"/>
    <n v="49"/>
    <x v="2"/>
    <m/>
    <s v="Structural Overlay"/>
    <n v="323615.28665893391"/>
    <n v="157169.71334106609"/>
    <n v="480785"/>
    <n v="19.7"/>
    <n v="41.6"/>
    <n v="49.7"/>
    <s v=""/>
    <s v=""/>
    <n v="19.7"/>
    <s v="D"/>
    <n v="45.2"/>
    <n v="48.5"/>
    <n v="50"/>
    <s v=""/>
    <s v=""/>
    <n v="45.2"/>
    <n v="25.500000000000004"/>
    <n v="6"/>
    <n v="74.460000000000008"/>
    <n v="19.016382055758029"/>
    <n v="55.527835602813447"/>
    <n v="8658.4502129530138"/>
    <n v="164652.39726027398"/>
    <n v="25.6"/>
    <n v="480785"/>
    <n v="480785"/>
    <n v="0"/>
    <s v="SKID_30"/>
    <s v="2008"/>
    <s v="AA-MD 17701.08E"/>
  </r>
  <r>
    <s v="eGIS Link"/>
    <n v="187"/>
    <s v="NorthBound Visi-Data"/>
    <s v="9202"/>
    <n v="2017"/>
    <n v="5"/>
    <x v="19"/>
    <s v="AA"/>
    <s v="AA-MD 173"/>
    <s v="3-3.8(N)"/>
    <s v="MD"/>
    <s v="173"/>
    <s v=""/>
    <n v="3"/>
    <n v="3.8"/>
    <s v="N"/>
    <s v="HOG NECK RD"/>
    <s v="MARINERS COVE DR"/>
    <n v="2.1"/>
    <n v="1.68"/>
    <s v="UNDIVIDED"/>
    <s v="URBAN"/>
    <s v="NON-IS"/>
    <n v="14"/>
    <s v="FCJ"/>
    <n v="155.81"/>
    <n v="154.36000000000001"/>
    <n v="70.599999999999994"/>
    <n v="66.599999999999994"/>
    <n v="72"/>
    <n v="0.14000000000000001"/>
    <n v="33"/>
    <n v="182.92"/>
    <n v="182.92"/>
    <n v="66.900000000000006"/>
    <n v="62.4"/>
    <n v="68.400000000000006"/>
    <n v="0.14000000000000001"/>
    <n v="33"/>
    <n v="66.150000000000006"/>
    <n v="66.150000000000006"/>
    <n v="100"/>
    <n v="100"/>
    <n v="100"/>
    <n v="0.08"/>
    <n v="49"/>
    <x v="2"/>
    <m/>
    <s v="Structural Overlay"/>
    <n v="221423.57172103171"/>
    <n v="107538.42827896829"/>
    <n v="328962"/>
    <n v="4.8"/>
    <n v="8.8000000000000007"/>
    <n v="16.600000000000001"/>
    <s v=""/>
    <s v=""/>
    <n v="4.8"/>
    <s v="E"/>
    <n v="29.9"/>
    <n v="47.1"/>
    <n v="50"/>
    <s v=""/>
    <s v=""/>
    <n v="29.9"/>
    <n v="25.099999999999998"/>
    <n v="6"/>
    <n v="42.167999999999992"/>
    <n v="18.718085866648096"/>
    <n v="31.446384255968798"/>
    <n v="10461.04370290394"/>
    <n v="195810.71428571429"/>
    <n v="25"/>
    <n v="328962"/>
    <n v="328962"/>
    <n v="0"/>
    <s v="SKID_35"/>
    <s v="1996"/>
    <s v="AA-MD 17333.8N"/>
  </r>
  <r>
    <s v="eGIS Link"/>
    <n v="146"/>
    <s v="EastBound Visi-Data"/>
    <s v="9196"/>
    <n v="2017"/>
    <n v="5"/>
    <x v="19"/>
    <s v="AA"/>
    <s v="AA-MD 168"/>
    <s v="0-1.28(E)"/>
    <s v="MD"/>
    <s v="168"/>
    <s v=""/>
    <n v="0"/>
    <n v="1.28"/>
    <s v="E"/>
    <s v="W NURSERY RD (BACK)"/>
    <s v="SHENANDOAH AVE (AHEAD)"/>
    <n v="2.2000000000000002"/>
    <n v="2.81"/>
    <s v="UNDIVIDED"/>
    <s v="URBAN"/>
    <s v="NON-IS"/>
    <n v="16"/>
    <s v="FCJ"/>
    <n v="227.41"/>
    <n v="221.98"/>
    <n v="90.4"/>
    <n v="89.7"/>
    <n v="90.6"/>
    <n v="0.19"/>
    <n v="31"/>
    <n v="236.98"/>
    <n v="236.98"/>
    <n v="83.375"/>
    <n v="81.2"/>
    <n v="84.1"/>
    <n v="0.19"/>
    <n v="31"/>
    <n v="78.12"/>
    <n v="78.12"/>
    <n v="100"/>
    <n v="100"/>
    <n v="100"/>
    <n v="0.08"/>
    <n v="49"/>
    <x v="2"/>
    <m/>
    <s v="Structural Overlay"/>
    <n v="345452.59594494698"/>
    <n v="167775.40405505302"/>
    <n v="513228"/>
    <n v="1.6"/>
    <n v="37.200000000000003"/>
    <n v="47.6"/>
    <s v=""/>
    <s v=""/>
    <n v="1.6"/>
    <s v="E"/>
    <n v="33.5"/>
    <n v="48.5"/>
    <n v="50"/>
    <s v=""/>
    <s v=""/>
    <n v="33.5"/>
    <n v="31.9"/>
    <n v="6"/>
    <n v="89.638999999999996"/>
    <n v="23.789121081516903"/>
    <n v="66.847430239062504"/>
    <n v="7677.6025370694597"/>
    <n v="182643.41637010674"/>
    <n v="31.9"/>
    <n v="513228"/>
    <n v="513228"/>
    <n v="0"/>
    <s v="SKID_30"/>
    <s v="1997"/>
    <s v="AA-MD 16801.28E"/>
  </r>
  <r>
    <s v="eGIS Link"/>
    <n v="106"/>
    <s v="SouthBound Visi-Data"/>
    <s v="9254"/>
    <n v="2017"/>
    <n v="5"/>
    <x v="19"/>
    <s v="AA"/>
    <s v="AA-MD 648E"/>
    <s v="1.5-2.35(S)"/>
    <s v="MD"/>
    <s v="648"/>
    <s v="E"/>
    <n v="1.5"/>
    <n v="2.35"/>
    <s v="S"/>
    <s v="HOLLAWAY RD"/>
    <s v="GLEN OAK RD"/>
    <n v="2.4"/>
    <n v="2.04"/>
    <s v="DIVIDED"/>
    <s v="URBAN"/>
    <s v="NON-IS"/>
    <n v="16"/>
    <s v="F"/>
    <n v="189.87"/>
    <n v="179.3"/>
    <n v="71"/>
    <n v="78.2"/>
    <n v="68.7"/>
    <n v="0.16"/>
    <n v="43"/>
    <n v="193.28"/>
    <n v="193.28"/>
    <n v="68.7"/>
    <n v="76.8"/>
    <n v="66"/>
    <n v="0.16"/>
    <n v="43"/>
    <n v="67.62"/>
    <n v="67.62"/>
    <n v="100"/>
    <n v="100"/>
    <n v="100"/>
    <n v="0.08"/>
    <n v="49"/>
    <x v="2"/>
    <m/>
    <s v="Structural Overlay"/>
    <n v="250256.38559692653"/>
    <n v="121541.61440307347"/>
    <n v="371798"/>
    <n v="8.3000000000000007"/>
    <n v="50"/>
    <n v="50"/>
    <s v=""/>
    <s v=""/>
    <n v="8.3000000000000007"/>
    <s v="E"/>
    <n v="48.2"/>
    <n v="50"/>
    <n v="50"/>
    <s v=""/>
    <s v=""/>
    <n v="48.2"/>
    <n v="39.900000000000006"/>
    <n v="6"/>
    <n v="81.396000000000015"/>
    <n v="29.755044863715504"/>
    <n v="60.700291521979629"/>
    <n v="6125.1435648438628"/>
    <n v="182253.92156862744"/>
    <n v="39.9"/>
    <n v="371798"/>
    <n v="371798"/>
    <n v="0"/>
    <s v=""/>
    <s v="2000"/>
    <s v="AA-MD 648E1.52.35S"/>
  </r>
  <r>
    <s v="eGIS Link"/>
    <n v="149"/>
    <s v="NorthBound Visi-Data"/>
    <s v="9194"/>
    <n v="2017"/>
    <n v="5"/>
    <x v="19"/>
    <s v="AA"/>
    <s v="AA-MD 162"/>
    <s v="0-0.8(N)"/>
    <s v="MD"/>
    <s v="162"/>
    <s v=""/>
    <n v="0"/>
    <n v="0.8"/>
    <s v="N"/>
    <s v="DORSEY RD"/>
    <s v="HOLLINS FERRY RD"/>
    <n v="3.3"/>
    <n v="2.64"/>
    <s v="DIVIDED"/>
    <s v="URBAN"/>
    <s v="NON-IS"/>
    <n v="16"/>
    <s v="F"/>
    <n v="132.02000000000001"/>
    <n v="111.9"/>
    <n v="66.2"/>
    <n v="85.6"/>
    <n v="59.7"/>
    <n v="0.2"/>
    <n v="41"/>
    <n v="125"/>
    <n v="125"/>
    <n v="64.3"/>
    <n v="83.8"/>
    <n v="57.8"/>
    <n v="0.2"/>
    <n v="41"/>
    <n v="53.33"/>
    <n v="53.33"/>
    <n v="100"/>
    <n v="100"/>
    <n v="100"/>
    <n v="0.08"/>
    <n v="49"/>
    <x v="2"/>
    <m/>
    <s v="Structural Overlay"/>
    <n v="292985.30187425588"/>
    <n v="142293.69812574412"/>
    <n v="435279"/>
    <n v="21.5"/>
    <n v="50"/>
    <n v="50"/>
    <s v=""/>
    <s v=""/>
    <n v="21.5"/>
    <s v="C"/>
    <n v="50"/>
    <n v="50"/>
    <n v="50"/>
    <s v=""/>
    <s v=""/>
    <n v="50"/>
    <n v="28.5"/>
    <n v="6"/>
    <n v="75.240000000000009"/>
    <n v="21.253603474082503"/>
    <n v="56.109513171577809"/>
    <n v="7757.6684486453523"/>
    <n v="164878.40909090909"/>
    <n v="35"/>
    <n v="435279"/>
    <n v="435279"/>
    <n v="0"/>
    <s v=""/>
    <s v="1997"/>
    <s v="AA-MD 16200.8N"/>
  </r>
  <r>
    <s v="eGIS Link"/>
    <n v="195"/>
    <s v="NorthBound Visi-Data"/>
    <s v="9270"/>
    <n v="2017"/>
    <n v="5"/>
    <x v="19"/>
    <s v="AA"/>
    <s v="AA-MD 713"/>
    <s v="0-2(N)"/>
    <s v="MD"/>
    <s v="713"/>
    <s v=""/>
    <n v="0"/>
    <n v="2"/>
    <s v="N"/>
    <s v="BEGIN STATE MAINTENANCE"/>
    <s v="RIDGE FOREST WAY"/>
    <n v="2.6"/>
    <n v="5.2"/>
    <s v="UNDIVIDED"/>
    <s v="URBAN"/>
    <s v="NON-IS"/>
    <n v="16"/>
    <s v="FCJ"/>
    <n v="140.53"/>
    <n v="124.51"/>
    <n v="80.5"/>
    <n v="77.900000000000006"/>
    <n v="81.3"/>
    <n v="0.16"/>
    <n v="35"/>
    <n v="143.13999999999999"/>
    <n v="143.13999999999999"/>
    <n v="78.7"/>
    <n v="76.900000000000006"/>
    <n v="79.3"/>
    <n v="0.16"/>
    <n v="35"/>
    <n v="95.28"/>
    <n v="95.28"/>
    <n v="100"/>
    <n v="100"/>
    <n v="100"/>
    <n v="0.14000000000000001"/>
    <n v="49"/>
    <x v="5"/>
    <m/>
    <s v="Preventive Maintenance"/>
    <n v="266256.59146684658"/>
    <n v="129312.40853315342"/>
    <n v="395569"/>
    <n v="13.1"/>
    <n v="28.9"/>
    <n v="40.200000000000003"/>
    <s v=""/>
    <s v=""/>
    <n v="13.1"/>
    <s v="D"/>
    <n v="22.4"/>
    <n v="48.5"/>
    <n v="50"/>
    <s v=""/>
    <s v=""/>
    <n v="22.4"/>
    <n v="9.2999999999999989"/>
    <n v="4"/>
    <n v="48.36"/>
    <n v="6.9353863968058675"/>
    <n v="36.06400926339051"/>
    <n v="10968.525354765592"/>
    <n v="76070.961538461532"/>
    <n v="9.3000000000000007"/>
    <n v="395569"/>
    <n v="395569"/>
    <n v="0"/>
    <s v=""/>
    <s v="2000"/>
    <s v="AA-MD 71302N"/>
  </r>
  <r>
    <s v="eGIS Link"/>
    <n v="223"/>
    <s v="EastBound Visi-Data"/>
    <s v="9209"/>
    <n v="2017"/>
    <n v="5"/>
    <x v="19"/>
    <s v="AA"/>
    <s v="AA-MD 177"/>
    <s v="7.8-8.89(E)"/>
    <s v="MD"/>
    <s v="177"/>
    <s v=""/>
    <n v="7.8"/>
    <n v="8.89"/>
    <s v="E"/>
    <s v="LONG POINT RD"/>
    <s v="PINEHURST RD"/>
    <n v="1.9"/>
    <n v="2.0699999999999998"/>
    <s v="UNDIVIDED"/>
    <s v="URBAN"/>
    <s v="NON-IS"/>
    <n v="14"/>
    <s v="FCJ"/>
    <n v="99.24"/>
    <n v="93"/>
    <n v="100"/>
    <n v="100"/>
    <n v="100"/>
    <n v="0.17"/>
    <n v="42"/>
    <n v="110.38"/>
    <n v="110.38"/>
    <n v="93.125"/>
    <n v="92.6"/>
    <n v="93.3"/>
    <n v="0.17"/>
    <n v="42"/>
    <n v="77.989999999999995"/>
    <n v="77.989999999999995"/>
    <n v="100"/>
    <n v="100"/>
    <n v="100"/>
    <n v="0.14000000000000001"/>
    <n v="49"/>
    <x v="5"/>
    <m/>
    <s v="Preventive Maintenance"/>
    <n v="106041.83388855399"/>
    <n v="51501.166111446015"/>
    <n v="157543"/>
    <n v="15"/>
    <n v="42.1"/>
    <n v="50"/>
    <s v=""/>
    <s v=""/>
    <n v="15"/>
    <s v="D"/>
    <n v="20.9"/>
    <n v="47.1"/>
    <n v="50"/>
    <s v=""/>
    <s v=""/>
    <n v="20.9"/>
    <n v="5.8999999999999986"/>
    <n v="4"/>
    <n v="16.559999999999999"/>
    <n v="5.9659237821985966"/>
    <n v="12.349462229151094"/>
    <n v="12757.073715170962"/>
    <n v="76107.729468599035"/>
    <n v="5.9"/>
    <n v="157543"/>
    <n v="157543"/>
    <n v="0"/>
    <s v=""/>
    <s v="2012"/>
    <s v="AA-MD 1777.88.89E"/>
  </r>
  <r>
    <s v="eGIS Link"/>
    <n v="222"/>
    <s v="EastBound Visi-Data"/>
    <s v="9209"/>
    <n v="2017"/>
    <n v="5"/>
    <x v="19"/>
    <s v="AA"/>
    <s v="AA-MD 177"/>
    <s v="5.07-6.9(E)"/>
    <s v="MD"/>
    <s v="177"/>
    <s v=""/>
    <n v="5.07"/>
    <n v="6.9"/>
    <s v="E"/>
    <s v="NO NAME"/>
    <s v="SOUTH CAROLINA AVE"/>
    <n v="2"/>
    <n v="3.66"/>
    <s v="UNDIVIDED"/>
    <s v="URBAN"/>
    <s v="NON-IS"/>
    <n v="14"/>
    <s v="FCJ"/>
    <n v="84.58"/>
    <n v="95.58"/>
    <n v="100"/>
    <n v="100"/>
    <n v="100"/>
    <n v="0.14000000000000001"/>
    <n v="42"/>
    <n v="97.45"/>
    <n v="97.45"/>
    <n v="93.125"/>
    <n v="92.6"/>
    <n v="93.3"/>
    <n v="0.14000000000000001"/>
    <n v="42"/>
    <n v="71.03"/>
    <n v="71.03"/>
    <n v="100"/>
    <n v="100"/>
    <n v="100"/>
    <n v="0.12"/>
    <n v="49"/>
    <x v="5"/>
    <m/>
    <s v="Preventive Maintenance"/>
    <n v="187403.86682525533"/>
    <n v="91016.133174744667"/>
    <n v="278420"/>
    <n v="17.399999999999999"/>
    <n v="42.1"/>
    <n v="50"/>
    <s v=""/>
    <s v=""/>
    <n v="17.399999999999999"/>
    <s v="D"/>
    <n v="22.6"/>
    <n v="47.1"/>
    <n v="50"/>
    <s v=""/>
    <s v=""/>
    <n v="22.6"/>
    <n v="5.2000000000000028"/>
    <n v="4"/>
    <n v="29.28"/>
    <n v="5.9659237821985966"/>
    <n v="21.835281042846866"/>
    <n v="12750.923583427339"/>
    <n v="76071.038251366117"/>
    <n v="5.2"/>
    <n v="278420"/>
    <n v="278420"/>
    <n v="0"/>
    <s v=""/>
    <s v="2012"/>
    <s v="AA-MD 1775.076.9E"/>
  </r>
  <r>
    <s v="eGIS Link"/>
    <n v="219"/>
    <s v="NorthBound Visi-Data"/>
    <s v="9254"/>
    <n v="2017"/>
    <n v="5"/>
    <x v="19"/>
    <s v="AA"/>
    <s v="AA-MD 648E"/>
    <s v="4.05-6.25(N)"/>
    <s v="MD"/>
    <s v="648"/>
    <s v="E"/>
    <n v="4.05"/>
    <n v="6.25"/>
    <s v="N"/>
    <s v="EASTERN ST"/>
    <s v="SPUR FR MD 169"/>
    <n v="2.6"/>
    <n v="5.72"/>
    <s v="UNDIVIDED"/>
    <s v="URBAN"/>
    <s v="NON-IS"/>
    <n v="16"/>
    <s v="FCJ"/>
    <n v="115"/>
    <n v="118.4"/>
    <n v="97.7"/>
    <n v="98.6"/>
    <n v="97.4"/>
    <n v="0.22"/>
    <n v="33"/>
    <n v="123.44"/>
    <n v="123.44"/>
    <n v="90.7"/>
    <n v="90.4"/>
    <n v="90.8"/>
    <n v="0.22"/>
    <n v="33"/>
    <n v="84.46"/>
    <n v="84.46"/>
    <n v="100"/>
    <n v="100"/>
    <n v="100"/>
    <n v="0.19"/>
    <n v="49"/>
    <x v="5"/>
    <m/>
    <s v="Preventive Maintenance"/>
    <n v="292882.31792330311"/>
    <n v="142243.68207669689"/>
    <n v="435126"/>
    <n v="17.2"/>
    <n v="42.5"/>
    <n v="50"/>
    <s v=""/>
    <s v=""/>
    <n v="17.2"/>
    <s v="D"/>
    <n v="25"/>
    <n v="48.5"/>
    <n v="50"/>
    <s v=""/>
    <s v=""/>
    <n v="25"/>
    <n v="7.8000000000000007"/>
    <n v="4"/>
    <n v="45.76"/>
    <n v="5.9659237821985966"/>
    <n v="34.12508403417597"/>
    <n v="12750.913655310715"/>
    <n v="76070.979020979023"/>
    <n v="7.8"/>
    <n v="435126"/>
    <n v="435126"/>
    <n v="0"/>
    <s v="SKID_30"/>
    <s v="2005"/>
    <s v="AA-MD 648E4.056.25N"/>
  </r>
  <r>
    <s v="eGIS Link"/>
    <n v="225"/>
    <s v="EastBound Visi-Data"/>
    <s v="9209"/>
    <n v="2017"/>
    <n v="5"/>
    <x v="19"/>
    <s v="AA"/>
    <s v="AA-MD 177"/>
    <s v="6.9-7.8(E)"/>
    <s v="MD"/>
    <s v="177"/>
    <s v=""/>
    <n v="6.9"/>
    <n v="7.8"/>
    <s v="E"/>
    <s v="SOUTH CAROLINA AVE"/>
    <s v="LONG POINT RD"/>
    <n v="2.2000000000000002"/>
    <n v="1.98"/>
    <s v="UNDIVIDED"/>
    <s v="URBAN"/>
    <s v="NON-IS"/>
    <n v="14"/>
    <s v="FCJ"/>
    <n v="107.05"/>
    <n v="102.43"/>
    <n v="99.7"/>
    <n v="100"/>
    <n v="99.6"/>
    <n v="0.22"/>
    <n v="38"/>
    <n v="114.12"/>
    <n v="114.12"/>
    <n v="92.825000000000003"/>
    <n v="92.6"/>
    <n v="92.9"/>
    <n v="0.22"/>
    <n v="38"/>
    <n v="80.02"/>
    <n v="80.02"/>
    <n v="100"/>
    <n v="100"/>
    <n v="100"/>
    <n v="0.19"/>
    <n v="49"/>
    <x v="5"/>
    <m/>
    <s v="Preventive Maintenance"/>
    <n v="102706.63469266598"/>
    <n v="49881.365307334025"/>
    <n v="152588"/>
    <n v="14.3"/>
    <n v="42.1"/>
    <n v="50"/>
    <s v=""/>
    <s v=""/>
    <n v="14.3"/>
    <s v="D"/>
    <n v="20.399999999999999"/>
    <n v="47.1"/>
    <n v="50"/>
    <s v=""/>
    <s v=""/>
    <n v="20.399999999999999"/>
    <n v="6.0999999999999979"/>
    <n v="4"/>
    <n v="15.84"/>
    <n v="5.9659237821985966"/>
    <n v="11.812529088753221"/>
    <n v="12917.470835714592"/>
    <n v="77064.646464646459"/>
    <n v="6.1"/>
    <n v="152588"/>
    <n v="152588"/>
    <n v="0"/>
    <s v=""/>
    <s v="2010"/>
    <s v="AA-MD 1776.97.8E"/>
  </r>
  <r>
    <s v="eGIS Link"/>
    <n v="221"/>
    <s v="SouthBound Visi-Data"/>
    <s v="9167"/>
    <n v="2017"/>
    <n v="5"/>
    <x v="19"/>
    <s v="AA"/>
    <s v="AA-MD 2"/>
    <s v="29.45-32(S)"/>
    <s v="MD"/>
    <s v="2"/>
    <s v=""/>
    <n v="29.45"/>
    <n v="32"/>
    <s v="S"/>
    <s v="TOWN NECK RD"/>
    <s v="HASTINGS LA"/>
    <n v="2.8"/>
    <n v="7.14"/>
    <s v="DIVIDED"/>
    <s v="URBAN"/>
    <s v="NON-IS"/>
    <n v="14"/>
    <s v="FCJ"/>
    <n v="71.069999999999993"/>
    <n v="75.58"/>
    <n v="99.8"/>
    <n v="99.7"/>
    <n v="99.8"/>
    <n v="0.14000000000000001"/>
    <n v="39"/>
    <n v="96.46"/>
    <n v="96.46"/>
    <n v="91.1"/>
    <n v="89.9"/>
    <n v="91.5"/>
    <n v="0.14000000000000001"/>
    <n v="39"/>
    <n v="70.5"/>
    <n v="70.5"/>
    <n v="100"/>
    <n v="100"/>
    <n v="100"/>
    <n v="0.12"/>
    <n v="49"/>
    <x v="5"/>
    <m/>
    <s v="Preventive Maintenance"/>
    <n v="365591.00658909907"/>
    <n v="177555.99341090093"/>
    <n v="543147"/>
    <n v="17.600000000000001"/>
    <n v="40.9"/>
    <n v="49.7"/>
    <s v=""/>
    <s v=""/>
    <n v="17.600000000000001"/>
    <s v="D"/>
    <n v="22.7"/>
    <n v="47.1"/>
    <n v="50"/>
    <s v=""/>
    <s v=""/>
    <n v="22.7"/>
    <n v="5.0999999999999979"/>
    <n v="4"/>
    <n v="57.12"/>
    <n v="5.9659237821985966"/>
    <n v="42.596695804897976"/>
    <n v="12750.918580345528"/>
    <n v="76071.008403361353"/>
    <n v="5.0999999999999996"/>
    <n v="543147"/>
    <n v="543147"/>
    <n v="0"/>
    <s v=""/>
    <s v="2007"/>
    <s v="AA-MD 229.4532S"/>
  </r>
  <r>
    <s v="eGIS Link"/>
    <n v="314"/>
    <s v="West Bound Visi-Data"/>
    <s v="30905"/>
    <n v="2017"/>
    <n v="5"/>
    <x v="20"/>
    <s v="CH"/>
    <s v="CH-MD 6"/>
    <s v="0-1.5(W)"/>
    <s v="MD"/>
    <s v="6"/>
    <s v=""/>
    <n v="0"/>
    <n v="1.5"/>
    <s v="W"/>
    <s v="ROAD END"/>
    <s v="BENNY GRAY POINT RD"/>
    <n v="2"/>
    <n v="3"/>
    <s v="UNDIVIDED"/>
    <s v="URBAN"/>
    <s v="NON-IS"/>
    <n v="8"/>
    <s v="F"/>
    <n v="192.26"/>
    <n v="212.04"/>
    <s v=""/>
    <s v=""/>
    <s v=""/>
    <n v="0.21"/>
    <n v="60"/>
    <n v="105.93"/>
    <n v="105.93"/>
    <n v="90.474999999999994"/>
    <n v="87.4"/>
    <n v="91.5"/>
    <n v="0.15"/>
    <n v="43"/>
    <n v="109.3"/>
    <n v="109.3"/>
    <n v="91.075000000000003"/>
    <n v="89.2"/>
    <n v="91.7"/>
    <n v="0.15"/>
    <n v="43"/>
    <x v="6"/>
    <m/>
    <s v="Preventive Maintenance"/>
    <n v="183456.82180311866"/>
    <n v="89099.178196881345"/>
    <n v="272556"/>
    <n v="29.5"/>
    <n v="18.3"/>
    <n v="20.2"/>
    <s v=""/>
    <s v=""/>
    <n v="18.3"/>
    <s v="D"/>
    <n v="29.4"/>
    <n v="21.1"/>
    <n v="21.4"/>
    <s v=""/>
    <s v=""/>
    <n v="21.1"/>
    <n v="2.8000000000000007"/>
    <n v="2"/>
    <n v="12"/>
    <n v="2.9829618910992983"/>
    <n v="8.9488856732978945"/>
    <n v="30456.976427050064"/>
    <n v="90852"/>
    <n v="2.9"/>
    <n v="272556"/>
    <n v="272556"/>
    <n v="0"/>
    <s v=""/>
    <s v="1997"/>
    <s v="CH-MD 601.5W"/>
  </r>
  <r>
    <s v="eGIS Link"/>
    <n v="2"/>
    <s v="SouthBound Visi-Data"/>
    <s v="31211"/>
    <n v="2017"/>
    <n v="5"/>
    <x v="20"/>
    <s v="CH"/>
    <s v="CH-US 301"/>
    <s v="20.81-21.87(S)"/>
    <s v="US"/>
    <s v="301"/>
    <s v=""/>
    <n v="20.81"/>
    <n v="21.87"/>
    <s v="S"/>
    <s v="SPEED LIMIT 45 MPH"/>
    <s v="SPEED LIMIT 45 MPH"/>
    <n v="2.9"/>
    <n v="3.07"/>
    <s v="DIVIDED"/>
    <s v="URBAN"/>
    <s v="NON-IS"/>
    <n v="14"/>
    <s v="F"/>
    <n v="91.28"/>
    <n v="106.9"/>
    <n v="81.2"/>
    <n v="84.5"/>
    <n v="80.2"/>
    <n v="0.2"/>
    <n v="37"/>
    <n v="69.349999999999994"/>
    <n v="69.349999999999994"/>
    <n v="95.65"/>
    <n v="94"/>
    <n v="96.2"/>
    <n v="0.21"/>
    <n v="42"/>
    <n v="72.91"/>
    <n v="72.91"/>
    <n v="94.474999999999994"/>
    <n v="93.5"/>
    <n v="94.8"/>
    <n v="0.21"/>
    <n v="40"/>
    <x v="0"/>
    <m/>
    <s v="Preventive Maintenance"/>
    <n v="1270.1353950838907"/>
    <n v="616.86460491610933"/>
    <n v="1887"/>
    <n v="31.2"/>
    <n v="45.3"/>
    <n v="27.9"/>
    <s v=""/>
    <s v=""/>
    <n v="27.9"/>
    <s v="C"/>
    <n v="31"/>
    <n v="46"/>
    <n v="27.9"/>
    <s v=""/>
    <s v=""/>
    <n v="27.9"/>
    <n v="1"/>
    <n v="1"/>
    <n v="6.14"/>
    <n v="1.4914809455496492"/>
    <n v="4.5788465028374228"/>
    <n v="412.11252633838296"/>
    <n v="614.65798045602605"/>
    <n v="0"/>
    <n v="1887"/>
    <n v="1887"/>
    <n v="0"/>
    <s v=""/>
    <s v="1999"/>
    <s v="CH-US 30120.8121.87S"/>
  </r>
  <r>
    <s v="eGIS Link"/>
    <n v="382"/>
    <s v="NorthBound Visi-Data"/>
    <s v="30903"/>
    <n v="2017"/>
    <n v="5"/>
    <x v="20"/>
    <s v="CH"/>
    <s v="CH-MD 5K"/>
    <s v="0-0.2(N)"/>
    <s v="MD"/>
    <s v="5"/>
    <s v="K"/>
    <n v="0"/>
    <n v="0.2"/>
    <s v="N"/>
    <s v="MATTAWOMAN-BEANTOWN RD"/>
    <s v="MATTAWOMAN DR (AHEAD)"/>
    <n v="3.5"/>
    <n v="0.7"/>
    <s v="UNDIVIDED"/>
    <s v="URBAN"/>
    <s v="NON-IS"/>
    <n v="14"/>
    <s v="F"/>
    <n v="437.02"/>
    <s v=""/>
    <s v=""/>
    <s v=""/>
    <s v=""/>
    <s v=""/>
    <s v=""/>
    <n v="102.26"/>
    <n v="102.26"/>
    <n v="80.775000000000006"/>
    <n v="85.8"/>
    <n v="79.099999999999994"/>
    <n v="0.13"/>
    <n v="44"/>
    <n v="58.8"/>
    <n v="58.8"/>
    <n v="100"/>
    <n v="100"/>
    <n v="100"/>
    <n v="0.08"/>
    <n v="49"/>
    <x v="1"/>
    <m/>
    <s v="Minor Rehabilitation"/>
    <n v="791651.0929281459"/>
    <n v="384479.9070718541"/>
    <n v="1176131"/>
    <n v="30"/>
    <n v="16.5"/>
    <n v="13.7"/>
    <s v=""/>
    <s v=""/>
    <n v="13.7"/>
    <s v="D"/>
    <n v="50"/>
    <n v="32.1"/>
    <n v="28.3"/>
    <s v=""/>
    <s v=""/>
    <n v="28.3"/>
    <n v="14.600000000000001"/>
    <n v="6"/>
    <n v="10.220000000000001"/>
    <n v="10.88781090251244"/>
    <n v="7.6214676317587076"/>
    <n v="154318.17818120148"/>
    <n v="1680187.142857143"/>
    <n v="14.6"/>
    <n v="1176131"/>
    <n v="1176131"/>
    <n v="0"/>
    <s v=""/>
    <s v="1988"/>
    <s v="CH-MD 5K00.2N"/>
  </r>
  <r>
    <s v="eGIS Link"/>
    <n v="154"/>
    <s v="NorthBound Visi-Data"/>
    <s v="30924"/>
    <n v="2017"/>
    <n v="5"/>
    <x v="20"/>
    <s v="CH"/>
    <s v="CH-MD 925"/>
    <s v="1.2-2.49(N)"/>
    <s v="MD"/>
    <s v="925"/>
    <s v=""/>
    <n v="1.2"/>
    <n v="2.4900000000000002"/>
    <s v="N"/>
    <s v="PEMBROOKE SQ"/>
    <s v="LEONARDTOWN RD"/>
    <n v="2.2999999999999998"/>
    <n v="2.96"/>
    <s v="UNDIVIDED"/>
    <s v="RURAL"/>
    <s v="NON-IS"/>
    <n v="17"/>
    <s v="FCJ"/>
    <n v="136.65"/>
    <n v="155.08000000000001"/>
    <n v="85.4"/>
    <n v="82.5"/>
    <n v="86.4"/>
    <n v="0.16"/>
    <n v="28"/>
    <n v="94.76"/>
    <n v="94.76"/>
    <n v="70.924999999999997"/>
    <n v="74.900000000000006"/>
    <n v="69.599999999999994"/>
    <n v="0.1"/>
    <n v="46"/>
    <n v="47.6"/>
    <n v="47.6"/>
    <n v="100"/>
    <n v="100"/>
    <n v="100"/>
    <n v="0.08"/>
    <n v="49"/>
    <x v="2"/>
    <m/>
    <s v="Structural Overlay"/>
    <n v="668763.67365510983"/>
    <n v="118014.32634489017"/>
    <n v="786778"/>
    <n v="28.2"/>
    <n v="7.8"/>
    <n v="6.8"/>
    <s v=""/>
    <s v=""/>
    <n v="6.8"/>
    <s v="E"/>
    <n v="50"/>
    <n v="50"/>
    <n v="50"/>
    <s v=""/>
    <s v=""/>
    <n v="50"/>
    <n v="43.2"/>
    <n v="6"/>
    <n v="127.872"/>
    <n v="32.215988423872425"/>
    <n v="95.359325734662377"/>
    <n v="8250.6665597574829"/>
    <n v="265803.3783783784"/>
    <n v="46.8"/>
    <n v="786778"/>
    <n v="786778"/>
    <n v="0"/>
    <s v="SKID_30"/>
    <s v="2000"/>
    <s v="CH-MD 9251.22.49N"/>
  </r>
  <r>
    <s v="eGIS Link"/>
    <n v="69"/>
    <s v="EastBound Visi-Data"/>
    <s v="30911"/>
    <n v="2017"/>
    <n v="5"/>
    <x v="20"/>
    <s v="CH"/>
    <s v="CH-MD 228"/>
    <s v="0-2.49(E)"/>
    <s v="MD"/>
    <s v="228"/>
    <s v=""/>
    <n v="0"/>
    <n v="2.4900000000000002"/>
    <s v="E"/>
    <s v="PRINCE GEORGES CO/L"/>
    <s v="IRONWOOD DR"/>
    <n v="2.5"/>
    <n v="6.23"/>
    <s v="DIVIDED"/>
    <s v="RURAL"/>
    <s v="NON-IS"/>
    <n v="14"/>
    <s v="F"/>
    <n v="70.06"/>
    <n v="58.93"/>
    <n v="100"/>
    <n v="100"/>
    <n v="100"/>
    <n v="0.17"/>
    <n v="39"/>
    <n v="90.71"/>
    <n v="90.71"/>
    <n v="92.224999999999994"/>
    <n v="92.9"/>
    <n v="92"/>
    <n v="0.14000000000000001"/>
    <n v="30"/>
    <n v="98.49"/>
    <n v="98.49"/>
    <n v="98.474999999999994"/>
    <n v="99.6"/>
    <n v="98.1"/>
    <n v="0.14000000000000001"/>
    <n v="55"/>
    <x v="4"/>
    <m/>
    <s v="Preventive Maintenance"/>
    <n v="125406.89510898112"/>
    <n v="22130.104891018884"/>
    <n v="147537"/>
    <n v="30.7"/>
    <n v="20.5"/>
    <n v="19.600000000000001"/>
    <s v=""/>
    <s v=""/>
    <n v="19.600000000000001"/>
    <s v="D"/>
    <n v="31.7"/>
    <n v="27.3"/>
    <n v="25.8"/>
    <s v=""/>
    <s v=""/>
    <n v="25.8"/>
    <n v="6.1999999999999993"/>
    <n v="4"/>
    <n v="49.84"/>
    <n v="5.9659237821985966"/>
    <n v="37.16770516309726"/>
    <n v="3969.4944671075691"/>
    <n v="23681.701444622791"/>
    <n v="6.2"/>
    <n v="147537"/>
    <n v="147537"/>
    <n v="0"/>
    <s v=""/>
    <s v="2009"/>
    <s v="CH-MD 22802.49E"/>
  </r>
  <r>
    <s v="eGIS Link"/>
    <n v="58"/>
    <s v="NorthBound Visi-Data"/>
    <s v="30918"/>
    <n v="2017"/>
    <n v="5"/>
    <x v="20"/>
    <s v="CH"/>
    <s v="CH-MD 381"/>
    <s v="0-1.38(N)"/>
    <s v="MD"/>
    <s v="381"/>
    <s v=""/>
    <n v="0"/>
    <n v="1.38"/>
    <s v="N"/>
    <s v="PRINCE FREDERICK RD"/>
    <s v="STRUC #16060 SWANSON CREEK"/>
    <n v="2.2000000000000002"/>
    <n v="3.03"/>
    <s v="UNDIVIDED"/>
    <s v="RURAL"/>
    <s v="NON-IS"/>
    <n v="7"/>
    <s v="F"/>
    <n v="94.4"/>
    <n v="91.55"/>
    <n v="48"/>
    <n v="61.2"/>
    <n v="43.6"/>
    <n v="0.11"/>
    <n v="39"/>
    <n v="107.82"/>
    <n v="107.82"/>
    <n v="96.375"/>
    <n v="92.1"/>
    <n v="97.8"/>
    <n v="0.16"/>
    <n v="41"/>
    <n v="117.15"/>
    <n v="117.15"/>
    <n v="99.424999999999997"/>
    <n v="99.5"/>
    <n v="99.4"/>
    <n v="0.16"/>
    <n v="55"/>
    <x v="4"/>
    <m/>
    <s v="Preventive Maintenance"/>
    <n v="54305.842748718591"/>
    <n v="9583.1572512814091"/>
    <n v="63889"/>
    <n v="24.3"/>
    <n v="19.8"/>
    <n v="24.4"/>
    <s v=""/>
    <s v=""/>
    <n v="19.8"/>
    <s v="D"/>
    <n v="25.8"/>
    <n v="27.2"/>
    <n v="27.6"/>
    <s v=""/>
    <s v=""/>
    <n v="25.8"/>
    <n v="6"/>
    <n v="4"/>
    <n v="24.24"/>
    <n v="5.9659237821985966"/>
    <n v="18.076749060061747"/>
    <n v="3534.3191293812079"/>
    <n v="21085.478547854786"/>
    <n v="5.9"/>
    <n v="63889"/>
    <n v="63889"/>
    <n v="0"/>
    <s v=""/>
    <s v="1999"/>
    <s v="CH-MD 38101.38N"/>
  </r>
  <r>
    <s v="eGIS Link"/>
    <n v="266"/>
    <s v="EastBound Visi-Data"/>
    <s v="30913"/>
    <n v="2017"/>
    <n v="5"/>
    <x v="20"/>
    <s v="CH"/>
    <s v="CH-MD 231"/>
    <s v="10.2-10.52(E)"/>
    <s v="MD"/>
    <s v="231"/>
    <s v=""/>
    <n v="10.199999999999999"/>
    <n v="10.52"/>
    <s v="E"/>
    <s v="BEG BR"/>
    <s v="STRUC #4008 PATUXENT RIVER"/>
    <n v="2"/>
    <n v="0.64"/>
    <s v="UNDIVIDED"/>
    <s v="RURAL"/>
    <s v="NON-IS"/>
    <n v="2"/>
    <s v="UNKNOWN"/>
    <n v="161.06"/>
    <n v="154.18"/>
    <s v=""/>
    <s v=""/>
    <s v=""/>
    <n v="0.3"/>
    <n v="57"/>
    <n v="68.33"/>
    <n v="68.33"/>
    <n v="84.75"/>
    <n v="84.3"/>
    <n v="84.9"/>
    <n v="0.16"/>
    <n v="39"/>
    <n v="74.27"/>
    <n v="74.27"/>
    <n v="97.224999999999994"/>
    <n v="99.1"/>
    <n v="96.6"/>
    <n v="0.16"/>
    <n v="55"/>
    <x v="4"/>
    <m/>
    <s v="Preventive Maintenance"/>
    <n v="59850.412428160926"/>
    <n v="10561.587571839074"/>
    <n v="70412"/>
    <n v="37.700000000000003"/>
    <n v="35.5"/>
    <n v="35.200000000000003"/>
    <s v=""/>
    <s v=""/>
    <n v="35.200000000000003"/>
    <s v="B"/>
    <n v="41.4"/>
    <n v="46.4"/>
    <n v="42.4"/>
    <s v=""/>
    <s v=""/>
    <n v="41.4"/>
    <n v="6.1999999999999957"/>
    <n v="4"/>
    <n v="5.12"/>
    <n v="5.9659237821985966"/>
    <n v="3.818191220607102"/>
    <n v="18441.192683064291"/>
    <n v="110018.75"/>
    <n v="6.2"/>
    <n v="70412"/>
    <n v="70412"/>
    <n v="0"/>
    <s v=""/>
    <s v="2003"/>
    <s v="CH-MD 23110.210.52E"/>
  </r>
  <r>
    <s v="eGIS Link"/>
    <n v="71"/>
    <s v="West Bound Visi-Data"/>
    <s v="30921"/>
    <n v="2017"/>
    <n v="5"/>
    <x v="20"/>
    <s v="CH"/>
    <s v="CH-MD 488"/>
    <s v="0-1.07(W)"/>
    <s v="MD"/>
    <s v="488"/>
    <s v=""/>
    <n v="0"/>
    <n v="1.07"/>
    <s v="W"/>
    <s v="CHARLES ST"/>
    <s v="SUFFOLK DR"/>
    <n v="2.7"/>
    <n v="2.89"/>
    <s v="UNDIVIDED"/>
    <s v="RURAL"/>
    <s v="NON-IS"/>
    <n v="16"/>
    <s v="F"/>
    <n v="74.849999999999994"/>
    <n v="67.59"/>
    <s v=""/>
    <s v=""/>
    <s v=""/>
    <n v="0.14000000000000001"/>
    <n v="47"/>
    <n v="136.56"/>
    <n v="136.56"/>
    <n v="50.1"/>
    <n v="53.4"/>
    <n v="49"/>
    <n v="0.2"/>
    <n v="48"/>
    <n v="87.31"/>
    <n v="87.31"/>
    <n v="100"/>
    <n v="100"/>
    <n v="100"/>
    <n v="0.2"/>
    <n v="49"/>
    <x v="8"/>
    <m/>
    <s v="Minor Rehabilitation"/>
    <n v="287234.71948743105"/>
    <n v="50687.280512568948"/>
    <n v="337922"/>
    <n v="21.5"/>
    <n v="3.3"/>
    <n v="0.6"/>
    <s v=""/>
    <s v=""/>
    <n v="0.6"/>
    <s v="F"/>
    <n v="37.700000000000003"/>
    <n v="47.5"/>
    <n v="45.1"/>
    <s v=""/>
    <s v=""/>
    <n v="37.700000000000003"/>
    <n v="37.1"/>
    <n v="4"/>
    <n v="107.21900000000001"/>
    <n v="27.666971539945994"/>
    <n v="79.957547750443922"/>
    <n v="4226.267682129157"/>
    <n v="116928.0276816609"/>
    <n v="37.1"/>
    <n v="337922"/>
    <n v="337922"/>
    <n v="0"/>
    <s v=""/>
    <s v="2009"/>
    <s v="CH-MD 48801.07W"/>
  </r>
  <r>
    <s v="eGIS Link"/>
    <n v="46"/>
    <s v="West Bound Visi-Data"/>
    <s v="30905"/>
    <n v="2017"/>
    <n v="5"/>
    <x v="20"/>
    <s v="CH"/>
    <s v="CH-MD 6"/>
    <s v="32.1-35.8(W)"/>
    <s v="MD"/>
    <s v="6"/>
    <s v=""/>
    <n v="32.1"/>
    <n v="35.799999999999997"/>
    <s v="W"/>
    <s v="PENNS HILL RD"/>
    <s v="DUBOIS RD"/>
    <n v="2.2000000000000002"/>
    <n v="8.14"/>
    <s v="UNDIVIDED"/>
    <s v="RURAL"/>
    <s v="NON-IS"/>
    <n v="6"/>
    <s v="F"/>
    <n v="69.19"/>
    <n v="66.81"/>
    <s v=""/>
    <s v=""/>
    <s v=""/>
    <n v="0.17"/>
    <n v="48"/>
    <n v="90.86"/>
    <n v="90.86"/>
    <n v="52.774999999999999"/>
    <n v="73.7"/>
    <n v="45.8"/>
    <n v="0.13"/>
    <n v="55"/>
    <n v="64.64"/>
    <n v="64.64"/>
    <n v="100"/>
    <n v="100"/>
    <n v="100"/>
    <n v="0.13"/>
    <n v="49"/>
    <x v="8"/>
    <m/>
    <s v="Minor Rehabilitation"/>
    <n v="658247.43632963684"/>
    <n v="116158.56367036316"/>
    <n v="774406"/>
    <n v="35.6"/>
    <n v="29"/>
    <n v="0"/>
    <s v=""/>
    <s v=""/>
    <n v="0"/>
    <s v="F"/>
    <n v="47.9"/>
    <n v="47.5"/>
    <n v="45.1"/>
    <s v=""/>
    <s v=""/>
    <n v="45.1"/>
    <n v="45.1"/>
    <n v="4"/>
    <n v="367.11400000000003"/>
    <n v="33.632895322144591"/>
    <n v="273.77176792225697"/>
    <n v="2828.6554376195145"/>
    <n v="95135.87223587223"/>
    <n v="45.1"/>
    <n v="774406"/>
    <n v="774406"/>
    <n v="0"/>
    <s v=""/>
    <s v="2002"/>
    <s v="CH-MD 632.135.8W"/>
  </r>
  <r>
    <s v="eGIS Link"/>
    <n v="292"/>
    <s v="NorthBound Visi-Data"/>
    <s v="30924"/>
    <n v="2017"/>
    <n v="5"/>
    <x v="20"/>
    <s v="CH"/>
    <s v="CH-MD 925"/>
    <s v="0-1.2(N)"/>
    <s v="MD"/>
    <s v="925"/>
    <s v=""/>
    <n v="0"/>
    <n v="1.2"/>
    <s v="N"/>
    <s v="BILLINGSLEY RD"/>
    <s v="SMALLWOOD DR"/>
    <n v="2.1"/>
    <n v="2.52"/>
    <s v="UNDIVIDED"/>
    <s v="RURAL"/>
    <s v="NON-IS"/>
    <n v="17"/>
    <s v="FCJ"/>
    <n v="107.56"/>
    <n v="102.33"/>
    <n v="97.9"/>
    <n v="96.3"/>
    <n v="98.4"/>
    <n v="0.27"/>
    <n v="31"/>
    <n v="75.12"/>
    <n v="75.12"/>
    <n v="93.375"/>
    <n v="93.9"/>
    <n v="93.2"/>
    <n v="0.16"/>
    <n v="49"/>
    <n v="52.04"/>
    <n v="52.04"/>
    <n v="100"/>
    <n v="100"/>
    <n v="100"/>
    <n v="0.08"/>
    <n v="49"/>
    <x v="9"/>
    <m/>
    <s v="Structural Overlay"/>
    <n v="960131.1078108605"/>
    <n v="169430.8921891395"/>
    <n v="1129562"/>
    <n v="35"/>
    <n v="21.2"/>
    <n v="20.399999999999999"/>
    <s v=""/>
    <s v=""/>
    <n v="20.399999999999999"/>
    <s v="C"/>
    <n v="47.3"/>
    <n v="50"/>
    <n v="50"/>
    <s v=""/>
    <s v=""/>
    <n v="47.3"/>
    <n v="26.9"/>
    <n v="4"/>
    <n v="67.787999999999997"/>
    <n v="20.060418717642779"/>
    <n v="50.552255168459801"/>
    <n v="22344.443313871154"/>
    <n v="448238.88888888888"/>
    <n v="26.9"/>
    <n v="1129562"/>
    <n v="1129562"/>
    <n v="0"/>
    <s v="SKID_30"/>
    <s v="2005"/>
    <s v="CH-MD 92501.2N"/>
  </r>
  <r>
    <s v="eGIS Link"/>
    <n v="197"/>
    <s v="West Bound Visi-Data"/>
    <s v="30910"/>
    <n v="2017"/>
    <n v="5"/>
    <x v="20"/>
    <s v="CH"/>
    <s v="CH-MD 227"/>
    <s v="12.81-13.96(W)"/>
    <s v="MD"/>
    <s v="227"/>
    <s v=""/>
    <n v="12.81"/>
    <n v="13.96"/>
    <s v="W"/>
    <s v="STRUC #8029 PAGES SWAMP"/>
    <s v="CRAIN HWY"/>
    <n v="2.1"/>
    <n v="2.41"/>
    <s v="UNDIVIDED"/>
    <s v="RURAL"/>
    <s v="NON-IS"/>
    <n v="16"/>
    <s v="F"/>
    <n v="155.4"/>
    <n v="147.94"/>
    <n v="95.8"/>
    <n v="96.8"/>
    <n v="95.4"/>
    <n v="0.14000000000000001"/>
    <n v="38"/>
    <n v="93.53"/>
    <n v="93.53"/>
    <n v="94.55"/>
    <n v="95.3"/>
    <n v="94.3"/>
    <n v="0.22"/>
    <n v="38"/>
    <n v="58.45"/>
    <n v="58.45"/>
    <n v="100"/>
    <n v="100"/>
    <n v="100"/>
    <n v="0.12"/>
    <n v="49"/>
    <x v="9"/>
    <m/>
    <s v="Structural Overlay"/>
    <n v="383934.46270559414"/>
    <n v="67751.537294405862"/>
    <n v="451686"/>
    <n v="29.8"/>
    <n v="22.3"/>
    <n v="21.2"/>
    <s v=""/>
    <s v=""/>
    <n v="21.2"/>
    <s v="C"/>
    <n v="43.8"/>
    <n v="50"/>
    <n v="50"/>
    <s v=""/>
    <s v=""/>
    <n v="43.8"/>
    <n v="22.599999999999998"/>
    <n v="4"/>
    <n v="54.466000000000001"/>
    <n v="16.853734684711032"/>
    <n v="40.61750059015359"/>
    <n v="11120.477465063343"/>
    <n v="187421.57676348547"/>
    <n v="22.5"/>
    <n v="451686"/>
    <n v="451686"/>
    <n v="0"/>
    <s v=""/>
    <s v="1991"/>
    <s v="CH-MD 22712.8113.96W"/>
  </r>
  <r>
    <s v="eGIS Link"/>
    <n v="125"/>
    <s v="SouthBound Visi-Data"/>
    <s v="30918"/>
    <n v="2017"/>
    <n v="5"/>
    <x v="20"/>
    <s v="CH"/>
    <s v="CH-MD 381"/>
    <s v="0-1.38(S)"/>
    <s v="MD"/>
    <s v="381"/>
    <s v=""/>
    <n v="0"/>
    <n v="1.38"/>
    <s v="S"/>
    <s v="PRINCE FREDERICK RD"/>
    <s v="PRINCE GEORGES CO/L"/>
    <n v="2.2000000000000002"/>
    <n v="3.03"/>
    <s v="UNDIVIDED"/>
    <s v="RURAL"/>
    <s v="NON-IS"/>
    <n v="7"/>
    <s v="F"/>
    <n v="80.38"/>
    <n v="82.9"/>
    <s v=""/>
    <s v=""/>
    <s v=""/>
    <n v="0.16"/>
    <n v="39"/>
    <n v="65.25"/>
    <n v="65.25"/>
    <n v="91.2"/>
    <n v="92.1"/>
    <n v="90.9"/>
    <n v="0.16"/>
    <n v="48"/>
    <n v="48.61"/>
    <n v="48.61"/>
    <n v="100"/>
    <n v="100"/>
    <n v="100"/>
    <n v="0.08"/>
    <n v="49"/>
    <x v="9"/>
    <m/>
    <s v="Structural Overlay"/>
    <n v="391836.94075400371"/>
    <n v="69146.059245996294"/>
    <n v="460983"/>
    <n v="41"/>
    <n v="19.8"/>
    <n v="18.8"/>
    <s v=""/>
    <s v=""/>
    <n v="18.8"/>
    <s v="D"/>
    <n v="49.3"/>
    <n v="50"/>
    <n v="50"/>
    <s v=""/>
    <s v=""/>
    <n v="49.3"/>
    <n v="30.499999999999996"/>
    <n v="4"/>
    <n v="92.414999999999978"/>
    <n v="22.74508441963215"/>
    <n v="68.917605791485414"/>
    <n v="6688.9003862776844"/>
    <n v="152139.60396039605"/>
    <n v="30.5"/>
    <n v="460983"/>
    <n v="460983"/>
    <n v="0"/>
    <s v=""/>
    <s v="1999"/>
    <s v="CH-MD 38101.38S"/>
  </r>
  <r>
    <s v="eGIS Link"/>
    <n v="239"/>
    <s v="NorthBound Visi-Data"/>
    <s v="30908"/>
    <n v="2017"/>
    <n v="5"/>
    <x v="20"/>
    <s v="CH"/>
    <s v="CH-MD 224"/>
    <s v="19.5-20.85(N)"/>
    <s v="MD"/>
    <s v="224"/>
    <s v=""/>
    <n v="19.5"/>
    <n v="20.85"/>
    <s v="N"/>
    <s v="ENT SMALLWOOD STATE PARK"/>
    <s v="MARBURY RUN RD"/>
    <n v="2.1"/>
    <n v="2.84"/>
    <s v="UNDIVIDED"/>
    <s v="URBAN"/>
    <s v="NON-IS"/>
    <n v="7"/>
    <s v="F"/>
    <n v="46.68"/>
    <n v="49.17"/>
    <s v=""/>
    <s v=""/>
    <s v=""/>
    <n v="0.16"/>
    <n v="28"/>
    <n v="140.94"/>
    <n v="140.94"/>
    <n v="86.224999999999994"/>
    <n v="76.7"/>
    <n v="89.4"/>
    <n v="0.12"/>
    <n v="49"/>
    <n v="93.39"/>
    <n v="93.39"/>
    <n v="100"/>
    <n v="100"/>
    <n v="100"/>
    <n v="0.1"/>
    <n v="49"/>
    <x v="5"/>
    <m/>
    <s v="Preventive Maintenance"/>
    <n v="163612.55486201463"/>
    <n v="79461.445137985371"/>
    <n v="243074"/>
    <n v="15.6"/>
    <n v="35.6"/>
    <n v="22.3"/>
    <s v=""/>
    <s v=""/>
    <n v="15.6"/>
    <s v="D"/>
    <n v="22.7"/>
    <n v="50"/>
    <n v="32.9"/>
    <s v=""/>
    <s v=""/>
    <n v="22.7"/>
    <n v="7.1"/>
    <n v="4"/>
    <n v="22.72"/>
    <n v="5.9659237821985966"/>
    <n v="16.943223541444013"/>
    <n v="14346.38452390292"/>
    <n v="85589.436619718312"/>
    <n v="7.1"/>
    <n v="243074"/>
    <n v="243074"/>
    <n v="0"/>
    <s v="SKID_30"/>
    <s v="1995"/>
    <s v="CH-MD 22419.520.85N"/>
  </r>
  <r>
    <s v="eGIS Link"/>
    <n v="127"/>
    <s v="NorthBound Visi-Data"/>
    <s v="30908"/>
    <n v="2017"/>
    <n v="5"/>
    <x v="20"/>
    <s v="CH"/>
    <s v="CH-MD 224"/>
    <s v="14.82-15.85(N)"/>
    <s v="MD"/>
    <s v="224"/>
    <s v=""/>
    <n v="14.82"/>
    <n v="15.85"/>
    <s v="N"/>
    <s v="CHICAMUXEN RD"/>
    <s v="STRUC #8018 REEDER RUN"/>
    <n v="2"/>
    <n v="2.06"/>
    <s v="UNDIVIDED"/>
    <s v="URBAN"/>
    <s v="NON-IS"/>
    <n v="7"/>
    <s v="F"/>
    <n v="205.19"/>
    <n v="214.15"/>
    <s v=""/>
    <s v=""/>
    <s v=""/>
    <n v="0.11"/>
    <n v="40"/>
    <n v="125.96"/>
    <n v="125.96"/>
    <n v="76.724999999999994"/>
    <n v="60.6"/>
    <n v="82.1"/>
    <n v="0.1"/>
    <n v="51"/>
    <n v="85.78"/>
    <n v="85.78"/>
    <n v="100"/>
    <n v="100"/>
    <n v="100"/>
    <n v="0.09"/>
    <n v="49"/>
    <x v="5"/>
    <m/>
    <s v="Preventive Maintenance"/>
    <n v="104519.28684897807"/>
    <n v="50761.713151021933"/>
    <n v="155281"/>
    <n v="15.6"/>
    <n v="9.6999999999999993"/>
    <n v="15.1"/>
    <s v=""/>
    <s v=""/>
    <n v="9.6999999999999993"/>
    <s v="E"/>
    <n v="24.7"/>
    <n v="50"/>
    <n v="32.9"/>
    <s v=""/>
    <s v=""/>
    <n v="24.7"/>
    <n v="15"/>
    <n v="4"/>
    <n v="30.900000000000002"/>
    <n v="11.186107091622368"/>
    <n v="23.04338060874208"/>
    <n v="6738.6379905164731"/>
    <n v="75379.12621359223"/>
    <n v="15"/>
    <n v="155281"/>
    <n v="155281"/>
    <n v="0"/>
    <s v=""/>
    <s v="1999"/>
    <s v="CH-MD 22414.8215.85N"/>
  </r>
  <r>
    <s v="eGIS Link"/>
    <n v="33"/>
    <s v="NorthBound Visi-Data"/>
    <s v="31211"/>
    <n v="2017"/>
    <n v="5"/>
    <x v="20"/>
    <s v="CH"/>
    <s v="CH-US 301"/>
    <s v="21.85-25.15(N)"/>
    <s v="US"/>
    <s v="301"/>
    <s v=""/>
    <n v="21.85"/>
    <n v="25.15"/>
    <s v="N"/>
    <s v="SPUR FR SMALLWOOD DR"/>
    <s v="HOLLY TREE LA"/>
    <n v="4.3"/>
    <n v="14.19"/>
    <s v="DIVIDED"/>
    <s v="URBAN"/>
    <s v="NON-IS"/>
    <n v="14"/>
    <s v="F"/>
    <n v="110.47"/>
    <n v="122.33"/>
    <n v="82.4"/>
    <n v="81.8"/>
    <n v="82.6"/>
    <n v="0.26"/>
    <n v="41"/>
    <n v="104.11"/>
    <n v="104.11"/>
    <n v="88.474999999999994"/>
    <n v="83.9"/>
    <n v="90"/>
    <n v="0.27"/>
    <n v="29"/>
    <n v="74.03"/>
    <n v="74.03"/>
    <n v="100"/>
    <n v="100"/>
    <n v="100"/>
    <n v="0.23"/>
    <n v="49"/>
    <x v="5"/>
    <m/>
    <s v="Preventive Maintenance"/>
    <n v="106276.07189464259"/>
    <n v="51614.928105357409"/>
    <n v="157891"/>
    <n v="23.2"/>
    <n v="17.7"/>
    <n v="19.3"/>
    <s v=""/>
    <s v=""/>
    <n v="17.7"/>
    <s v="D"/>
    <n v="31"/>
    <n v="25"/>
    <n v="25.1"/>
    <s v=""/>
    <s v=""/>
    <n v="25"/>
    <n v="7.3000000000000007"/>
    <n v="4"/>
    <n v="113.52"/>
    <n v="5.9659237821985966"/>
    <n v="84.656458469398089"/>
    <n v="1865.0792019261589"/>
    <n v="11126.92036645525"/>
    <n v="7.3"/>
    <n v="157891"/>
    <n v="157891"/>
    <n v="0"/>
    <s v=""/>
    <s v="1992"/>
    <s v="CH-US 30121.8525.15N"/>
  </r>
  <r>
    <s v="eGIS Link"/>
    <n v="287"/>
    <s v="West Bound Visi-Data"/>
    <s v="30914"/>
    <n v="2017"/>
    <n v="5"/>
    <x v="20"/>
    <s v="CH"/>
    <s v="CH-MD 234"/>
    <s v="4.9-6.36(W)"/>
    <s v="MD"/>
    <s v="234"/>
    <s v=""/>
    <n v="4.9000000000000004"/>
    <n v="6.36"/>
    <s v="W"/>
    <s v="JENKINS RD"/>
    <s v="STRUC #18014 BUDDS CREEK"/>
    <n v="2.2999999999999998"/>
    <n v="3.36"/>
    <s v="UNDIVIDED"/>
    <s v="URBAN"/>
    <s v="NON-IS"/>
    <n v="6"/>
    <s v="F"/>
    <n v="96.84"/>
    <n v="94.94"/>
    <s v=""/>
    <s v=""/>
    <s v=""/>
    <n v="0.1"/>
    <n v="45"/>
    <n v="64.739999999999995"/>
    <n v="64.739999999999995"/>
    <n v="95.05"/>
    <n v="95.2"/>
    <n v="95"/>
    <n v="0.16"/>
    <n v="47"/>
    <n v="52.96"/>
    <n v="52.96"/>
    <n v="100"/>
    <n v="100"/>
    <n v="100"/>
    <n v="0.14000000000000001"/>
    <n v="49"/>
    <x v="5"/>
    <m/>
    <s v="Preventive Maintenance"/>
    <n v="293241.07900734112"/>
    <n v="142417.92099265888"/>
    <n v="435659"/>
    <n v="44.9"/>
    <n v="26.1"/>
    <n v="22.3"/>
    <s v=""/>
    <s v=""/>
    <n v="22.3"/>
    <s v="C"/>
    <n v="50"/>
    <n v="32.1"/>
    <n v="28.3"/>
    <s v=""/>
    <s v=""/>
    <n v="28.3"/>
    <n v="6"/>
    <n v="4"/>
    <n v="26.88"/>
    <n v="5.9659237821985966"/>
    <n v="20.045503908187285"/>
    <n v="21733.502035938425"/>
    <n v="129660.41666666667"/>
    <n v="6"/>
    <n v="435659"/>
    <n v="435659"/>
    <n v="0"/>
    <s v=""/>
    <s v="1993"/>
    <s v="CH-MD 2344.96.36W"/>
  </r>
  <r>
    <s v="eGIS Link"/>
    <n v="373"/>
    <s v="SouthBound Visi-Data"/>
    <s v="30907"/>
    <n v="2017"/>
    <n v="5"/>
    <x v="20"/>
    <s v="CH"/>
    <s v="CH-MD 210J"/>
    <s v="0-0.15(S)"/>
    <s v="MD"/>
    <s v="210"/>
    <s v="J"/>
    <n v="0"/>
    <n v="0.15"/>
    <s v="S"/>
    <s v=""/>
    <s v=""/>
    <n v="2"/>
    <n v="0.3"/>
    <s v="UNDIVIDED"/>
    <s v="URBAN"/>
    <s v="NON-IS"/>
    <n v="19"/>
    <s v="F"/>
    <s v=""/>
    <s v=""/>
    <s v=""/>
    <s v=""/>
    <s v=""/>
    <s v=""/>
    <s v=""/>
    <n v="128.19999999999999"/>
    <n v="128.19999999999999"/>
    <n v="81"/>
    <n v="73.2"/>
    <n v="83.6"/>
    <n v="0.11"/>
    <n v="42"/>
    <n v="86.52"/>
    <n v="86.52"/>
    <n v="100"/>
    <n v="100"/>
    <n v="100"/>
    <n v="0.09"/>
    <n v="49"/>
    <x v="5"/>
    <m/>
    <s v="Preventive Maintenance"/>
    <n v="150246.18036515405"/>
    <n v="72969.819634845946"/>
    <n v="223216"/>
    <n v="18.3"/>
    <n v="27.5"/>
    <n v="16.3"/>
    <s v=""/>
    <s v=""/>
    <n v="16.3"/>
    <s v="D"/>
    <n v="24.5"/>
    <n v="50"/>
    <n v="32.9"/>
    <s v=""/>
    <s v=""/>
    <n v="24.5"/>
    <n v="8.1999999999999993"/>
    <n v="4"/>
    <n v="2.4599999999999995"/>
    <n v="6.1150718767535608"/>
    <n v="1.8345215630260681"/>
    <n v="121675.32096586654"/>
    <n v="744053.33333333337"/>
    <n v="8.1999999999999993"/>
    <n v="223216"/>
    <n v="223216"/>
    <n v="0"/>
    <s v=""/>
    <s v="1972"/>
    <s v="CH-MD 210J00.15S"/>
  </r>
  <r>
    <s v="eGIS Link"/>
    <n v="20"/>
    <s v="EastBound Visi-Data"/>
    <s v="69199"/>
    <n v="2017"/>
    <n v="5"/>
    <x v="21"/>
    <s v="SM"/>
    <s v="SM-MD 239"/>
    <s v="0-1.64(E)"/>
    <s v="MD"/>
    <s v="239"/>
    <s v=""/>
    <n v="0"/>
    <n v="1.64"/>
    <s v="E"/>
    <s v="ROAD END"/>
    <s v="COLTON POINT RD"/>
    <n v="2"/>
    <n v="3.28"/>
    <s v="UNDIVIDED"/>
    <s v="URBAN"/>
    <s v="NON-IS"/>
    <n v="9"/>
    <s v="F"/>
    <n v="182.44"/>
    <n v="173.78"/>
    <n v="70"/>
    <n v="79.099999999999994"/>
    <n v="67"/>
    <n v="0.17"/>
    <n v="51"/>
    <n v="93.75"/>
    <n v="93.75"/>
    <n v="83.7"/>
    <n v="89.4"/>
    <n v="81.8"/>
    <n v="0.16"/>
    <n v="37"/>
    <n v="96.56"/>
    <n v="96.56"/>
    <n v="82.625"/>
    <n v="90.8"/>
    <n v="79.900000000000006"/>
    <n v="0.16"/>
    <n v="35"/>
    <x v="0"/>
    <m/>
    <s v="Preventive Maintenance"/>
    <n v="4064.8371228996371"/>
    <n v="1974.1628771003629"/>
    <n v="6039"/>
    <n v="39.1"/>
    <n v="20.399999999999999"/>
    <n v="15.1"/>
    <s v=""/>
    <s v=""/>
    <n v="15.1"/>
    <s v="D"/>
    <n v="38.9"/>
    <n v="22.7"/>
    <n v="15.1"/>
    <s v=""/>
    <s v=""/>
    <n v="15.1"/>
    <n v="1"/>
    <n v="1"/>
    <n v="6.56"/>
    <n v="1.4914809455496492"/>
    <n v="4.8920575014028493"/>
    <n v="1234.4499217902187"/>
    <n v="1841.1585365853659"/>
    <n v="0"/>
    <n v="6039"/>
    <n v="6039"/>
    <n v="0"/>
    <s v=""/>
    <s v="1991"/>
    <s v="SM-MD 23901.64E"/>
  </r>
  <r>
    <s v="eGIS Link"/>
    <n v="15"/>
    <s v="SouthBound Visi-Data"/>
    <s v="69194"/>
    <n v="2017"/>
    <n v="5"/>
    <x v="21"/>
    <s v="SM"/>
    <s v="SM-MD 235"/>
    <s v="11.8-12.9(S)"/>
    <s v="MD"/>
    <s v="235"/>
    <s v=""/>
    <n v="11.8"/>
    <n v="12.9"/>
    <s v="S"/>
    <s v="LEI DR"/>
    <s v="VALLEY DR"/>
    <n v="3.2"/>
    <n v="3.52"/>
    <s v="DIVIDED"/>
    <s v="RURAL"/>
    <s v="NON-IS"/>
    <n v="14"/>
    <s v="F"/>
    <n v="79.239999999999995"/>
    <n v="89.74"/>
    <n v="92.1"/>
    <n v="94.5"/>
    <n v="91.3"/>
    <n v="0.16"/>
    <n v="37"/>
    <n v="84.25"/>
    <n v="84.25"/>
    <n v="96.025000000000006"/>
    <n v="91.9"/>
    <n v="97.4"/>
    <n v="0.15"/>
    <n v="38"/>
    <n v="87.7"/>
    <n v="87.7"/>
    <n v="95.424999999999997"/>
    <n v="92.5"/>
    <n v="96.4"/>
    <n v="0.15"/>
    <n v="36"/>
    <x v="0"/>
    <m/>
    <s v="Preventive Maintenance"/>
    <n v="4379.2155432296349"/>
    <n v="772.78445677036507"/>
    <n v="5152"/>
    <n v="31.5"/>
    <n v="19.7"/>
    <n v="24"/>
    <s v=""/>
    <s v=""/>
    <n v="19.7"/>
    <s v="D"/>
    <n v="31.3"/>
    <n v="21.1"/>
    <n v="24"/>
    <s v=""/>
    <s v=""/>
    <n v="21.1"/>
    <n v="1.4000000000000021"/>
    <n v="1"/>
    <n v="7.04"/>
    <n v="1.4914809455496492"/>
    <n v="5.2500129283347654"/>
    <n v="981.33091676674144"/>
    <n v="1463.6363636363637"/>
    <n v="1.4"/>
    <n v="5152"/>
    <n v="5152"/>
    <n v="0"/>
    <s v=""/>
    <s v="2004"/>
    <s v="SM-MD 23511.812.9S"/>
  </r>
  <r>
    <s v="eGIS Link"/>
    <n v="55"/>
    <s v="West Bound Visi-Data"/>
    <s v="69199"/>
    <n v="2017"/>
    <n v="5"/>
    <x v="21"/>
    <s v="SM"/>
    <s v="SM-MD 239"/>
    <s v="0-1.64(W)"/>
    <s v="MD"/>
    <s v="239"/>
    <s v=""/>
    <n v="0"/>
    <n v="1.64"/>
    <s v="W"/>
    <s v="ROAD END"/>
    <s v="COLTON POINT RD"/>
    <n v="2"/>
    <n v="3.28"/>
    <s v="UNDIVIDED"/>
    <s v="URBAN"/>
    <s v="NON-IS"/>
    <n v="9"/>
    <s v="F"/>
    <n v="174.54"/>
    <n v="173.56"/>
    <s v=""/>
    <s v=""/>
    <s v=""/>
    <n v="0.19"/>
    <n v="53"/>
    <n v="65.7"/>
    <n v="65.7"/>
    <n v="81.474999999999994"/>
    <n v="86.5"/>
    <n v="79.8"/>
    <n v="0.18"/>
    <n v="33"/>
    <n v="68.45"/>
    <n v="68.45"/>
    <n v="80.525000000000006"/>
    <n v="88.4"/>
    <n v="77.900000000000006"/>
    <n v="0.18"/>
    <n v="31"/>
    <x v="0"/>
    <m/>
    <s v="Preventive Maintenance"/>
    <n v="11172.075934076533"/>
    <n v="5425.9240659234674"/>
    <n v="16598"/>
    <n v="44.7"/>
    <n v="17.3"/>
    <n v="14.1"/>
    <s v=""/>
    <s v=""/>
    <n v="14.1"/>
    <s v="D"/>
    <n v="44.3"/>
    <n v="20.3"/>
    <n v="14.1"/>
    <s v=""/>
    <s v=""/>
    <n v="14.1"/>
    <n v="1"/>
    <n v="1"/>
    <n v="6.56"/>
    <n v="1.4914809455496492"/>
    <n v="4.8920575014028493"/>
    <n v="3392.8464649567891"/>
    <n v="5060.3658536585372"/>
    <n v="0"/>
    <n v="16598"/>
    <n v="16598"/>
    <n v="0"/>
    <s v=""/>
    <s v="1991"/>
    <s v="SM-MD 23901.64W"/>
  </r>
  <r>
    <s v="eGIS Link"/>
    <n v="35"/>
    <s v="NorthBound Visi-Data"/>
    <s v="69179"/>
    <n v="2017"/>
    <n v="5"/>
    <x v="21"/>
    <s v="SM"/>
    <s v="SM-MD 4"/>
    <s v="2.3-3.18(N)"/>
    <s v="MD"/>
    <s v="4"/>
    <s v=""/>
    <n v="2.2999999999999998"/>
    <n v="3.18"/>
    <s v="N"/>
    <s v="LACEYS LA"/>
    <s v="BENSWOOD RD"/>
    <n v="2.1"/>
    <n v="1.85"/>
    <s v="UNDIVIDED"/>
    <s v="RURAL"/>
    <s v="NON-IS"/>
    <n v="6"/>
    <s v="F"/>
    <n v="74.599999999999994"/>
    <n v="94.62"/>
    <n v="65.599999999999994"/>
    <n v="80.8"/>
    <n v="60.6"/>
    <n v="0.1"/>
    <n v="42"/>
    <n v="72.12"/>
    <n v="72.12"/>
    <n v="94.75"/>
    <n v="95.8"/>
    <n v="94.4"/>
    <n v="0.17"/>
    <n v="41"/>
    <n v="74.98"/>
    <n v="74.98"/>
    <n v="93.325000000000003"/>
    <n v="95.5"/>
    <n v="92.6"/>
    <n v="0.17"/>
    <n v="39"/>
    <x v="0"/>
    <m/>
    <s v="Preventive Maintenance"/>
    <n v="4520.316044040218"/>
    <n v="797.683955959782"/>
    <n v="5318"/>
    <n v="43.5"/>
    <n v="42.5"/>
    <n v="40.1"/>
    <s v=""/>
    <s v=""/>
    <n v="40.1"/>
    <s v="A"/>
    <n v="43.1"/>
    <n v="43.3"/>
    <n v="40.1"/>
    <s v=""/>
    <s v=""/>
    <n v="40.1"/>
    <n v="1"/>
    <n v="1"/>
    <n v="3.7"/>
    <n v="1.4914809455496492"/>
    <n v="2.7592397492668512"/>
    <n v="1927.3424867893516"/>
    <n v="2874.5945945945946"/>
    <n v="0"/>
    <n v="5318"/>
    <n v="5318"/>
    <n v="0"/>
    <s v=""/>
    <s v="2000"/>
    <s v="SM-MD 42.33.18N"/>
  </r>
  <r>
    <s v="eGIS Link"/>
    <n v="318"/>
    <s v="SouthBound Visi-Data"/>
    <s v="69203"/>
    <n v="2017"/>
    <n v="5"/>
    <x v="21"/>
    <s v="SM"/>
    <s v="SM-MD 245"/>
    <s v="4.55-5.35(S)"/>
    <s v="MD"/>
    <s v="245"/>
    <s v=""/>
    <n v="4.55"/>
    <n v="5.35"/>
    <s v="S"/>
    <s v="SPEED LIMIT 40 MPH"/>
    <s v="SPEED LIMIT 30 MPH"/>
    <n v="2.1"/>
    <n v="1.68"/>
    <s v="UNDIVIDED"/>
    <s v="RURAL"/>
    <s v="NON-IS"/>
    <n v="7"/>
    <s v="F"/>
    <n v="239.79"/>
    <n v="170.4"/>
    <s v=""/>
    <s v=""/>
    <s v=""/>
    <n v="0.18"/>
    <n v="53"/>
    <n v="148.77000000000001"/>
    <n v="148.77000000000001"/>
    <n v="65.55"/>
    <n v="76.5"/>
    <n v="61.9"/>
    <n v="0.15"/>
    <n v="48"/>
    <n v="74.47"/>
    <n v="74.47"/>
    <n v="100"/>
    <n v="100"/>
    <n v="100"/>
    <n v="0.08"/>
    <n v="49"/>
    <x v="1"/>
    <m/>
    <s v="Minor Rehabilitation"/>
    <n v="903883.00816845405"/>
    <n v="159504.99183154595"/>
    <n v="1063388"/>
    <n v="18.7"/>
    <n v="30.8"/>
    <n v="20.9"/>
    <s v=""/>
    <s v=""/>
    <n v="18.7"/>
    <s v="D"/>
    <n v="45.1"/>
    <n v="47.5"/>
    <n v="45.1"/>
    <s v=""/>
    <s v=""/>
    <n v="45.1"/>
    <n v="26.400000000000002"/>
    <n v="6"/>
    <n v="44.352000000000004"/>
    <n v="19.687548481255373"/>
    <n v="33.075081448509025"/>
    <n v="32150.729595495402"/>
    <n v="632969.04761904769"/>
    <n v="26.3"/>
    <n v="1063388"/>
    <n v="1063388"/>
    <n v="0"/>
    <s v=""/>
    <s v="1988"/>
    <s v="SM-MD 2454.555.35S"/>
  </r>
  <r>
    <s v="eGIS Link"/>
    <n v="188"/>
    <s v="NorthBound Visi-Data"/>
    <s v="69200"/>
    <n v="2017"/>
    <n v="5"/>
    <x v="21"/>
    <s v="SM"/>
    <s v="SM-MD 242"/>
    <s v="0-2.9(N)"/>
    <s v="MD"/>
    <s v="242"/>
    <s v=""/>
    <n v="0"/>
    <n v="2.9"/>
    <s v="N"/>
    <s v="POINT BREEZE RD"/>
    <s v="HATCHET THICKET RD"/>
    <n v="2"/>
    <n v="5.8"/>
    <s v="UNDIVIDED"/>
    <s v="URBAN"/>
    <s v="NON-IS"/>
    <n v="8"/>
    <s v="F"/>
    <n v="116.88"/>
    <n v="122.66"/>
    <s v=""/>
    <s v=""/>
    <s v=""/>
    <n v="0.14000000000000001"/>
    <n v="44"/>
    <n v="119.69"/>
    <n v="119.69"/>
    <n v="63.774999999999999"/>
    <n v="71.8"/>
    <n v="61.1"/>
    <n v="0.13"/>
    <n v="45"/>
    <n v="64.59"/>
    <n v="64.59"/>
    <n v="100"/>
    <n v="100"/>
    <n v="100"/>
    <n v="0.08"/>
    <n v="49"/>
    <x v="1"/>
    <m/>
    <s v="Minor Rehabilitation"/>
    <n v="755583.15167453152"/>
    <n v="366962.84832546848"/>
    <n v="1122546"/>
    <n v="24.2"/>
    <n v="5.7"/>
    <n v="3.5"/>
    <s v=""/>
    <s v=""/>
    <n v="3.5"/>
    <s v="E"/>
    <n v="48.1"/>
    <n v="32.1"/>
    <n v="28.3"/>
    <s v=""/>
    <s v=""/>
    <n v="28.3"/>
    <n v="24.8"/>
    <n v="6"/>
    <n v="143.84"/>
    <n v="18.494363724815649"/>
    <n v="107.26730960393076"/>
    <n v="10464.940382534447"/>
    <n v="193542.41379310345"/>
    <n v="24.8"/>
    <n v="1122546"/>
    <n v="1122546"/>
    <n v="0"/>
    <s v=""/>
    <s v="2002"/>
    <s v="SM-MD 24202.9N"/>
  </r>
  <r>
    <s v="eGIS Link"/>
    <n v="243"/>
    <s v="SouthBound Visi-Data"/>
    <s v="69194"/>
    <n v="2017"/>
    <n v="5"/>
    <x v="21"/>
    <s v="SM"/>
    <s v="SM-MD 235"/>
    <s v="25.85-28.11(S)"/>
    <s v="MD"/>
    <s v="235"/>
    <s v=""/>
    <n v="25.85"/>
    <n v="28.11"/>
    <s v="S"/>
    <s v="NORTH SANDGATES RD"/>
    <s v="LORETTA LA"/>
    <n v="2.4"/>
    <n v="5.42"/>
    <s v="DIVIDED"/>
    <s v="URBAN"/>
    <s v="NON-IS"/>
    <n v="2"/>
    <s v="F"/>
    <n v="47.52"/>
    <n v="44.93"/>
    <n v="100"/>
    <n v="100"/>
    <n v="99.9"/>
    <n v="0.15"/>
    <n v="52"/>
    <n v="117.16"/>
    <n v="117.16"/>
    <n v="79.224999999999994"/>
    <n v="78.400000000000006"/>
    <n v="79.5"/>
    <n v="0.14000000000000001"/>
    <n v="48"/>
    <n v="63.74"/>
    <n v="63.74"/>
    <n v="100"/>
    <n v="100"/>
    <n v="100"/>
    <n v="0.08"/>
    <n v="49"/>
    <x v="1"/>
    <m/>
    <s v="Minor Rehabilitation"/>
    <n v="755583.15167453152"/>
    <n v="366962.84832546848"/>
    <n v="1122546"/>
    <n v="24.9"/>
    <n v="9.6"/>
    <n v="13.9"/>
    <s v=""/>
    <s v=""/>
    <n v="9.6"/>
    <s v="E"/>
    <n v="48.5"/>
    <n v="32.1"/>
    <n v="28.3"/>
    <s v=""/>
    <s v=""/>
    <n v="28.3"/>
    <n v="18.700000000000003"/>
    <n v="6"/>
    <n v="101.35400000000001"/>
    <n v="13.945346840889224"/>
    <n v="75.583779877619591"/>
    <n v="14851.678519089075"/>
    <n v="207111.80811808119"/>
    <n v="18.600000000000001"/>
    <n v="1122546"/>
    <n v="1122546"/>
    <n v="0"/>
    <s v=""/>
    <s v="2008"/>
    <s v="SM-MD 23525.8528.11S"/>
  </r>
  <r>
    <s v="eGIS Link"/>
    <n v="247"/>
    <s v="EastBound Visi-Data"/>
    <s v="69192"/>
    <n v="2017"/>
    <n v="5"/>
    <x v="21"/>
    <s v="SM"/>
    <s v="SM-MD 6"/>
    <s v="0-1.18(E)"/>
    <s v="MD"/>
    <s v="6"/>
    <s v=""/>
    <n v="0"/>
    <n v="1.18"/>
    <s v="E"/>
    <s v="CHARLES CO/L"/>
    <s v="MD 5 (SB/L) THREE NOTCH RD"/>
    <n v="2.2000000000000002"/>
    <n v="2.59"/>
    <s v="UNDIVIDED"/>
    <s v="RURAL"/>
    <s v="NON-IS"/>
    <n v="6"/>
    <s v="F"/>
    <n v="74.430000000000007"/>
    <n v="60.96"/>
    <s v=""/>
    <s v=""/>
    <s v=""/>
    <n v="0.12"/>
    <n v="32"/>
    <n v="59.87"/>
    <n v="59.87"/>
    <n v="91.724999999999994"/>
    <n v="92.1"/>
    <n v="91.6"/>
    <n v="0.15"/>
    <n v="35"/>
    <n v="65.14"/>
    <n v="65.14"/>
    <n v="98.15"/>
    <n v="99.5"/>
    <n v="97.7"/>
    <n v="0.15"/>
    <n v="55"/>
    <x v="4"/>
    <m/>
    <s v="Preventive Maintenance"/>
    <n v="198899.8559588881"/>
    <n v="35099.144041111897"/>
    <n v="233999"/>
    <n v="26"/>
    <n v="26.7"/>
    <n v="13.2"/>
    <s v=""/>
    <s v=""/>
    <n v="13.2"/>
    <s v="D"/>
    <n v="27.1"/>
    <n v="32"/>
    <n v="17"/>
    <s v=""/>
    <s v=""/>
    <n v="17"/>
    <n v="4"/>
    <n v="4"/>
    <n v="20.72"/>
    <n v="5.9659237821985966"/>
    <n v="15.451742595894364"/>
    <n v="15143.858276682344"/>
    <n v="90347.104247104246"/>
    <n v="3.8"/>
    <n v="233999"/>
    <n v="233999"/>
    <n v="0"/>
    <s v="SKID_30"/>
    <s v="2012"/>
    <s v="SM-MD 601.18E"/>
  </r>
  <r>
    <s v="eGIS Link"/>
    <n v="39"/>
    <s v="SouthBound Visi-Data"/>
    <s v="69194"/>
    <n v="2017"/>
    <n v="5"/>
    <x v="21"/>
    <s v="SM"/>
    <s v="SM-MD 235"/>
    <s v="15.05-16.95(S)"/>
    <s v="MD"/>
    <s v="235"/>
    <s v=""/>
    <n v="15.05"/>
    <n v="16.95"/>
    <s v="S"/>
    <s v="GUNSTON DR"/>
    <s v="SPEED LIMIT 55 MPH"/>
    <n v="4.3"/>
    <n v="8.17"/>
    <s v="DIVIDED"/>
    <s v="RURAL"/>
    <s v="NON-IS"/>
    <n v="14"/>
    <s v="F"/>
    <n v="54.13"/>
    <n v="96.09"/>
    <n v="72.5"/>
    <n v="79.8"/>
    <n v="70"/>
    <n v="0.13"/>
    <n v="45"/>
    <n v="93.55"/>
    <n v="93.55"/>
    <n v="93.474999999999994"/>
    <n v="93.4"/>
    <n v="93.5"/>
    <n v="0.13"/>
    <n v="46"/>
    <n v="101.72"/>
    <n v="101.72"/>
    <n v="98.7"/>
    <n v="99.6"/>
    <n v="98.4"/>
    <n v="0.13"/>
    <n v="55"/>
    <x v="4"/>
    <m/>
    <s v="Preventive Maintenance"/>
    <n v="92984.380031156732"/>
    <n v="16408.619968843268"/>
    <n v="109393"/>
    <n v="28.4"/>
    <n v="20.8"/>
    <n v="20.6"/>
    <s v=""/>
    <s v=""/>
    <n v="20.6"/>
    <s v="C"/>
    <n v="30.6"/>
    <n v="27.3"/>
    <n v="26.1"/>
    <s v=""/>
    <s v=""/>
    <n v="26.1"/>
    <n v="5.5"/>
    <n v="4"/>
    <n v="65.36"/>
    <n v="5.9659237821985966"/>
    <n v="48.741597300562532"/>
    <n v="2244.3458166837195"/>
    <n v="13389.596083231334"/>
    <n v="5.5"/>
    <n v="109393"/>
    <n v="109393"/>
    <n v="0"/>
    <s v=""/>
    <s v="2000"/>
    <s v="SM-MD 23515.0516.95S"/>
  </r>
  <r>
    <s v="eGIS Link"/>
    <n v="206"/>
    <s v="NorthBound Visi-Data"/>
    <s v="69206"/>
    <n v="2017"/>
    <n v="5"/>
    <x v="21"/>
    <s v="SM"/>
    <s v="SM-MD 249"/>
    <s v="1.55-2.46(N)"/>
    <s v="MD"/>
    <s v="249"/>
    <s v=""/>
    <n v="1.55"/>
    <n v="2.46"/>
    <s v="N"/>
    <s v="END BR"/>
    <s v="LIGHTHOUSE RD"/>
    <n v="2"/>
    <n v="1.82"/>
    <s v="UNDIVIDED"/>
    <s v="RURAL"/>
    <s v="NON-IS"/>
    <n v="8"/>
    <s v="F"/>
    <n v="118.13"/>
    <n v="111.76"/>
    <s v=""/>
    <s v=""/>
    <s v=""/>
    <n v="0.16"/>
    <n v="50"/>
    <n v="84.63"/>
    <n v="84.63"/>
    <n v="94.674999999999997"/>
    <n v="95.8"/>
    <n v="94.3"/>
    <n v="0.19"/>
    <n v="45"/>
    <n v="91.62"/>
    <n v="91.62"/>
    <n v="98.8"/>
    <n v="99.7"/>
    <n v="98.5"/>
    <n v="0.19"/>
    <n v="55"/>
    <x v="4"/>
    <m/>
    <s v="Preventive Maintenance"/>
    <n v="109501.63865616417"/>
    <n v="19323.36134383583"/>
    <n v="128825"/>
    <n v="37.700000000000003"/>
    <n v="42.5"/>
    <n v="40"/>
    <s v=""/>
    <s v=""/>
    <n v="37.700000000000003"/>
    <s v="B"/>
    <n v="41"/>
    <n v="47.1"/>
    <n v="43.7"/>
    <s v=""/>
    <s v=""/>
    <n v="41"/>
    <n v="4"/>
    <n v="4"/>
    <n v="14.56"/>
    <n v="5.9659237821985966"/>
    <n v="10.857981283601447"/>
    <n v="11864.544304801977"/>
    <n v="70782.967032967033"/>
    <n v="3.2"/>
    <n v="128825"/>
    <n v="128825"/>
    <n v="0"/>
    <s v=""/>
    <s v="1997"/>
    <s v="SM-MD 2491.552.46N"/>
  </r>
  <r>
    <s v="eGIS Link"/>
    <n v="367"/>
    <s v="West Bound Visi-Data"/>
    <s v="69220"/>
    <n v="2017"/>
    <n v="5"/>
    <x v="21"/>
    <s v="SM"/>
    <s v="SM-MD 944D"/>
    <s v="0-0.06(W)"/>
    <s v="MD"/>
    <s v="944"/>
    <s v="D"/>
    <n v="0"/>
    <n v="0.06"/>
    <s v="W"/>
    <s v=""/>
    <s v=""/>
    <n v="2.2999999999999998"/>
    <n v="0.14000000000000001"/>
    <s v="UNDIVIDED"/>
    <s v="RURAL"/>
    <s v="NON-IS"/>
    <n v="19"/>
    <s v=""/>
    <s v=""/>
    <s v=""/>
    <s v=""/>
    <s v=""/>
    <s v=""/>
    <s v=""/>
    <s v=""/>
    <n v="67.25"/>
    <n v="67.25"/>
    <n v="86.724999999999994"/>
    <n v="88"/>
    <n v="86.3"/>
    <n v="0.12"/>
    <n v="30"/>
    <n v="72.739999999999995"/>
    <n v="72.739999999999995"/>
    <n v="97.5"/>
    <n v="99.3"/>
    <n v="96.9"/>
    <n v="0.12"/>
    <n v="55"/>
    <x v="4"/>
    <m/>
    <s v="Preventive Maintenance"/>
    <n v="72185.656209866764"/>
    <n v="12738.343790133236"/>
    <n v="84924"/>
    <n v="40.1"/>
    <n v="16.899999999999999"/>
    <n v="15.9"/>
    <s v=""/>
    <s v=""/>
    <n v="15.9"/>
    <s v="D"/>
    <n v="42"/>
    <n v="26.9"/>
    <n v="24.5"/>
    <s v=""/>
    <s v=""/>
    <n v="24.5"/>
    <n v="8.6"/>
    <n v="4"/>
    <n v="1.204"/>
    <n v="6.4133680658634908"/>
    <n v="0.89787152922088875"/>
    <n v="94583.687349671527"/>
    <n v="606600"/>
    <n v="8.6"/>
    <n v="84924"/>
    <n v="84924"/>
    <n v="0"/>
    <s v=""/>
    <s v=""/>
    <s v="SM-MD 944D00.06W"/>
  </r>
  <r>
    <s v="eGIS Link"/>
    <n v="22"/>
    <s v="West Bound Visi-Data"/>
    <s v="69192"/>
    <n v="2017"/>
    <n v="5"/>
    <x v="21"/>
    <s v="SM"/>
    <s v="SM-MD 6"/>
    <s v="3.8-9.55(W)"/>
    <s v="MD"/>
    <s v="6"/>
    <s v=""/>
    <n v="3.8"/>
    <n v="9.5500000000000007"/>
    <s v="W"/>
    <s v="COONEY NECK RD"/>
    <s v="THREE NOTCH RD"/>
    <n v="2"/>
    <n v="11.5"/>
    <s v="UNDIVIDED"/>
    <s v="RURAL"/>
    <s v="NON-IS"/>
    <n v="8"/>
    <s v="F"/>
    <n v="132.55000000000001"/>
    <n v="146.63999999999999"/>
    <n v="78.7"/>
    <n v="91.4"/>
    <n v="74.5"/>
    <n v="0.16"/>
    <n v="47"/>
    <n v="163"/>
    <n v="163"/>
    <n v="84.75"/>
    <n v="84.3"/>
    <n v="84.9"/>
    <n v="0.14000000000000001"/>
    <n v="44"/>
    <n v="104.81"/>
    <n v="104.81"/>
    <n v="100"/>
    <n v="100"/>
    <n v="100"/>
    <n v="0.12"/>
    <n v="49"/>
    <x v="5"/>
    <m/>
    <s v="Preventive Maintenance"/>
    <n v="129805.66072160017"/>
    <n v="22906.339278399828"/>
    <n v="152712"/>
    <n v="16.3"/>
    <n v="35.5"/>
    <n v="35.200000000000003"/>
    <s v=""/>
    <s v=""/>
    <n v="16.3"/>
    <s v="D"/>
    <n v="30.2"/>
    <n v="47.5"/>
    <n v="45.1"/>
    <s v=""/>
    <s v=""/>
    <n v="30.2"/>
    <n v="13.899999999999999"/>
    <n v="4"/>
    <n v="159.85"/>
    <n v="10.365792571570061"/>
    <n v="119.2066145730557"/>
    <n v="1281.0698512573774"/>
    <n v="13279.304347826086"/>
    <n v="14"/>
    <n v="152712"/>
    <n v="152712"/>
    <n v="0"/>
    <s v=""/>
    <s v="1999"/>
    <s v="SM-MD 63.89.55W"/>
  </r>
  <r>
    <s v="eGIS Link"/>
    <n v="112"/>
    <s v="EastBound Visi-Data"/>
    <s v="69192"/>
    <n v="2017"/>
    <n v="5"/>
    <x v="21"/>
    <s v="SM"/>
    <s v="SM-MD 6"/>
    <s v="3.8-9.55(E)"/>
    <s v="MD"/>
    <s v="6"/>
    <s v=""/>
    <n v="3.8"/>
    <n v="9.5500000000000007"/>
    <s v="E"/>
    <s v="COONEY NECK RD"/>
    <s v="THREE NOTCH RD"/>
    <n v="2"/>
    <n v="11.5"/>
    <s v="UNDIVIDED"/>
    <s v="URBAN"/>
    <s v="NON-IS"/>
    <n v="8"/>
    <s v="F"/>
    <n v="126.59"/>
    <n v="139.25"/>
    <s v=""/>
    <s v=""/>
    <s v=""/>
    <n v="0.12"/>
    <n v="48"/>
    <n v="98.67"/>
    <n v="98.67"/>
    <n v="90.75"/>
    <n v="78.599999999999994"/>
    <n v="94.8"/>
    <n v="0.13"/>
    <n v="32"/>
    <n v="71.09"/>
    <n v="71.09"/>
    <n v="100"/>
    <n v="100"/>
    <n v="100"/>
    <n v="0.11"/>
    <n v="49"/>
    <x v="5"/>
    <m/>
    <s v="Preventive Maintenance"/>
    <n v="290885.91008980083"/>
    <n v="141274.08991019917"/>
    <n v="432160"/>
    <n v="22.4"/>
    <n v="37.299999999999997"/>
    <n v="26.9"/>
    <s v=""/>
    <s v=""/>
    <n v="22.4"/>
    <s v="C"/>
    <n v="29"/>
    <n v="50"/>
    <n v="32.9"/>
    <s v=""/>
    <s v=""/>
    <n v="29"/>
    <n v="6.6000000000000014"/>
    <n v="4"/>
    <n v="92"/>
    <n v="5.9659237821985966"/>
    <n v="68.608123495283863"/>
    <n v="6298.9625423832904"/>
    <n v="37579.130434782608"/>
    <n v="6.7"/>
    <n v="432160"/>
    <n v="432160"/>
    <n v="0"/>
    <s v=""/>
    <s v="1999"/>
    <s v="SM-MD 63.89.55E"/>
  </r>
  <r>
    <s v="eGIS Link"/>
    <n v="232"/>
    <s v="SouthBound Visi-Data"/>
    <s v="69182"/>
    <n v="2017"/>
    <n v="5"/>
    <x v="21"/>
    <s v="SM"/>
    <s v="SM-MD 5"/>
    <s v="42.76-45.23(S)"/>
    <s v="MD"/>
    <s v="5"/>
    <s v=""/>
    <n v="42.76"/>
    <n v="45.23"/>
    <s v="S"/>
    <s v="NEW MARKET RD/NEW MARKET TURNER RD"/>
    <s v="CHARLES CO/L"/>
    <n v="2.2999999999999998"/>
    <n v="5.68"/>
    <s v="DIVIDED"/>
    <s v="URBAN"/>
    <s v="NON-IS"/>
    <n v="14"/>
    <s v="FCJ"/>
    <n v="91.23"/>
    <n v="80.13"/>
    <n v="96.9"/>
    <n v="87.5"/>
    <n v="100"/>
    <n v="0.13"/>
    <n v="32"/>
    <n v="68.13"/>
    <n v="68.13"/>
    <n v="94.974999999999994"/>
    <n v="94.9"/>
    <n v="95"/>
    <n v="0.16"/>
    <n v="39"/>
    <n v="54.65"/>
    <n v="54.65"/>
    <n v="100"/>
    <n v="100"/>
    <n v="100"/>
    <n v="0.14000000000000001"/>
    <n v="49"/>
    <x v="5"/>
    <m/>
    <s v="Preventive Maintenance"/>
    <n v="303532.74312542944"/>
    <n v="147416.25687457056"/>
    <n v="450949"/>
    <n v="45.2"/>
    <n v="25.8"/>
    <n v="22.3"/>
    <s v=""/>
    <s v=""/>
    <n v="22.3"/>
    <s v="C"/>
    <n v="49.6"/>
    <n v="32.1"/>
    <n v="28.3"/>
    <s v=""/>
    <s v=""/>
    <n v="28.3"/>
    <n v="6"/>
    <n v="4"/>
    <n v="45.44"/>
    <n v="5.9659237821985966"/>
    <n v="33.886447082888026"/>
    <n v="13307.650663315488"/>
    <n v="79392.429577464791"/>
    <n v="6"/>
    <n v="450949"/>
    <n v="450949"/>
    <n v="0"/>
    <s v="SKID_35"/>
    <s v="2007"/>
    <s v="SM-MD 542.7645.23S"/>
  </r>
  <r>
    <s v="eGIS Link"/>
    <n v="190"/>
    <s v="SouthBound Visi-Data"/>
    <s v="23194"/>
    <n v="2017"/>
    <n v="5"/>
    <x v="22"/>
    <s v="CA"/>
    <s v="CA-MD 2A"/>
    <s v="0-0.13(S)"/>
    <s v="MD"/>
    <s v="2"/>
    <s v="A"/>
    <n v="0"/>
    <n v="0.13"/>
    <s v="S"/>
    <s v=""/>
    <s v=""/>
    <n v="2"/>
    <n v="0.26"/>
    <s v="UNDIVIDED"/>
    <s v="RURAL"/>
    <s v="NON-IS"/>
    <n v="9"/>
    <s v=""/>
    <n v="141.16"/>
    <n v="168.25"/>
    <s v=""/>
    <s v=""/>
    <s v=""/>
    <n v="0.17"/>
    <s v=""/>
    <n v="53.1"/>
    <n v="53.1"/>
    <n v="97.5"/>
    <n v="96.6"/>
    <n v="97.8"/>
    <n v="0.18"/>
    <n v="39"/>
    <n v="55.78"/>
    <n v="55.78"/>
    <n v="96.674999999999997"/>
    <n v="96.3"/>
    <n v="96.8"/>
    <n v="0.18"/>
    <n v="37"/>
    <x v="0"/>
    <m/>
    <s v="Preventive Maintenance"/>
    <n v="3464.6122970116448"/>
    <n v="611.38770298835516"/>
    <n v="4076"/>
    <n v="37.200000000000003"/>
    <n v="22.1"/>
    <n v="22.7"/>
    <s v=""/>
    <s v=""/>
    <n v="22.1"/>
    <s v="C"/>
    <n v="36.700000000000003"/>
    <n v="22.9"/>
    <n v="22.7"/>
    <s v=""/>
    <s v=""/>
    <n v="22.7"/>
    <n v="1"/>
    <n v="1"/>
    <n v="0.52"/>
    <n v="1.4914809455496492"/>
    <n v="0.38778504584290879"/>
    <n v="10510.977779300913"/>
    <n v="15676.923076923076"/>
    <n v="0.5"/>
    <n v="4076"/>
    <n v="4076"/>
    <n v="0"/>
    <s v=""/>
    <s v=""/>
    <s v="CA-MD 2A00.13S"/>
  </r>
  <r>
    <s v="eGIS Link"/>
    <n v="269"/>
    <s v="NorthBound Visi-Data"/>
    <s v="23194"/>
    <n v="2017"/>
    <n v="5"/>
    <x v="22"/>
    <s v="CA"/>
    <s v="CA-MD 2A"/>
    <s v="0-0.13(N)"/>
    <s v="MD"/>
    <s v="2"/>
    <s v="A"/>
    <n v="0"/>
    <n v="0.13"/>
    <s v="N"/>
    <s v=""/>
    <s v=""/>
    <n v="2"/>
    <n v="0.26"/>
    <s v="UNDIVIDED"/>
    <s v="RURAL"/>
    <s v="NON-IS"/>
    <n v="9"/>
    <s v=""/>
    <n v="139.46"/>
    <n v="107.57"/>
    <s v=""/>
    <s v=""/>
    <s v=""/>
    <n v="0.22"/>
    <s v=""/>
    <n v="56.4"/>
    <n v="56.4"/>
    <n v="97.5"/>
    <n v="96.6"/>
    <n v="97.8"/>
    <n v="0.16"/>
    <n v="41"/>
    <n v="59.14"/>
    <n v="59.14"/>
    <n v="96.674999999999997"/>
    <n v="96.3"/>
    <n v="96.8"/>
    <n v="0.16"/>
    <n v="39"/>
    <x v="0"/>
    <m/>
    <s v="Preventive Maintenance"/>
    <n v="6225.4220960042412"/>
    <n v="1098.5779039957588"/>
    <n v="7324"/>
    <n v="35.299999999999997"/>
    <n v="22.1"/>
    <n v="22.7"/>
    <s v=""/>
    <s v=""/>
    <n v="22.1"/>
    <s v="C"/>
    <n v="34.799999999999997"/>
    <n v="22.9"/>
    <n v="22.7"/>
    <s v=""/>
    <s v=""/>
    <n v="22.7"/>
    <n v="1"/>
    <n v="1"/>
    <n v="0.52"/>
    <n v="1.4914809455496492"/>
    <n v="0.38778504584290879"/>
    <n v="18886.752025417049"/>
    <n v="28169.23076923077"/>
    <n v="0.5"/>
    <n v="7324"/>
    <n v="7324"/>
    <n v="0"/>
    <s v=""/>
    <s v=""/>
    <s v="CA-MD 2A00.13N"/>
  </r>
  <r>
    <s v="eGIS Link"/>
    <n v="213"/>
    <s v="West Bound Visi-Data"/>
    <s v="23272"/>
    <n v="2017"/>
    <n v="5"/>
    <x v="22"/>
    <s v="CA"/>
    <s v="CA-MD 768"/>
    <s v="0-0.68(W)"/>
    <s v="MD"/>
    <s v="768"/>
    <s v=""/>
    <n v="0"/>
    <n v="0.68"/>
    <s v="W"/>
    <s v=""/>
    <s v=""/>
    <n v="2"/>
    <n v="1.36"/>
    <s v="UNDIVIDED"/>
    <s v="URBAN"/>
    <s v="NON-IS"/>
    <n v="9"/>
    <s v=""/>
    <n v="233.89"/>
    <n v="236.3"/>
    <s v=""/>
    <s v=""/>
    <s v=""/>
    <n v="0.18"/>
    <s v=""/>
    <n v="200.17"/>
    <n v="200.17"/>
    <n v="85.55"/>
    <n v="85.1"/>
    <n v="85.7"/>
    <n v="0.19"/>
    <n v="41"/>
    <n v="91.96"/>
    <n v="91.96"/>
    <n v="100"/>
    <n v="100"/>
    <n v="100"/>
    <n v="0.08"/>
    <n v="49"/>
    <x v="1"/>
    <m/>
    <s v="Minor Rehabilitation"/>
    <n v="185239.85765981034"/>
    <n v="89965.142340189661"/>
    <n v="275205"/>
    <n v="23.4"/>
    <n v="36.6"/>
    <n v="36.5"/>
    <s v=""/>
    <s v=""/>
    <n v="23.4"/>
    <s v="C"/>
    <n v="50"/>
    <n v="48"/>
    <n v="45"/>
    <s v=""/>
    <s v=""/>
    <n v="45"/>
    <n v="21.6"/>
    <n v="6"/>
    <n v="29.376000000000005"/>
    <n v="16.107994211936212"/>
    <n v="21.90687212823325"/>
    <n v="12562.496297466396"/>
    <n v="202356.6176470588"/>
    <n v="21.6"/>
    <n v="275205"/>
    <n v="275205"/>
    <n v="0"/>
    <s v=""/>
    <s v=""/>
    <s v="CA-MD 76800.68W"/>
  </r>
  <r>
    <s v="eGIS Link"/>
    <n v="201"/>
    <s v="SouthBound Visi-Data"/>
    <s v="23195"/>
    <n v="2017"/>
    <n v="5"/>
    <x v="22"/>
    <s v="CA"/>
    <s v="CA-MD 2AC"/>
    <s v="0-0.39(S)"/>
    <s v="MD"/>
    <s v="2"/>
    <s v="AC"/>
    <n v="0"/>
    <n v="0.39"/>
    <s v="S"/>
    <s v=""/>
    <s v=""/>
    <n v="2"/>
    <n v="0.78"/>
    <s v="UNDIVIDED"/>
    <s v="RURAL"/>
    <s v="NON-IS"/>
    <n v="19"/>
    <s v=""/>
    <n v="110.85"/>
    <n v="113.8"/>
    <s v=""/>
    <s v=""/>
    <s v=""/>
    <n v="0.14000000000000001"/>
    <s v=""/>
    <n v="66.34"/>
    <n v="66.34"/>
    <n v="92.625"/>
    <n v="96.6"/>
    <n v="91.3"/>
    <n v="0.15"/>
    <n v="29"/>
    <n v="71.73"/>
    <n v="71.73"/>
    <n v="98.45"/>
    <n v="99.8"/>
    <n v="98"/>
    <n v="0.15"/>
    <n v="55"/>
    <x v="4"/>
    <m/>
    <s v="Preventive Maintenance"/>
    <n v="45627.311945850852"/>
    <n v="8051.6880541491482"/>
    <n v="53679"/>
    <n v="30.2"/>
    <n v="22.1"/>
    <n v="17.399999999999999"/>
    <s v=""/>
    <s v=""/>
    <n v="17.399999999999999"/>
    <s v="D"/>
    <n v="31.3"/>
    <n v="26.3"/>
    <n v="23.9"/>
    <s v=""/>
    <s v=""/>
    <n v="23.9"/>
    <n v="6.5"/>
    <n v="4"/>
    <n v="6.24"/>
    <n v="5.9659237821985966"/>
    <n v="4.6534205501149053"/>
    <n v="11535.385513066194"/>
    <n v="68819.230769230766"/>
    <n v="6.5"/>
    <n v="53679"/>
    <n v="53679"/>
    <n v="0"/>
    <s v=""/>
    <s v=""/>
    <s v="CA-MD 2AC00.39S"/>
  </r>
  <r>
    <s v="eGIS Link"/>
    <n v="257"/>
    <s v="SouthBound Visi-Data"/>
    <s v="23193"/>
    <n v="2017"/>
    <n v="5"/>
    <x v="22"/>
    <s v="CA"/>
    <s v="CA-MD 2"/>
    <s v="23.55-24.96(S)"/>
    <s v="MD"/>
    <s v="2"/>
    <s v=""/>
    <n v="23.55"/>
    <n v="24.96"/>
    <s v="S"/>
    <s v="ARMIGER RD"/>
    <s v="SCARLETT DR"/>
    <n v="2.8"/>
    <n v="3.95"/>
    <s v="DIVIDED"/>
    <s v="RURAL"/>
    <s v="NON-IS"/>
    <n v="2"/>
    <s v="F"/>
    <n v="156.75"/>
    <n v="49.98"/>
    <n v="95.7"/>
    <n v="97.3"/>
    <n v="95.1"/>
    <n v="0.17"/>
    <n v="51"/>
    <n v="56.77"/>
    <n v="56.77"/>
    <n v="94.625"/>
    <n v="94.1"/>
    <n v="94.8"/>
    <n v="0.16"/>
    <n v="42"/>
    <n v="61.11"/>
    <n v="61.11"/>
    <n v="98.924999999999997"/>
    <n v="99.6"/>
    <n v="98.7"/>
    <n v="0.16"/>
    <n v="55"/>
    <x v="4"/>
    <m/>
    <s v="Preventive Maintenance"/>
    <n v="344221.47175155074"/>
    <n v="60743.528248449264"/>
    <n v="404965"/>
    <n v="35.1"/>
    <n v="20.2"/>
    <n v="20"/>
    <s v=""/>
    <s v=""/>
    <n v="20"/>
    <s v="C"/>
    <n v="36.700000000000003"/>
    <n v="26.2"/>
    <n v="24.8"/>
    <s v=""/>
    <s v=""/>
    <n v="24.8"/>
    <n v="4.8000000000000007"/>
    <n v="4"/>
    <n v="31.6"/>
    <n v="5.9659237821985966"/>
    <n v="23.565398939684457"/>
    <n v="17184.729231043628"/>
    <n v="102522.78481012658"/>
    <n v="4.9000000000000004"/>
    <n v="404965"/>
    <n v="404965"/>
    <n v="0"/>
    <s v=""/>
    <s v="2001"/>
    <s v="CA-MD 223.5524.96S"/>
  </r>
  <r>
    <s v="eGIS Link"/>
    <n v="172"/>
    <s v="West Bound Visi-Data"/>
    <s v="23230"/>
    <n v="2017"/>
    <n v="5"/>
    <x v="22"/>
    <s v="CA"/>
    <s v="CA-MD 263"/>
    <s v="0-1.7(W)"/>
    <s v="MD"/>
    <s v="263"/>
    <s v=""/>
    <n v="0"/>
    <n v="1.7"/>
    <s v="W"/>
    <s v="SOLOMONS ISLAND RD"/>
    <s v="OLD PLUM POINT RD"/>
    <n v="2.2999999999999998"/>
    <n v="3.91"/>
    <s v="UNDIVIDED"/>
    <s v="RURAL"/>
    <s v="NON-IS"/>
    <n v="7"/>
    <s v="F"/>
    <n v="56.32"/>
    <n v="111.1"/>
    <n v="54.3"/>
    <n v="54.3"/>
    <n v="54.3"/>
    <n v="0.15"/>
    <n v="32"/>
    <n v="65.069999999999993"/>
    <n v="65.069999999999993"/>
    <n v="84.75"/>
    <n v="84.3"/>
    <n v="84.9"/>
    <n v="0.19"/>
    <n v="34"/>
    <n v="70.13"/>
    <n v="70.13"/>
    <n v="97.224999999999994"/>
    <n v="99.1"/>
    <n v="96.6"/>
    <n v="0.19"/>
    <n v="55"/>
    <x v="4"/>
    <m/>
    <s v="Preventive Maintenance"/>
    <n v="183180.75016677906"/>
    <n v="32325.249833220936"/>
    <n v="215506"/>
    <n v="47"/>
    <n v="35.5"/>
    <n v="35.200000000000003"/>
    <s v=""/>
    <s v=""/>
    <n v="35.200000000000003"/>
    <s v="B"/>
    <n v="50"/>
    <n v="46.4"/>
    <n v="42.4"/>
    <s v=""/>
    <s v=""/>
    <n v="42.4"/>
    <n v="7.1999999999999957"/>
    <n v="4"/>
    <n v="31.28"/>
    <n v="5.9659237821985966"/>
    <n v="23.326761988396512"/>
    <n v="9238.5732793604038"/>
    <n v="55116.624040920717"/>
    <n v="7.1"/>
    <n v="215506"/>
    <n v="215506"/>
    <n v="0"/>
    <s v=""/>
    <s v="1996"/>
    <s v="CA-MD 26301.7W"/>
  </r>
  <r>
    <s v="eGIS Link"/>
    <n v="389"/>
    <s v="NorthBound Visi-Data"/>
    <s v="23198"/>
    <n v="2017"/>
    <n v="5"/>
    <x v="22"/>
    <s v="CA"/>
    <s v="CA-MD 2AG"/>
    <s v="0-0.2(N)"/>
    <s v="MD"/>
    <s v="2"/>
    <s v="AG"/>
    <n v="0"/>
    <n v="0.2"/>
    <s v="N"/>
    <s v=""/>
    <s v=""/>
    <n v="1.8"/>
    <n v="0.36"/>
    <s v="UNDIVIDED"/>
    <s v="RURAL"/>
    <s v="NON-IS"/>
    <n v="19"/>
    <s v=""/>
    <n v="99.39"/>
    <n v="107.41"/>
    <s v=""/>
    <s v=""/>
    <s v=""/>
    <n v="0.15"/>
    <s v=""/>
    <n v="56.53"/>
    <n v="56.53"/>
    <n v="95.224999999999994"/>
    <n v="95"/>
    <n v="95.3"/>
    <n v="0.17"/>
    <n v="44"/>
    <n v="60.84"/>
    <n v="60.84"/>
    <n v="99.025000000000006"/>
    <n v="99.7"/>
    <n v="98.8"/>
    <n v="0.17"/>
    <n v="55"/>
    <x v="4"/>
    <m/>
    <s v="Preventive Maintenance"/>
    <n v="344221.47175155074"/>
    <n v="60743.528248449264"/>
    <n v="404965"/>
    <n v="35.200000000000003"/>
    <n v="20.9"/>
    <n v="20.399999999999999"/>
    <s v=""/>
    <s v=""/>
    <n v="20.399999999999999"/>
    <s v="C"/>
    <n v="36.9"/>
    <n v="26.2"/>
    <n v="25"/>
    <s v=""/>
    <s v=""/>
    <n v="25"/>
    <n v="4.6000000000000014"/>
    <n v="4"/>
    <n v="2.88"/>
    <n v="5.9659237821985966"/>
    <n v="2.1477325615914946"/>
    <n v="188554.66795172871"/>
    <n v="1124902.7777777778"/>
    <n v="4.5999999999999996"/>
    <n v="404965"/>
    <n v="404965"/>
    <n v="0"/>
    <s v=""/>
    <s v=""/>
    <s v="CA-MD 2AG00.2N"/>
  </r>
  <r>
    <s v="eGIS Link"/>
    <n v="350"/>
    <s v="SouthBound Visi-Data"/>
    <s v="23201"/>
    <n v="2017"/>
    <n v="5"/>
    <x v="22"/>
    <s v="CA"/>
    <s v="CA-MD 2D"/>
    <s v="0-0.18(S)"/>
    <s v="MD"/>
    <s v="2"/>
    <s v="D"/>
    <n v="0"/>
    <n v="0.18"/>
    <s v="S"/>
    <s v=""/>
    <s v=""/>
    <n v="2"/>
    <n v="0.36"/>
    <s v="UNDIVIDED"/>
    <s v="RURAL"/>
    <s v="NON-IS"/>
    <n v="9"/>
    <s v=""/>
    <n v="159.30000000000001"/>
    <n v="170.88"/>
    <s v=""/>
    <s v=""/>
    <s v=""/>
    <n v="0.24"/>
    <s v=""/>
    <n v="63.45"/>
    <n v="63.45"/>
    <n v="88.625"/>
    <n v="90.8"/>
    <n v="87.9"/>
    <n v="0.17"/>
    <n v="51"/>
    <n v="68.53"/>
    <n v="68.53"/>
    <n v="97.85"/>
    <n v="99.5"/>
    <n v="97.3"/>
    <n v="0.17"/>
    <n v="55"/>
    <x v="4"/>
    <m/>
    <s v="Preventive Maintenance"/>
    <n v="109779.58964270067"/>
    <n v="19372.410357299334"/>
    <n v="129152"/>
    <n v="31.6"/>
    <n v="17.8"/>
    <n v="15.2"/>
    <s v=""/>
    <s v=""/>
    <n v="15.2"/>
    <s v="D"/>
    <n v="32.799999999999997"/>
    <n v="26"/>
    <n v="23.1"/>
    <s v=""/>
    <s v=""/>
    <n v="23.1"/>
    <n v="7.9000000000000021"/>
    <n v="4"/>
    <n v="2.88"/>
    <n v="5.9659237821985966"/>
    <n v="2.1477325615914946"/>
    <n v="60134.116467600077"/>
    <n v="358755.55555555556"/>
    <n v="7.9"/>
    <n v="129152"/>
    <n v="129152"/>
    <n v="0"/>
    <s v=""/>
    <s v=""/>
    <s v="CA-MD 2D00.18S"/>
  </r>
  <r>
    <s v="eGIS Link"/>
    <n v="403"/>
    <s v="NorthBound Visi-Data"/>
    <s v="23249"/>
    <n v="2017"/>
    <n v="5"/>
    <x v="22"/>
    <s v="CA"/>
    <s v="CA-MD 765C"/>
    <s v="0-0.05(N)"/>
    <s v="MD"/>
    <s v="765"/>
    <s v="C"/>
    <n v="0"/>
    <n v="0.05"/>
    <s v="N"/>
    <s v=""/>
    <s v=""/>
    <n v="2"/>
    <n v="0.1"/>
    <s v="UNDIVIDED"/>
    <s v="URBAN"/>
    <s v="NON-IS"/>
    <n v="9"/>
    <s v=""/>
    <s v=""/>
    <s v=""/>
    <s v=""/>
    <s v=""/>
    <s v=""/>
    <s v=""/>
    <s v=""/>
    <n v="137.26"/>
    <n v="137.26"/>
    <n v="85.625"/>
    <n v="86.6"/>
    <n v="85.3"/>
    <n v="0.2"/>
    <n v="37"/>
    <n v="91.25"/>
    <n v="91.25"/>
    <n v="100"/>
    <n v="100"/>
    <n v="100"/>
    <n v="0.17"/>
    <n v="49"/>
    <x v="5"/>
    <m/>
    <s v="Preventive Maintenance"/>
    <n v="177982.51805737551"/>
    <n v="86440.481942624494"/>
    <n v="264423"/>
    <n v="19.2"/>
    <n v="18.399999999999999"/>
    <n v="18.399999999999999"/>
    <s v=""/>
    <s v=""/>
    <n v="18.399999999999999"/>
    <s v="D"/>
    <n v="30"/>
    <n v="33"/>
    <n v="29.7"/>
    <s v=""/>
    <s v=""/>
    <n v="29.7"/>
    <n v="11.3"/>
    <n v="4"/>
    <n v="1.1300000000000001"/>
    <n v="8.4268673423555178"/>
    <n v="0.84268673423555185"/>
    <n v="313785.6444837391"/>
    <n v="2644230"/>
    <n v="11.3"/>
    <n v="264423"/>
    <n v="264423"/>
    <n v="0"/>
    <s v=""/>
    <s v=""/>
    <s v="CA-MD 765C00.05N"/>
  </r>
  <r>
    <s v="eGIS Link"/>
    <n v="233"/>
    <s v="NorthBound Visi-Data"/>
    <s v="23242"/>
    <n v="2017"/>
    <n v="5"/>
    <x v="22"/>
    <s v="CA"/>
    <s v="CA-MD 760"/>
    <s v="3.07-4.65(N)"/>
    <s v="MD"/>
    <s v="760"/>
    <s v=""/>
    <n v="3.07"/>
    <n v="4.6500000000000004"/>
    <s v="N"/>
    <s v="SPUR TO MD 760"/>
    <s v="MYSTIC LA (AHEAD)"/>
    <n v="2.2000000000000002"/>
    <n v="3.48"/>
    <s v="UNDIVIDED"/>
    <s v="URBAN"/>
    <s v="NON-IS"/>
    <n v="16"/>
    <s v="F"/>
    <n v="142.44999999999999"/>
    <n v="124.59"/>
    <s v=""/>
    <s v=""/>
    <s v=""/>
    <n v="0.2"/>
    <n v="37"/>
    <n v="132.88999999999999"/>
    <n v="132.88999999999999"/>
    <n v="85.55"/>
    <n v="85.1"/>
    <n v="85.7"/>
    <n v="0.16"/>
    <n v="50"/>
    <n v="88.35"/>
    <n v="88.35"/>
    <n v="100"/>
    <n v="100"/>
    <n v="100"/>
    <n v="0.14000000000000001"/>
    <n v="49"/>
    <x v="5"/>
    <m/>
    <s v="Preventive Maintenance"/>
    <n v="237350.40993961942"/>
    <n v="115273.59006038058"/>
    <n v="352624"/>
    <n v="29"/>
    <n v="33"/>
    <n v="33.200000000000003"/>
    <s v=""/>
    <s v=""/>
    <n v="29"/>
    <s v="C"/>
    <n v="39.200000000000003"/>
    <n v="44.5"/>
    <n v="41.6"/>
    <s v=""/>
    <s v=""/>
    <n v="39.200000000000003"/>
    <n v="10.200000000000003"/>
    <n v="4"/>
    <n v="35.496000000000009"/>
    <n v="7.6065528223032128"/>
    <n v="26.470803821615181"/>
    <n v="13321.242617954009"/>
    <n v="101328.7356321839"/>
    <n v="10.199999999999999"/>
    <n v="352624"/>
    <n v="352624"/>
    <n v="0"/>
    <s v=""/>
    <s v="2010"/>
    <s v="CA-MD 7603.074.65N"/>
  </r>
  <r>
    <s v="eGIS Link"/>
    <n v="75"/>
    <s v="SouthBound Visi-Data"/>
    <s v="23193"/>
    <n v="2017"/>
    <n v="5"/>
    <x v="22"/>
    <s v="CA"/>
    <s v="CA-MD 2"/>
    <s v="19.05-21.6(S)"/>
    <s v="MD"/>
    <s v="2"/>
    <s v=""/>
    <n v="19.05"/>
    <n v="21.6"/>
    <s v="S"/>
    <s v="MAIN ST"/>
    <s v="SOUTH VIEW DR"/>
    <n v="2.7"/>
    <n v="6.89"/>
    <s v="DIVIDED"/>
    <s v="URBAN"/>
    <s v="NON-IS"/>
    <n v="2"/>
    <s v="FCJ"/>
    <n v="107.51"/>
    <n v="81.319999999999993"/>
    <n v="97.2"/>
    <n v="89.1"/>
    <n v="99.9"/>
    <n v="0.15"/>
    <n v="47"/>
    <n v="73.63"/>
    <n v="73.63"/>
    <n v="83.174999999999997"/>
    <n v="85.8"/>
    <n v="82.3"/>
    <n v="0.16"/>
    <n v="37"/>
    <n v="57.47"/>
    <n v="57.47"/>
    <n v="100"/>
    <n v="100"/>
    <n v="100"/>
    <n v="0.14000000000000001"/>
    <n v="49"/>
    <x v="5"/>
    <m/>
    <s v="Preventive Maintenance"/>
    <n v="202293.46145941046"/>
    <n v="98247.538540589536"/>
    <n v="300541"/>
    <n v="42.4"/>
    <n v="16.5"/>
    <n v="15.4"/>
    <s v=""/>
    <s v=""/>
    <n v="15.4"/>
    <s v="D"/>
    <n v="47.9"/>
    <n v="32.1"/>
    <n v="28.3"/>
    <s v=""/>
    <s v=""/>
    <n v="28.3"/>
    <n v="12.9"/>
    <n v="4"/>
    <n v="88.881"/>
    <n v="9.620052098795238"/>
    <n v="66.282158960699192"/>
    <n v="4534.2669085085226"/>
    <n v="43619.883889695215"/>
    <n v="12.9"/>
    <n v="300541"/>
    <n v="300541"/>
    <n v="0"/>
    <s v=""/>
    <s v="2002"/>
    <s v="CA-MD 219.0521.6S"/>
  </r>
  <r>
    <s v="eGIS Link"/>
    <n v="74"/>
    <s v="SouthBound Visi-Data"/>
    <s v="23247"/>
    <n v="2017"/>
    <n v="5"/>
    <x v="22"/>
    <s v="CA"/>
    <s v="CA-MD 765A"/>
    <s v="0-2.15(S)"/>
    <s v="MD"/>
    <s v="765"/>
    <s v="A"/>
    <n v="0"/>
    <n v="2.15"/>
    <s v="S"/>
    <s v="SOLOMONS ISLAND RD"/>
    <s v="SOLOMONS ISLAND RD"/>
    <n v="2.1"/>
    <n v="4.5199999999999996"/>
    <s v="UNDIVIDED"/>
    <s v="URBAN"/>
    <s v="NON-IS"/>
    <n v="8"/>
    <s v="FCJ"/>
    <n v="164.56"/>
    <n v="129.37"/>
    <n v="84.7"/>
    <n v="89.8"/>
    <n v="82.9"/>
    <n v="0.2"/>
    <n v="46"/>
    <n v="88.86"/>
    <n v="88.86"/>
    <n v="86.224999999999994"/>
    <n v="87.8"/>
    <n v="85.7"/>
    <n v="0.15"/>
    <n v="59"/>
    <n v="65.209999999999994"/>
    <n v="65.209999999999994"/>
    <n v="100"/>
    <n v="100"/>
    <n v="100"/>
    <n v="0.13"/>
    <n v="49"/>
    <x v="5"/>
    <m/>
    <s v="Preventive Maintenance"/>
    <n v="85189.9396626378"/>
    <n v="41374.0603373622"/>
    <n v="126564"/>
    <n v="45.2"/>
    <n v="34.9"/>
    <n v="33.200000000000003"/>
    <s v=""/>
    <s v=""/>
    <n v="33.200000000000003"/>
    <s v="B"/>
    <n v="49.6"/>
    <n v="44.5"/>
    <n v="41.6"/>
    <s v=""/>
    <s v=""/>
    <n v="41.6"/>
    <n v="8.3999999999999986"/>
    <n v="4"/>
    <n v="37.967999999999989"/>
    <n v="6.2642199713085258"/>
    <n v="28.314274270314534"/>
    <n v="4469.9715342057407"/>
    <n v="28000.884955752215"/>
    <n v="8.4"/>
    <n v="126564"/>
    <n v="126564"/>
    <n v="0"/>
    <s v=""/>
    <s v="2005"/>
    <s v="CA-MD 765A02.15S"/>
  </r>
  <r>
    <s v="eGIS Link"/>
    <n v="320"/>
    <s v="SouthBound Visi-Data"/>
    <s v="23269"/>
    <n v="2017"/>
    <n v="5"/>
    <x v="22"/>
    <s v="CA"/>
    <s v="CA-MD 765X"/>
    <s v="0-0.24(S)"/>
    <s v="MD"/>
    <s v="765"/>
    <s v="X"/>
    <n v="0"/>
    <n v="0.24"/>
    <s v="S"/>
    <s v=""/>
    <s v=""/>
    <n v="2"/>
    <n v="0.48"/>
    <s v="UNDIVIDED"/>
    <s v="URBAN"/>
    <s v="NON-IS"/>
    <n v="19"/>
    <s v=""/>
    <n v="185.17"/>
    <n v="192.27"/>
    <s v=""/>
    <s v=""/>
    <s v=""/>
    <n v="0.21"/>
    <s v=""/>
    <n v="96.55"/>
    <n v="96.55"/>
    <n v="82.15"/>
    <n v="87.1"/>
    <n v="80.5"/>
    <n v="0.15"/>
    <n v="46"/>
    <n v="69.36"/>
    <n v="69.36"/>
    <n v="100"/>
    <n v="100"/>
    <n v="100"/>
    <n v="0.13"/>
    <n v="49"/>
    <x v="5"/>
    <m/>
    <s v="Preventive Maintenance"/>
    <n v="92781.135733520743"/>
    <n v="45060.864266479257"/>
    <n v="137842"/>
    <n v="37"/>
    <n v="34.4"/>
    <n v="29.8"/>
    <s v=""/>
    <s v=""/>
    <n v="29.8"/>
    <s v="C"/>
    <n v="47.5"/>
    <n v="44.5"/>
    <n v="41.6"/>
    <s v=""/>
    <s v=""/>
    <n v="41.6"/>
    <n v="11.8"/>
    <n v="4"/>
    <n v="5.6639999999999997"/>
    <n v="8.7997375787429313"/>
    <n v="4.2238740377966071"/>
    <n v="32634.022408467838"/>
    <n v="287170.83333333337"/>
    <n v="11.8"/>
    <n v="137842"/>
    <n v="137842"/>
    <n v="0"/>
    <s v=""/>
    <s v=""/>
    <s v="CA-MD 765X00.24S"/>
  </r>
  <r>
    <s v="eGIS Link"/>
    <n v="358"/>
    <s v="SouthBound Visi-Data"/>
    <s v="23248"/>
    <n v="2017"/>
    <n v="5"/>
    <x v="22"/>
    <s v="CA"/>
    <s v="CA-MD 765B"/>
    <s v="0-0.13(S)"/>
    <s v="MD"/>
    <s v="765"/>
    <s v="B"/>
    <n v="0"/>
    <n v="0.13"/>
    <s v="S"/>
    <s v=""/>
    <s v=""/>
    <n v="2"/>
    <n v="0.26"/>
    <s v="UNDIVIDED"/>
    <s v="URBAN"/>
    <s v="NON-IS"/>
    <n v="19"/>
    <s v=""/>
    <n v="103.17"/>
    <n v="97.34"/>
    <s v=""/>
    <s v=""/>
    <s v=""/>
    <n v="0.15"/>
    <s v=""/>
    <n v="103.78"/>
    <n v="103.78"/>
    <n v="85.625"/>
    <n v="86.6"/>
    <n v="85.3"/>
    <n v="0.17"/>
    <n v="52"/>
    <n v="73.260000000000005"/>
    <n v="73.260000000000005"/>
    <n v="100"/>
    <n v="100"/>
    <n v="100"/>
    <n v="0.14000000000000001"/>
    <n v="49"/>
    <x v="5"/>
    <m/>
    <s v="Preventive Maintenance"/>
    <n v="105478.45109804778"/>
    <n v="51227.548901952221"/>
    <n v="156706"/>
    <n v="30.2"/>
    <n v="18.399999999999999"/>
    <n v="18.399999999999999"/>
    <s v=""/>
    <s v=""/>
    <n v="18.399999999999999"/>
    <s v="D"/>
    <n v="36.200000000000003"/>
    <n v="33"/>
    <n v="29.7"/>
    <s v=""/>
    <s v=""/>
    <n v="29.7"/>
    <n v="11.3"/>
    <n v="4"/>
    <n v="2.9380000000000002"/>
    <n v="8.4268673423555178"/>
    <n v="2.1909855090124348"/>
    <n v="71523.065467755514"/>
    <n v="602715.38461538462"/>
    <n v="11.3"/>
    <n v="156706"/>
    <n v="156706"/>
    <n v="0"/>
    <s v=""/>
    <s v=""/>
    <s v="CA-MD 765B00.13S"/>
  </r>
  <r>
    <s v="eGIS Link"/>
    <n v="359"/>
    <s v="SouthBound Visi-Data"/>
    <s v="23266"/>
    <n v="2017"/>
    <n v="5"/>
    <x v="22"/>
    <s v="CA"/>
    <s v="CA-MD 765U"/>
    <s v="0-0.11(S)"/>
    <s v="MD"/>
    <s v="765"/>
    <s v="U"/>
    <n v="0"/>
    <n v="0.11"/>
    <s v="S"/>
    <s v=""/>
    <s v=""/>
    <n v="2.2999999999999998"/>
    <n v="0.25"/>
    <s v="UNDIVIDED"/>
    <s v="URBAN"/>
    <s v="NON-IS"/>
    <n v="19"/>
    <s v=""/>
    <n v="126.45"/>
    <n v="125.66"/>
    <s v=""/>
    <s v=""/>
    <s v=""/>
    <n v="0.26"/>
    <s v=""/>
    <n v="106.85"/>
    <n v="106.85"/>
    <n v="85.55"/>
    <n v="85.1"/>
    <n v="85.7"/>
    <n v="0.24"/>
    <n v="44"/>
    <n v="74.33"/>
    <n v="74.33"/>
    <n v="100"/>
    <n v="100"/>
    <n v="100"/>
    <n v="0.2"/>
    <n v="49"/>
    <x v="5"/>
    <m/>
    <s v="Preventive Maintenance"/>
    <n v="78877.629257181135"/>
    <n v="38308.370742818865"/>
    <n v="117186"/>
    <n v="50"/>
    <n v="36.6"/>
    <n v="36.5"/>
    <s v=""/>
    <s v=""/>
    <n v="36.5"/>
    <s v="B"/>
    <n v="50"/>
    <n v="48"/>
    <n v="45"/>
    <s v=""/>
    <s v=""/>
    <n v="45"/>
    <n v="8.5"/>
    <n v="4"/>
    <n v="2.125"/>
    <n v="6.3387940185860092"/>
    <n v="1.5846985046465023"/>
    <n v="73948.451176295275"/>
    <n v="468744"/>
    <n v="8.4"/>
    <n v="117186"/>
    <n v="117186"/>
    <n v="0"/>
    <s v=""/>
    <s v=""/>
    <s v="CA-MD 765U00.11S"/>
  </r>
  <r>
    <s v="eGIS Link"/>
    <n v="361"/>
    <s v="NorthBound Visi-Data"/>
    <s v="23248"/>
    <n v="2017"/>
    <n v="5"/>
    <x v="22"/>
    <s v="CA"/>
    <s v="CA-MD 765B"/>
    <s v="0-0.13(N)"/>
    <s v="MD"/>
    <s v="765"/>
    <s v="B"/>
    <n v="0"/>
    <n v="0.13"/>
    <s v="N"/>
    <s v=""/>
    <s v=""/>
    <n v="2"/>
    <n v="0.26"/>
    <s v="UNDIVIDED"/>
    <s v="URBAN"/>
    <s v="NON-IS"/>
    <n v="19"/>
    <s v=""/>
    <n v="120.23"/>
    <n v="121.02"/>
    <s v=""/>
    <s v=""/>
    <s v=""/>
    <n v="0.13"/>
    <s v=""/>
    <n v="102.85"/>
    <n v="102.85"/>
    <n v="85.625"/>
    <n v="86.6"/>
    <n v="85.3"/>
    <n v="0.14000000000000001"/>
    <n v="55"/>
    <n v="72.77"/>
    <n v="72.77"/>
    <n v="100"/>
    <n v="100"/>
    <n v="100"/>
    <n v="0.12"/>
    <n v="49"/>
    <x v="5"/>
    <m/>
    <s v="Preventive Maintenance"/>
    <n v="111827.78187802994"/>
    <n v="54311.218121970058"/>
    <n v="166139"/>
    <n v="30.5"/>
    <n v="18.399999999999999"/>
    <n v="18.399999999999999"/>
    <s v=""/>
    <s v=""/>
    <n v="18.399999999999999"/>
    <s v="D"/>
    <n v="36.4"/>
    <n v="33"/>
    <n v="29.7"/>
    <s v=""/>
    <s v=""/>
    <n v="29.7"/>
    <n v="11.3"/>
    <n v="4"/>
    <n v="2.9380000000000002"/>
    <n v="8.4268673423555178"/>
    <n v="2.1909855090124348"/>
    <n v="75828.433970284692"/>
    <n v="638996.15384615387"/>
    <n v="11.3"/>
    <n v="166139"/>
    <n v="166139"/>
    <n v="0"/>
    <s v=""/>
    <s v=""/>
    <s v="CA-MD 765B00.13N"/>
  </r>
  <r>
    <s v="eGIS Link"/>
    <n v="348"/>
    <s v="NorthBound Visi-Data"/>
    <s v="23195"/>
    <n v="2017"/>
    <n v="5"/>
    <x v="22"/>
    <s v="CA"/>
    <s v="CA-MD 2AC"/>
    <s v="0-0.39(N)"/>
    <s v="MD"/>
    <s v="2"/>
    <s v="AC"/>
    <n v="0"/>
    <n v="0.39"/>
    <s v="N"/>
    <s v=""/>
    <s v=""/>
    <n v="2"/>
    <n v="0.78"/>
    <s v="UNDIVIDED"/>
    <s v="URBAN"/>
    <s v="NON-IS"/>
    <n v="19"/>
    <s v=""/>
    <n v="104.42"/>
    <n v="100.75"/>
    <s v=""/>
    <s v=""/>
    <s v=""/>
    <n v="0.15"/>
    <s v=""/>
    <n v="73.17"/>
    <n v="73.17"/>
    <n v="92.474999999999994"/>
    <n v="90.9"/>
    <n v="93"/>
    <n v="0.15"/>
    <n v="34"/>
    <n v="57.68"/>
    <n v="57.68"/>
    <n v="100"/>
    <n v="100"/>
    <n v="100"/>
    <n v="0.13"/>
    <n v="49"/>
    <x v="5"/>
    <m/>
    <s v="Preventive Maintenance"/>
    <n v="176855.75247636309"/>
    <n v="85893.247523636906"/>
    <n v="262749"/>
    <n v="29.9"/>
    <n v="43.9"/>
    <n v="25.6"/>
    <s v=""/>
    <s v=""/>
    <n v="25.6"/>
    <s v="C"/>
    <n v="33.799999999999997"/>
    <n v="50"/>
    <n v="32.9"/>
    <s v=""/>
    <s v=""/>
    <n v="32.9"/>
    <n v="7.2999999999999972"/>
    <n v="4"/>
    <n v="6.24"/>
    <n v="5.9659237821985966"/>
    <n v="4.6534205501149053"/>
    <n v="56463.626523829233"/>
    <n v="336857.69230769231"/>
    <n v="7.4"/>
    <n v="262749"/>
    <n v="262749"/>
    <n v="0"/>
    <s v=""/>
    <s v=""/>
    <s v="CA-MD 2AC00.39N"/>
  </r>
  <r>
    <s v="eGIS Link"/>
    <n v="27"/>
    <s v="NorthBound Visi-Data"/>
    <s v="23227"/>
    <n v="2017"/>
    <n v="5"/>
    <x v="4"/>
    <s v="CA"/>
    <s v="CA-MD 261"/>
    <s v="6.579-7.45(N)"/>
    <s v="MD"/>
    <s v="261"/>
    <s v=""/>
    <n v="6.5789999999999997"/>
    <n v="7.45"/>
    <s v="N"/>
    <s v="OUT CORP LMTS CHESAPEAKE BEACH"/>
    <s v="OUT CORP LMTS NORTH BEACH"/>
    <n v="2"/>
    <n v="1.74"/>
    <s v="UNDIVIDED"/>
    <s v="URBAN"/>
    <s v="NON-IS"/>
    <n v="16"/>
    <s v="F"/>
    <n v="157.11000000000001"/>
    <n v="136.99"/>
    <s v=""/>
    <s v=""/>
    <s v=""/>
    <n v="0.14000000000000001"/>
    <n v="39"/>
    <n v="59.99"/>
    <n v="59.99"/>
    <n v="97.35"/>
    <n v="97.8"/>
    <n v="97.2"/>
    <n v="0.16"/>
    <n v="49"/>
    <n v="60.88"/>
    <n v="60.88"/>
    <n v="97.45"/>
    <n v="98.2"/>
    <n v="97.2"/>
    <n v="0.16"/>
    <n v="47"/>
    <x v="0"/>
    <m/>
    <s v="Preventive Maintenance"/>
    <n v="2520.7509563270642"/>
    <n v="1224.2490436729358"/>
    <n v="3745"/>
    <n v="0"/>
    <n v="0"/>
    <n v="0"/>
    <n v="0"/>
    <n v="0"/>
    <n v="0"/>
    <s v="F"/>
    <n v="0"/>
    <n v="0"/>
    <n v="0"/>
    <n v="0"/>
    <n v="0"/>
    <n v="0"/>
    <n v="1"/>
    <n v="1"/>
    <n v="3.48"/>
    <n v="1.4914809455496492"/>
    <n v="2.5951768452563897"/>
    <n v="1443.0615805028169"/>
    <n v="2152.2988505747126"/>
    <n v="100"/>
    <n v="3745"/>
    <n v="3745"/>
    <n v="0"/>
    <s v=""/>
    <s v="1999"/>
    <s v="CA-MD 2616.5797.45N"/>
  </r>
  <r>
    <s v="eGIS Link"/>
    <n v="411"/>
    <s v="NorthBound Visi-Data"/>
    <s v="23494"/>
    <n v="2017"/>
    <n v="5"/>
    <x v="4"/>
    <s v="CA"/>
    <s v="CA-MD 260 RP8-6"/>
    <s v="0-0.08(N)"/>
    <s v="MD"/>
    <s v="260"/>
    <s v=""/>
    <n v="0"/>
    <n v="0.08"/>
    <s v="N"/>
    <s v=""/>
    <s v=""/>
    <s v=""/>
    <n v="0.16"/>
    <s v="UNDIVIDED"/>
    <s v="RURAL"/>
    <s v="NON-IS"/>
    <n v="6"/>
    <s v=""/>
    <s v=""/>
    <s v=""/>
    <s v=""/>
    <s v=""/>
    <s v=""/>
    <s v=""/>
    <s v=""/>
    <n v="65.53"/>
    <n v="65.53"/>
    <n v="94.075000000000003"/>
    <n v="94"/>
    <n v="94.1"/>
    <n v="0.15"/>
    <n v="41"/>
    <n v="70.84"/>
    <n v="70.84"/>
    <n v="98.85"/>
    <n v="99.6"/>
    <n v="98.6"/>
    <n v="0.15"/>
    <n v="55"/>
    <x v="4"/>
    <m/>
    <s v="Preventive Maintenance"/>
    <n v="300587.41688040359"/>
    <n v="53043.583119596413"/>
    <n v="353631"/>
    <n v="30.6"/>
    <n v="20.100000000000001"/>
    <n v="19.399999999999999"/>
    <s v=""/>
    <s v=""/>
    <n v="19.399999999999999"/>
    <s v="D"/>
    <n v="31.7"/>
    <n v="26.2"/>
    <n v="24.6"/>
    <s v=""/>
    <s v=""/>
    <n v="24.6"/>
    <n v="5.2000000000000028"/>
    <n v="4"/>
    <n v="1.28"/>
    <n v="5.9659237821985966"/>
    <n v="0.95454780515177551"/>
    <n v="370469.65913223359"/>
    <n v="2210193.75"/>
    <n v="5.2"/>
    <n v="353631"/>
    <n v="353631"/>
    <n v="0"/>
    <s v=""/>
    <s v=""/>
    <s v="CA-MD 260 RP8-600.08N"/>
  </r>
  <r>
    <s v="eGIS Link"/>
    <n v="14"/>
    <s v="EastBound Visi-Data"/>
    <s v="72596"/>
    <n v="2017"/>
    <n v="6"/>
    <x v="23"/>
    <s v="WA"/>
    <s v="WA-IS 68"/>
    <s v="0-1.54(E)"/>
    <s v="IS"/>
    <s v="68"/>
    <s v=""/>
    <n v="0"/>
    <n v="1.54"/>
    <s v="E"/>
    <s v="ALLEGANY CO/L"/>
    <s v="EXIT #74"/>
    <n v="3.1"/>
    <n v="4.7699999999999996"/>
    <s v="DIVIDED"/>
    <s v="URBAN"/>
    <s v="IS"/>
    <n v="1"/>
    <s v="F"/>
    <n v="93.25"/>
    <n v="90.01"/>
    <n v="87.5"/>
    <n v="74.099999999999994"/>
    <n v="91.9"/>
    <n v="0.17"/>
    <n v="46"/>
    <n v="85.33"/>
    <n v="85.33"/>
    <n v="96.45"/>
    <n v="96.3"/>
    <n v="96.5"/>
    <n v="0.21"/>
    <n v="51"/>
    <n v="88.35"/>
    <n v="88.35"/>
    <n v="95.3"/>
    <n v="96.2"/>
    <n v="95"/>
    <n v="0.21"/>
    <n v="49"/>
    <x v="0"/>
    <m/>
    <s v="Preventive Maintenance"/>
    <n v="4173.7986339348909"/>
    <n v="2502.2013660651091"/>
    <n v="6676"/>
    <n v="37.200000000000003"/>
    <n v="27.1"/>
    <n v="23.3"/>
    <s v=""/>
    <s v=""/>
    <n v="23.3"/>
    <s v="C"/>
    <n v="36.9"/>
    <n v="28"/>
    <n v="23.3"/>
    <s v=""/>
    <s v=""/>
    <n v="23.3"/>
    <n v="1"/>
    <n v="1"/>
    <n v="9.5399999999999991"/>
    <n v="1.4914809455496492"/>
    <n v="7.1143641102718256"/>
    <n v="938.38323376801748"/>
    <n v="1399.5807127882601"/>
    <n v="0"/>
    <n v="6676"/>
    <n v="6676"/>
    <n v="0"/>
    <s v=""/>
    <s v="1996"/>
    <s v="WA-IS 6801.54E"/>
  </r>
  <r>
    <s v="eGIS Link"/>
    <n v="49"/>
    <s v="EastBound Visi-Data"/>
    <s v="72603"/>
    <n v="2017"/>
    <n v="6"/>
    <x v="23"/>
    <s v="WA"/>
    <s v="WA-MD 60"/>
    <s v="4.89-5.35(E)"/>
    <s v="MD"/>
    <s v="60"/>
    <s v=""/>
    <n v="4.8899999999999997"/>
    <n v="5.35"/>
    <s v="E"/>
    <s v="LEITER ST"/>
    <s v="RINGGOLD PIKE"/>
    <n v="2.5"/>
    <n v="1.1499999999999999"/>
    <s v="UNDIVIDED"/>
    <s v="RURAL"/>
    <s v="NON-IS"/>
    <n v="6"/>
    <s v="F"/>
    <n v="127.21"/>
    <n v="144.32"/>
    <n v="64.2"/>
    <n v="76.3"/>
    <n v="60.1"/>
    <n v="0.16"/>
    <n v="53"/>
    <n v="93.4"/>
    <n v="93.4"/>
    <n v="85.9"/>
    <n v="85.6"/>
    <n v="86"/>
    <n v="7.0000000000000007E-2"/>
    <n v="48"/>
    <n v="97.88"/>
    <n v="97.88"/>
    <n v="85.275000000000006"/>
    <n v="87.6"/>
    <n v="84.5"/>
    <n v="7.0000000000000007E-2"/>
    <n v="46"/>
    <x v="0"/>
    <m/>
    <s v="Preventive Maintenance"/>
    <n v="3082.9484240160687"/>
    <n v="2138.0515759839313"/>
    <n v="5221"/>
    <n v="25.2"/>
    <n v="48.7"/>
    <n v="41.5"/>
    <s v=""/>
    <s v=""/>
    <n v="25.2"/>
    <s v="C"/>
    <n v="25"/>
    <n v="50"/>
    <n v="41.5"/>
    <s v=""/>
    <s v=""/>
    <n v="25"/>
    <n v="1"/>
    <n v="1"/>
    <n v="2.2999999999999998"/>
    <n v="1.4914809455496492"/>
    <n v="1.7152030873820965"/>
    <n v="3043.9544089025508"/>
    <n v="4540"/>
    <n v="-0.1"/>
    <n v="5221"/>
    <n v="5221"/>
    <n v="0"/>
    <s v=""/>
    <s v="2012"/>
    <s v="WA-MD 604.895.35E"/>
  </r>
  <r>
    <s v="eGIS Link"/>
    <n v="4"/>
    <s v="SouthBound Visi-Data"/>
    <s v="72601"/>
    <n v="2017"/>
    <n v="6"/>
    <x v="23"/>
    <s v="WA"/>
    <s v="WA-MD 57"/>
    <s v="0-1.85(S)"/>
    <s v="MD"/>
    <s v="57"/>
    <s v=""/>
    <n v="0"/>
    <n v="1.85"/>
    <s v="S"/>
    <s v="NATIONAL PIKE"/>
    <s v="BROADFORDING RD"/>
    <n v="2"/>
    <n v="3.7"/>
    <s v="UNDIVIDED"/>
    <s v="RURAL"/>
    <s v="NON-IS"/>
    <n v="8"/>
    <s v="F"/>
    <n v="100.79"/>
    <n v="91.18"/>
    <s v=""/>
    <s v=""/>
    <s v=""/>
    <n v="0.11"/>
    <n v="45"/>
    <n v="80.05"/>
    <n v="80.05"/>
    <n v="89.2"/>
    <n v="96.1"/>
    <n v="86.9"/>
    <n v="0.22"/>
    <n v="55"/>
    <n v="82.66"/>
    <n v="82.66"/>
    <n v="87.525000000000006"/>
    <n v="96"/>
    <n v="84.7"/>
    <n v="0.22"/>
    <n v="53"/>
    <x v="0"/>
    <m/>
    <s v="Preventive Maintenance"/>
    <n v="1413.6331214507697"/>
    <n v="980.36687854923025"/>
    <n v="2394"/>
    <n v="48.3"/>
    <n v="24"/>
    <n v="14.6"/>
    <s v=""/>
    <s v=""/>
    <n v="14.6"/>
    <s v="D"/>
    <n v="48"/>
    <n v="25"/>
    <n v="14.6"/>
    <s v=""/>
    <s v=""/>
    <n v="14.6"/>
    <n v="1"/>
    <n v="1"/>
    <n v="7.4"/>
    <n v="1.4914809455496492"/>
    <n v="5.5184794985337025"/>
    <n v="433.81514792908121"/>
    <n v="647.02702702702697"/>
    <n v="0"/>
    <n v="2394"/>
    <n v="2394"/>
    <n v="0"/>
    <s v=""/>
    <s v="1999"/>
    <s v="WA-MD 5701.85S"/>
  </r>
  <r>
    <s v="eGIS Link"/>
    <n v="57"/>
    <s v="EastBound Visi-Data"/>
    <s v="72618"/>
    <n v="2017"/>
    <n v="6"/>
    <x v="23"/>
    <s v="WA"/>
    <s v="WA-MD 68"/>
    <s v="3.57-6.78(E)"/>
    <s v="MD"/>
    <s v="68"/>
    <s v=""/>
    <n v="3.57"/>
    <n v="6.78"/>
    <s v="E"/>
    <s v="SPEED LIMIT 30 MPH"/>
    <s v="R/R #CSX 832 401 X"/>
    <n v="2"/>
    <n v="6.42"/>
    <s v="UNDIVIDED"/>
    <s v="URBAN"/>
    <s v="NON-IS"/>
    <n v="7"/>
    <s v="F"/>
    <n v="120.22"/>
    <n v="130.87"/>
    <n v="99.7"/>
    <n v="99.6"/>
    <n v="99.7"/>
    <n v="0.14000000000000001"/>
    <n v="43"/>
    <n v="177.15"/>
    <n v="177.15"/>
    <n v="85.65"/>
    <n v="90.6"/>
    <n v="84"/>
    <n v="0.18"/>
    <n v="37"/>
    <n v="84.25"/>
    <n v="84.25"/>
    <n v="100"/>
    <n v="100"/>
    <n v="100"/>
    <n v="0.08"/>
    <n v="49"/>
    <x v="1"/>
    <m/>
    <s v="Minor Rehabilitation"/>
    <n v="207714.6282412415"/>
    <n v="124525.3717587585"/>
    <n v="332240"/>
    <n v="16"/>
    <n v="30.1"/>
    <n v="25.2"/>
    <s v=""/>
    <s v=""/>
    <n v="16"/>
    <s v="D"/>
    <n v="44.5"/>
    <n v="36.9"/>
    <n v="36.1"/>
    <s v=""/>
    <s v=""/>
    <n v="36.1"/>
    <n v="20.100000000000001"/>
    <n v="6"/>
    <n v="129.042"/>
    <n v="14.989383502773975"/>
    <n v="96.231842087808928"/>
    <n v="3452.495481660219"/>
    <n v="51750.778816199374"/>
    <n v="20.2"/>
    <n v="332240"/>
    <n v="332240"/>
    <n v="0"/>
    <s v=""/>
    <s v="2008"/>
    <s v="WA-MD 683.576.78E"/>
  </r>
  <r>
    <s v="eGIS Link"/>
    <n v="50"/>
    <s v="NorthBound Visi-Data"/>
    <s v="72611"/>
    <n v="2017"/>
    <n v="6"/>
    <x v="23"/>
    <s v="WA"/>
    <s v="WA-MD 67"/>
    <s v="0-5.1(N)"/>
    <s v="MD"/>
    <s v="67"/>
    <s v=""/>
    <n v="0"/>
    <n v="5.0999999999999996"/>
    <s v="N"/>
    <s v="STRUC #21138"/>
    <s v="GAPLAND RD"/>
    <n v="2"/>
    <n v="10.199999999999999"/>
    <s v="UNDIVIDED"/>
    <s v="RURAL"/>
    <s v="NON-IS"/>
    <n v="6"/>
    <s v="F"/>
    <n v="86.05"/>
    <n v="90.1"/>
    <n v="99.6"/>
    <n v="98.5"/>
    <n v="100"/>
    <n v="0.13"/>
    <n v="55"/>
    <n v="173.88"/>
    <n v="173.88"/>
    <n v="82.775000000000006"/>
    <n v="90.5"/>
    <n v="80.2"/>
    <n v="0.2"/>
    <n v="58"/>
    <n v="63.04"/>
    <n v="63.04"/>
    <n v="100"/>
    <n v="100"/>
    <n v="100"/>
    <n v="0.08"/>
    <n v="49"/>
    <x v="2"/>
    <m/>
    <s v="Structural Overlay"/>
    <n v="327502.89244658267"/>
    <n v="227126.10755341733"/>
    <n v="554629"/>
    <n v="16.399999999999999"/>
    <n v="50"/>
    <n v="23.8"/>
    <s v=""/>
    <s v=""/>
    <n v="16.399999999999999"/>
    <s v="D"/>
    <n v="50"/>
    <n v="50"/>
    <n v="39.1"/>
    <s v=""/>
    <s v=""/>
    <n v="39.1"/>
    <n v="22.700000000000003"/>
    <n v="6"/>
    <n v="231.54000000000002"/>
    <n v="16.928308731988519"/>
    <n v="172.66874906628288"/>
    <n v="3212.0983269942662"/>
    <n v="54375.392156862748"/>
    <n v="22.7"/>
    <n v="554629"/>
    <n v="554629"/>
    <n v="0"/>
    <s v=""/>
    <s v="2006"/>
    <s v="WA-MD 6705.1N"/>
  </r>
  <r>
    <s v="eGIS Link"/>
    <n v="207"/>
    <s v="West Bound Visi-Data"/>
    <s v="72619"/>
    <n v="2017"/>
    <n v="6"/>
    <x v="23"/>
    <s v="WA"/>
    <s v="WA-MD 77"/>
    <s v="0-2.07(W)"/>
    <s v="MD"/>
    <s v="77"/>
    <s v=""/>
    <n v="0"/>
    <n v="2.0699999999999998"/>
    <s v="W"/>
    <s v="LEITERSBURG SMITHSBURG RD (BACK)"/>
    <s v="HOPKINS LA"/>
    <n v="2"/>
    <n v="4.1399999999999997"/>
    <s v="UNDIVIDED"/>
    <s v="RURAL"/>
    <s v="NON-IS"/>
    <n v="7"/>
    <s v="F"/>
    <n v="121.04"/>
    <n v="107.46"/>
    <s v=""/>
    <s v=""/>
    <s v=""/>
    <n v="0.15"/>
    <n v="52"/>
    <n v="212.54"/>
    <n v="212.54"/>
    <n v="55.15"/>
    <n v="80.5"/>
    <n v="46.7"/>
    <n v="0.17"/>
    <n v="29"/>
    <n v="71.64"/>
    <n v="71.64"/>
    <n v="100"/>
    <n v="100"/>
    <n v="100"/>
    <n v="0.08"/>
    <n v="49"/>
    <x v="2"/>
    <m/>
    <s v="Structural Overlay"/>
    <n v="852546.54661028157"/>
    <n v="591248.45338971843"/>
    <n v="1443795"/>
    <n v="7"/>
    <n v="13.2"/>
    <n v="0"/>
    <s v=""/>
    <s v=""/>
    <n v="0"/>
    <s v="F"/>
    <n v="50"/>
    <n v="50"/>
    <n v="39.1"/>
    <s v=""/>
    <s v=""/>
    <n v="39.1"/>
    <n v="39.1"/>
    <n v="6"/>
    <n v="161.874"/>
    <n v="29.158452485495644"/>
    <n v="120.71599328995195"/>
    <n v="11960.262767602786"/>
    <n v="348742.75362318842"/>
    <n v="39.1"/>
    <n v="1443795"/>
    <n v="1443795"/>
    <n v="0"/>
    <s v=""/>
    <s v="2005"/>
    <s v="WA-MD 7702.07W"/>
  </r>
  <r>
    <s v="eGIS Link"/>
    <n v="410"/>
    <s v="NorthBound Visi-Data"/>
    <s v="72642"/>
    <n v="2017"/>
    <n v="6"/>
    <x v="23"/>
    <s v="WA"/>
    <s v="WA-MD 858A"/>
    <s v="0-0.02(N)"/>
    <s v="MD"/>
    <s v="858"/>
    <s v="A"/>
    <n v="0"/>
    <n v="0.02"/>
    <s v="N"/>
    <s v=""/>
    <s v=""/>
    <n v="2"/>
    <n v="0.04"/>
    <s v="UNDIVIDED"/>
    <s v="RURAL"/>
    <s v="NON-IS"/>
    <n v="9"/>
    <s v=""/>
    <s v=""/>
    <s v=""/>
    <s v=""/>
    <s v=""/>
    <s v=""/>
    <s v=""/>
    <s v=""/>
    <n v="100.88"/>
    <n v="100.88"/>
    <n v="94.375"/>
    <n v="95.8"/>
    <n v="93.9"/>
    <n v="0.12"/>
    <n v="47"/>
    <n v="108.92"/>
    <n v="108.92"/>
    <n v="98.8"/>
    <n v="99.7"/>
    <n v="98.5"/>
    <n v="0.12"/>
    <n v="55"/>
    <x v="4"/>
    <m/>
    <s v="Preventive Maintenance"/>
    <n v="51829.081023015213"/>
    <n v="35943.918976984787"/>
    <n v="87773"/>
    <n v="35.6"/>
    <n v="23.7"/>
    <n v="18.5"/>
    <s v=""/>
    <s v=""/>
    <n v="18.5"/>
    <s v="D"/>
    <n v="36.6"/>
    <n v="29.7"/>
    <n v="23.8"/>
    <s v=""/>
    <s v=""/>
    <n v="23.8"/>
    <n v="5.3000000000000007"/>
    <n v="4"/>
    <n v="0.32"/>
    <n v="5.9659237821985966"/>
    <n v="0.23863695128794388"/>
    <n v="367809.76092043443"/>
    <n v="2194325"/>
    <n v="5.3"/>
    <n v="87773"/>
    <n v="87773"/>
    <n v="0"/>
    <s v=""/>
    <s v=""/>
    <s v="WA-MD 858A00.02N"/>
  </r>
  <r>
    <s v="eGIS Link"/>
    <n v="341"/>
    <s v="EastBound Visi-Data"/>
    <s v="72958"/>
    <n v="2017"/>
    <n v="6"/>
    <x v="23"/>
    <s v="WA"/>
    <s v="WA-IS 68 RP4-77"/>
    <s v="0-0.29(E)"/>
    <s v="IS"/>
    <s v="68"/>
    <s v=""/>
    <n v="0"/>
    <n v="0.28999999999999998"/>
    <s v="E"/>
    <s v=""/>
    <s v=""/>
    <s v=""/>
    <n v="0.57999999999999996"/>
    <s v=""/>
    <s v="RURAL"/>
    <s v="IS"/>
    <n v="1"/>
    <s v=""/>
    <s v=""/>
    <s v=""/>
    <s v=""/>
    <s v=""/>
    <s v=""/>
    <s v=""/>
    <n v="54"/>
    <n v="98.09"/>
    <n v="98.09"/>
    <n v="77.400000000000006"/>
    <n v="70.5"/>
    <n v="79.7"/>
    <n v="7.0000000000000007E-2"/>
    <n v="59"/>
    <n v="106.86"/>
    <n v="106.86"/>
    <n v="96.224999999999994"/>
    <n v="98.4"/>
    <n v="95.5"/>
    <n v="7.0000000000000007E-2"/>
    <n v="55"/>
    <x v="4"/>
    <m/>
    <s v="Preventive Maintenance"/>
    <n v="101414.29994848951"/>
    <n v="70331.700051510488"/>
    <n v="171746"/>
    <n v="16.2"/>
    <n v="17.600000000000001"/>
    <n v="12.2"/>
    <s v=""/>
    <s v=""/>
    <n v="12.2"/>
    <s v="D"/>
    <n v="13.9"/>
    <n v="31"/>
    <n v="15.8"/>
    <s v=""/>
    <s v=""/>
    <n v="13.9"/>
    <n v="4"/>
    <n v="4"/>
    <n v="4.6399999999999997"/>
    <n v="5.9659237821985966"/>
    <n v="3.460235793675186"/>
    <n v="49634.189760688278"/>
    <n v="296113.79310344829"/>
    <n v="1.7"/>
    <n v="171746"/>
    <n v="171746"/>
    <n v="0"/>
    <s v=""/>
    <s v=""/>
    <s v="WA-IS 68 RP4-7700.29E"/>
  </r>
  <r>
    <s v="eGIS Link"/>
    <n v="370"/>
    <s v="West Bound Visi-Data"/>
    <s v="72618"/>
    <n v="2017"/>
    <n v="6"/>
    <x v="23"/>
    <s v="WA"/>
    <s v="WA-MD 68"/>
    <s v="13.35-14.46(W)"/>
    <s v="MD"/>
    <s v="68"/>
    <s v=""/>
    <n v="13.35"/>
    <n v="14.46"/>
    <s v="W"/>
    <s v="SHARPSBURG PIKE"/>
    <s v="BREATHEDSVILLE RD"/>
    <n v="2.1"/>
    <n v="2.33"/>
    <s v="UNDIVIDED"/>
    <s v="RURAL"/>
    <s v="NON-IS"/>
    <n v="16"/>
    <s v="F"/>
    <n v="156.82"/>
    <n v="157.66999999999999"/>
    <s v=""/>
    <s v=""/>
    <s v=""/>
    <n v="0.12"/>
    <n v="33"/>
    <n v="80.56"/>
    <n v="80.56"/>
    <n v="75.45"/>
    <n v="81.900000000000006"/>
    <n v="73.3"/>
    <n v="0.16"/>
    <n v="51"/>
    <n v="59.49"/>
    <n v="59.49"/>
    <n v="100"/>
    <n v="100"/>
    <n v="100"/>
    <n v="0.16"/>
    <n v="49"/>
    <x v="8"/>
    <m/>
    <s v="Minor Rehabilitation"/>
    <n v="1411466.6135465915"/>
    <n v="978864.38645340852"/>
    <n v="2390331"/>
    <n v="43.5"/>
    <n v="36.200000000000003"/>
    <n v="36.700000000000003"/>
    <s v=""/>
    <s v=""/>
    <n v="36.200000000000003"/>
    <s v="B"/>
    <n v="50"/>
    <n v="49.8"/>
    <n v="50"/>
    <s v=""/>
    <s v=""/>
    <n v="49.8"/>
    <n v="13.599999999999994"/>
    <n v="4"/>
    <n v="31.687999999999988"/>
    <n v="10.142070429737611"/>
    <n v="23.631024101288634"/>
    <n v="101152.2390969781"/>
    <n v="1025893.1330472103"/>
    <n v="13.6"/>
    <n v="2390331"/>
    <n v="2390331"/>
    <n v="0"/>
    <s v=""/>
    <s v="1998"/>
    <s v="WA-MD 6813.3514.46W"/>
  </r>
  <r>
    <s v="eGIS Link"/>
    <n v="28"/>
    <s v="NorthBound Visi-Data"/>
    <s v="72611"/>
    <n v="2017"/>
    <n v="6"/>
    <x v="23"/>
    <s v="WA"/>
    <s v="WA-MD 67"/>
    <s v="5.1-12.2(N)"/>
    <s v="MD"/>
    <s v="67"/>
    <s v=""/>
    <n v="5.0999999999999996"/>
    <n v="12.2"/>
    <s v="N"/>
    <s v="GAPLAND RD"/>
    <s v="BOONSBORO PIKE"/>
    <n v="2.5"/>
    <n v="17.75"/>
    <s v="UNDIVIDED"/>
    <s v="RURAL"/>
    <s v="NON-IS"/>
    <n v="6"/>
    <s v="F"/>
    <n v="75.27"/>
    <n v="80.19"/>
    <n v="80.599999999999994"/>
    <n v="90"/>
    <n v="77.5"/>
    <n v="0.16"/>
    <n v="51"/>
    <n v="155.16999999999999"/>
    <n v="155.16999999999999"/>
    <n v="70.825000000000003"/>
    <n v="71.5"/>
    <n v="70.599999999999994"/>
    <n v="0.21"/>
    <n v="60"/>
    <n v="80.66"/>
    <n v="80.66"/>
    <n v="100"/>
    <n v="100"/>
    <n v="100"/>
    <n v="0.12"/>
    <n v="49"/>
    <x v="9"/>
    <m/>
    <s v="Structural Overlay"/>
    <n v="241382.28416291144"/>
    <n v="167400.71583708856"/>
    <n v="408783"/>
    <n v="21"/>
    <n v="38.1"/>
    <n v="18.3"/>
    <s v=""/>
    <s v=""/>
    <n v="18.3"/>
    <s v="D"/>
    <n v="43.4"/>
    <n v="50"/>
    <n v="39.1"/>
    <s v=""/>
    <s v=""/>
    <n v="39.1"/>
    <n v="20.8"/>
    <n v="4"/>
    <n v="369.2"/>
    <n v="15.51140183371635"/>
    <n v="275.32738254846521"/>
    <n v="1484.7161085695604"/>
    <n v="23030.028169014084"/>
    <n v="20.7"/>
    <n v="408783"/>
    <n v="408783"/>
    <n v="0"/>
    <s v=""/>
    <s v="2001"/>
    <s v="WA-MD 675.112.2N"/>
  </r>
  <r>
    <s v="eGIS Link"/>
    <n v="241"/>
    <s v="West Bound Visi-Data"/>
    <s v="72631"/>
    <n v="2017"/>
    <n v="6"/>
    <x v="23"/>
    <s v="WA"/>
    <s v="WA-MD 804B"/>
    <s v="0-0.79(W)"/>
    <s v="MD"/>
    <s v="804"/>
    <s v="B"/>
    <n v="0"/>
    <n v="0.79"/>
    <s v="W"/>
    <s v="JEFFERSON BLVD"/>
    <s v="JEFFERSON BLVD"/>
    <n v="2"/>
    <n v="1.58"/>
    <s v="UNDIVIDED"/>
    <s v="RURAL"/>
    <s v="NON-IS"/>
    <n v="19"/>
    <s v="F"/>
    <s v=""/>
    <s v=""/>
    <s v=""/>
    <s v=""/>
    <s v=""/>
    <s v=""/>
    <s v=""/>
    <n v="162.71"/>
    <n v="162.71"/>
    <n v="82.85"/>
    <n v="92.9"/>
    <n v="79.5"/>
    <n v="0.17"/>
    <n v="39"/>
    <n v="104.6"/>
    <n v="104.6"/>
    <n v="100"/>
    <n v="100"/>
    <n v="100"/>
    <n v="0.14000000000000001"/>
    <n v="49"/>
    <x v="5"/>
    <m/>
    <s v="Preventive Maintenance"/>
    <n v="159827.93524773594"/>
    <n v="110842.06475226406"/>
    <n v="270670"/>
    <n v="16.7"/>
    <n v="21.1"/>
    <n v="11.4"/>
    <s v=""/>
    <s v=""/>
    <n v="11.4"/>
    <s v="D"/>
    <n v="32.4"/>
    <n v="30.2"/>
    <n v="27.1"/>
    <s v=""/>
    <s v=""/>
    <n v="27.1"/>
    <n v="15.700000000000001"/>
    <n v="4"/>
    <n v="24.806000000000004"/>
    <n v="11.708125422564747"/>
    <n v="18.498838167652302"/>
    <n v="14631.72970902047"/>
    <n v="171310.12658227846"/>
    <n v="15.7"/>
    <n v="270670"/>
    <n v="270670"/>
    <n v="0"/>
    <s v=""/>
    <s v="1957"/>
    <s v="WA-MD 804B00.79W"/>
  </r>
  <r>
    <s v="eGIS Link"/>
    <n v="377"/>
    <s v="West Bound Visi-Data"/>
    <s v="72964"/>
    <n v="2017"/>
    <n v="6"/>
    <x v="23"/>
    <s v="WA"/>
    <s v="WA-IS 68 RP1-77"/>
    <s v="0-0.272(W)"/>
    <s v="IS"/>
    <s v="68"/>
    <s v=""/>
    <n v="0"/>
    <n v="0.27200000000000002"/>
    <s v="W"/>
    <s v=""/>
    <s v=""/>
    <s v=""/>
    <n v="0.54"/>
    <s v=""/>
    <s v="URBAN"/>
    <s v="IS"/>
    <n v="1"/>
    <s v=""/>
    <s v=""/>
    <s v=""/>
    <s v=""/>
    <s v=""/>
    <s v=""/>
    <s v=""/>
    <n v="54"/>
    <n v="66.98"/>
    <n v="66.98"/>
    <n v="92.8"/>
    <n v="86.8"/>
    <n v="94.8"/>
    <n v="0.08"/>
    <n v="46"/>
    <n v="54.46"/>
    <n v="54.46"/>
    <n v="100"/>
    <n v="100"/>
    <n v="100"/>
    <n v="7.0000000000000007E-2"/>
    <n v="49"/>
    <x v="5"/>
    <m/>
    <s v="Preventive Maintenance"/>
    <n v="257170.01576951976"/>
    <n v="154173.98423048024"/>
    <n v="411344"/>
    <n v="32.1"/>
    <n v="42"/>
    <n v="26.9"/>
    <s v=""/>
    <s v=""/>
    <n v="26.9"/>
    <s v="C"/>
    <n v="35.1"/>
    <n v="50"/>
    <n v="32.9"/>
    <s v=""/>
    <s v=""/>
    <n v="32.9"/>
    <n v="6"/>
    <n v="4"/>
    <n v="4.32"/>
    <n v="5.9659237821985966"/>
    <n v="3.2215988423872424"/>
    <n v="127683.18469322186"/>
    <n v="761748.14814814809"/>
    <n v="6"/>
    <n v="411344"/>
    <n v="411344"/>
    <n v="0"/>
    <s v=""/>
    <s v=""/>
    <s v="WA-IS 68 RP1-7700.272W"/>
  </r>
  <r>
    <s v="eGIS Link"/>
    <n v="354"/>
    <s v="NorthBound Visi-Data"/>
    <s v="72610"/>
    <n v="2017"/>
    <n v="6"/>
    <x v="23"/>
    <s v="WA"/>
    <s v="WA-MD 66"/>
    <s v="10.32-11.07(N)"/>
    <s v="MD"/>
    <s v="66"/>
    <s v=""/>
    <n v="10.32"/>
    <n v="11.07"/>
    <s v="N"/>
    <s v="SMITHBURG PIKE"/>
    <s v="RAILROAD LA"/>
    <n v="2"/>
    <n v="1.5"/>
    <s v="UNDIVIDED"/>
    <s v="URBAN"/>
    <s v="NON-IS"/>
    <n v="17"/>
    <s v="F"/>
    <n v="182.3"/>
    <n v="180.63"/>
    <n v="93.3"/>
    <n v="96.9"/>
    <n v="92.1"/>
    <n v="0.18"/>
    <n v="37"/>
    <n v="61.03"/>
    <n v="61.03"/>
    <n v="94.174999999999997"/>
    <n v="92.6"/>
    <n v="94.7"/>
    <n v="0.17"/>
    <n v="37"/>
    <n v="50.78"/>
    <n v="50.78"/>
    <n v="100"/>
    <n v="100"/>
    <n v="100"/>
    <n v="0.14000000000000001"/>
    <n v="49"/>
    <x v="5"/>
    <m/>
    <s v="Preventive Maintenance"/>
    <n v="359092.35284220334"/>
    <n v="215276.64715779666"/>
    <n v="574369"/>
    <n v="50"/>
    <n v="36"/>
    <n v="28"/>
    <s v=""/>
    <s v=""/>
    <n v="28"/>
    <s v="C"/>
    <n v="50"/>
    <n v="42.2"/>
    <n v="33"/>
    <s v=""/>
    <s v=""/>
    <n v="33"/>
    <n v="5"/>
    <n v="4"/>
    <n v="12"/>
    <n v="5.9659237821985966"/>
    <n v="8.9488856732978945"/>
    <n v="64183.298453999611"/>
    <n v="382912.66666666669"/>
    <n v="5"/>
    <n v="574369"/>
    <n v="574369"/>
    <n v="0"/>
    <s v=""/>
    <s v="2008"/>
    <s v="WA-MD 6610.3211.07N"/>
  </r>
  <r>
    <s v="eGIS Link"/>
    <n v="102"/>
    <s v="SouthBound Visi-Data"/>
    <s v="36829"/>
    <n v="2017"/>
    <n v="6"/>
    <x v="24"/>
    <s v="GA"/>
    <s v="GA-MD 826E"/>
    <s v="0-0.35(S)"/>
    <s v="MD"/>
    <s v="826"/>
    <s v="E"/>
    <n v="0"/>
    <n v="0.35"/>
    <s v="S"/>
    <s v=""/>
    <s v=""/>
    <n v="2"/>
    <n v="0.7"/>
    <s v="UNDIVIDED"/>
    <s v="RURAL"/>
    <s v="NON-IS"/>
    <n v="9"/>
    <s v=""/>
    <n v="371.56"/>
    <n v="386.55"/>
    <s v=""/>
    <s v=""/>
    <s v=""/>
    <n v="0.25"/>
    <s v=""/>
    <n v="96.45"/>
    <n v="96.45"/>
    <n v="86.924999999999997"/>
    <n v="90"/>
    <n v="85.9"/>
    <n v="0.14000000000000001"/>
    <n v="59"/>
    <n v="100.45"/>
    <n v="100.45"/>
    <n v="86.025000000000006"/>
    <n v="90.9"/>
    <n v="84.4"/>
    <n v="0.14000000000000001"/>
    <n v="57"/>
    <x v="0"/>
    <m/>
    <s v="Preventive Maintenance"/>
    <n v="3668.7145294793786"/>
    <n v="2544.2854705206214"/>
    <n v="6213"/>
    <n v="27"/>
    <n v="50"/>
    <n v="41.5"/>
    <s v=""/>
    <s v=""/>
    <n v="27"/>
    <s v="C"/>
    <n v="26.9"/>
    <n v="50"/>
    <n v="41.5"/>
    <s v=""/>
    <s v=""/>
    <n v="26.9"/>
    <n v="1"/>
    <n v="1"/>
    <n v="1.4"/>
    <n v="1.4914809455496492"/>
    <n v="1.0440366618847543"/>
    <n v="5950.9404476121936"/>
    <n v="8875.7142857142862"/>
    <n v="-0.1"/>
    <n v="6213"/>
    <n v="6213"/>
    <n v="0"/>
    <s v=""/>
    <s v=""/>
    <s v="GA-MD 826E00.35S"/>
  </r>
  <r>
    <s v="eGIS Link"/>
    <n v="32"/>
    <s v="SouthBound Visi-Data"/>
    <s v="36818"/>
    <n v="2017"/>
    <n v="6"/>
    <x v="24"/>
    <s v="GA"/>
    <s v="GA-MD 560"/>
    <s v="0-1.49(S)"/>
    <s v="MD"/>
    <s v="560"/>
    <s v=""/>
    <n v="0"/>
    <n v="1.49"/>
    <s v="S"/>
    <s v="GEORGE WASHINGTON HWY"/>
    <s v="SPEED LIMIT 50 MPH"/>
    <n v="2"/>
    <n v="2.98"/>
    <s v="UNDIVIDED"/>
    <s v="RURAL"/>
    <s v="NON-IS"/>
    <n v="7"/>
    <s v="FCJ"/>
    <n v="127.89"/>
    <n v="136.02000000000001"/>
    <s v=""/>
    <s v=""/>
    <s v=""/>
    <n v="0.1"/>
    <n v="60"/>
    <n v="86.36"/>
    <n v="86.36"/>
    <n v="96.95"/>
    <n v="96.2"/>
    <n v="97.2"/>
    <n v="0.12"/>
    <n v="61"/>
    <n v="89.34"/>
    <n v="89.34"/>
    <n v="96.125"/>
    <n v="96.2"/>
    <n v="96.1"/>
    <n v="0.12"/>
    <n v="59"/>
    <x v="0"/>
    <m/>
    <s v="Preventive Maintenance"/>
    <n v="4557.992508136379"/>
    <n v="3161.007491863621"/>
    <n v="7719"/>
    <n v="39.6"/>
    <n v="24.2"/>
    <n v="21.1"/>
    <s v=""/>
    <s v=""/>
    <n v="21.1"/>
    <s v="C"/>
    <n v="39.4"/>
    <n v="25.1"/>
    <n v="21.1"/>
    <s v=""/>
    <s v=""/>
    <n v="21.1"/>
    <n v="1"/>
    <n v="1"/>
    <n v="5.96"/>
    <n v="1.4914809455496492"/>
    <n v="4.4446132177379543"/>
    <n v="1736.709050226088"/>
    <n v="2590.2684563758389"/>
    <n v="0"/>
    <n v="7719"/>
    <n v="7719"/>
    <n v="0"/>
    <s v=""/>
    <s v="1994"/>
    <s v="GA-MD 56001.49S"/>
  </r>
  <r>
    <s v="eGIS Link"/>
    <n v="378"/>
    <s v="SouthBound Visi-Data"/>
    <s v="36813"/>
    <n v="2017"/>
    <n v="6"/>
    <x v="24"/>
    <s v="GA"/>
    <s v="GA-MD 219"/>
    <s v="0-0.16(S)"/>
    <s v="MD"/>
    <s v="219"/>
    <s v=""/>
    <n v="0"/>
    <n v="0.16"/>
    <s v="S"/>
    <s v=""/>
    <s v=""/>
    <n v="2"/>
    <n v="0.32"/>
    <s v="UNDIVIDED"/>
    <s v="RURAL"/>
    <s v="NON-IS"/>
    <n v="2"/>
    <s v=""/>
    <n v="235.54"/>
    <n v="208.29"/>
    <s v=""/>
    <s v=""/>
    <s v=""/>
    <n v="0.2"/>
    <s v=""/>
    <n v="156.71"/>
    <n v="156.71"/>
    <n v="55.1"/>
    <n v="65.3"/>
    <n v="51.7"/>
    <n v="0.14000000000000001"/>
    <n v="60"/>
    <n v="77.290000000000006"/>
    <n v="77.290000000000006"/>
    <n v="100"/>
    <n v="100"/>
    <n v="100"/>
    <n v="0.08"/>
    <n v="49"/>
    <x v="1"/>
    <m/>
    <s v="Minor Rehabilitation"/>
    <n v="737240.96880793688"/>
    <n v="511283.03119206312"/>
    <n v="1248524"/>
    <n v="14.3"/>
    <n v="13.6"/>
    <n v="0.6"/>
    <s v=""/>
    <s v=""/>
    <n v="0.6"/>
    <s v="F"/>
    <n v="40"/>
    <n v="49.4"/>
    <n v="43.6"/>
    <s v=""/>
    <s v=""/>
    <n v="40"/>
    <n v="39.4"/>
    <n v="6"/>
    <n v="12.608000000000001"/>
    <n v="29.382174627328087"/>
    <n v="9.4022958807449886"/>
    <n v="132789.26932695863"/>
    <n v="3901637.5"/>
    <n v="39.4"/>
    <n v="1248524"/>
    <n v="1248524"/>
    <n v="0"/>
    <s v=""/>
    <s v=""/>
    <s v="GA-MD 21900.16S"/>
  </r>
  <r>
    <s v="eGIS Link"/>
    <n v="260"/>
    <s v="NorthBound Visi-Data"/>
    <s v="36804"/>
    <n v="2017"/>
    <n v="6"/>
    <x v="24"/>
    <s v="GA"/>
    <s v="GA-MD 38"/>
    <s v="3.07-5.67(N)"/>
    <s v="MD"/>
    <s v="38"/>
    <s v=""/>
    <n v="3.07"/>
    <n v="5.67"/>
    <s v="N"/>
    <s v="VINDEX RD"/>
    <s v="MARYLAND HWY"/>
    <n v="2"/>
    <n v="5.2"/>
    <s v="UNDIVIDED"/>
    <s v="RURAL"/>
    <s v="NON-IS"/>
    <n v="7"/>
    <s v="FCJ"/>
    <n v="124.04"/>
    <n v="120.5"/>
    <n v="64.400000000000006"/>
    <n v="80.2"/>
    <n v="59.1"/>
    <n v="0.18"/>
    <n v="61"/>
    <n v="99.36"/>
    <n v="99.36"/>
    <n v="79.900000000000006"/>
    <n v="86.2"/>
    <n v="77.8"/>
    <n v="0.13"/>
    <n v="58"/>
    <n v="70.7"/>
    <n v="70.7"/>
    <n v="100"/>
    <n v="100"/>
    <n v="100"/>
    <n v="0.11"/>
    <n v="49"/>
    <x v="5"/>
    <m/>
    <s v="Preventive Maintenance"/>
    <n v="485631.9878904699"/>
    <n v="336790.0121095301"/>
    <n v="822422"/>
    <n v="35.299999999999997"/>
    <n v="38.799999999999997"/>
    <n v="42.1"/>
    <s v=""/>
    <s v=""/>
    <n v="35.299999999999997"/>
    <s v="B"/>
    <n v="47.4"/>
    <n v="49.8"/>
    <n v="50"/>
    <s v=""/>
    <s v=""/>
    <n v="47.4"/>
    <n v="12.100000000000001"/>
    <n v="4"/>
    <n v="62.920000000000009"/>
    <n v="9.0234597205753797"/>
    <n v="46.921990546991978"/>
    <n v="17527.432029473501"/>
    <n v="158158.07692307691"/>
    <n v="12.1"/>
    <n v="822422"/>
    <n v="822422"/>
    <n v="0"/>
    <s v=""/>
    <s v="1999"/>
    <s v="GA-MD 383.075.67N"/>
  </r>
  <r>
    <s v="eGIS Link"/>
    <n v="18"/>
    <s v="NorthBound Visi-Data"/>
    <s v="854"/>
    <n v="2017"/>
    <n v="6"/>
    <x v="25"/>
    <s v="AL"/>
    <s v="AL-MD 936"/>
    <s v="0-0.75(N)"/>
    <s v="MD"/>
    <s v="936"/>
    <s v=""/>
    <n v="0"/>
    <n v="0.75"/>
    <s v="N"/>
    <s v="GEORGES CREEK RD (BACK)"/>
    <s v="SPEED LIMIT 50 MPH"/>
    <n v="2"/>
    <n v="1.5"/>
    <s v="UNDIVIDED"/>
    <s v="RURAL"/>
    <s v="NON-IS"/>
    <n v="7"/>
    <s v="FCJ"/>
    <n v="97.31"/>
    <n v="90.48"/>
    <n v="98.2"/>
    <n v="98.6"/>
    <n v="98"/>
    <n v="0.14000000000000001"/>
    <n v="37"/>
    <n v="88.39"/>
    <n v="88.39"/>
    <n v="91.85"/>
    <n v="93.5"/>
    <n v="91.3"/>
    <n v="0.14000000000000001"/>
    <n v="37"/>
    <n v="92.17"/>
    <n v="92.17"/>
    <n v="90.55"/>
    <n v="93.7"/>
    <n v="89.5"/>
    <n v="0.14000000000000001"/>
    <n v="35"/>
    <x v="0"/>
    <m/>
    <s v="Preventive Maintenance"/>
    <n v="1627.981000768493"/>
    <n v="1129.018999231507"/>
    <n v="2757"/>
    <n v="29.4"/>
    <n v="50"/>
    <n v="44.7"/>
    <s v=""/>
    <s v=""/>
    <n v="29.4"/>
    <s v="C"/>
    <n v="29.2"/>
    <n v="50"/>
    <n v="44.7"/>
    <s v=""/>
    <s v=""/>
    <n v="29.2"/>
    <n v="1"/>
    <n v="1"/>
    <n v="3"/>
    <n v="1.4914809455496492"/>
    <n v="2.2372214183244736"/>
    <n v="1232.332203427949"/>
    <n v="1838"/>
    <n v="-0.2"/>
    <n v="2757"/>
    <n v="2757"/>
    <n v="0"/>
    <s v=""/>
    <s v="2010"/>
    <s v="AL-MD 93600.75N"/>
  </r>
  <r>
    <s v="eGIS Link"/>
    <n v="13"/>
    <s v="EastBound Visi-Data"/>
    <s v="1399"/>
    <n v="2017"/>
    <n v="6"/>
    <x v="25"/>
    <s v="AL"/>
    <s v="AL-US 40AL"/>
    <s v="0-0.8(E)"/>
    <s v="US"/>
    <s v="40"/>
    <s v="AL"/>
    <n v="0"/>
    <n v="0.8"/>
    <s v="E"/>
    <s v="GARRETT CO/L"/>
    <s v="SHAW ST"/>
    <n v="2.2000000000000002"/>
    <n v="1.76"/>
    <s v="UNDIVIDED"/>
    <s v="RURAL"/>
    <s v="NON-IS"/>
    <n v="7"/>
    <s v="F"/>
    <n v="68.3"/>
    <n v="75.22"/>
    <n v="99.8"/>
    <n v="99.8"/>
    <n v="99.9"/>
    <n v="0.14000000000000001"/>
    <n v="47"/>
    <n v="75.41"/>
    <n v="75.41"/>
    <n v="97.6"/>
    <n v="97.3"/>
    <n v="97.7"/>
    <n v="0.14000000000000001"/>
    <n v="45"/>
    <n v="78.2"/>
    <n v="78.2"/>
    <n v="96.9"/>
    <n v="97.2"/>
    <n v="96.8"/>
    <n v="0.14000000000000001"/>
    <n v="43"/>
    <x v="0"/>
    <m/>
    <s v="Preventive Maintenance"/>
    <n v="1364.0319592946023"/>
    <n v="945.9680407053977"/>
    <n v="2310"/>
    <n v="44.5"/>
    <n v="25.4"/>
    <n v="21.8"/>
    <s v=""/>
    <s v=""/>
    <n v="21.8"/>
    <s v="C"/>
    <n v="44.2"/>
    <n v="26.2"/>
    <n v="21.8"/>
    <s v=""/>
    <s v=""/>
    <n v="21.8"/>
    <n v="1"/>
    <n v="1"/>
    <n v="3.52"/>
    <n v="1.4914809455496492"/>
    <n v="2.6250064641673827"/>
    <n v="879.99783297017575"/>
    <n v="1312.5"/>
    <n v="0"/>
    <n v="2310"/>
    <n v="2310"/>
    <n v="0"/>
    <s v=""/>
    <s v="2009"/>
    <s v="AL-US 40AL00.8E"/>
  </r>
  <r>
    <s v="eGIS Link"/>
    <n v="19"/>
    <s v="EastBound Visi-Data"/>
    <s v="818"/>
    <n v="2017"/>
    <n v="6"/>
    <x v="25"/>
    <s v="AL"/>
    <s v="AL-MD 55"/>
    <s v="0-2.53(E)"/>
    <s v="MD"/>
    <s v="55"/>
    <s v=""/>
    <n v="0"/>
    <n v="2.5299999999999998"/>
    <s v="E"/>
    <s v="CABIN RUN RD (BACK)"/>
    <s v="NATIONAL PIKE"/>
    <n v="2.1"/>
    <n v="5.31"/>
    <s v="UNDIVIDED"/>
    <s v="RURAL"/>
    <s v="NON-IS"/>
    <n v="7"/>
    <s v="F"/>
    <n v="87.46"/>
    <n v="85.56"/>
    <n v="94.9"/>
    <n v="89.6"/>
    <n v="96.6"/>
    <n v="0.17"/>
    <n v="45"/>
    <n v="89.13"/>
    <n v="89.13"/>
    <n v="87.924999999999997"/>
    <n v="84.7"/>
    <n v="89"/>
    <n v="0.17"/>
    <n v="43"/>
    <n v="92.05"/>
    <n v="92.05"/>
    <n v="86.85"/>
    <n v="86.4"/>
    <n v="87"/>
    <n v="0.17"/>
    <n v="41"/>
    <x v="0"/>
    <m/>
    <s v="Preventive Maintenance"/>
    <n v="5767.316080705793"/>
    <n v="3999.683919294207"/>
    <n v="9767"/>
    <n v="40.299999999999997"/>
    <n v="15.5"/>
    <n v="15.6"/>
    <s v=""/>
    <s v=""/>
    <n v="15.5"/>
    <s v="D"/>
    <n v="40.1"/>
    <n v="17.5"/>
    <n v="15.6"/>
    <s v=""/>
    <s v=""/>
    <n v="15.6"/>
    <n v="1"/>
    <n v="1"/>
    <n v="10.62"/>
    <n v="1.4914809455496492"/>
    <n v="7.9197638208686367"/>
    <n v="1233.2438467753145"/>
    <n v="1839.3596986817327"/>
    <n v="0.1"/>
    <n v="9767"/>
    <n v="9767"/>
    <n v="0"/>
    <s v=""/>
    <s v="2009"/>
    <s v="AL-MD 5502.53E"/>
  </r>
  <r>
    <s v="eGIS Link"/>
    <n v="142"/>
    <s v="EastBound Visi-Data"/>
    <s v="1399"/>
    <n v="2017"/>
    <n v="6"/>
    <x v="25"/>
    <s v="AL"/>
    <s v="AL-US 40AL"/>
    <s v="6.4-7.45(E)"/>
    <s v="US"/>
    <s v="40"/>
    <s v="AL"/>
    <n v="6.4"/>
    <n v="7.45"/>
    <s v="E"/>
    <s v="ENT LAVALE PLAZA"/>
    <s v="RAMP 2 FR IS 68 TO US 40 AL"/>
    <n v="3.6"/>
    <n v="3.78"/>
    <s v="UNDIVIDED"/>
    <s v="URBAN"/>
    <s v="NON-IS"/>
    <n v="14"/>
    <s v="F"/>
    <n v="114.98"/>
    <n v="102.09"/>
    <n v="69.099999999999994"/>
    <n v="60"/>
    <n v="72.099999999999994"/>
    <n v="0.22"/>
    <n v="41"/>
    <n v="102.56"/>
    <n v="102.56"/>
    <n v="62.524999999999999"/>
    <n v="52.7"/>
    <n v="65.8"/>
    <n v="0.22"/>
    <n v="41"/>
    <n v="58.69"/>
    <n v="58.69"/>
    <n v="100"/>
    <n v="100"/>
    <n v="100"/>
    <n v="0.12"/>
    <n v="49"/>
    <x v="1"/>
    <m/>
    <s v="Minor Rehabilitation"/>
    <n v="431554.89880798967"/>
    <n v="258718.10119201033"/>
    <n v="690273"/>
    <n v="38.9"/>
    <n v="0.3"/>
    <n v="8.1999999999999993"/>
    <s v=""/>
    <s v=""/>
    <n v="0.3"/>
    <s v="F"/>
    <n v="50"/>
    <n v="42.2"/>
    <n v="33"/>
    <s v=""/>
    <s v=""/>
    <n v="33"/>
    <n v="32.700000000000003"/>
    <n v="6"/>
    <n v="123.60600000000001"/>
    <n v="24.385713459736767"/>
    <n v="92.177996877804972"/>
    <n v="7488.4790663769245"/>
    <n v="182611.90476190476"/>
    <n v="32.700000000000003"/>
    <n v="690273"/>
    <n v="690273"/>
    <n v="0"/>
    <s v=""/>
    <s v="2004"/>
    <s v="AL-US 40AL6.47.45E"/>
  </r>
  <r>
    <s v="eGIS Link"/>
    <n v="329"/>
    <s v="EastBound Visi-Data"/>
    <s v="805"/>
    <n v="2017"/>
    <n v="6"/>
    <x v="25"/>
    <s v="AL"/>
    <s v="AL-IS 68"/>
    <s v="8.03-11.43(E)"/>
    <s v="IS"/>
    <s v="68"/>
    <s v=""/>
    <n v="8.0299999999999994"/>
    <n v="11.43"/>
    <s v="E"/>
    <s v="RAMP 7 FR IS 68 TO MD 658"/>
    <s v="STRUC #1102"/>
    <n v="2.2999999999999998"/>
    <n v="7.82"/>
    <s v="DIVIDED"/>
    <s v="URBAN"/>
    <s v="IS"/>
    <n v="11"/>
    <s v="FCJ"/>
    <n v="117.58"/>
    <n v="126.84"/>
    <n v="98.1"/>
    <n v="97.4"/>
    <n v="98.3"/>
    <n v="0.18"/>
    <n v="51"/>
    <n v="137.29"/>
    <n v="137.29"/>
    <n v="94.15"/>
    <n v="90.4"/>
    <n v="95.4"/>
    <n v="0.18"/>
    <n v="51"/>
    <n v="70.55"/>
    <n v="70.55"/>
    <n v="100"/>
    <n v="100"/>
    <n v="100"/>
    <n v="0.08"/>
    <n v="49"/>
    <x v="7"/>
    <m/>
    <s v="Minor Rehabilitation"/>
    <n v="1700222.7565866201"/>
    <n v="1019287.2434133799"/>
    <n v="2719510"/>
    <n v="6.2"/>
    <n v="5.5"/>
    <n v="15.7"/>
    <s v=""/>
    <s v=""/>
    <n v="5.5"/>
    <s v="E"/>
    <n v="29.7"/>
    <n v="13.7"/>
    <n v="26"/>
    <s v=""/>
    <s v=""/>
    <n v="13.7"/>
    <n v="8.1999999999999993"/>
    <n v="6"/>
    <n v="93.84"/>
    <n v="8.9488856732978945"/>
    <n v="69.980285965189537"/>
    <n v="38861.087268959898"/>
    <n v="347763.42710997444"/>
    <n v="8.1999999999999993"/>
    <n v="2719510"/>
    <n v="2719510"/>
    <n v="0"/>
    <s v=""/>
    <s v="2010"/>
    <s v="AL-IS 688.0311.43E"/>
  </r>
  <r>
    <s v="eGIS Link"/>
    <n v="179"/>
    <s v="EastBound Visi-Data"/>
    <s v="1399"/>
    <n v="2017"/>
    <n v="6"/>
    <x v="25"/>
    <s v="AL"/>
    <s v="AL-US 40AL"/>
    <s v="4.23-6.4(E)"/>
    <s v="US"/>
    <s v="40"/>
    <s v="AL"/>
    <n v="4.2300000000000004"/>
    <n v="6.4"/>
    <s v="E"/>
    <s v="SPUR FR MD 55"/>
    <s v="SPEED LIMIT 40 MPH"/>
    <n v="2.2999999999999998"/>
    <n v="4.99"/>
    <s v="UNDIVIDED"/>
    <s v="URBAN"/>
    <s v="NON-IS"/>
    <n v="14"/>
    <s v="FCJ"/>
    <n v="104.48"/>
    <n v="115"/>
    <n v="78.7"/>
    <n v="82.5"/>
    <n v="77.400000000000006"/>
    <n v="0.14000000000000001"/>
    <n v="45"/>
    <n v="119.41"/>
    <n v="119.41"/>
    <n v="74.075000000000003"/>
    <n v="77.900000000000006"/>
    <n v="72.8"/>
    <n v="0.14000000000000001"/>
    <n v="45"/>
    <n v="52.38"/>
    <n v="52.38"/>
    <n v="100"/>
    <n v="100"/>
    <n v="100"/>
    <n v="0.08"/>
    <n v="49"/>
    <x v="2"/>
    <m/>
    <s v="Structural Overlay"/>
    <n v="683773.37395726307"/>
    <n v="409923.62604273693"/>
    <n v="1093697"/>
    <n v="17.899999999999999"/>
    <n v="26.9"/>
    <n v="22.3"/>
    <s v=""/>
    <s v=""/>
    <n v="17.899999999999999"/>
    <s v="D"/>
    <n v="47.9"/>
    <n v="49.4"/>
    <n v="50"/>
    <s v=""/>
    <s v=""/>
    <n v="47.9"/>
    <n v="30"/>
    <n v="6"/>
    <n v="149.70000000000002"/>
    <n v="22.372214183244736"/>
    <n v="111.63734877439124"/>
    <n v="9796.8736449506741"/>
    <n v="219177.75551102203"/>
    <n v="30"/>
    <n v="1093697"/>
    <n v="1093697"/>
    <n v="0"/>
    <s v=""/>
    <s v="2000"/>
    <s v="AL-US 40AL4.236.4E"/>
  </r>
  <r>
    <s v="eGIS Link"/>
    <n v="226"/>
    <s v="NorthBound Visi-Data"/>
    <s v="807"/>
    <n v="2017"/>
    <n v="6"/>
    <x v="25"/>
    <s v="AL"/>
    <s v="AL-MD 36"/>
    <s v="8.45-8.94(N)"/>
    <s v="MD"/>
    <s v="36"/>
    <s v=""/>
    <n v="8.4499999999999993"/>
    <n v="8.94"/>
    <s v="N"/>
    <s v="D ST"/>
    <s v="SPEED LIMIT 35 MPH"/>
    <n v="2"/>
    <n v="0.98"/>
    <s v="UNDIVIDED"/>
    <s v="RURAL"/>
    <s v="NON-IS"/>
    <n v="6"/>
    <s v="FCJ"/>
    <n v="170.59"/>
    <n v="182.3"/>
    <n v="90.4"/>
    <n v="93.8"/>
    <n v="89.2"/>
    <n v="0.15"/>
    <n v="38"/>
    <n v="184.41"/>
    <n v="184.41"/>
    <n v="86.974999999999994"/>
    <n v="89.9"/>
    <n v="86"/>
    <n v="0.15"/>
    <n v="38"/>
    <n v="65.55"/>
    <n v="65.55"/>
    <n v="100"/>
    <n v="100"/>
    <n v="100"/>
    <n v="0.08"/>
    <n v="49"/>
    <x v="2"/>
    <m/>
    <s v="Structural Overlay"/>
    <n v="193512.4387620046"/>
    <n v="134202.5612379954"/>
    <n v="327715"/>
    <n v="8.9"/>
    <n v="38"/>
    <n v="26.3"/>
    <s v=""/>
    <s v=""/>
    <n v="8.9"/>
    <s v="E"/>
    <n v="50"/>
    <n v="49.4"/>
    <n v="43.6"/>
    <s v=""/>
    <s v=""/>
    <n v="43.6"/>
    <n v="34.700000000000003"/>
    <n v="6"/>
    <n v="34.006"/>
    <n v="25.877194405286417"/>
    <n v="25.35965051718069"/>
    <n v="12922.693858812416"/>
    <n v="334403.06122448982"/>
    <n v="34.700000000000003"/>
    <n v="327715"/>
    <n v="327715"/>
    <n v="0"/>
    <s v=""/>
    <s v="1999"/>
    <s v="AL-MD 368.458.94N"/>
  </r>
  <r>
    <s v="eGIS Link"/>
    <n v="277"/>
    <s v="EastBound Visi-Data"/>
    <s v="812"/>
    <n v="2017"/>
    <n v="6"/>
    <x v="25"/>
    <s v="AL"/>
    <s v="AL-MD 51"/>
    <s v="0.99-2.74(E)"/>
    <s v="MD"/>
    <s v="51"/>
    <s v=""/>
    <n v="0.99"/>
    <n v="2.74"/>
    <s v="E"/>
    <s v="W THIRD ST"/>
    <s v="STRUC #1044 EVITTS CREEK"/>
    <n v="2.2000000000000002"/>
    <n v="3.85"/>
    <s v="DIVIDED"/>
    <s v="URBAN"/>
    <s v="NON-IS"/>
    <n v="14"/>
    <s v="F"/>
    <n v="98.83"/>
    <n v="82.04"/>
    <n v="94.7"/>
    <n v="98.3"/>
    <n v="93.4"/>
    <n v="0.14000000000000001"/>
    <n v="42"/>
    <n v="97.77"/>
    <n v="97.77"/>
    <n v="89.4"/>
    <n v="93.9"/>
    <n v="87.9"/>
    <n v="0.14000000000000001"/>
    <n v="40"/>
    <n v="47.96"/>
    <n v="47.96"/>
    <n v="100"/>
    <n v="100"/>
    <n v="100"/>
    <n v="0.08"/>
    <n v="49"/>
    <x v="2"/>
    <m/>
    <s v="Structural Overlay"/>
    <n v="527454.73704294185"/>
    <n v="316210.26295705815"/>
    <n v="843665"/>
    <n v="41"/>
    <n v="37"/>
    <n v="23.1"/>
    <s v=""/>
    <s v=""/>
    <n v="23.1"/>
    <s v="C"/>
    <n v="50"/>
    <n v="38"/>
    <n v="50"/>
    <s v=""/>
    <s v=""/>
    <n v="38"/>
    <n v="14.899999999999999"/>
    <n v="6"/>
    <n v="57.364999999999995"/>
    <n v="11.111533044344885"/>
    <n v="42.77940222072781"/>
    <n v="19721.290064946745"/>
    <n v="219133.76623376622"/>
    <n v="14.9"/>
    <n v="843665"/>
    <n v="843665"/>
    <n v="0"/>
    <s v=""/>
    <s v="2006"/>
    <s v="AL-MD 510.992.74E"/>
  </r>
  <r>
    <s v="eGIS Link"/>
    <n v="129"/>
    <s v="NorthBound Visi-Data"/>
    <s v="807"/>
    <n v="2017"/>
    <n v="6"/>
    <x v="25"/>
    <s v="AL"/>
    <s v="AL-MD 36"/>
    <s v="4.05-7.07(N)"/>
    <s v="MD"/>
    <s v="36"/>
    <s v=""/>
    <n v="4.05"/>
    <n v="7.07"/>
    <s v="N"/>
    <s v="SUGAR MAPLE RD"/>
    <s v="PVT ROAD"/>
    <n v="2.8"/>
    <n v="8.4499999999999993"/>
    <s v="UNDIVIDED"/>
    <s v="RURAL"/>
    <s v="NON-IS"/>
    <n v="6"/>
    <s v="F"/>
    <n v="98.92"/>
    <n v="98.76"/>
    <n v="76.400000000000006"/>
    <n v="77.7"/>
    <n v="75.900000000000006"/>
    <n v="0.15"/>
    <n v="52"/>
    <n v="105.02"/>
    <n v="105.02"/>
    <n v="73.45"/>
    <n v="74.2"/>
    <n v="73.2"/>
    <n v="0.15"/>
    <n v="52"/>
    <n v="71.39"/>
    <n v="71.39"/>
    <n v="100"/>
    <n v="100"/>
    <n v="100"/>
    <n v="0.15"/>
    <n v="49"/>
    <x v="8"/>
    <m/>
    <s v="Minor Rehabilitation"/>
    <n v="672414.61182992882"/>
    <n v="466325.38817007118"/>
    <n v="1138740"/>
    <n v="33.1"/>
    <n v="22.8"/>
    <n v="26.3"/>
    <s v=""/>
    <s v=""/>
    <n v="22.8"/>
    <s v="C"/>
    <n v="48.9"/>
    <n v="49.8"/>
    <n v="50"/>
    <s v=""/>
    <s v=""/>
    <n v="48.9"/>
    <n v="26.099999999999998"/>
    <n v="4"/>
    <n v="220.54499999999996"/>
    <n v="19.463826339422919"/>
    <n v="164.46933256812366"/>
    <n v="6923.7223877486749"/>
    <n v="134762.1301775148"/>
    <n v="26.1"/>
    <n v="1138740"/>
    <n v="1138740"/>
    <n v="0"/>
    <s v=""/>
    <s v="2003"/>
    <s v="AL-MD 364.057.07N"/>
  </r>
  <r>
    <s v="eGIS Link"/>
    <n v="249"/>
    <s v="NorthBound Visi-Data"/>
    <s v="836"/>
    <n v="2017"/>
    <n v="6"/>
    <x v="25"/>
    <s v="AL"/>
    <s v="AL-MD 807"/>
    <s v="0-2.67(N)"/>
    <s v="MD"/>
    <s v="807"/>
    <s v=""/>
    <n v="0"/>
    <n v="2.67"/>
    <s v="N"/>
    <s v="BEDFORD ST (BACK)"/>
    <s v="PEA VINE RUN RD"/>
    <n v="2"/>
    <n v="5.34"/>
    <s v="UNDIVIDED"/>
    <s v="URBAN"/>
    <s v="NON-IS"/>
    <n v="16"/>
    <s v="FCJ"/>
    <n v="112.69"/>
    <n v="125.41"/>
    <n v="99.9"/>
    <n v="99.9"/>
    <n v="99.9"/>
    <n v="0.16"/>
    <n v="44"/>
    <n v="128.86000000000001"/>
    <n v="128.86000000000001"/>
    <n v="97.9"/>
    <n v="96.7"/>
    <n v="98.3"/>
    <n v="0.16"/>
    <n v="44"/>
    <n v="87.51"/>
    <n v="87.51"/>
    <n v="100"/>
    <n v="100"/>
    <n v="100"/>
    <n v="0.14000000000000001"/>
    <n v="49"/>
    <x v="5"/>
    <m/>
    <s v="Preventive Maintenance"/>
    <n v="337538.1464755857"/>
    <n v="202354.8535244143"/>
    <n v="539893"/>
    <n v="15.5"/>
    <n v="48.9"/>
    <n v="50"/>
    <s v=""/>
    <s v=""/>
    <n v="15.5"/>
    <s v="D"/>
    <n v="24.2"/>
    <n v="50"/>
    <n v="50"/>
    <s v=""/>
    <s v=""/>
    <n v="24.2"/>
    <n v="8.6999999999999993"/>
    <n v="4"/>
    <n v="46.457999999999998"/>
    <n v="6.4879421131409734"/>
    <n v="34.645610884172797"/>
    <n v="15583.301498275503"/>
    <n v="101103.55805243446"/>
    <n v="8.6999999999999993"/>
    <n v="539893"/>
    <n v="539893"/>
    <n v="0"/>
    <s v=""/>
    <s v="2000"/>
    <s v="AL-MD 80702.67N"/>
  </r>
  <r>
    <s v="eGIS Link"/>
    <n v="255"/>
    <s v="EastBound Visi-Data"/>
    <s v="812"/>
    <n v="2017"/>
    <n v="6"/>
    <x v="25"/>
    <s v="AL"/>
    <s v="AL-MD 51"/>
    <s v="2.74-5.63(E)"/>
    <s v="MD"/>
    <s v="51"/>
    <s v=""/>
    <n v="2.74"/>
    <n v="5.63"/>
    <s v="E"/>
    <s v="STRUC #1044 EVITTS CREEK"/>
    <s v="UHL HWY"/>
    <n v="2"/>
    <n v="5.78"/>
    <s v="UNDIVIDED"/>
    <s v="URBAN"/>
    <s v="NON-IS"/>
    <n v="14"/>
    <s v="F"/>
    <n v="74.56"/>
    <n v="80.03"/>
    <n v="99.8"/>
    <n v="99.5"/>
    <n v="99.9"/>
    <n v="0.18"/>
    <n v="43"/>
    <n v="79.400000000000006"/>
    <n v="79.400000000000006"/>
    <n v="94.6"/>
    <n v="94.6"/>
    <n v="94.6"/>
    <n v="0.18"/>
    <n v="41"/>
    <n v="60.22"/>
    <n v="60.22"/>
    <n v="100"/>
    <n v="100"/>
    <n v="100"/>
    <n v="0.15"/>
    <n v="49"/>
    <x v="5"/>
    <m/>
    <s v="Preventive Maintenance"/>
    <n v="365349.92482049187"/>
    <n v="219028.07517950813"/>
    <n v="584378"/>
    <n v="50"/>
    <n v="37.6"/>
    <n v="28"/>
    <s v=""/>
    <s v=""/>
    <n v="28"/>
    <s v="C"/>
    <n v="50"/>
    <n v="42.2"/>
    <n v="33"/>
    <s v=""/>
    <s v=""/>
    <n v="33"/>
    <n v="5"/>
    <n v="4"/>
    <n v="46.24"/>
    <n v="5.9659237821985966"/>
    <n v="34.483039461107893"/>
    <n v="16946.823978759116"/>
    <n v="101103.46020761246"/>
    <n v="5.0999999999999996"/>
    <n v="584378"/>
    <n v="584378"/>
    <n v="0"/>
    <s v=""/>
    <s v="2012"/>
    <s v="AL-MD 512.745.63E"/>
  </r>
  <r>
    <s v="eGIS Link"/>
    <n v="212"/>
    <s v="NorthBound Visi-Data"/>
    <s v="72021"/>
    <n v="2017"/>
    <n v="6"/>
    <x v="4"/>
    <s v="WA"/>
    <s v="WA-CO 869"/>
    <s v="0-0.63(N)"/>
    <s v="CO"/>
    <s v="869"/>
    <s v=""/>
    <n v="0"/>
    <n v="0.63"/>
    <s v="N"/>
    <s v=""/>
    <s v=""/>
    <s v=""/>
    <n v="1.26"/>
    <s v=""/>
    <s v="RURAL"/>
    <s v="NON-IS"/>
    <n v="19"/>
    <s v=""/>
    <n v="69.709999999999994"/>
    <n v="68.819999999999993"/>
    <s v=""/>
    <s v=""/>
    <s v=""/>
    <n v="0.13"/>
    <s v=""/>
    <n v="46"/>
    <n v="46"/>
    <n v="94.35"/>
    <n v="87.9"/>
    <n v="96.5"/>
    <n v="0.12"/>
    <n v="49"/>
    <n v="48.54"/>
    <n v="48.54"/>
    <n v="93.775000000000006"/>
    <n v="89.2"/>
    <n v="95.3"/>
    <n v="0.12"/>
    <n v="47"/>
    <x v="0"/>
    <m/>
    <s v="Preventive Maintenance"/>
    <n v="13909.583044650932"/>
    <n v="9646.4169553490683"/>
    <n v="23556"/>
    <n v="41.7"/>
    <n v="15.6"/>
    <n v="21.4"/>
    <s v=""/>
    <s v=""/>
    <n v="15.6"/>
    <s v="D"/>
    <n v="41"/>
    <n v="17.600000000000001"/>
    <n v="21.4"/>
    <s v=""/>
    <s v=""/>
    <n v="17.600000000000001"/>
    <n v="2.0000000000000018"/>
    <n v="1"/>
    <n v="2.5200000000000022"/>
    <n v="1.4914809455496505"/>
    <n v="1.8792659913925596"/>
    <n v="12534.681150987419"/>
    <n v="18695.238095238095"/>
    <n v="2"/>
    <n v="23556"/>
    <n v="23556"/>
    <n v="0"/>
    <s v=""/>
    <s v=""/>
    <s v="WA-CO 86900.63N"/>
  </r>
  <r>
    <s v="eGIS Link"/>
    <n v="413"/>
    <s v="NorthBound Visi-Data"/>
    <s v="72961"/>
    <n v="2017"/>
    <n v="6"/>
    <x v="4"/>
    <s v="WA"/>
    <s v="WA-IS 68 RP8-74"/>
    <s v="0-0.12(N)"/>
    <s v="IS"/>
    <s v="68"/>
    <s v=""/>
    <n v="0"/>
    <n v="0.12"/>
    <s v="N"/>
    <s v=""/>
    <s v=""/>
    <s v=""/>
    <n v="0.24"/>
    <s v=""/>
    <s v="RURAL"/>
    <s v="IS"/>
    <n v="1"/>
    <s v=""/>
    <s v=""/>
    <s v=""/>
    <s v=""/>
    <s v=""/>
    <s v=""/>
    <s v=""/>
    <s v=""/>
    <n v="108.87"/>
    <n v="108.87"/>
    <n v="89.275000000000006"/>
    <n v="73.900000000000006"/>
    <n v="94.4"/>
    <n v="0.15"/>
    <n v="40"/>
    <n v="60.92"/>
    <n v="60.92"/>
    <n v="100"/>
    <n v="100"/>
    <n v="100"/>
    <n v="0.08"/>
    <n v="49"/>
    <x v="7"/>
    <m/>
    <s v="Minor Rehabilitation"/>
    <n v="883221.32246371708"/>
    <n v="612521.67753628292"/>
    <n v="1495743"/>
    <n v="15.3"/>
    <n v="0"/>
    <n v="15.3"/>
    <s v=""/>
    <s v=""/>
    <n v="0"/>
    <s v="F"/>
    <n v="37.6"/>
    <n v="20.6"/>
    <n v="28.7"/>
    <s v=""/>
    <s v=""/>
    <n v="20.6"/>
    <n v="20.6"/>
    <n v="6"/>
    <n v="4.944"/>
    <n v="15.362253739161387"/>
    <n v="3.686940897398733"/>
    <n v="405686.7309848388"/>
    <n v="6232262.5"/>
    <n v="20.6"/>
    <n v="1495743"/>
    <n v="1495743"/>
    <n v="0"/>
    <s v=""/>
    <s v=""/>
    <s v="WA-IS 68 RP8-7400.12N"/>
  </r>
  <r>
    <s v="eGIS Link"/>
    <n v="366"/>
    <s v="EastBound Visi-Data"/>
    <s v="72964"/>
    <n v="2017"/>
    <n v="6"/>
    <x v="4"/>
    <s v="WA"/>
    <s v="WA-IS 68 RP1-77"/>
    <s v="0-0.272(E)"/>
    <s v="IS"/>
    <s v="68"/>
    <s v=""/>
    <n v="0"/>
    <n v="0.27200000000000002"/>
    <s v="E"/>
    <s v=""/>
    <s v=""/>
    <s v=""/>
    <n v="0.54"/>
    <s v=""/>
    <s v="RURAL"/>
    <s v="IS"/>
    <n v="1"/>
    <s v=""/>
    <s v=""/>
    <s v=""/>
    <s v=""/>
    <s v=""/>
    <s v=""/>
    <s v=""/>
    <s v=""/>
    <n v="66.67"/>
    <n v="66.67"/>
    <n v="91.625"/>
    <n v="88.7"/>
    <n v="92.6"/>
    <n v="0.08"/>
    <n v="52"/>
    <n v="72.75"/>
    <n v="72.75"/>
    <n v="98.325000000000003"/>
    <n v="99.3"/>
    <n v="98"/>
    <n v="0.08"/>
    <n v="55"/>
    <x v="4"/>
    <m/>
    <s v="Preventive Maintenance"/>
    <n v="178151.43123426009"/>
    <n v="123549.56876573991"/>
    <n v="301701"/>
    <n v="23.4"/>
    <n v="25.2"/>
    <n v="13.6"/>
    <s v=""/>
    <s v=""/>
    <n v="13.6"/>
    <s v="D"/>
    <n v="24.2"/>
    <n v="31.8"/>
    <n v="17.100000000000001"/>
    <s v=""/>
    <s v=""/>
    <n v="17.100000000000001"/>
    <n v="4"/>
    <n v="4"/>
    <n v="4.32"/>
    <n v="5.9659237821985966"/>
    <n v="3.2215988423872424"/>
    <n v="93649.46250614991"/>
    <n v="558705.5555555555"/>
    <n v="3.5"/>
    <n v="301701"/>
    <n v="301701"/>
    <n v="0"/>
    <s v=""/>
    <s v=""/>
    <s v="WA-IS 68 RP1-7700.272E"/>
  </r>
  <r>
    <s v="eGIS Link"/>
    <n v="338"/>
    <s v="SouthBound Visi-Data"/>
    <s v="72021"/>
    <n v="2017"/>
    <n v="6"/>
    <x v="4"/>
    <s v="WA"/>
    <s v="WA-CO 869"/>
    <s v="0-0.63(S)"/>
    <s v="CO"/>
    <s v="869"/>
    <s v=""/>
    <n v="0"/>
    <n v="0.63"/>
    <s v="S"/>
    <s v=""/>
    <s v=""/>
    <s v=""/>
    <n v="1.26"/>
    <s v=""/>
    <s v="URBAN"/>
    <s v="NON-IS"/>
    <n v="19"/>
    <s v=""/>
    <s v=""/>
    <s v=""/>
    <s v=""/>
    <s v=""/>
    <s v=""/>
    <s v=""/>
    <s v=""/>
    <n v="45.01"/>
    <n v="45.01"/>
    <n v="96.45"/>
    <n v="96.3"/>
    <n v="96.5"/>
    <n v="0.13"/>
    <n v="45"/>
    <n v="42.89"/>
    <n v="42.89"/>
    <n v="100"/>
    <n v="100"/>
    <n v="100"/>
    <n v="0.11"/>
    <n v="49"/>
    <x v="5"/>
    <m/>
    <s v="Preventive Maintenance"/>
    <n v="212830.59502097327"/>
    <n v="127592.40497902673"/>
    <n v="340423"/>
    <n v="50"/>
    <n v="27.1"/>
    <n v="23.3"/>
    <s v=""/>
    <s v=""/>
    <n v="23.3"/>
    <s v="C"/>
    <n v="50"/>
    <n v="32.1"/>
    <n v="28.3"/>
    <s v=""/>
    <s v=""/>
    <n v="28.3"/>
    <n v="5"/>
    <n v="4"/>
    <n v="10.08"/>
    <n v="5.9659237821985966"/>
    <n v="7.517063965570232"/>
    <n v="45286.697247650212"/>
    <n v="270176.98412698414"/>
    <n v="5"/>
    <n v="340423"/>
    <n v="340423"/>
    <n v="0"/>
    <s v=""/>
    <s v=""/>
    <s v="WA-CO 86900.63S"/>
  </r>
  <r>
    <s v="eGIS Link"/>
    <n v="343"/>
    <s v="NorthBound Visi-Data"/>
    <s v="44525"/>
    <n v="2017"/>
    <n v="7"/>
    <x v="26"/>
    <s v="HO"/>
    <s v="HO-MD 216"/>
    <s v="3.95-4.75(N)"/>
    <s v="MD"/>
    <s v="216"/>
    <s v=""/>
    <n v="3.95"/>
    <n v="4.75"/>
    <s v="N"/>
    <s v="SWEET CHERRY LA"/>
    <s v="SPUR TO PARK &amp; RIDE"/>
    <n v="2"/>
    <n v="1.6"/>
    <s v="DIVIDED"/>
    <s v="URBAN"/>
    <s v="NON-IS"/>
    <n v="7"/>
    <s v="F"/>
    <n v="169.64"/>
    <n v="143.68"/>
    <n v="67"/>
    <n v="74.400000000000006"/>
    <n v="64.5"/>
    <n v="0.21"/>
    <n v="38"/>
    <n v="84.65"/>
    <n v="84.65"/>
    <n v="86.724999999999994"/>
    <n v="92.2"/>
    <n v="84.9"/>
    <n v="0.17"/>
    <n v="35"/>
    <n v="87.27"/>
    <n v="87.27"/>
    <n v="88.6"/>
    <n v="92.8"/>
    <n v="87.2"/>
    <n v="0.17"/>
    <n v="35"/>
    <x v="6"/>
    <m/>
    <s v="Preventive Maintenance"/>
    <n v="177062.61261670003"/>
    <n v="75565.387383299967"/>
    <n v="252628"/>
    <n v="28.5"/>
    <n v="32.799999999999997"/>
    <n v="25"/>
    <s v=""/>
    <s v=""/>
    <n v="25"/>
    <s v="C"/>
    <n v="28.3"/>
    <n v="34.200000000000003"/>
    <n v="28.7"/>
    <s v=""/>
    <s v=""/>
    <n v="28.3"/>
    <n v="3.3000000000000007"/>
    <n v="2"/>
    <n v="6.4"/>
    <n v="2.9829618910992983"/>
    <n v="4.7727390257588773"/>
    <n v="52931.450606568942"/>
    <n v="157892.5"/>
    <n v="3.3"/>
    <n v="252628"/>
    <n v="252628"/>
    <n v="0"/>
    <s v=""/>
    <s v="2001"/>
    <s v="HO-MD 2163.954.75N"/>
  </r>
  <r>
    <s v="eGIS Link"/>
    <n v="279"/>
    <s v="NorthBound Visi-Data"/>
    <s v="44525"/>
    <n v="2017"/>
    <n v="7"/>
    <x v="26"/>
    <s v="HO"/>
    <s v="HO-MD 216"/>
    <s v="4.75-6.84(N)"/>
    <s v="MD"/>
    <s v="216"/>
    <s v=""/>
    <n v="4.75"/>
    <n v="6.84"/>
    <s v="N"/>
    <s v="MURPHY RD"/>
    <s v="FULTON ESTATES CT"/>
    <n v="2.2000000000000002"/>
    <n v="4.5999999999999996"/>
    <s v="UNDIVIDED"/>
    <s v="URBAN"/>
    <s v="NON-IS"/>
    <n v="7"/>
    <s v="F"/>
    <n v="103.47"/>
    <n v="105.66"/>
    <n v="96.4"/>
    <n v="97"/>
    <n v="96.2"/>
    <n v="0.23"/>
    <n v="36"/>
    <n v="92.46"/>
    <n v="92.46"/>
    <n v="86.875"/>
    <n v="87.4"/>
    <n v="86.7"/>
    <n v="0.25"/>
    <n v="40"/>
    <n v="94.89"/>
    <n v="94.89"/>
    <n v="88.924999999999997"/>
    <n v="89.6"/>
    <n v="88.7"/>
    <n v="0.25"/>
    <n v="40"/>
    <x v="6"/>
    <m/>
    <s v="Preventive Maintenance"/>
    <n v="193888.00441205327"/>
    <n v="82745.995587946731"/>
    <n v="276634"/>
    <n v="29.7"/>
    <n v="27.8"/>
    <n v="27.1"/>
    <s v=""/>
    <s v=""/>
    <n v="27.1"/>
    <s v="C"/>
    <n v="29.5"/>
    <n v="31.6"/>
    <n v="30.5"/>
    <s v=""/>
    <s v=""/>
    <n v="29.5"/>
    <n v="2.3999999999999986"/>
    <n v="2"/>
    <n v="18.399999999999999"/>
    <n v="2.9829618910992983"/>
    <n v="13.721624699056772"/>
    <n v="20160.440623260591"/>
    <n v="60137.826086956527"/>
    <n v="2.4"/>
    <n v="276634"/>
    <n v="276634"/>
    <n v="0"/>
    <s v=""/>
    <s v="2002"/>
    <s v="HO-MD 2164.756.84N"/>
  </r>
  <r>
    <s v="eGIS Link"/>
    <n v="186"/>
    <s v="NorthBound Visi-Data"/>
    <s v="44967"/>
    <n v="2017"/>
    <n v="7"/>
    <x v="26"/>
    <s v="HO"/>
    <s v="HO-US 1"/>
    <s v="9.6-11.01(N)"/>
    <s v="US"/>
    <s v="1"/>
    <s v=""/>
    <n v="9.6"/>
    <n v="11.01"/>
    <s v="N"/>
    <s v="MONTGOMERY RD"/>
    <s v="BALTIMORE CO/L"/>
    <n v="3.6"/>
    <n v="5.07"/>
    <s v="UNDIVIDED"/>
    <s v="RURAL"/>
    <s v="NON-IS"/>
    <n v="14"/>
    <s v="FCJ"/>
    <n v="203.63"/>
    <n v="212.85"/>
    <n v="84.8"/>
    <n v="85.2"/>
    <n v="84.7"/>
    <n v="0.18"/>
    <n v="33"/>
    <n v="157.22999999999999"/>
    <n v="157.22999999999999"/>
    <n v="60.024999999999999"/>
    <n v="65.2"/>
    <n v="58.3"/>
    <n v="0.12"/>
    <n v="46"/>
    <n v="77.86"/>
    <n v="77.86"/>
    <n v="100"/>
    <n v="100"/>
    <n v="100"/>
    <n v="0.08"/>
    <n v="49"/>
    <x v="1"/>
    <m/>
    <s v="Minor Rehabilitation"/>
    <n v="654579.58155069395"/>
    <n v="296033.41844930605"/>
    <n v="950613"/>
    <n v="12.9"/>
    <n v="16.7"/>
    <n v="7.4"/>
    <s v=""/>
    <s v=""/>
    <n v="7.4"/>
    <s v="E"/>
    <n v="33.9"/>
    <n v="38.700000000000003"/>
    <n v="31.6"/>
    <s v=""/>
    <s v=""/>
    <n v="31.6"/>
    <n v="24.200000000000003"/>
    <n v="6"/>
    <n v="122.69400000000002"/>
    <n v="18.046919441150759"/>
    <n v="91.497881566634362"/>
    <n v="10389.453654265268"/>
    <n v="187497.63313609466"/>
    <n v="24.2"/>
    <n v="950613"/>
    <n v="950613"/>
    <n v="0"/>
    <s v="SKID_35"/>
    <s v="1994"/>
    <s v="HO-US 19.611.01N"/>
  </r>
  <r>
    <s v="eGIS Link"/>
    <n v="158"/>
    <s v="SouthBound Visi-Data"/>
    <s v="44967"/>
    <n v="2017"/>
    <n v="7"/>
    <x v="26"/>
    <s v="HO"/>
    <s v="HO-US 1"/>
    <s v="1.8-3.2(S)"/>
    <s v="US"/>
    <s v="1"/>
    <s v=""/>
    <n v="1.8"/>
    <n v="3.2"/>
    <s v="S"/>
    <s v="FREESTATE DR"/>
    <s v="RAMP 2 FR COLLECTOR A TO US 1"/>
    <n v="2.9"/>
    <n v="4.0599999999999996"/>
    <s v="DIVIDED"/>
    <s v="URBAN"/>
    <s v="NON-IS"/>
    <n v="14"/>
    <s v="F"/>
    <n v="171.57"/>
    <n v="85.57"/>
    <n v="88.5"/>
    <n v="91.3"/>
    <n v="87.6"/>
    <n v="0.2"/>
    <n v="45"/>
    <n v="144.19"/>
    <n v="144.19"/>
    <n v="75.075000000000003"/>
    <n v="62.1"/>
    <n v="79.400000000000006"/>
    <n v="0.22"/>
    <n v="38"/>
    <n v="57.47"/>
    <n v="57.47"/>
    <n v="100"/>
    <n v="100"/>
    <n v="100"/>
    <n v="0.12"/>
    <n v="49"/>
    <x v="2"/>
    <m/>
    <s v="Structural Overlay"/>
    <n v="587385.31929403986"/>
    <n v="250679.68070596014"/>
    <n v="838065"/>
    <n v="13"/>
    <n v="9.8000000000000007"/>
    <n v="40.700000000000003"/>
    <s v=""/>
    <s v=""/>
    <n v="9.8000000000000007"/>
    <s v="E"/>
    <n v="41.9"/>
    <n v="48.5"/>
    <n v="50"/>
    <s v=""/>
    <s v=""/>
    <n v="41.9"/>
    <n v="32.099999999999994"/>
    <n v="6"/>
    <n v="130.32599999999996"/>
    <n v="23.938269176071866"/>
    <n v="97.189372854851769"/>
    <n v="8623.010678869332"/>
    <n v="206419.95073891629"/>
    <n v="32.1"/>
    <n v="838065"/>
    <n v="838065"/>
    <n v="0"/>
    <s v=""/>
    <s v="2006"/>
    <s v="HO-US 11.83.2S"/>
  </r>
  <r>
    <s v="eGIS Link"/>
    <n v="323"/>
    <s v="SouthBound Visi-Data"/>
    <s v="44522"/>
    <n v="2017"/>
    <n v="7"/>
    <x v="26"/>
    <s v="HO"/>
    <s v="HO-MD 175"/>
    <s v="0-0.54(S)"/>
    <s v="MD"/>
    <s v="175"/>
    <s v=""/>
    <n v="0"/>
    <n v="0.54"/>
    <s v="S"/>
    <s v="ANNE ARUNDEL CO/L"/>
    <s v="OCEANO AVE"/>
    <n v="2.7"/>
    <n v="1.46"/>
    <s v="UNDIVIDED"/>
    <s v="RURAL"/>
    <s v="NON-IS"/>
    <n v="16"/>
    <s v="FCJ"/>
    <n v="110.03"/>
    <n v="114.31"/>
    <n v="93.5"/>
    <n v="76"/>
    <n v="99.3"/>
    <n v="0.17"/>
    <n v="32"/>
    <n v="172.1"/>
    <n v="172.1"/>
    <n v="73.275000000000006"/>
    <n v="88.8"/>
    <n v="68.099999999999994"/>
    <n v="0.14000000000000001"/>
    <n v="43"/>
    <n v="62.78"/>
    <n v="62.78"/>
    <n v="100"/>
    <n v="100"/>
    <n v="100"/>
    <n v="0.08"/>
    <n v="49"/>
    <x v="2"/>
    <m/>
    <s v="Structural Overlay"/>
    <n v="928229.49202414451"/>
    <n v="419791.50797585549"/>
    <n v="1348021"/>
    <n v="14.8"/>
    <n v="50"/>
    <n v="26.6"/>
    <s v=""/>
    <s v=""/>
    <n v="14.8"/>
    <s v="D"/>
    <n v="50"/>
    <n v="50"/>
    <n v="50"/>
    <s v=""/>
    <s v=""/>
    <n v="50"/>
    <n v="35.200000000000003"/>
    <n v="6"/>
    <n v="51.392000000000003"/>
    <n v="26.250064641673827"/>
    <n v="38.325094376843786"/>
    <n v="35173.324995501665"/>
    <n v="923302.05479452061"/>
    <n v="45.2"/>
    <n v="1348021"/>
    <n v="1348021"/>
    <n v="0"/>
    <s v=""/>
    <s v="2002"/>
    <s v="HO-MD 17500.54S"/>
  </r>
  <r>
    <s v="eGIS Link"/>
    <n v="216"/>
    <s v="NorthBound Visi-Data"/>
    <s v="44522"/>
    <n v="2017"/>
    <n v="7"/>
    <x v="26"/>
    <s v="HO"/>
    <s v="HO-MD 175"/>
    <s v="3.25-4.15(N)"/>
    <s v="MD"/>
    <s v="175"/>
    <s v=""/>
    <n v="3.25"/>
    <n v="4.1500000000000004"/>
    <s v="N"/>
    <s v="SPUR TO SNOWDEN RIVER PKWY"/>
    <s v="SPUR TO SNOWDEN RIVER PKWY"/>
    <n v="3.3"/>
    <n v="2.97"/>
    <s v="DIVIDED"/>
    <s v="RURAL"/>
    <s v="NON-IS"/>
    <n v="12"/>
    <s v="F"/>
    <n v="93.45"/>
    <n v="85.79"/>
    <n v="91.9"/>
    <n v="71.5"/>
    <n v="98.6"/>
    <n v="0.2"/>
    <n v="41"/>
    <n v="206.45"/>
    <n v="206.45"/>
    <n v="86.1"/>
    <n v="87.6"/>
    <n v="85.6"/>
    <n v="0.18"/>
    <n v="56"/>
    <n v="70.099999999999994"/>
    <n v="70.099999999999994"/>
    <n v="100"/>
    <n v="100"/>
    <n v="100"/>
    <n v="0.08"/>
    <n v="49"/>
    <x v="2"/>
    <m/>
    <s v="Structural Overlay"/>
    <n v="739816.98949886451"/>
    <n v="334582.01050113549"/>
    <n v="1074399"/>
    <n v="11.7"/>
    <n v="50"/>
    <n v="46.9"/>
    <s v=""/>
    <s v=""/>
    <n v="11.7"/>
    <s v="D"/>
    <n v="50"/>
    <n v="50"/>
    <n v="50"/>
    <s v=""/>
    <s v=""/>
    <n v="50"/>
    <n v="38.299999999999997"/>
    <n v="6"/>
    <n v="113.751"/>
    <n v="28.561860107275777"/>
    <n v="84.828724518609064"/>
    <n v="12665.509308280436"/>
    <n v="361750.50505050505"/>
    <n v="48.2"/>
    <n v="1074399"/>
    <n v="1074399"/>
    <n v="0"/>
    <s v=""/>
    <s v="2001"/>
    <s v="HO-MD 1753.254.15N"/>
  </r>
  <r>
    <s v="eGIS Link"/>
    <n v="203"/>
    <s v="NorthBound Visi-Data"/>
    <s v="44970"/>
    <n v="2017"/>
    <n v="7"/>
    <x v="26"/>
    <s v="HO"/>
    <s v="HO-US 29"/>
    <s v="4.7-5.65(N)"/>
    <s v="US"/>
    <s v="29"/>
    <s v=""/>
    <n v="4.7"/>
    <n v="5.65"/>
    <s v="N"/>
    <s v="EXIT # 17"/>
    <s v="RAMP 1 FR US 29 TO CO 1161"/>
    <n v="3.2"/>
    <n v="3.04"/>
    <s v="DIVIDED"/>
    <s v="URBAN"/>
    <s v="NON-IS"/>
    <n v="12"/>
    <s v="F"/>
    <n v="135.58000000000001"/>
    <n v="122.35"/>
    <n v="92"/>
    <n v="76.5"/>
    <n v="97.2"/>
    <n v="0.13"/>
    <n v="47"/>
    <n v="82.84"/>
    <n v="82.84"/>
    <n v="83.75"/>
    <n v="90.8"/>
    <n v="81.400000000000006"/>
    <n v="0.16"/>
    <n v="42"/>
    <n v="62.64"/>
    <n v="62.64"/>
    <n v="100"/>
    <n v="100"/>
    <n v="100"/>
    <n v="0.14000000000000001"/>
    <n v="49"/>
    <x v="5"/>
    <m/>
    <s v="Preventive Maintenance"/>
    <n v="148882.21905193423"/>
    <n v="63538.780948065774"/>
    <n v="212421"/>
    <n v="28.4"/>
    <n v="50"/>
    <n v="50"/>
    <s v=""/>
    <s v=""/>
    <n v="28.4"/>
    <s v="C"/>
    <n v="33.799999999999997"/>
    <n v="50"/>
    <n v="50"/>
    <s v=""/>
    <s v=""/>
    <n v="33.799999999999997"/>
    <n v="5.3999999999999986"/>
    <n v="4"/>
    <n v="24.32"/>
    <n v="5.9659237821985966"/>
    <n v="18.136408297883733"/>
    <n v="11712.407247954745"/>
    <n v="69875.328947368427"/>
    <n v="5.4"/>
    <n v="212421"/>
    <n v="212421"/>
    <n v="0"/>
    <s v=""/>
    <s v="1992"/>
    <s v="HO-US 294.75.65N"/>
  </r>
  <r>
    <s v="eGIS Link"/>
    <n v="185"/>
    <s v="NorthBound Visi-Data"/>
    <s v="44498"/>
    <n v="2017"/>
    <n v="7"/>
    <x v="26"/>
    <s v="HO"/>
    <s v="HO-MD 27"/>
    <s v="0-1.26(N)"/>
    <s v="MD"/>
    <s v="27"/>
    <s v=""/>
    <n v="0"/>
    <n v="1.26"/>
    <s v="N"/>
    <s v="MONTGOMERY CO/L"/>
    <s v="FREDERICK CO/L"/>
    <n v="2"/>
    <n v="2.52"/>
    <s v="UNDIVIDED"/>
    <s v="RURAL"/>
    <s v="NON-IS"/>
    <n v="6"/>
    <s v="F"/>
    <n v="141.53"/>
    <n v="142.26"/>
    <n v="82.9"/>
    <n v="85.3"/>
    <n v="82.1"/>
    <n v="0.18"/>
    <n v="45"/>
    <n v="139.16999999999999"/>
    <n v="139.16999999999999"/>
    <n v="79.125"/>
    <n v="83.1"/>
    <n v="77.8"/>
    <n v="0.22"/>
    <n v="40"/>
    <n v="91.89"/>
    <n v="91.89"/>
    <n v="100"/>
    <n v="100"/>
    <n v="100"/>
    <n v="0.19"/>
    <n v="49"/>
    <x v="5"/>
    <m/>
    <s v="Preventive Maintenance"/>
    <n v="189535.58762669264"/>
    <n v="85717.412373307365"/>
    <n v="275253"/>
    <n v="22.5"/>
    <n v="50"/>
    <n v="38.799999999999997"/>
    <s v=""/>
    <s v=""/>
    <n v="22.5"/>
    <s v="C"/>
    <n v="36.9"/>
    <n v="50"/>
    <n v="50"/>
    <s v=""/>
    <s v=""/>
    <n v="36.9"/>
    <n v="14.399999999999999"/>
    <n v="4"/>
    <n v="36.287999999999997"/>
    <n v="10.738662807957473"/>
    <n v="27.061430276052832"/>
    <n v="10171.413602021492"/>
    <n v="109227.38095238095"/>
    <n v="14.4"/>
    <n v="275253"/>
    <n v="275253"/>
    <n v="0"/>
    <s v=""/>
    <s v="1979"/>
    <s v="HO-MD 2701.26N"/>
  </r>
  <r>
    <s v="eGIS Link"/>
    <n v="422"/>
    <s v="SouthBound Visi-Data"/>
    <s v="44531"/>
    <n v="2017"/>
    <n v="7"/>
    <x v="26"/>
    <s v="HO"/>
    <s v="HO-MD 216J"/>
    <s v="0-0.032(S)"/>
    <s v="MD"/>
    <s v="216"/>
    <s v="J"/>
    <n v="0"/>
    <n v="3.2000000000000001E-2"/>
    <s v="S"/>
    <s v=""/>
    <s v=""/>
    <n v="2"/>
    <n v="0.06"/>
    <s v="DIVIDED"/>
    <s v="RURAL"/>
    <s v="NON-IS"/>
    <n v="9"/>
    <s v=""/>
    <s v=""/>
    <s v=""/>
    <s v=""/>
    <s v=""/>
    <s v=""/>
    <s v=""/>
    <s v=""/>
    <n v="105.89"/>
    <n v="105.89"/>
    <n v="91.575000000000003"/>
    <n v="92.4"/>
    <n v="91.3"/>
    <n v="0.23"/>
    <n v="36"/>
    <n v="74.23"/>
    <n v="74.23"/>
    <n v="100"/>
    <n v="100"/>
    <n v="100"/>
    <n v="0.2"/>
    <n v="49"/>
    <x v="5"/>
    <m/>
    <s v="Preventive Maintenance"/>
    <n v="342027.27016405587"/>
    <n v="154681.72983594413"/>
    <n v="496709"/>
    <n v="32.5"/>
    <n v="50"/>
    <n v="50"/>
    <s v=""/>
    <s v=""/>
    <n v="32.5"/>
    <s v="B"/>
    <n v="44.3"/>
    <n v="50"/>
    <n v="50"/>
    <s v=""/>
    <s v=""/>
    <n v="44.3"/>
    <n v="11.799999999999997"/>
    <n v="4"/>
    <n v="0.70799999999999985"/>
    <n v="8.7997375787429277"/>
    <n v="0.52798425472457566"/>
    <n v="940764.79659248458"/>
    <n v="8278483.333333334"/>
    <n v="11.8"/>
    <n v="496709"/>
    <n v="496709"/>
    <n v="0"/>
    <s v=""/>
    <s v=""/>
    <s v="HO-MD 216J00.032S"/>
  </r>
  <r>
    <s v="eGIS Link"/>
    <n v="97"/>
    <s v="EastBound Visi-Data"/>
    <s v="44503"/>
    <n v="2017"/>
    <n v="7"/>
    <x v="26"/>
    <s v="HO"/>
    <s v="HO-MD 99"/>
    <s v="0-2.32(E)"/>
    <s v="MD"/>
    <s v="99"/>
    <s v=""/>
    <n v="0"/>
    <n v="2.3199999999999998"/>
    <s v="E"/>
    <s v="OLD FREDERICK RD (BACK)"/>
    <s v="MARIOTT MANOR FARM RD"/>
    <n v="2.1"/>
    <n v="4.87"/>
    <s v="UNDIVIDED"/>
    <s v="RURAL"/>
    <s v="NON-IS"/>
    <n v="7"/>
    <s v="FCJ"/>
    <n v="148.07"/>
    <n v="152.97"/>
    <n v="65.900000000000006"/>
    <n v="71"/>
    <n v="64.3"/>
    <n v="0.12"/>
    <n v="46"/>
    <n v="105.65"/>
    <n v="105.65"/>
    <n v="84.075000000000003"/>
    <n v="79.8"/>
    <n v="85.5"/>
    <n v="0.16"/>
    <n v="37"/>
    <n v="74.099999999999994"/>
    <n v="74.099999999999994"/>
    <n v="100"/>
    <n v="100"/>
    <n v="100"/>
    <n v="0.14000000000000001"/>
    <n v="49"/>
    <x v="5"/>
    <m/>
    <s v="Preventive Maintenance"/>
    <n v="163649.54334870019"/>
    <n v="74010.456651299814"/>
    <n v="237660"/>
    <n v="32.6"/>
    <n v="50"/>
    <n v="46.8"/>
    <s v=""/>
    <s v=""/>
    <n v="32.6"/>
    <s v="B"/>
    <n v="44.4"/>
    <n v="50"/>
    <n v="50"/>
    <s v=""/>
    <s v=""/>
    <n v="44.4"/>
    <n v="11.799999999999997"/>
    <n v="4"/>
    <n v="57.465999999999987"/>
    <n v="8.7997375787429277"/>
    <n v="42.854722008478056"/>
    <n v="5545.7132577591601"/>
    <n v="48800.821355236141"/>
    <n v="11.8"/>
    <n v="237660"/>
    <n v="237660"/>
    <n v="0"/>
    <s v=""/>
    <s v="2000"/>
    <s v="HO-MD 9902.32E"/>
  </r>
  <r>
    <s v="eGIS Link"/>
    <n v="227"/>
    <s v="NorthBound Visi-Data"/>
    <s v="44525"/>
    <n v="2017"/>
    <n v="7"/>
    <x v="26"/>
    <s v="HO"/>
    <s v="HO-MD 216"/>
    <s v="0-0.88(N)"/>
    <s v="MD"/>
    <s v="216"/>
    <s v=""/>
    <n v="0"/>
    <n v="0.88"/>
    <s v="N"/>
    <s v="STRUC #13044 PATUXENT RIVER"/>
    <s v="SPEED LIMIT 55 MPH"/>
    <n v="2.5"/>
    <n v="2.2000000000000002"/>
    <s v="DIVIDED"/>
    <s v="URBAN"/>
    <s v="NON-IS"/>
    <n v="16"/>
    <s v="F"/>
    <n v="140.31"/>
    <n v="120.54"/>
    <n v="84.3"/>
    <n v="92.6"/>
    <n v="81.5"/>
    <n v="0.22"/>
    <n v="30"/>
    <n v="115.3"/>
    <n v="115.3"/>
    <n v="79.55"/>
    <n v="79.099999999999994"/>
    <n v="79.7"/>
    <n v="0.21"/>
    <n v="36"/>
    <n v="80.180000000000007"/>
    <n v="80.180000000000007"/>
    <n v="100"/>
    <n v="100"/>
    <n v="100"/>
    <n v="0.18"/>
    <n v="49"/>
    <x v="5"/>
    <m/>
    <s v="Preventive Maintenance"/>
    <n v="121486.11330767162"/>
    <n v="51846.886692328379"/>
    <n v="173333"/>
    <n v="18.100000000000001"/>
    <n v="35"/>
    <n v="41.3"/>
    <s v=""/>
    <s v=""/>
    <n v="18.100000000000001"/>
    <s v="D"/>
    <n v="26.2"/>
    <n v="48.5"/>
    <n v="50"/>
    <s v=""/>
    <s v=""/>
    <n v="26.2"/>
    <n v="8.0999999999999979"/>
    <n v="4"/>
    <n v="17.819999999999997"/>
    <n v="6.0404978294760774"/>
    <n v="13.289095224847371"/>
    <n v="13043.250655312449"/>
    <n v="78787.727272727265"/>
    <n v="8.1"/>
    <n v="173333"/>
    <n v="173333"/>
    <n v="0"/>
    <s v="SKID_30"/>
    <s v="2001"/>
    <s v="HO-MD 21600.88N"/>
  </r>
  <r>
    <s v="eGIS Link"/>
    <n v="81"/>
    <s v="West Bound Visi-Data"/>
    <s v="44503"/>
    <n v="2017"/>
    <n v="7"/>
    <x v="26"/>
    <s v="HO"/>
    <s v="HO-MD 99"/>
    <s v="0-2.32(W)"/>
    <s v="MD"/>
    <s v="99"/>
    <s v=""/>
    <n v="0"/>
    <n v="2.3199999999999998"/>
    <s v="W"/>
    <s v="OLD FREDERICK RD (BACK)"/>
    <s v="MARIOTT MANOR FARM RD"/>
    <n v="2.1"/>
    <n v="4.87"/>
    <s v="UNDIVIDED"/>
    <s v="RURAL"/>
    <s v="NON-IS"/>
    <n v="7"/>
    <s v="FCJ"/>
    <n v="148.84"/>
    <n v="159.5"/>
    <n v="76.599999999999994"/>
    <n v="81.7"/>
    <n v="74.900000000000006"/>
    <n v="0.15"/>
    <n v="43"/>
    <n v="112.36"/>
    <n v="112.36"/>
    <n v="85.724999999999994"/>
    <n v="86.1"/>
    <n v="85.6"/>
    <n v="0.17"/>
    <n v="41"/>
    <n v="77.63"/>
    <n v="77.63"/>
    <n v="100"/>
    <n v="100"/>
    <n v="100"/>
    <n v="0.14000000000000001"/>
    <n v="49"/>
    <x v="5"/>
    <m/>
    <s v="Preventive Maintenance"/>
    <n v="148772.62512919054"/>
    <n v="67282.374870809464"/>
    <n v="216055"/>
    <n v="30.3"/>
    <n v="50"/>
    <n v="46.9"/>
    <s v=""/>
    <s v=""/>
    <n v="30.3"/>
    <s v="B"/>
    <n v="42.7"/>
    <n v="50"/>
    <n v="50"/>
    <s v=""/>
    <s v=""/>
    <n v="42.7"/>
    <n v="12.400000000000002"/>
    <n v="4"/>
    <n v="60.388000000000012"/>
    <n v="9.2471818624078264"/>
    <n v="45.033775669926115"/>
    <n v="4797.6212695015738"/>
    <n v="44364.476386036957"/>
    <n v="12.4"/>
    <n v="216055"/>
    <n v="216055"/>
    <n v="0"/>
    <s v=""/>
    <s v="2000"/>
    <s v="HO-MD 9902.32W"/>
  </r>
  <r>
    <s v="eGIS Link"/>
    <n v="92"/>
    <s v="NorthBound Visi-Data"/>
    <s v="44522"/>
    <n v="2017"/>
    <n v="7"/>
    <x v="26"/>
    <s v="HO"/>
    <s v="HO-MD 175"/>
    <s v="2.3-3.25(N)"/>
    <s v="MD"/>
    <s v="175"/>
    <s v=""/>
    <n v="2.2999999999999998"/>
    <n v="3.25"/>
    <s v="N"/>
    <s v="RAMP 8 FR IS 95 TO MD 175"/>
    <s v="STRUC #13092"/>
    <n v="4.2"/>
    <n v="3.99"/>
    <s v="DIVIDED"/>
    <s v="RURAL"/>
    <s v="NON-IS"/>
    <n v="12"/>
    <s v="F"/>
    <n v="77.87"/>
    <n v="72.06"/>
    <n v="97.9"/>
    <n v="94.3"/>
    <n v="99.1"/>
    <n v="0.2"/>
    <n v="32"/>
    <n v="116.27"/>
    <n v="116.27"/>
    <n v="95.174999999999997"/>
    <n v="96.3"/>
    <n v="94.8"/>
    <n v="0.21"/>
    <n v="44"/>
    <n v="79.61"/>
    <n v="79.61"/>
    <n v="100"/>
    <n v="100"/>
    <n v="100"/>
    <n v="0.18"/>
    <n v="49"/>
    <x v="5"/>
    <m/>
    <s v="Preventive Maintenance"/>
    <n v="128132.23523658223"/>
    <n v="57947.76476341777"/>
    <n v="186080"/>
    <n v="32.799999999999997"/>
    <n v="50"/>
    <n v="50"/>
    <s v=""/>
    <s v=""/>
    <n v="32.799999999999997"/>
    <s v="B"/>
    <n v="44.5"/>
    <n v="50"/>
    <n v="50"/>
    <s v=""/>
    <s v=""/>
    <n v="44.5"/>
    <n v="11.700000000000003"/>
    <n v="4"/>
    <n v="46.683000000000014"/>
    <n v="8.7251635314654497"/>
    <n v="34.813402490547148"/>
    <n v="5345.0678959210072"/>
    <n v="46636.591478696741"/>
    <n v="11.6"/>
    <n v="186080"/>
    <n v="186080"/>
    <n v="0"/>
    <s v="SKID_35"/>
    <s v="1994"/>
    <s v="HO-MD 1752.33.25N"/>
  </r>
  <r>
    <s v="eGIS Link"/>
    <n v="250"/>
    <s v="SouthBound Visi-Data"/>
    <s v="44970"/>
    <n v="2017"/>
    <n v="7"/>
    <x v="26"/>
    <s v="HO"/>
    <s v="HO-US 29"/>
    <s v="8.45-9.75(S)"/>
    <s v="US"/>
    <s v="29"/>
    <s v=""/>
    <n v="8.4499999999999993"/>
    <n v="9.75"/>
    <s v="S"/>
    <s v="RAMP 4 FR US 29 TO MD 108"/>
    <s v="RAMP 4 FR US 29 TO MD 100"/>
    <n v="3.3"/>
    <n v="4.29"/>
    <s v="DIVIDED"/>
    <s v="URBAN"/>
    <s v="NON-IS"/>
    <n v="12"/>
    <s v="FCJ"/>
    <n v="59.8"/>
    <n v="55.96"/>
    <n v="98.6"/>
    <n v="95.4"/>
    <n v="99.7"/>
    <n v="0.14000000000000001"/>
    <n v="46"/>
    <n v="146.08000000000001"/>
    <n v="146.08000000000001"/>
    <n v="78.724999999999994"/>
    <n v="79.400000000000006"/>
    <n v="78.5"/>
    <n v="0.17"/>
    <n v="43"/>
    <n v="97.49"/>
    <n v="97.49"/>
    <n v="100"/>
    <n v="100"/>
    <n v="100"/>
    <n v="0.14000000000000001"/>
    <n v="49"/>
    <x v="5"/>
    <m/>
    <s v="Preventive Maintenance"/>
    <n v="282325.39242911874"/>
    <n v="120488.60757088126"/>
    <n v="402814"/>
    <n v="9.5"/>
    <n v="34.1"/>
    <n v="34.6"/>
    <s v=""/>
    <s v=""/>
    <n v="9.5"/>
    <s v="E"/>
    <n v="16.899999999999999"/>
    <n v="47.1"/>
    <n v="50"/>
    <s v=""/>
    <s v=""/>
    <n v="16.899999999999999"/>
    <n v="7.3999999999999986"/>
    <n v="4"/>
    <n v="34.32"/>
    <n v="5.9659237821985966"/>
    <n v="25.593813025631981"/>
    <n v="15738.725589523738"/>
    <n v="93896.037296037292"/>
    <n v="7.4"/>
    <n v="402814"/>
    <n v="402814"/>
    <n v="0"/>
    <s v=""/>
    <s v="2002"/>
    <s v="HO-US 298.459.75S"/>
  </r>
  <r>
    <s v="eGIS Link"/>
    <n v="246"/>
    <s v="NorthBound Visi-Data"/>
    <s v="44547"/>
    <n v="2017"/>
    <n v="7"/>
    <x v="26"/>
    <s v="HO"/>
    <s v="HO-MD 983A"/>
    <s v="0-0.71(N)"/>
    <s v="MD"/>
    <s v="983"/>
    <s v="A"/>
    <n v="0"/>
    <n v="0.71"/>
    <s v="N"/>
    <s v="CUL DE SAC"/>
    <s v="LEISHEAR RD"/>
    <n v="2.1"/>
    <n v="1.49"/>
    <s v="UNDIVIDED"/>
    <s v="RURAL"/>
    <s v="NON-IS"/>
    <n v="19"/>
    <s v="F"/>
    <s v=""/>
    <s v=""/>
    <s v=""/>
    <s v=""/>
    <s v=""/>
    <s v=""/>
    <s v=""/>
    <n v="111.49"/>
    <n v="111.49"/>
    <n v="83.65"/>
    <n v="85"/>
    <n v="83.2"/>
    <n v="0.14000000000000001"/>
    <n v="38"/>
    <n v="77.180000000000007"/>
    <n v="77.180000000000007"/>
    <n v="100"/>
    <n v="100"/>
    <n v="100"/>
    <n v="0.12"/>
    <n v="49"/>
    <x v="5"/>
    <m/>
    <s v="Preventive Maintenance"/>
    <n v="141333.8217260263"/>
    <n v="63918.178273973695"/>
    <n v="205252"/>
    <n v="30.6"/>
    <n v="50"/>
    <n v="44.6"/>
    <s v=""/>
    <s v=""/>
    <n v="30.6"/>
    <s v="B"/>
    <n v="42.9"/>
    <n v="50"/>
    <n v="50"/>
    <s v=""/>
    <s v=""/>
    <n v="42.9"/>
    <n v="12.299999999999997"/>
    <n v="4"/>
    <n v="18.326999999999995"/>
    <n v="9.1726078151303412"/>
    <n v="13.667185644544208"/>
    <n v="15017.86873597743"/>
    <n v="137753.02013422819"/>
    <n v="12.3"/>
    <n v="205252"/>
    <n v="205252"/>
    <n v="0"/>
    <s v=""/>
    <s v="2004"/>
    <s v="HO-MD 983A00.71N"/>
  </r>
  <r>
    <s v="eGIS Link"/>
    <n v="427"/>
    <s v="NorthBound Visi-Data"/>
    <s v="34840"/>
    <n v="2017"/>
    <n v="7"/>
    <x v="27"/>
    <s v="FR"/>
    <s v="FR-US 15 RP1-29"/>
    <s v="0-0.23(N)"/>
    <s v="US"/>
    <s v="15"/>
    <s v=""/>
    <n v="0"/>
    <n v="0.23"/>
    <s v="N"/>
    <s v=""/>
    <s v=""/>
    <n v="1"/>
    <n v="0.23"/>
    <s v="UNDIVIDED"/>
    <s v="URBAN"/>
    <s v="NON-IS"/>
    <n v="12"/>
    <s v=""/>
    <s v=""/>
    <s v=""/>
    <s v=""/>
    <s v=""/>
    <s v=""/>
    <s v=""/>
    <s v=""/>
    <n v="83.77"/>
    <n v="83.77"/>
    <n v="88.625"/>
    <n v="88.7"/>
    <n v="88.6"/>
    <n v="0.19"/>
    <n v="46"/>
    <n v="84.22"/>
    <n v="84.22"/>
    <n v="90.25"/>
    <n v="90.4"/>
    <n v="90.2"/>
    <n v="0.19"/>
    <n v="46"/>
    <x v="6"/>
    <m/>
    <s v="Preventive Maintenance"/>
    <n v="573651.52140059881"/>
    <n v="244818.47859940119"/>
    <n v="818470"/>
    <s v=""/>
    <n v="29.6"/>
    <n v="29.4"/>
    <s v=""/>
    <s v=""/>
    <n v="29.4"/>
    <s v="C"/>
    <s v=""/>
    <n v="32.299999999999997"/>
    <n v="32.4"/>
    <s v=""/>
    <s v=""/>
    <n v="32.299999999999997"/>
    <n v="2.8999999999999986"/>
    <n v="2"/>
    <n v="0.92"/>
    <n v="2.9829618910992983"/>
    <n v="0.68608123495283868"/>
    <n v="1192963.6875380534"/>
    <n v="3558565.2173913042"/>
    <n v="2.9"/>
    <n v="818470"/>
    <n v="818470"/>
    <n v="0"/>
    <s v=""/>
    <s v=""/>
    <s v="FR-US 15 RP1-2900.23N"/>
  </r>
  <r>
    <s v="eGIS Link"/>
    <n v="263"/>
    <s v="SouthBound Visi-Data"/>
    <s v="34996"/>
    <n v="2017"/>
    <n v="7"/>
    <x v="27"/>
    <s v="FR"/>
    <s v="FR-US 15"/>
    <s v="16.6-22.74(S)"/>
    <s v="US"/>
    <s v="15"/>
    <s v=""/>
    <n v="16.600000000000001"/>
    <n v="22.74"/>
    <s v="S"/>
    <s v="ATR STATION #0030"/>
    <s v="ANGLEBERGER RD"/>
    <n v="2.4"/>
    <n v="14.73"/>
    <s v="DIVIDED"/>
    <s v="URBAN"/>
    <s v="NON-IS"/>
    <n v="2"/>
    <s v="F"/>
    <n v="52.67"/>
    <n v="58.75"/>
    <n v="99.8"/>
    <n v="99.2"/>
    <n v="100"/>
    <n v="0.11"/>
    <n v="41"/>
    <n v="56.5"/>
    <n v="56.5"/>
    <n v="89.474999999999994"/>
    <n v="91.2"/>
    <n v="88.9"/>
    <n v="0.12"/>
    <n v="54"/>
    <n v="57.1"/>
    <n v="57.1"/>
    <n v="90.974999999999994"/>
    <n v="92.4"/>
    <n v="90.5"/>
    <n v="0.12"/>
    <n v="54"/>
    <x v="6"/>
    <m/>
    <s v="Preventive Maintenance"/>
    <n v="561900.52086569532"/>
    <n v="239803.47913430468"/>
    <n v="801704"/>
    <s v=""/>
    <n v="41"/>
    <n v="33.5"/>
    <s v=""/>
    <s v=""/>
    <n v="33.5"/>
    <s v="B"/>
    <s v=""/>
    <n v="43.7"/>
    <n v="36.700000000000003"/>
    <s v=""/>
    <s v=""/>
    <n v="36.700000000000003"/>
    <n v="3.2000000000000028"/>
    <n v="2"/>
    <n v="58.92"/>
    <n v="2.9829618910992983"/>
    <n v="43.939028655892663"/>
    <n v="18245.828925316571"/>
    <n v="54426.612355736594"/>
    <n v="3.2"/>
    <n v="801704"/>
    <n v="801704"/>
    <n v="0"/>
    <s v=""/>
    <s v="2009"/>
    <s v="FR-US 1516.622.74S"/>
  </r>
  <r>
    <s v="eGIS Link"/>
    <n v="409"/>
    <s v="West Bound Visi-Data"/>
    <s v="34463"/>
    <n v="2017"/>
    <n v="7"/>
    <x v="27"/>
    <s v="FR"/>
    <s v="FR-MD 28"/>
    <s v="4.73-4.78(W)"/>
    <s v="MD"/>
    <s v="28"/>
    <s v=""/>
    <n v="4.7300000000000004"/>
    <n v="4.78"/>
    <s v="W"/>
    <s v="BUCKEYSTOWN PIKE"/>
    <s v="SPEED LIMIT 50 MPH"/>
    <n v="3"/>
    <n v="0.15"/>
    <s v="UNDIVIDED"/>
    <s v="URBAN"/>
    <s v="NON-IS"/>
    <n v="6"/>
    <s v="F"/>
    <n v="233.37"/>
    <n v="174.33"/>
    <s v=""/>
    <s v=""/>
    <s v=""/>
    <n v="0.19"/>
    <n v="52"/>
    <n v="89.07"/>
    <n v="89.07"/>
    <n v="83.775000000000006"/>
    <n v="87.6"/>
    <n v="82.5"/>
    <n v="0.21"/>
    <n v="47"/>
    <n v="91.84"/>
    <n v="91.84"/>
    <n v="86.325000000000003"/>
    <n v="89.7"/>
    <n v="85.2"/>
    <n v="0.21"/>
    <n v="47"/>
    <x v="6"/>
    <m/>
    <s v="Preventive Maintenance"/>
    <n v="115264.37695145438"/>
    <n v="49191.623048545618"/>
    <n v="164456"/>
    <n v="25.9"/>
    <n v="28.1"/>
    <n v="22.5"/>
    <s v=""/>
    <s v=""/>
    <n v="22.5"/>
    <s v="C"/>
    <n v="25.8"/>
    <n v="31.7"/>
    <n v="26.4"/>
    <s v=""/>
    <s v=""/>
    <n v="25.8"/>
    <n v="3.3000000000000007"/>
    <n v="2"/>
    <n v="0.6"/>
    <n v="2.9829618910992983"/>
    <n v="0.44744428366489475"/>
    <n v="367545.20284176059"/>
    <n v="1096373.3333333335"/>
    <n v="3.3"/>
    <n v="164456"/>
    <n v="164456"/>
    <n v="0"/>
    <s v=""/>
    <s v="1988"/>
    <s v="FR-MD 284.734.78W"/>
  </r>
  <r>
    <s v="eGIS Link"/>
    <n v="397"/>
    <s v="NorthBound Visi-Data"/>
    <s v="34506"/>
    <n v="2017"/>
    <n v="7"/>
    <x v="27"/>
    <s v="FR"/>
    <s v="FR-MD 874D"/>
    <s v="0-0.08(N)"/>
    <s v="MD"/>
    <s v="874"/>
    <s v="D"/>
    <n v="0"/>
    <n v="0.08"/>
    <s v="N"/>
    <s v="EIGHTH ALLEY (BACK)"/>
    <s v="OUT CORP LMTS NEW MARKET"/>
    <n v="2"/>
    <n v="0.16"/>
    <s v="UNDIVIDED"/>
    <s v="URBAN"/>
    <s v="NON-IS"/>
    <n v="19"/>
    <s v="F"/>
    <s v=""/>
    <s v=""/>
    <s v=""/>
    <s v=""/>
    <s v=""/>
    <s v=""/>
    <s v=""/>
    <n v="213.29"/>
    <n v="213.29"/>
    <n v="88.525000000000006"/>
    <n v="87.1"/>
    <n v="89"/>
    <n v="0.25"/>
    <n v="60"/>
    <n v="103.97"/>
    <n v="103.97"/>
    <n v="87.825000000000003"/>
    <n v="86.4"/>
    <n v="88.3"/>
    <n v="0.25"/>
    <n v="60"/>
    <x v="3"/>
    <m/>
    <s v="Preventive Maintenance"/>
    <n v="443850.13490038901"/>
    <n v="189422.86509961099"/>
    <n v="633273"/>
    <n v="3.6"/>
    <n v="50"/>
    <n v="42.2"/>
    <s v=""/>
    <s v=""/>
    <n v="3.6"/>
    <s v="E"/>
    <n v="25.5"/>
    <n v="50"/>
    <n v="42.2"/>
    <s v=""/>
    <s v=""/>
    <n v="25.5"/>
    <n v="21.9"/>
    <n v="5"/>
    <n v="3.504"/>
    <n v="16.331716353768659"/>
    <n v="2.6130746166029857"/>
    <n v="242347.84417417788"/>
    <n v="3957956.25"/>
    <n v="21.9"/>
    <n v="633273"/>
    <n v="633273"/>
    <n v="0"/>
    <s v=""/>
    <s v="1975"/>
    <s v="FR-MD 874D00.08N"/>
  </r>
  <r>
    <s v="eGIS Link"/>
    <n v="36"/>
    <s v="SouthBound Visi-Data"/>
    <s v="34480"/>
    <n v="2017"/>
    <n v="7"/>
    <x v="27"/>
    <s v="FR"/>
    <s v="FR-MD 194"/>
    <s v="0-3.2(S)"/>
    <s v="MD"/>
    <s v="194"/>
    <s v=""/>
    <n v="0"/>
    <n v="3.2"/>
    <s v="S"/>
    <s v="LIBERTY RD"/>
    <s v="DEER RUN DR"/>
    <n v="2.5"/>
    <n v="8"/>
    <s v="UNDIVIDED"/>
    <s v="URBAN"/>
    <s v="NON-IS"/>
    <n v="14"/>
    <s v="F"/>
    <n v="108.35"/>
    <n v="96.76"/>
    <n v="90.2"/>
    <n v="91"/>
    <n v="90"/>
    <n v="0.16"/>
    <n v="44"/>
    <n v="145.72999999999999"/>
    <n v="145.72999999999999"/>
    <n v="65.099999999999994"/>
    <n v="69.3"/>
    <n v="63.7"/>
    <n v="0.19"/>
    <n v="47"/>
    <n v="73.36"/>
    <n v="73.36"/>
    <n v="100"/>
    <n v="100"/>
    <n v="100"/>
    <n v="0.08"/>
    <n v="49"/>
    <x v="1"/>
    <m/>
    <s v="Minor Rehabilitation"/>
    <n v="210104.32907959839"/>
    <n v="89666.670920401608"/>
    <n v="299771"/>
    <n v="22.3"/>
    <n v="17.2"/>
    <n v="13.4"/>
    <s v=""/>
    <s v=""/>
    <n v="13.4"/>
    <s v="D"/>
    <n v="49.6"/>
    <n v="40.200000000000003"/>
    <n v="39.200000000000003"/>
    <s v=""/>
    <s v=""/>
    <n v="39.200000000000003"/>
    <n v="25.800000000000004"/>
    <n v="6"/>
    <n v="206.40000000000003"/>
    <n v="19.240104197590476"/>
    <n v="153.92083358072381"/>
    <n v="1947.566115816187"/>
    <n v="37471.375"/>
    <n v="25.8"/>
    <n v="299771"/>
    <n v="299771"/>
    <n v="0"/>
    <s v=""/>
    <s v="1996"/>
    <s v="FR-MD 19403.2S"/>
  </r>
  <r>
    <s v="eGIS Link"/>
    <n v="164"/>
    <s v="SouthBound Visi-Data"/>
    <s v="34465"/>
    <n v="2017"/>
    <n v="7"/>
    <x v="27"/>
    <s v="FR"/>
    <s v="FR-MD 75"/>
    <s v="19.6-23.1(S)"/>
    <s v="MD"/>
    <s v="75"/>
    <s v=""/>
    <n v="19.600000000000001"/>
    <n v="23.1"/>
    <s v="S"/>
    <s v="CLOVER DR"/>
    <s v="STRUC #6012 SAMS CREEK"/>
    <n v="2"/>
    <n v="7"/>
    <s v="UNDIVIDED"/>
    <s v="RURAL"/>
    <s v="NON-IS"/>
    <n v="7"/>
    <s v="FCJ"/>
    <n v="90.03"/>
    <n v="96.88"/>
    <n v="96.4"/>
    <n v="96.7"/>
    <n v="96.3"/>
    <n v="0.2"/>
    <n v="50"/>
    <n v="116.92"/>
    <n v="116.92"/>
    <n v="72.275000000000006"/>
    <n v="76.7"/>
    <n v="70.8"/>
    <n v="0.16"/>
    <n v="43"/>
    <n v="63.99"/>
    <n v="63.99"/>
    <n v="100"/>
    <n v="100"/>
    <n v="100"/>
    <n v="0.08"/>
    <n v="49"/>
    <x v="1"/>
    <m/>
    <s v="Minor Rehabilitation"/>
    <n v="521970.84340529284"/>
    <n v="236061.15659470716"/>
    <n v="758032"/>
    <n v="20.8"/>
    <n v="23.9"/>
    <n v="15"/>
    <s v=""/>
    <s v=""/>
    <n v="15"/>
    <s v="D"/>
    <n v="39.299999999999997"/>
    <n v="38.700000000000003"/>
    <n v="31.6"/>
    <s v=""/>
    <s v=""/>
    <n v="31.6"/>
    <n v="16.600000000000001"/>
    <n v="6"/>
    <n v="116.20000000000002"/>
    <n v="12.37929184806209"/>
    <n v="86.655042936434626"/>
    <n v="8747.6963176401696"/>
    <n v="108290.28571428571"/>
    <n v="16.600000000000001"/>
    <n v="758032"/>
    <n v="758032"/>
    <n v="0"/>
    <s v=""/>
    <s v="2008"/>
    <s v="FR-MD 7519.623.1S"/>
  </r>
  <r>
    <s v="eGIS Link"/>
    <n v="346"/>
    <s v="NorthBound Visi-Data"/>
    <s v="34491"/>
    <n v="2017"/>
    <n v="7"/>
    <x v="27"/>
    <s v="FR"/>
    <s v="FR-MD 550"/>
    <s v="19.91-20.75(N)"/>
    <s v="MD"/>
    <s v="550"/>
    <s v=""/>
    <n v="19.91"/>
    <n v="20.75"/>
    <s v="N"/>
    <s v="BROWN QUARRY RD"/>
    <s v="HARBAUGH VALLEY RD"/>
    <n v="2"/>
    <n v="1.68"/>
    <s v="UNDIVIDED"/>
    <s v="RURAL"/>
    <s v="NON-IS"/>
    <n v="7"/>
    <s v="F"/>
    <n v="119.48"/>
    <n v="125.18"/>
    <s v=""/>
    <s v=""/>
    <s v=""/>
    <n v="0.19"/>
    <n v="39"/>
    <n v="105.09"/>
    <n v="105.09"/>
    <n v="66.8"/>
    <n v="76.099999999999994"/>
    <n v="63.7"/>
    <n v="0.17"/>
    <n v="48"/>
    <n v="60.03"/>
    <n v="60.03"/>
    <n v="100"/>
    <n v="100"/>
    <n v="100"/>
    <n v="0.08"/>
    <n v="49"/>
    <x v="1"/>
    <m/>
    <s v="Minor Rehabilitation"/>
    <n v="967359.12658752594"/>
    <n v="437487.87341247406"/>
    <n v="1404847"/>
    <n v="23.6"/>
    <n v="23.6"/>
    <n v="11"/>
    <s v=""/>
    <s v=""/>
    <n v="11"/>
    <s v="D"/>
    <n v="41.1"/>
    <n v="38.700000000000003"/>
    <n v="31.6"/>
    <s v=""/>
    <s v=""/>
    <n v="31.6"/>
    <n v="20.6"/>
    <n v="6"/>
    <n v="34.608000000000004"/>
    <n v="15.362253739161387"/>
    <n v="25.808586281791129"/>
    <n v="54433.318611921386"/>
    <n v="836218.45238095243"/>
    <n v="20.6"/>
    <n v="1404847"/>
    <n v="1404847"/>
    <n v="0"/>
    <s v=""/>
    <s v="2008"/>
    <s v="FR-MD 55019.9120.75N"/>
  </r>
  <r>
    <s v="eGIS Link"/>
    <n v="136"/>
    <s v="SouthBound Visi-Data"/>
    <s v="34483"/>
    <n v="2017"/>
    <n v="7"/>
    <x v="27"/>
    <s v="FR"/>
    <s v="FR-MD 351"/>
    <s v="8.65-10.018(S)"/>
    <s v="MD"/>
    <s v="351"/>
    <s v=""/>
    <n v="8.65"/>
    <n v="10.018000000000001"/>
    <s v="S"/>
    <s v=""/>
    <s v=""/>
    <n v="3.1"/>
    <n v="4.24"/>
    <s v="UNDIVIDED"/>
    <s v="RURAL"/>
    <s v="NON-IS"/>
    <n v="17"/>
    <s v="FCJ"/>
    <n v="149.94"/>
    <n v="158.30000000000001"/>
    <s v=""/>
    <s v=""/>
    <s v=""/>
    <n v="0.25"/>
    <n v="54"/>
    <n v="153.82"/>
    <n v="153.82"/>
    <n v="66.525000000000006"/>
    <n v="67.5"/>
    <n v="66.2"/>
    <n v="0.22"/>
    <n v="38"/>
    <n v="76.290000000000006"/>
    <n v="76.290000000000006"/>
    <n v="100"/>
    <n v="100"/>
    <n v="100"/>
    <n v="0.12"/>
    <n v="49"/>
    <x v="1"/>
    <m/>
    <s v="Minor Rehabilitation"/>
    <n v="480992.35323351598"/>
    <n v="217528.64676648402"/>
    <n v="698521"/>
    <n v="14.8"/>
    <n v="10.1"/>
    <n v="12.3"/>
    <s v=""/>
    <s v=""/>
    <n v="10.1"/>
    <s v="D"/>
    <n v="40.4"/>
    <n v="43.9"/>
    <n v="42.1"/>
    <s v=""/>
    <s v=""/>
    <n v="40.4"/>
    <n v="30.299999999999997"/>
    <n v="6"/>
    <n v="128.47200000000001"/>
    <n v="22.595936325077183"/>
    <n v="95.806770018327256"/>
    <n v="7290.9357017920256"/>
    <n v="164745.51886792452"/>
    <n v="30.2"/>
    <n v="698521"/>
    <n v="698521"/>
    <n v="0"/>
    <s v=""/>
    <s v="2012"/>
    <s v="FR-MD 3518.6510.018S"/>
  </r>
  <r>
    <s v="eGIS Link"/>
    <n v="96"/>
    <s v="EastBound Visi-Data"/>
    <s v="34463"/>
    <n v="2017"/>
    <n v="7"/>
    <x v="27"/>
    <s v="FR"/>
    <s v="FR-MD 28"/>
    <s v="6.21-7.5(E)"/>
    <s v="MD"/>
    <s v="28"/>
    <s v=""/>
    <n v="6.21"/>
    <n v="7.5"/>
    <s v="E"/>
    <s v="PARK MILLS RD"/>
    <s v="MONTGOMERY CO/L"/>
    <n v="2"/>
    <n v="2.58"/>
    <s v="UNDIVIDED"/>
    <s v="RURAL"/>
    <s v="NON-IS"/>
    <n v="6"/>
    <s v="FCJ"/>
    <n v="109.25"/>
    <n v="116.83"/>
    <n v="95.1"/>
    <n v="95"/>
    <n v="95.1"/>
    <n v="0.22"/>
    <n v="37"/>
    <n v="97.42"/>
    <n v="97.42"/>
    <n v="64.075000000000003"/>
    <n v="82"/>
    <n v="58.1"/>
    <n v="0.11"/>
    <n v="41"/>
    <n v="57.28"/>
    <n v="57.28"/>
    <n v="100"/>
    <n v="100"/>
    <n v="100"/>
    <n v="0.08"/>
    <n v="49"/>
    <x v="1"/>
    <m/>
    <s v="Minor Rehabilitation"/>
    <n v="259335.56768487531"/>
    <n v="117284.43231512469"/>
    <n v="376620"/>
    <n v="29.9"/>
    <n v="23.8"/>
    <n v="6.7"/>
    <s v=""/>
    <s v=""/>
    <n v="6.7"/>
    <s v="E"/>
    <n v="50"/>
    <n v="43.9"/>
    <n v="42.1"/>
    <s v=""/>
    <s v=""/>
    <n v="42.1"/>
    <n v="35.4"/>
    <n v="6"/>
    <n v="91.331999999999994"/>
    <n v="26.39921273622879"/>
    <n v="68.109968859470285"/>
    <n v="5529.5870238477319"/>
    <n v="145976.7441860465"/>
    <n v="35.4"/>
    <n v="376620"/>
    <n v="376620"/>
    <n v="0"/>
    <s v=""/>
    <s v="2009"/>
    <s v="FR-MD 286.217.5E"/>
  </r>
  <r>
    <s v="eGIS Link"/>
    <n v="90"/>
    <s v="SouthBound Visi-Data"/>
    <s v="34480"/>
    <n v="2017"/>
    <n v="7"/>
    <x v="27"/>
    <s v="FR"/>
    <s v="FR-MD 194"/>
    <s v="5.6-7.3(S)"/>
    <s v="MD"/>
    <s v="194"/>
    <s v=""/>
    <n v="5.6"/>
    <n v="7.3"/>
    <s v="S"/>
    <s v="SPUR FR MD 194A"/>
    <s v="SPEED LIMIT 55 MPH"/>
    <n v="2"/>
    <n v="3.4"/>
    <s v="UNDIVIDED"/>
    <s v="URBAN"/>
    <s v="NON-IS"/>
    <n v="6"/>
    <s v="F"/>
    <n v="86.71"/>
    <n v="87.77"/>
    <n v="94.3"/>
    <n v="91.9"/>
    <n v="95.1"/>
    <n v="0.12"/>
    <n v="50"/>
    <n v="115.28"/>
    <n v="115.28"/>
    <n v="75.5"/>
    <n v="90.8"/>
    <n v="70.400000000000006"/>
    <n v="0.14000000000000001"/>
    <n v="38"/>
    <n v="63.07"/>
    <n v="63.07"/>
    <n v="100"/>
    <n v="100"/>
    <n v="100"/>
    <n v="0.08"/>
    <n v="49"/>
    <x v="1"/>
    <m/>
    <s v="Minor Rehabilitation"/>
    <n v="195150.29428222869"/>
    <n v="83284.705717771314"/>
    <n v="278435"/>
    <n v="30.6"/>
    <n v="31.7"/>
    <n v="18.100000000000001"/>
    <s v=""/>
    <s v=""/>
    <n v="18.100000000000001"/>
    <s v="D"/>
    <n v="50"/>
    <n v="40.200000000000003"/>
    <n v="39.200000000000003"/>
    <s v=""/>
    <s v=""/>
    <n v="39.200000000000003"/>
    <n v="21.1"/>
    <n v="6"/>
    <n v="71.740000000000009"/>
    <n v="15.735123975548801"/>
    <n v="53.499421516865922"/>
    <n v="5204.4487978663874"/>
    <n v="81892.647058823524"/>
    <n v="21.1"/>
    <n v="278435"/>
    <n v="278435"/>
    <n v="0"/>
    <s v=""/>
    <s v="1996"/>
    <s v="FR-MD 1945.67.3S"/>
  </r>
  <r>
    <s v="eGIS Link"/>
    <n v="100"/>
    <s v="West Bound Visi-Data"/>
    <s v="35002"/>
    <n v="2017"/>
    <n v="7"/>
    <x v="27"/>
    <s v="FR"/>
    <s v="FR-US 40AL"/>
    <s v="2.08-4.08(W)"/>
    <s v="US"/>
    <s v="40"/>
    <s v="AL"/>
    <n v="2.08"/>
    <n v="4.08"/>
    <s v="W"/>
    <s v="MT TABOR RD"/>
    <s v="OLD HAGERSTOWN RD"/>
    <n v="2"/>
    <n v="4"/>
    <s v="UNDIVIDED"/>
    <s v="RURAL"/>
    <s v="NON-IS"/>
    <n v="6"/>
    <s v="F"/>
    <n v="157.44999999999999"/>
    <n v="157.51"/>
    <n v="88.3"/>
    <n v="86.7"/>
    <n v="88.8"/>
    <n v="0.17"/>
    <n v="46"/>
    <n v="94.71"/>
    <n v="94.71"/>
    <n v="74.3"/>
    <n v="87.5"/>
    <n v="69.900000000000006"/>
    <n v="0.14000000000000001"/>
    <n v="42"/>
    <n v="56.3"/>
    <n v="56.3"/>
    <n v="100"/>
    <n v="100"/>
    <n v="100"/>
    <n v="0.08"/>
    <n v="49"/>
    <x v="1"/>
    <m/>
    <s v="Minor Rehabilitation"/>
    <n v="248288.5693513602"/>
    <n v="112288.4306486398"/>
    <n v="360577"/>
    <n v="36.5"/>
    <n v="50"/>
    <n v="29"/>
    <s v=""/>
    <s v=""/>
    <n v="29"/>
    <s v="C"/>
    <n v="50"/>
    <n v="50"/>
    <n v="50"/>
    <s v=""/>
    <s v=""/>
    <n v="50"/>
    <n v="21"/>
    <n v="6"/>
    <n v="84"/>
    <n v="15.660549928271317"/>
    <n v="62.642199713085269"/>
    <n v="5756.1356665557742"/>
    <n v="90144.25"/>
    <n v="29.7"/>
    <n v="360577"/>
    <n v="360577"/>
    <n v="0"/>
    <s v=""/>
    <s v="1986"/>
    <s v="FR-US 40AL2.084.08W"/>
  </r>
  <r>
    <s v="eGIS Link"/>
    <n v="356"/>
    <s v="West Bound Visi-Data"/>
    <s v="34933"/>
    <n v="2017"/>
    <n v="7"/>
    <x v="27"/>
    <s v="FR"/>
    <s v="FR-IS 70 RP2-48"/>
    <s v="0-0.56(W)"/>
    <s v="IS"/>
    <s v="70"/>
    <s v=""/>
    <n v="0"/>
    <n v="0.56000000000000005"/>
    <s v="W"/>
    <s v=""/>
    <s v=""/>
    <n v="1"/>
    <n v="0.56000000000000005"/>
    <s v="UNDIVIDED"/>
    <s v="URBAN"/>
    <s v="IS"/>
    <n v="11"/>
    <s v=""/>
    <s v=""/>
    <s v=""/>
    <s v=""/>
    <s v=""/>
    <s v=""/>
    <s v=""/>
    <s v=""/>
    <n v="119.93"/>
    <n v="119.93"/>
    <n v="68.95"/>
    <n v="94"/>
    <n v="60.6"/>
    <n v="0.24"/>
    <n v="52"/>
    <n v="64.83"/>
    <n v="64.83"/>
    <n v="100"/>
    <n v="100"/>
    <n v="100"/>
    <n v="0.12"/>
    <n v="49"/>
    <x v="7"/>
    <m/>
    <s v="Minor Rehabilitation"/>
    <n v="498548.42809762963"/>
    <n v="212766.57190237037"/>
    <n v="711315"/>
    <n v="9.5"/>
    <n v="22.7"/>
    <n v="0"/>
    <s v=""/>
    <s v=""/>
    <n v="0"/>
    <s v="F"/>
    <n v="35.299999999999997"/>
    <n v="28.7"/>
    <n v="26"/>
    <s v=""/>
    <s v=""/>
    <n v="26"/>
    <n v="26"/>
    <n v="6"/>
    <n v="14.560000000000002"/>
    <n v="19.389252292145439"/>
    <n v="10.857981283601447"/>
    <n v="65510.796290861384"/>
    <n v="1270205.357142857"/>
    <n v="26"/>
    <n v="711315"/>
    <n v="711315"/>
    <n v="0"/>
    <s v=""/>
    <s v=""/>
    <s v="FR-IS 70 RP2-4800.56W"/>
  </r>
  <r>
    <s v="eGIS Link"/>
    <n v="68"/>
    <s v="EastBound Visi-Data"/>
    <s v="34477"/>
    <n v="2017"/>
    <n v="7"/>
    <x v="27"/>
    <s v="FR"/>
    <s v="FR-MD 144FB"/>
    <s v="0-1.41(E)"/>
    <s v="MD"/>
    <s v="144"/>
    <s v="FB"/>
    <n v="0"/>
    <n v="1.41"/>
    <s v="E"/>
    <s v="IN CORP LMTS NEW MARKET"/>
    <s v="GREEN VALLEY RD"/>
    <n v="2.2000000000000002"/>
    <n v="3.1"/>
    <s v="UNDIVIDED"/>
    <s v="RURAL"/>
    <s v="NON-IS"/>
    <n v="17"/>
    <s v="F"/>
    <n v="140.32"/>
    <n v="143.33000000000001"/>
    <n v="90.6"/>
    <n v="97.3"/>
    <n v="88.4"/>
    <n v="0.17"/>
    <n v="39"/>
    <n v="193.54"/>
    <n v="193.54"/>
    <n v="79.400000000000006"/>
    <n v="78.8"/>
    <n v="79.599999999999994"/>
    <n v="0.21"/>
    <n v="41"/>
    <n v="67.540000000000006"/>
    <n v="67.540000000000006"/>
    <n v="100"/>
    <n v="100"/>
    <n v="100"/>
    <n v="0.12"/>
    <n v="49"/>
    <x v="2"/>
    <m/>
    <s v="Structural Overlay"/>
    <n v="219048.41867914275"/>
    <n v="99064.581320857251"/>
    <n v="318113"/>
    <n v="7.4"/>
    <n v="19.3"/>
    <n v="23.5"/>
    <s v=""/>
    <s v=""/>
    <n v="7.4"/>
    <s v="E"/>
    <n v="50"/>
    <n v="43.9"/>
    <n v="42.1"/>
    <s v=""/>
    <s v=""/>
    <n v="42.1"/>
    <n v="34.700000000000003"/>
    <n v="6"/>
    <n v="107.57000000000001"/>
    <n v="25.877194405286417"/>
    <n v="80.219302656387896"/>
    <n v="3965.54182679209"/>
    <n v="102617.09677419355"/>
    <n v="34.700000000000003"/>
    <n v="318113"/>
    <n v="318113"/>
    <n v="0"/>
    <s v=""/>
    <s v="1966"/>
    <s v="FR-MD 144FB01.41E"/>
  </r>
  <r>
    <s v="eGIS Link"/>
    <n v="132"/>
    <s v="EastBound Visi-Data"/>
    <s v="34478"/>
    <n v="2017"/>
    <n v="7"/>
    <x v="27"/>
    <s v="FR"/>
    <s v="FR-MD 180"/>
    <s v="0-1.8(E)"/>
    <s v="MD"/>
    <s v="180"/>
    <s v=""/>
    <n v="0"/>
    <n v="1.8"/>
    <s v="E"/>
    <s v="JEFFERSON PIKE/JEFFERSON NAT PIKE"/>
    <s v="SPEED LIMIT 50 MPH"/>
    <n v="2"/>
    <n v="3.6"/>
    <s v="UNDIVIDED"/>
    <s v="RURAL"/>
    <s v="NON-IS"/>
    <n v="19"/>
    <s v="F"/>
    <n v="120.82"/>
    <n v="125.15"/>
    <n v="88.7"/>
    <n v="90.6"/>
    <n v="88.1"/>
    <n v="0.18"/>
    <n v="52"/>
    <n v="179.85"/>
    <n v="179.85"/>
    <n v="87.224999999999994"/>
    <n v="86.1"/>
    <n v="87.6"/>
    <n v="0.18"/>
    <n v="44"/>
    <n v="64.39"/>
    <n v="64.39"/>
    <n v="100"/>
    <n v="100"/>
    <n v="100"/>
    <n v="0.08"/>
    <n v="49"/>
    <x v="2"/>
    <m/>
    <s v="Structural Overlay"/>
    <n v="476014.55912063306"/>
    <n v="215277.44087936694"/>
    <n v="691292"/>
    <n v="13.7"/>
    <n v="50"/>
    <n v="48.8"/>
    <s v=""/>
    <s v=""/>
    <n v="13.7"/>
    <s v="D"/>
    <n v="50"/>
    <n v="50"/>
    <n v="50"/>
    <s v=""/>
    <s v=""/>
    <n v="50"/>
    <n v="36.299999999999997"/>
    <n v="6"/>
    <n v="130.68"/>
    <n v="27.070379161726134"/>
    <n v="97.453364982214083"/>
    <n v="7093.5672680585794"/>
    <n v="192025.55555555556"/>
    <n v="46.2"/>
    <n v="691292"/>
    <n v="691292"/>
    <n v="0"/>
    <s v=""/>
    <s v="2003"/>
    <s v="FR-MD 18001.8E"/>
  </r>
  <r>
    <s v="eGIS Link"/>
    <n v="77"/>
    <s v="SouthBound Visi-Data"/>
    <s v="34459"/>
    <n v="2017"/>
    <n v="7"/>
    <x v="27"/>
    <s v="FR"/>
    <s v="FR-MD 17"/>
    <s v="23-24.8(S)"/>
    <s v="MD"/>
    <s v="17"/>
    <s v=""/>
    <n v="23"/>
    <n v="24.8"/>
    <s v="S"/>
    <s v="HIGHLAND SCHOOL RD"/>
    <s v="SPRUCE RUN RD"/>
    <n v="2"/>
    <n v="3.6"/>
    <s v="UNDIVIDED"/>
    <s v="URBAN"/>
    <s v="NON-IS"/>
    <n v="7"/>
    <s v="FCJ"/>
    <n v="123.72"/>
    <n v="133.82"/>
    <n v="61.7"/>
    <n v="70.8"/>
    <n v="58.7"/>
    <n v="0.24"/>
    <n v="63"/>
    <n v="233.06"/>
    <n v="233.06"/>
    <n v="85.974999999999994"/>
    <n v="83.8"/>
    <n v="86.7"/>
    <n v="0.16"/>
    <n v="40"/>
    <n v="77.19"/>
    <n v="77.19"/>
    <n v="100"/>
    <n v="100"/>
    <n v="100"/>
    <n v="0.08"/>
    <n v="49"/>
    <x v="2"/>
    <m/>
    <s v="Structural Overlay"/>
    <n v="284336.92598125833"/>
    <n v="121347.07401874167"/>
    <n v="405684"/>
    <n v="1.9"/>
    <n v="39.1"/>
    <n v="49.9"/>
    <s v=""/>
    <s v=""/>
    <n v="1.9"/>
    <s v="E"/>
    <n v="33.799999999999997"/>
    <n v="48.5"/>
    <n v="50"/>
    <s v=""/>
    <s v=""/>
    <n v="33.799999999999997"/>
    <n v="31.9"/>
    <n v="6"/>
    <n v="114.84"/>
    <n v="23.789121081516903"/>
    <n v="85.64083589346086"/>
    <n v="4737.0392379714749"/>
    <n v="112690"/>
    <n v="31.9"/>
    <n v="405684"/>
    <n v="405684"/>
    <n v="0"/>
    <s v=""/>
    <s v="2001"/>
    <s v="FR-MD 172324.8S"/>
  </r>
  <r>
    <s v="eGIS Link"/>
    <n v="94"/>
    <s v="SouthBound Visi-Data"/>
    <s v="34468"/>
    <n v="2017"/>
    <n v="7"/>
    <x v="27"/>
    <s v="FR"/>
    <s v="FR-MD 76"/>
    <s v="3.21-5.69(S)"/>
    <s v="MD"/>
    <s v="76"/>
    <s v=""/>
    <n v="3.21"/>
    <n v="5.69"/>
    <s v="S"/>
    <s v="FOUR POINTS RD"/>
    <s v="ST ANTHONYS RD (AHEAD)"/>
    <n v="2"/>
    <n v="4.96"/>
    <s v="UNDIVIDED"/>
    <s v="URBAN"/>
    <s v="NON-IS"/>
    <n v="9"/>
    <s v="FCJ"/>
    <n v="103.9"/>
    <n v="104.81"/>
    <s v=""/>
    <s v=""/>
    <s v=""/>
    <n v="0.15"/>
    <n v="57"/>
    <n v="106.19"/>
    <n v="106.19"/>
    <n v="84.35"/>
    <n v="86.3"/>
    <n v="83.7"/>
    <n v="0.18"/>
    <n v="44"/>
    <n v="49.74"/>
    <n v="49.74"/>
    <n v="100"/>
    <n v="100"/>
    <n v="100"/>
    <n v="0.08"/>
    <n v="49"/>
    <x v="2"/>
    <m/>
    <s v="Structural Overlay"/>
    <n v="343448.67798610288"/>
    <n v="146574.32201389712"/>
    <n v="490023"/>
    <n v="25.8"/>
    <n v="50"/>
    <n v="50"/>
    <s v=""/>
    <s v=""/>
    <n v="25.8"/>
    <s v="C"/>
    <n v="50"/>
    <n v="50"/>
    <n v="50"/>
    <s v=""/>
    <s v=""/>
    <n v="50"/>
    <n v="24.2"/>
    <n v="6"/>
    <n v="120.032"/>
    <n v="18.046919441150756"/>
    <n v="89.512720428107755"/>
    <n v="5474.3392632509986"/>
    <n v="98794.959677419349"/>
    <n v="33.200000000000003"/>
    <n v="490023"/>
    <n v="490023"/>
    <n v="0"/>
    <s v=""/>
    <s v="2011"/>
    <s v="FR-MD 763.215.69S"/>
  </r>
  <r>
    <s v="eGIS Link"/>
    <n v="339"/>
    <s v="EastBound Visi-Data"/>
    <s v="79181"/>
    <n v="2017"/>
    <n v="7"/>
    <x v="27"/>
    <s v="FR"/>
    <s v="FR-MD 85B"/>
    <s v="0-0.214(E)"/>
    <s v="MD"/>
    <s v="85"/>
    <s v="B"/>
    <n v="0"/>
    <n v="0.214"/>
    <s v="E"/>
    <s v=""/>
    <s v=""/>
    <n v="2.1"/>
    <n v="0.45"/>
    <s v="UNDIVIDED"/>
    <s v="RURAL"/>
    <s v="NON-IS"/>
    <s v=""/>
    <s v=""/>
    <s v=""/>
    <s v=""/>
    <s v=""/>
    <s v=""/>
    <s v=""/>
    <s v=""/>
    <s v=""/>
    <n v="177.1"/>
    <n v="177.1"/>
    <n v="85.85"/>
    <n v="92.9"/>
    <n v="83.5"/>
    <n v="0.2"/>
    <n v="39"/>
    <n v="63.85"/>
    <n v="63.85"/>
    <n v="100"/>
    <n v="100"/>
    <n v="100"/>
    <n v="0.08"/>
    <n v="49"/>
    <x v="2"/>
    <m/>
    <s v="Structural Overlay"/>
    <n v="387432.6849937003"/>
    <n v="175216.3150062997"/>
    <n v="562649"/>
    <n v="13.6"/>
    <n v="50"/>
    <n v="44.9"/>
    <s v=""/>
    <s v=""/>
    <n v="13.6"/>
    <s v="D"/>
    <n v="50"/>
    <n v="50"/>
    <n v="50"/>
    <s v=""/>
    <s v=""/>
    <n v="50"/>
    <n v="36.4"/>
    <n v="6"/>
    <n v="16.38"/>
    <n v="27.144953209003614"/>
    <n v="12.215228944051626"/>
    <n v="46061.273397089266"/>
    <n v="1250331.111111111"/>
    <n v="46.3"/>
    <n v="562649"/>
    <n v="562649"/>
    <n v="0"/>
    <s v=""/>
    <s v=""/>
    <s v="FR-MD 85B00.214E"/>
  </r>
  <r>
    <s v="eGIS Link"/>
    <n v="290"/>
    <s v="West Bound Visi-Data"/>
    <s v="34476"/>
    <n v="2017"/>
    <n v="7"/>
    <x v="27"/>
    <s v="FR"/>
    <s v="FR-MD 144FA"/>
    <s v="4.05-4.71(W)"/>
    <s v="MD"/>
    <s v="144"/>
    <s v="FA"/>
    <n v="4.05"/>
    <n v="4.71"/>
    <s v="W"/>
    <s v="FRANKLIN ST"/>
    <s v="R/R #MDOT 517 861 J"/>
    <n v="2.1"/>
    <n v="1.38"/>
    <s v="UNDIVIDED"/>
    <s v="RURAL"/>
    <s v="NON-IS"/>
    <n v="14"/>
    <s v="F"/>
    <n v="251.63"/>
    <n v="179.98"/>
    <n v="75.5"/>
    <n v="80.8"/>
    <n v="73.7"/>
    <n v="0.12"/>
    <n v="29"/>
    <n v="142.66"/>
    <n v="142.66"/>
    <n v="72.650000000000006"/>
    <n v="86.9"/>
    <n v="67.900000000000006"/>
    <n v="0.12"/>
    <n v="40"/>
    <n v="56.81"/>
    <n v="56.81"/>
    <n v="100"/>
    <n v="100"/>
    <n v="100"/>
    <n v="0.08"/>
    <n v="49"/>
    <x v="2"/>
    <m/>
    <s v="Structural Overlay"/>
    <n v="493192.0459016508"/>
    <n v="223045.9540983492"/>
    <n v="716238"/>
    <n v="6.4"/>
    <n v="27.8"/>
    <n v="9"/>
    <s v=""/>
    <s v=""/>
    <n v="6.4"/>
    <s v="E"/>
    <n v="43.6"/>
    <n v="40.799999999999997"/>
    <n v="37.700000000000003"/>
    <s v=""/>
    <s v=""/>
    <n v="37.700000000000003"/>
    <n v="31.300000000000004"/>
    <n v="6"/>
    <n v="43.194000000000003"/>
    <n v="23.341676797852013"/>
    <n v="32.211513981035779"/>
    <n v="22235.465256978554"/>
    <n v="519013.04347826092"/>
    <n v="31.4"/>
    <n v="716238"/>
    <n v="716238"/>
    <n v="0"/>
    <s v=""/>
    <s v="1974"/>
    <s v="FR-MD 144FA4.054.71W"/>
  </r>
  <r>
    <s v="eGIS Link"/>
    <n v="325"/>
    <s v="West Bound Visi-Data"/>
    <s v="34476"/>
    <n v="2017"/>
    <n v="7"/>
    <x v="27"/>
    <s v="FR"/>
    <s v="FR-MD 144FA"/>
    <s v="3.72-4.05(W)"/>
    <s v="MD"/>
    <s v="144"/>
    <s v="FA"/>
    <n v="3.72"/>
    <n v="4.05"/>
    <s v="W"/>
    <s v="KING AVE"/>
    <s v="FRANKLIN ST"/>
    <n v="3.8"/>
    <n v="1.25"/>
    <s v="UNDIVIDED"/>
    <s v="RURAL"/>
    <s v="NON-IS"/>
    <n v="14"/>
    <s v="F"/>
    <n v="170.52"/>
    <n v="188.28"/>
    <n v="97.3"/>
    <n v="98.9"/>
    <n v="96.8"/>
    <n v="0.17"/>
    <n v="35"/>
    <n v="137.12"/>
    <n v="137.12"/>
    <n v="61.75"/>
    <n v="84.4"/>
    <n v="54.2"/>
    <n v="0.13"/>
    <n v="40"/>
    <n v="55.69"/>
    <n v="55.69"/>
    <n v="100"/>
    <n v="100"/>
    <n v="100"/>
    <n v="0.08"/>
    <n v="49"/>
    <x v="2"/>
    <m/>
    <s v="Structural Overlay"/>
    <n v="867399.04386725009"/>
    <n v="392280.95613274991"/>
    <n v="1259680"/>
    <n v="7.6"/>
    <n v="24.6"/>
    <n v="0"/>
    <s v=""/>
    <s v=""/>
    <n v="0"/>
    <s v="F"/>
    <n v="44.4"/>
    <n v="40.799999999999997"/>
    <n v="37.700000000000003"/>
    <s v=""/>
    <s v=""/>
    <n v="37.700000000000003"/>
    <n v="37.700000000000003"/>
    <n v="6"/>
    <n v="47.125"/>
    <n v="28.114415823610887"/>
    <n v="35.143019779513608"/>
    <n v="35844.386962281547"/>
    <n v="1007744"/>
    <n v="37.700000000000003"/>
    <n v="1259680"/>
    <n v="1259680"/>
    <n v="0"/>
    <s v=""/>
    <s v="2004"/>
    <s v="FR-MD 144FA3.724.05W"/>
  </r>
  <r>
    <s v="eGIS Link"/>
    <n v="63"/>
    <s v="West Bound Visi-Data"/>
    <s v="34469"/>
    <n v="2017"/>
    <n v="7"/>
    <x v="27"/>
    <s v="FR"/>
    <s v="FR-MD 77"/>
    <s v="1.63-4.4(W)"/>
    <s v="MD"/>
    <s v="77"/>
    <s v=""/>
    <n v="1.63"/>
    <n v="4.4000000000000004"/>
    <s v="W"/>
    <s v="STOTTLEMYER RD"/>
    <s v="PARK CENTRAL RD"/>
    <n v="2"/>
    <n v="5.54"/>
    <s v="UNDIVIDED"/>
    <s v="URBAN"/>
    <s v="NON-IS"/>
    <n v="7"/>
    <s v="F"/>
    <n v="135.07"/>
    <n v="131.38"/>
    <n v="82.2"/>
    <n v="92.9"/>
    <n v="78.599999999999994"/>
    <n v="0.15"/>
    <n v="52"/>
    <n v="135.41999999999999"/>
    <n v="135.41999999999999"/>
    <n v="87.075000000000003"/>
    <n v="87"/>
    <n v="87.1"/>
    <n v="0.26"/>
    <n v="55"/>
    <n v="55.42"/>
    <n v="55.42"/>
    <n v="100"/>
    <n v="100"/>
    <n v="100"/>
    <n v="0.12"/>
    <n v="49"/>
    <x v="2"/>
    <m/>
    <s v="Structural Overlay"/>
    <n v="343448.67798610288"/>
    <n v="146574.32201389712"/>
    <n v="490023"/>
    <n v="18.7"/>
    <n v="50"/>
    <n v="50"/>
    <s v=""/>
    <s v=""/>
    <n v="18.7"/>
    <s v="D"/>
    <n v="50"/>
    <n v="50"/>
    <n v="50"/>
    <s v=""/>
    <s v=""/>
    <n v="50"/>
    <n v="31.3"/>
    <n v="6"/>
    <n v="173.40200000000002"/>
    <n v="23.34167679785201"/>
    <n v="129.31288946010014"/>
    <n v="3789.4366296037178"/>
    <n v="88451.805054151628"/>
    <n v="36.5"/>
    <n v="490023"/>
    <n v="490023"/>
    <n v="0"/>
    <s v=""/>
    <s v="1999"/>
    <s v="FR-MD 771.634.4W"/>
  </r>
  <r>
    <s v="eGIS Link"/>
    <n v="107"/>
    <s v="SouthBound Visi-Data"/>
    <s v="34483"/>
    <n v="2017"/>
    <n v="7"/>
    <x v="27"/>
    <s v="FR"/>
    <s v="FR-MD 351"/>
    <s v="6.77-8.65(S)"/>
    <s v="MD"/>
    <s v="351"/>
    <s v=""/>
    <n v="6.77"/>
    <n v="8.65"/>
    <s v="S"/>
    <s v=""/>
    <s v=""/>
    <n v="2.1"/>
    <n v="3.95"/>
    <s v="UNDIVIDED"/>
    <s v="RURAL"/>
    <s v="NON-IS"/>
    <n v="8"/>
    <s v="FCJ"/>
    <n v="109.58"/>
    <n v="125.94"/>
    <s v=""/>
    <s v=""/>
    <s v=""/>
    <n v="0.19"/>
    <n v="61"/>
    <n v="217.73"/>
    <n v="217.73"/>
    <n v="67.875"/>
    <n v="69.900000000000006"/>
    <n v="67.2"/>
    <n v="0.22"/>
    <n v="40"/>
    <n v="72.97"/>
    <n v="72.97"/>
    <n v="100"/>
    <n v="100"/>
    <n v="100"/>
    <n v="0.12"/>
    <n v="49"/>
    <x v="2"/>
    <m/>
    <s v="Structural Overlay"/>
    <n v="480774.75979878486"/>
    <n v="217430.24020121514"/>
    <n v="698205"/>
    <n v="3.5"/>
    <n v="11.8"/>
    <n v="13"/>
    <s v=""/>
    <s v=""/>
    <n v="3.5"/>
    <s v="E"/>
    <n v="48.2"/>
    <n v="43.9"/>
    <n v="42.1"/>
    <s v=""/>
    <s v=""/>
    <n v="42.1"/>
    <n v="38.6"/>
    <n v="6"/>
    <n v="152.47"/>
    <n v="28.785582249108231"/>
    <n v="113.70304988397751"/>
    <n v="6140.600456297766"/>
    <n v="176760.75949367089"/>
    <n v="38.6"/>
    <n v="698205"/>
    <n v="698205"/>
    <n v="0"/>
    <s v=""/>
    <s v="2007"/>
    <s v="FR-MD 3516.778.65S"/>
  </r>
  <r>
    <s v="eGIS Link"/>
    <n v="78"/>
    <s v="SouthBound Visi-Data"/>
    <s v="34996"/>
    <n v="2017"/>
    <n v="7"/>
    <x v="27"/>
    <s v="FR"/>
    <s v="FR-US 15"/>
    <s v="15.29-16.6(S)"/>
    <s v="US"/>
    <s v="15"/>
    <s v=""/>
    <n v="15.29"/>
    <n v="16.600000000000001"/>
    <s v="S"/>
    <s v="LIBERTY RD (WB/L)"/>
    <s v="TRADING LA"/>
    <n v="2.4"/>
    <n v="3.14"/>
    <s v="DIVIDED"/>
    <s v="RURAL"/>
    <s v="NON-IS"/>
    <n v="12"/>
    <s v="F"/>
    <n v="60.37"/>
    <n v="68.989999999999995"/>
    <n v="99.2"/>
    <n v="96.9"/>
    <n v="100"/>
    <n v="0.13"/>
    <n v="40"/>
    <n v="69.989999999999995"/>
    <n v="69.989999999999995"/>
    <n v="91.6"/>
    <n v="90.4"/>
    <n v="92"/>
    <n v="0.14000000000000001"/>
    <n v="54"/>
    <n v="75.319999999999993"/>
    <n v="75.319999999999993"/>
    <n v="98.525000000000006"/>
    <n v="99.5"/>
    <n v="98.2"/>
    <n v="0.14000000000000001"/>
    <n v="55"/>
    <x v="4"/>
    <m/>
    <s v="Preventive Maintenance"/>
    <n v="61587.205070721808"/>
    <n v="27852.794929278192"/>
    <n v="89440"/>
    <n v="35.200000000000003"/>
    <n v="35.1"/>
    <n v="41.9"/>
    <s v=""/>
    <s v=""/>
    <n v="35.1"/>
    <s v="B"/>
    <n v="36.299999999999997"/>
    <n v="42.2"/>
    <n v="47.5"/>
    <s v=""/>
    <s v=""/>
    <n v="36.299999999999997"/>
    <n v="4"/>
    <n v="4"/>
    <n v="25.12"/>
    <n v="5.9659237821985966"/>
    <n v="18.733000676103593"/>
    <n v="4774.4620067244477"/>
    <n v="28484.076433121019"/>
    <n v="1.1000000000000001"/>
    <n v="89440"/>
    <n v="89440"/>
    <n v="0"/>
    <s v=""/>
    <s v="2009"/>
    <s v="FR-US 1515.2916.6S"/>
  </r>
  <r>
    <s v="eGIS Link"/>
    <n v="240"/>
    <s v="EastBound Visi-Data"/>
    <s v="34469"/>
    <n v="2017"/>
    <n v="7"/>
    <x v="27"/>
    <s v="FR"/>
    <s v="FR-MD 77"/>
    <s v="0-1.63(E)"/>
    <s v="MD"/>
    <s v="77"/>
    <s v=""/>
    <n v="0"/>
    <n v="1.63"/>
    <s v="E"/>
    <s v="WASHINGTON CO/L"/>
    <s v="FOXVILLE DEERFIELD RD"/>
    <n v="2"/>
    <n v="3.26"/>
    <s v="UNDIVIDED"/>
    <s v="RURAL"/>
    <s v="NON-IS"/>
    <n v="7"/>
    <s v="F"/>
    <n v="91.05"/>
    <n v="103.9"/>
    <s v=""/>
    <s v=""/>
    <s v=""/>
    <n v="0.22"/>
    <n v="46"/>
    <n v="77.52"/>
    <n v="77.52"/>
    <n v="88.3"/>
    <n v="89.5"/>
    <n v="87.9"/>
    <n v="0.16"/>
    <n v="43"/>
    <n v="83.69"/>
    <n v="83.69"/>
    <n v="97.9"/>
    <n v="99.4"/>
    <n v="97.4"/>
    <n v="0.16"/>
    <n v="55"/>
    <x v="4"/>
    <m/>
    <s v="Preventive Maintenance"/>
    <n v="195721.85160651559"/>
    <n v="88515.148393484415"/>
    <n v="284237"/>
    <n v="43.5"/>
    <n v="50"/>
    <n v="49"/>
    <s v=""/>
    <s v=""/>
    <n v="43.5"/>
    <s v="A"/>
    <n v="47.5"/>
    <n v="50"/>
    <n v="50"/>
    <s v=""/>
    <s v=""/>
    <n v="47.5"/>
    <n v="4"/>
    <n v="4"/>
    <n v="26.08"/>
    <n v="5.9659237821985966"/>
    <n v="19.448911529967425"/>
    <n v="14614.545372477"/>
    <n v="87189.26380368098"/>
    <n v="3.9"/>
    <n v="284237"/>
    <n v="284237"/>
    <n v="0"/>
    <s v=""/>
    <s v="2004"/>
    <s v="FR-MD 7701.63E"/>
  </r>
  <r>
    <s v="eGIS Link"/>
    <n v="30"/>
    <s v="NorthBound Visi-Data"/>
    <s v="34480"/>
    <n v="2017"/>
    <n v="7"/>
    <x v="27"/>
    <s v="FR"/>
    <s v="FR-MD 194"/>
    <s v="7.3-12.41(N)"/>
    <s v="MD"/>
    <s v="194"/>
    <s v=""/>
    <n v="7.3"/>
    <n v="12.41"/>
    <s v="N"/>
    <s v="SPUR FR LEGORE BRIDGE RD"/>
    <s v="CARROLL CO/L"/>
    <n v="2.4"/>
    <n v="12.26"/>
    <s v="UNDIVIDED"/>
    <s v="RURAL"/>
    <s v="NON-IS"/>
    <n v="6"/>
    <s v="F"/>
    <n v="124.5"/>
    <n v="147.93"/>
    <n v="65.5"/>
    <n v="63.1"/>
    <n v="66.3"/>
    <n v="0.13"/>
    <n v="41"/>
    <n v="103.28"/>
    <n v="103.28"/>
    <n v="85.575000000000003"/>
    <n v="91.5"/>
    <n v="83.6"/>
    <n v="0.15"/>
    <n v="48"/>
    <n v="111.56"/>
    <n v="111.56"/>
    <n v="97.25"/>
    <n v="99.5"/>
    <n v="96.5"/>
    <n v="0.15"/>
    <n v="55"/>
    <x v="4"/>
    <m/>
    <s v="Preventive Maintenance"/>
    <n v="75834.75493787638"/>
    <n v="34296.24506212362"/>
    <n v="110131"/>
    <n v="36"/>
    <n v="50"/>
    <n v="44.9"/>
    <s v=""/>
    <s v=""/>
    <n v="36"/>
    <s v="B"/>
    <n v="38.5"/>
    <n v="50"/>
    <n v="50"/>
    <s v=""/>
    <s v=""/>
    <n v="38.5"/>
    <n v="4"/>
    <n v="4"/>
    <n v="98.08"/>
    <n v="5.9659237821985966"/>
    <n v="73.1422255697548"/>
    <n v="1505.7102671147118"/>
    <n v="8982.9526916802606"/>
    <n v="2.5"/>
    <n v="110131"/>
    <n v="110131"/>
    <n v="0"/>
    <s v=""/>
    <s v="1986"/>
    <s v="FR-MD 1947.312.41N"/>
  </r>
  <r>
    <s v="eGIS Link"/>
    <n v="117"/>
    <s v="NorthBound Visi-Data"/>
    <s v="34472"/>
    <n v="2017"/>
    <n v="7"/>
    <x v="27"/>
    <s v="FR"/>
    <s v="FR-MD 85"/>
    <s v="0-3.75(N)"/>
    <s v="MD"/>
    <s v="85"/>
    <s v=""/>
    <n v="0"/>
    <n v="3.75"/>
    <s v="N"/>
    <s v="TUSCARORA RD/DICKERSON RD"/>
    <s v="OLAND RD"/>
    <n v="2"/>
    <n v="7.5"/>
    <s v="UNDIVIDED"/>
    <s v="RURAL"/>
    <s v="NON-IS"/>
    <n v="6"/>
    <s v="FCJ"/>
    <n v="91.55"/>
    <n v="98.59"/>
    <n v="96.5"/>
    <n v="97.6"/>
    <n v="96.1"/>
    <n v="0.16"/>
    <n v="44"/>
    <n v="89.97"/>
    <n v="89.97"/>
    <n v="81.525000000000006"/>
    <n v="85.8"/>
    <n v="80.099999999999994"/>
    <n v="0.13"/>
    <n v="48"/>
    <n v="57.01"/>
    <n v="57.01"/>
    <n v="100"/>
    <n v="100"/>
    <n v="100"/>
    <n v="0.08"/>
    <n v="49"/>
    <x v="9"/>
    <m/>
    <s v="Structural Overlay"/>
    <n v="248494.45681017221"/>
    <n v="112381.54318982779"/>
    <n v="360876"/>
    <n v="39.9"/>
    <n v="50"/>
    <n v="41.3"/>
    <s v=""/>
    <s v=""/>
    <n v="39.9"/>
    <s v="B"/>
    <n v="50"/>
    <n v="50"/>
    <n v="50"/>
    <s v=""/>
    <s v=""/>
    <n v="50"/>
    <n v="10.100000000000001"/>
    <n v="4"/>
    <n v="75.750000000000014"/>
    <n v="7.5319787750257294"/>
    <n v="56.489840812692968"/>
    <n v="6388.3345183531319"/>
    <n v="48116.800000000003"/>
    <n v="16.100000000000001"/>
    <n v="360876"/>
    <n v="360876"/>
    <n v="0"/>
    <s v=""/>
    <s v="2006"/>
    <s v="FR-MD 8503.75N"/>
  </r>
  <r>
    <s v="eGIS Link"/>
    <n v="66"/>
    <s v="EastBound Visi-Data"/>
    <s v="34488"/>
    <n v="2017"/>
    <n v="7"/>
    <x v="27"/>
    <s v="FR"/>
    <s v="FR-MD 464"/>
    <s v="4.65-8.1(E)"/>
    <s v="MD"/>
    <s v="464"/>
    <s v=""/>
    <n v="4.6500000000000004"/>
    <n v="8.1"/>
    <s v="E"/>
    <s v="LANDER RD"/>
    <s v="BALLENGER CREEK RD"/>
    <n v="2"/>
    <n v="6.9"/>
    <s v="UNDIVIDED"/>
    <s v="URBAN"/>
    <s v="NON-IS"/>
    <n v="7"/>
    <s v="F"/>
    <n v="97.71"/>
    <n v="92.5"/>
    <n v="66.2"/>
    <n v="85.7"/>
    <n v="59.7"/>
    <n v="0.16"/>
    <n v="44"/>
    <n v="106.39"/>
    <n v="106.39"/>
    <n v="90"/>
    <n v="89.4"/>
    <n v="90.2"/>
    <n v="0.18"/>
    <n v="43"/>
    <n v="75.31"/>
    <n v="75.31"/>
    <n v="100"/>
    <n v="100"/>
    <n v="100"/>
    <n v="0.15"/>
    <n v="49"/>
    <x v="5"/>
    <m/>
    <s v="Preventive Maintenance"/>
    <n v="111443.86496793067"/>
    <n v="47561.135032069331"/>
    <n v="159005"/>
    <n v="20.7"/>
    <n v="42"/>
    <n v="50"/>
    <s v=""/>
    <s v=""/>
    <n v="20.7"/>
    <s v="C"/>
    <n v="27.5"/>
    <n v="48.5"/>
    <n v="50"/>
    <s v=""/>
    <s v=""/>
    <n v="27.5"/>
    <n v="6.8000000000000007"/>
    <n v="4"/>
    <n v="55.2"/>
    <n v="5.9659237821985966"/>
    <n v="41.164874097170319"/>
    <n v="3862.6378310951773"/>
    <n v="23044.202898550724"/>
    <n v="6.8"/>
    <n v="159005"/>
    <n v="159005"/>
    <n v="0"/>
    <s v=""/>
    <s v="2001"/>
    <s v="FR-MD 4644.658.1E"/>
  </r>
  <r>
    <s v="eGIS Link"/>
    <n v="295"/>
    <s v="NorthBound Visi-Data"/>
    <s v="34459"/>
    <n v="2017"/>
    <n v="7"/>
    <x v="27"/>
    <s v="FR"/>
    <s v="FR-MD 17"/>
    <s v="12.3-13.2(N)"/>
    <s v="MD"/>
    <s v="17"/>
    <s v=""/>
    <n v="12.3"/>
    <n v="13.2"/>
    <s v="N"/>
    <s v="IN CORP LMTS MIDDLETOWN"/>
    <s v="OUT CORP LMTS MIDDLETOWN"/>
    <n v="2.2999999999999998"/>
    <n v="2.0699999999999998"/>
    <s v="UNDIVIDED"/>
    <s v="URBAN"/>
    <s v="NON-IS"/>
    <n v="16"/>
    <s v="FCJ"/>
    <n v="224.11"/>
    <n v="219.9"/>
    <s v=""/>
    <s v=""/>
    <s v=""/>
    <n v="0.16"/>
    <n v="40"/>
    <n v="98.91"/>
    <n v="98.91"/>
    <n v="87.7"/>
    <n v="88.3"/>
    <n v="87.5"/>
    <n v="0.16"/>
    <n v="46"/>
    <n v="70.91"/>
    <n v="70.91"/>
    <n v="100"/>
    <n v="100"/>
    <n v="100"/>
    <n v="0.14000000000000001"/>
    <n v="49"/>
    <x v="5"/>
    <m/>
    <s v="Preventive Maintenance"/>
    <n v="226951.44824084584"/>
    <n v="96856.551759154157"/>
    <n v="323808"/>
    <n v="27.9"/>
    <n v="50"/>
    <n v="50"/>
    <s v=""/>
    <s v=""/>
    <n v="27.9"/>
    <s v="C"/>
    <n v="37.1"/>
    <n v="50"/>
    <n v="50"/>
    <s v=""/>
    <s v=""/>
    <n v="37.1"/>
    <n v="9.2000000000000028"/>
    <n v="4"/>
    <n v="19.044000000000004"/>
    <n v="6.8608123495283877"/>
    <n v="14.201881563523761"/>
    <n v="22800.359132107631"/>
    <n v="156428.9855072464"/>
    <n v="9.1999999999999993"/>
    <n v="323808"/>
    <n v="323808"/>
    <n v="0"/>
    <s v=""/>
    <s v="1987"/>
    <s v="FR-MD 1712.313.2N"/>
  </r>
  <r>
    <s v="eGIS Link"/>
    <n v="234"/>
    <s v="NorthBound Visi-Data"/>
    <s v="34490"/>
    <n v="2017"/>
    <n v="7"/>
    <x v="27"/>
    <s v="FR"/>
    <s v="FR-MD 491"/>
    <s v="0-1.71(N)"/>
    <s v="MD"/>
    <s v="491"/>
    <s v=""/>
    <n v="0"/>
    <n v="1.71"/>
    <s v="N"/>
    <s v="WASHINGTON CO/L"/>
    <s v="WASHINGTON CO/L"/>
    <n v="2"/>
    <n v="3.42"/>
    <s v="UNDIVIDED"/>
    <s v="URBAN"/>
    <s v="NON-IS"/>
    <n v="7"/>
    <s v="F"/>
    <n v="124.36"/>
    <n v="126.32"/>
    <n v="79.7"/>
    <n v="83.4"/>
    <n v="78.400000000000006"/>
    <n v="0.19"/>
    <n v="52"/>
    <n v="163.19999999999999"/>
    <n v="163.19999999999999"/>
    <n v="84.275000000000006"/>
    <n v="87.8"/>
    <n v="83.1"/>
    <n v="0.23"/>
    <n v="54"/>
    <n v="105.31"/>
    <n v="105.31"/>
    <n v="100"/>
    <n v="100"/>
    <n v="100"/>
    <n v="0.2"/>
    <n v="49"/>
    <x v="5"/>
    <m/>
    <s v="Preventive Maintenance"/>
    <n v="291612.08914195845"/>
    <n v="124451.91085804155"/>
    <n v="416064"/>
    <n v="13.9"/>
    <n v="50"/>
    <n v="50"/>
    <s v=""/>
    <s v=""/>
    <n v="13.9"/>
    <s v="D"/>
    <n v="26"/>
    <n v="50"/>
    <n v="50"/>
    <s v=""/>
    <s v=""/>
    <n v="26"/>
    <n v="12.1"/>
    <n v="4"/>
    <n v="41.381999999999998"/>
    <n v="9.0234597205753779"/>
    <n v="30.860232244367793"/>
    <n v="13482.205730189688"/>
    <n v="121656.14035087719"/>
    <n v="12.1"/>
    <n v="416064"/>
    <n v="416064"/>
    <n v="0"/>
    <s v=""/>
    <s v="2008"/>
    <s v="FR-MD 49101.71N"/>
  </r>
  <r>
    <s v="eGIS Link"/>
    <n v="345"/>
    <s v="NorthBound Visi-Data"/>
    <s v="34459"/>
    <n v="2017"/>
    <n v="7"/>
    <x v="27"/>
    <s v="FR"/>
    <s v="FR-MD 17"/>
    <s v="2.35-2.88(N)"/>
    <s v="MD"/>
    <s v="17"/>
    <s v=""/>
    <n v="2.35"/>
    <n v="2.88"/>
    <s v="N"/>
    <s v="BEGIN ROUNDABOUT"/>
    <s v="E MOUNTAIN RD"/>
    <n v="1.8"/>
    <n v="0.95"/>
    <s v="UNDIVIDED"/>
    <s v="URBAN"/>
    <s v="NON-IS"/>
    <n v="16"/>
    <s v="F"/>
    <n v="254.4"/>
    <n v="252.45"/>
    <s v=""/>
    <s v=""/>
    <s v=""/>
    <n v="0.21"/>
    <n v="41"/>
    <n v="107.68"/>
    <n v="107.68"/>
    <n v="90.8"/>
    <n v="92.3"/>
    <n v="90.3"/>
    <n v="0.14000000000000001"/>
    <n v="57"/>
    <n v="75.55"/>
    <n v="75.55"/>
    <n v="100"/>
    <n v="100"/>
    <n v="100"/>
    <n v="0.12"/>
    <n v="49"/>
    <x v="5"/>
    <m/>
    <s v="Preventive Maintenance"/>
    <n v="266420.96059457085"/>
    <n v="113701.03940542915"/>
    <n v="380122"/>
    <n v="25.4"/>
    <n v="50"/>
    <n v="50"/>
    <s v=""/>
    <s v=""/>
    <n v="25.4"/>
    <s v="C"/>
    <n v="35.299999999999997"/>
    <n v="50"/>
    <n v="50"/>
    <s v=""/>
    <s v=""/>
    <n v="35.299999999999997"/>
    <n v="9.8999999999999986"/>
    <n v="4"/>
    <n v="9.4049999999999976"/>
    <n v="7.3828306804707626"/>
    <n v="7.0136891464472244"/>
    <n v="54197.155314838885"/>
    <n v="400128.42105263157"/>
    <n v="9.9"/>
    <n v="380122"/>
    <n v="380122"/>
    <n v="0"/>
    <s v=""/>
    <s v="2000"/>
    <s v="FR-MD 172.352.88N"/>
  </r>
  <r>
    <s v="eGIS Link"/>
    <n v="252"/>
    <s v="West Bound Visi-Data"/>
    <s v="34477"/>
    <n v="2017"/>
    <n v="7"/>
    <x v="27"/>
    <s v="FR"/>
    <s v="FR-MD 144FB"/>
    <s v="0-1.41(W)"/>
    <s v="MD"/>
    <s v="144"/>
    <s v="FB"/>
    <n v="0"/>
    <n v="1.41"/>
    <s v="W"/>
    <s v="IN CORP LMTS NEW MARKET"/>
    <s v="GREEN VALLEY RD"/>
    <n v="2.1"/>
    <n v="2.96"/>
    <s v="UNDIVIDED"/>
    <s v="RURAL"/>
    <s v="NON-IS"/>
    <n v="17"/>
    <s v="F"/>
    <n v="133.91"/>
    <n v="125.98"/>
    <s v=""/>
    <s v=""/>
    <s v=""/>
    <n v="0.19"/>
    <n v="49"/>
    <n v="109.81"/>
    <n v="109.81"/>
    <n v="86.525000000000006"/>
    <n v="88.7"/>
    <n v="85.8"/>
    <n v="0.16"/>
    <n v="45"/>
    <n v="76.47"/>
    <n v="76.47"/>
    <n v="100"/>
    <n v="100"/>
    <n v="100"/>
    <n v="0.14000000000000001"/>
    <n v="49"/>
    <x v="5"/>
    <m/>
    <s v="Preventive Maintenance"/>
    <n v="266302.68911718257"/>
    <n v="120435.31088281743"/>
    <n v="386738"/>
    <n v="26"/>
    <n v="32.6"/>
    <n v="32.1"/>
    <s v=""/>
    <s v=""/>
    <n v="26"/>
    <s v="C"/>
    <n v="37"/>
    <n v="43.9"/>
    <n v="42.1"/>
    <s v=""/>
    <s v=""/>
    <n v="37"/>
    <n v="11"/>
    <n v="4"/>
    <n v="32.56"/>
    <n v="8.2031452005230712"/>
    <n v="24.281309793548289"/>
    <n v="15927.394497588386"/>
    <n v="130654.72972972973"/>
    <n v="11.1"/>
    <n v="386738"/>
    <n v="386738"/>
    <n v="0"/>
    <s v=""/>
    <s v="1966"/>
    <s v="FR-MD 144FB01.41W"/>
  </r>
  <r>
    <s v="eGIS Link"/>
    <n v="183"/>
    <s v="NorthBound Visi-Data"/>
    <s v="34468"/>
    <n v="2017"/>
    <n v="7"/>
    <x v="27"/>
    <s v="FR"/>
    <s v="FR-MD 76"/>
    <s v="3.21-5.69(N)"/>
    <s v="MD"/>
    <s v="76"/>
    <s v=""/>
    <n v="3.21"/>
    <n v="5.69"/>
    <s v="N"/>
    <s v="FOUR POINTS RD"/>
    <s v="ST ANTHONYS RD (AHEAD)"/>
    <n v="2"/>
    <n v="4.96"/>
    <s v="UNDIVIDED"/>
    <s v="URBAN"/>
    <s v="NON-IS"/>
    <n v="9"/>
    <s v="FCJ"/>
    <n v="103.71"/>
    <n v="100.14"/>
    <n v="86.8"/>
    <n v="91.9"/>
    <n v="85"/>
    <n v="0.12"/>
    <n v="48"/>
    <n v="111.15"/>
    <n v="111.15"/>
    <n v="80.95"/>
    <n v="86.2"/>
    <n v="79.2"/>
    <n v="0.22"/>
    <n v="42"/>
    <n v="77.38"/>
    <n v="77.38"/>
    <n v="100"/>
    <n v="100"/>
    <n v="100"/>
    <n v="0.19"/>
    <n v="49"/>
    <x v="5"/>
    <m/>
    <s v="Preventive Maintenance"/>
    <n v="263286.61284364108"/>
    <n v="112363.38715635892"/>
    <n v="375650"/>
    <n v="24.6"/>
    <n v="50"/>
    <n v="50"/>
    <s v=""/>
    <s v=""/>
    <n v="24.6"/>
    <s v="C"/>
    <n v="34.700000000000003"/>
    <n v="50"/>
    <n v="50"/>
    <s v=""/>
    <s v=""/>
    <n v="34.700000000000003"/>
    <n v="10.100000000000001"/>
    <n v="4"/>
    <n v="50.096000000000004"/>
    <n v="7.5319787750257294"/>
    <n v="37.358614724127619"/>
    <n v="10055.244359941185"/>
    <n v="75735.887096774197"/>
    <n v="10"/>
    <n v="375650"/>
    <n v="375650"/>
    <n v="0"/>
    <s v=""/>
    <s v="2011"/>
    <s v="FR-MD 763.215.69N"/>
  </r>
  <r>
    <s v="eGIS Link"/>
    <n v="262"/>
    <s v="NorthBound Visi-Data"/>
    <s v="34484"/>
    <n v="2017"/>
    <n v="7"/>
    <x v="27"/>
    <s v="FR"/>
    <s v="FR-MD 355"/>
    <s v="7.53-8.33(N)"/>
    <s v="MD"/>
    <s v="355"/>
    <s v=""/>
    <n v="7.53"/>
    <n v="8.33"/>
    <s v="N"/>
    <s v="BEG BR"/>
    <s v="NEW TECHNOLOGY WAY"/>
    <n v="2.4"/>
    <n v="1.92"/>
    <s v="UNDIVIDED"/>
    <s v="RURAL"/>
    <s v="NON-IS"/>
    <n v="16"/>
    <s v="FCJ"/>
    <n v="95.57"/>
    <n v="102.44"/>
    <n v="97"/>
    <n v="97.8"/>
    <n v="96.8"/>
    <n v="0.18"/>
    <n v="43"/>
    <n v="116.74"/>
    <n v="116.74"/>
    <n v="88.2"/>
    <n v="89.7"/>
    <n v="87.7"/>
    <n v="0.22"/>
    <n v="37"/>
    <n v="80.069999999999993"/>
    <n v="80.069999999999993"/>
    <n v="100"/>
    <n v="100"/>
    <n v="100"/>
    <n v="0.19"/>
    <n v="49"/>
    <x v="5"/>
    <m/>
    <s v="Preventive Maintenance"/>
    <n v="191916.03225917794"/>
    <n v="86793.96774082206"/>
    <n v="278710"/>
    <n v="24.9"/>
    <n v="33.4"/>
    <n v="33.4"/>
    <s v=""/>
    <s v=""/>
    <n v="24.9"/>
    <s v="C"/>
    <n v="35.6"/>
    <n v="43.9"/>
    <n v="42.1"/>
    <s v=""/>
    <s v=""/>
    <n v="35.6"/>
    <n v="10.700000000000003"/>
    <n v="4"/>
    <n v="20.544000000000004"/>
    <n v="7.9794230586906254"/>
    <n v="15.320492272686"/>
    <n v="18191.97418981736"/>
    <n v="145161.45833333334"/>
    <n v="10.7"/>
    <n v="278710"/>
    <n v="278710"/>
    <n v="0"/>
    <s v=""/>
    <s v="2011"/>
    <s v="FR-MD 3557.538.33N"/>
  </r>
  <r>
    <s v="eGIS Link"/>
    <n v="317"/>
    <s v="NorthBound Visi-Data"/>
    <s v="34472"/>
    <n v="2017"/>
    <n v="7"/>
    <x v="27"/>
    <s v="FR"/>
    <s v="FR-MD 85"/>
    <s v="3.75-4.57(N)"/>
    <s v="MD"/>
    <s v="85"/>
    <s v=""/>
    <n v="3.75"/>
    <n v="4.57"/>
    <s v="N"/>
    <s v="ADAMSTOWN RD"/>
    <s v="FINGERBOARD RD"/>
    <n v="2"/>
    <n v="1.64"/>
    <s v="UNDIVIDED"/>
    <s v="URBAN"/>
    <s v="NON-IS"/>
    <n v="6"/>
    <s v="F"/>
    <n v="91.44"/>
    <n v="96.25"/>
    <n v="97.4"/>
    <n v="99.3"/>
    <n v="96.8"/>
    <n v="0.23"/>
    <n v="41"/>
    <n v="126.38"/>
    <n v="126.38"/>
    <n v="81.099999999999994"/>
    <n v="81.400000000000006"/>
    <n v="81"/>
    <n v="0.21"/>
    <n v="46"/>
    <n v="86.05"/>
    <n v="86.05"/>
    <n v="100"/>
    <n v="100"/>
    <n v="100"/>
    <n v="0.18"/>
    <n v="49"/>
    <x v="5"/>
    <m/>
    <s v="Preventive Maintenance"/>
    <n v="214530.40377707634"/>
    <n v="91555.596222923661"/>
    <n v="306086"/>
    <n v="16.600000000000001"/>
    <n v="37.4"/>
    <n v="43.8"/>
    <s v=""/>
    <s v=""/>
    <n v="16.600000000000001"/>
    <s v="D"/>
    <n v="24.6"/>
    <n v="48.5"/>
    <n v="50"/>
    <s v=""/>
    <s v=""/>
    <n v="24.6"/>
    <n v="8"/>
    <n v="4"/>
    <n v="13.12"/>
    <n v="5.9659237821985966"/>
    <n v="9.7841150028056987"/>
    <n v="31283.97406533208"/>
    <n v="186637.8048780488"/>
    <n v="8"/>
    <n v="306086"/>
    <n v="306086"/>
    <n v="0"/>
    <s v=""/>
    <s v="2006"/>
    <s v="FR-MD 853.754.57N"/>
  </r>
  <r>
    <s v="eGIS Link"/>
    <n v="371"/>
    <s v="SouthBound Visi-Data"/>
    <s v="34497"/>
    <n v="2017"/>
    <n v="7"/>
    <x v="27"/>
    <s v="FR"/>
    <s v="FR-MD 814"/>
    <s v="0-0.29(S)"/>
    <s v="MD"/>
    <s v="814"/>
    <s v=""/>
    <n v="0"/>
    <n v="0.28999999999999998"/>
    <s v="S"/>
    <s v=""/>
    <s v=""/>
    <n v="2"/>
    <n v="0.57999999999999996"/>
    <s v="UNDIVIDED"/>
    <s v="RURAL"/>
    <s v="NON-IS"/>
    <n v="9"/>
    <s v=""/>
    <s v=""/>
    <s v=""/>
    <s v=""/>
    <s v=""/>
    <s v=""/>
    <s v=""/>
    <s v=""/>
    <n v="99.96"/>
    <n v="99.96"/>
    <n v="86.35"/>
    <n v="87.7"/>
    <n v="85.9"/>
    <n v="0.18"/>
    <n v="42"/>
    <n v="71.12"/>
    <n v="71.12"/>
    <n v="100"/>
    <n v="100"/>
    <n v="100"/>
    <n v="0.15"/>
    <n v="49"/>
    <x v="5"/>
    <m/>
    <s v="Preventive Maintenance"/>
    <n v="356756.14221753017"/>
    <n v="161342.85778246983"/>
    <n v="518099"/>
    <n v="34.6"/>
    <n v="50"/>
    <n v="47.2"/>
    <s v=""/>
    <s v=""/>
    <n v="34.6"/>
    <s v="B"/>
    <n v="45.8"/>
    <n v="50"/>
    <n v="50"/>
    <s v=""/>
    <s v=""/>
    <n v="45.8"/>
    <n v="11.199999999999996"/>
    <n v="4"/>
    <n v="6.4959999999999969"/>
    <n v="8.3522932950780326"/>
    <n v="4.8443301111452586"/>
    <n v="106949.56539151192"/>
    <n v="893274.13793103455"/>
    <n v="11.2"/>
    <n v="518099"/>
    <n v="518099"/>
    <n v="0"/>
    <s v=""/>
    <s v=""/>
    <s v="FR-MD 81400.29S"/>
  </r>
  <r>
    <s v="eGIS Link"/>
    <n v="256"/>
    <s v="EastBound Visi-Data"/>
    <s v="34488"/>
    <n v="2017"/>
    <n v="7"/>
    <x v="27"/>
    <s v="FR"/>
    <s v="FR-MD 464"/>
    <s v="0-1.05(E)"/>
    <s v="MD"/>
    <s v="464"/>
    <s v=""/>
    <n v="0"/>
    <n v="1.05"/>
    <s v="E"/>
    <s v="BURKITTSVILLE RD"/>
    <s v="CUMMINGS DR"/>
    <n v="2.2000000000000002"/>
    <n v="2.31"/>
    <s v="UNDIVIDED"/>
    <s v="RURAL"/>
    <s v="NON-IS"/>
    <n v="7"/>
    <s v="F"/>
    <n v="187.16"/>
    <n v="207.43"/>
    <n v="83.6"/>
    <n v="87.9"/>
    <n v="82.1"/>
    <n v="0.13"/>
    <n v="31"/>
    <n v="138.57"/>
    <n v="138.57"/>
    <n v="84.924999999999997"/>
    <n v="94.6"/>
    <n v="81.7"/>
    <n v="0.2"/>
    <n v="40"/>
    <n v="91.74"/>
    <n v="91.74"/>
    <n v="100"/>
    <n v="100"/>
    <n v="100"/>
    <n v="0.17"/>
    <n v="49"/>
    <x v="5"/>
    <m/>
    <s v="Preventive Maintenance"/>
    <n v="248177.0182867196"/>
    <n v="112237.9817132804"/>
    <n v="360415"/>
    <n v="27.7"/>
    <n v="50"/>
    <n v="47.2"/>
    <s v=""/>
    <s v=""/>
    <n v="27.7"/>
    <s v="C"/>
    <n v="39.9"/>
    <n v="50"/>
    <n v="50"/>
    <s v=""/>
    <s v=""/>
    <n v="39.9"/>
    <n v="12.2"/>
    <n v="4"/>
    <n v="28.181999999999999"/>
    <n v="9.0980337678528596"/>
    <n v="21.016458003740105"/>
    <n v="17149.178988003605"/>
    <n v="156023.80952380953"/>
    <n v="12.3"/>
    <n v="360415"/>
    <n v="360415"/>
    <n v="0"/>
    <s v="SKID_30"/>
    <s v="1999"/>
    <s v="FR-MD 46401.05E"/>
  </r>
  <r>
    <s v="eGIS Link"/>
    <n v="118"/>
    <s v="West Bound Visi-Data"/>
    <s v="35002"/>
    <n v="2017"/>
    <n v="7"/>
    <x v="27"/>
    <s v="FR"/>
    <s v="FR-US 40AL"/>
    <s v="4.08-6(W)"/>
    <s v="US"/>
    <s v="40"/>
    <s v="AL"/>
    <n v="4.08"/>
    <n v="6"/>
    <s v="W"/>
    <s v="OLD HAGERSTOWN RD"/>
    <s v="LARCH LA"/>
    <n v="2.2999999999999998"/>
    <n v="4.42"/>
    <s v="UNDIVIDED"/>
    <s v="URBAN"/>
    <s v="NON-IS"/>
    <n v="14"/>
    <s v="F"/>
    <n v="183.12"/>
    <n v="183.45"/>
    <n v="83.7"/>
    <n v="88.9"/>
    <n v="82"/>
    <n v="0.22"/>
    <n v="49"/>
    <n v="136.91999999999999"/>
    <n v="136.91999999999999"/>
    <n v="84.2"/>
    <n v="86.9"/>
    <n v="83.3"/>
    <n v="0.14000000000000001"/>
    <n v="46"/>
    <n v="91.18"/>
    <n v="91.18"/>
    <n v="100"/>
    <n v="100"/>
    <n v="100"/>
    <n v="0.12"/>
    <n v="49"/>
    <x v="5"/>
    <m/>
    <s v="Preventive Maintenance"/>
    <n v="172390.52806667818"/>
    <n v="73571.471933321824"/>
    <n v="245962"/>
    <n v="18.399999999999999"/>
    <n v="50"/>
    <n v="50"/>
    <s v=""/>
    <s v=""/>
    <n v="18.399999999999999"/>
    <s v="D"/>
    <n v="30"/>
    <n v="50"/>
    <n v="50"/>
    <s v=""/>
    <s v=""/>
    <n v="30"/>
    <n v="11.600000000000001"/>
    <n v="4"/>
    <n v="51.272000000000006"/>
    <n v="8.6505894841879662"/>
    <n v="38.235605520110809"/>
    <n v="6432.7999165759566"/>
    <n v="55647.511312217197"/>
    <n v="11.7"/>
    <n v="245962"/>
    <n v="245962"/>
    <n v="0"/>
    <s v=""/>
    <s v="1986"/>
    <s v="FR-US 40AL4.086W"/>
  </r>
  <r>
    <s v="eGIS Link"/>
    <n v="324"/>
    <s v="NorthBound Visi-Data"/>
    <s v="34496"/>
    <n v="2017"/>
    <n v="7"/>
    <x v="27"/>
    <s v="FR"/>
    <s v="FR-MD 806R"/>
    <s v="0-1.01(N)"/>
    <s v="MD"/>
    <s v="806"/>
    <s v="R"/>
    <n v="0"/>
    <n v="1.01"/>
    <s v="N"/>
    <s v="CHURCH ST"/>
    <s v="RODDY CREEK RD"/>
    <n v="2.2000000000000002"/>
    <n v="2.2200000000000002"/>
    <s v="UNDIVIDED"/>
    <s v="RURAL"/>
    <s v="NON-IS"/>
    <n v="19"/>
    <s v="F"/>
    <n v="163.26"/>
    <n v="165.69"/>
    <s v=""/>
    <s v=""/>
    <s v=""/>
    <n v="0.16"/>
    <n v="54"/>
    <n v="151.63999999999999"/>
    <n v="151.63999999999999"/>
    <n v="87.424999999999997"/>
    <n v="89.3"/>
    <n v="86.8"/>
    <n v="0.14000000000000001"/>
    <n v="46"/>
    <n v="98.51"/>
    <n v="98.51"/>
    <n v="100"/>
    <n v="100"/>
    <n v="100"/>
    <n v="0.12"/>
    <n v="49"/>
    <x v="5"/>
    <m/>
    <s v="Preventive Maintenance"/>
    <n v="571731.56986365281"/>
    <n v="258565.43013634719"/>
    <n v="830297"/>
    <n v="20.2"/>
    <n v="50"/>
    <n v="48"/>
    <s v=""/>
    <s v=""/>
    <n v="20.2"/>
    <s v="C"/>
    <n v="34.4"/>
    <n v="50"/>
    <n v="50"/>
    <s v=""/>
    <s v=""/>
    <n v="34.4"/>
    <n v="14.2"/>
    <n v="4"/>
    <n v="31.524000000000001"/>
    <n v="10.58951471340251"/>
    <n v="23.508722663753574"/>
    <n v="35318.677746799738"/>
    <n v="374007.65765765763"/>
    <n v="14.3"/>
    <n v="830297"/>
    <n v="830297"/>
    <n v="0"/>
    <s v=""/>
    <s v="1988"/>
    <s v="FR-MD 806R01.01N"/>
  </r>
  <r>
    <s v="eGIS Link"/>
    <n v="235"/>
    <s v="West Bound Visi-Data"/>
    <s v="35002"/>
    <n v="2017"/>
    <n v="7"/>
    <x v="27"/>
    <s v="FR"/>
    <s v="FR-US 40AL"/>
    <s v="6-6.82(W)"/>
    <s v="US"/>
    <s v="40"/>
    <s v="AL"/>
    <n v="6"/>
    <n v="6.82"/>
    <s v="W"/>
    <s v="COBLENTZ RD"/>
    <s v="HOLLOW RD"/>
    <n v="2.7"/>
    <n v="2.21"/>
    <s v="UNDIVIDED"/>
    <s v="URBAN"/>
    <s v="NON-IS"/>
    <n v="14"/>
    <s v="F"/>
    <n v="108.41"/>
    <n v="108.94"/>
    <n v="80.7"/>
    <n v="78.900000000000006"/>
    <n v="81.400000000000006"/>
    <n v="0.19"/>
    <n v="43"/>
    <n v="105.55"/>
    <n v="105.55"/>
    <n v="82.15"/>
    <n v="82.3"/>
    <n v="82.1"/>
    <n v="0.18"/>
    <n v="45"/>
    <n v="74.42"/>
    <n v="74.42"/>
    <n v="100"/>
    <n v="100"/>
    <n v="100"/>
    <n v="0.15"/>
    <n v="49"/>
    <x v="5"/>
    <m/>
    <s v="Preventive Maintenance"/>
    <n v="158459.78211464779"/>
    <n v="67626.217885352205"/>
    <n v="226086"/>
    <n v="26"/>
    <n v="50"/>
    <n v="50"/>
    <s v=""/>
    <s v=""/>
    <n v="26"/>
    <s v="C"/>
    <n v="35.799999999999997"/>
    <n v="50"/>
    <n v="50"/>
    <s v=""/>
    <s v=""/>
    <n v="35.799999999999997"/>
    <n v="9.7999999999999972"/>
    <n v="4"/>
    <n v="21.657999999999994"/>
    <n v="7.3082566331932783"/>
    <n v="16.151247159357144"/>
    <n v="13998.052148500385"/>
    <n v="102301.35746606335"/>
    <n v="9.8000000000000007"/>
    <n v="226086"/>
    <n v="226086"/>
    <n v="0"/>
    <s v=""/>
    <s v="1979"/>
    <s v="FR-US 40AL66.82W"/>
  </r>
  <r>
    <s v="eGIS Link"/>
    <n v="43"/>
    <s v="NorthBound Visi-Data"/>
    <s v="34465"/>
    <n v="2017"/>
    <n v="7"/>
    <x v="27"/>
    <s v="FR"/>
    <s v="FR-MD 75"/>
    <s v="8.8-11.8(N)"/>
    <s v="MD"/>
    <s v="75"/>
    <s v=""/>
    <n v="8.8000000000000007"/>
    <n v="11.8"/>
    <s v="N"/>
    <s v="OLD NEW MARKET RD"/>
    <s v="DARBY RD"/>
    <n v="2.5"/>
    <n v="7.5"/>
    <s v="UNDIVIDED"/>
    <s v="RURAL"/>
    <s v="NON-IS"/>
    <n v="7"/>
    <s v="F"/>
    <n v="73.14"/>
    <n v="79.64"/>
    <n v="92.9"/>
    <n v="94.3"/>
    <n v="92.5"/>
    <n v="0.16"/>
    <n v="43"/>
    <n v="124.54"/>
    <n v="124.54"/>
    <n v="87.224999999999994"/>
    <n v="86.1"/>
    <n v="87.6"/>
    <n v="0.19"/>
    <n v="39"/>
    <n v="84.09"/>
    <n v="84.09"/>
    <n v="100"/>
    <n v="100"/>
    <n v="100"/>
    <n v="0.16"/>
    <n v="49"/>
    <x v="5"/>
    <m/>
    <s v="Preventive Maintenance"/>
    <n v="134264.78944454118"/>
    <n v="60721.21055545882"/>
    <n v="194986"/>
    <n v="26.4"/>
    <n v="50"/>
    <n v="48.8"/>
    <s v=""/>
    <s v=""/>
    <n v="26.4"/>
    <s v="C"/>
    <n v="39.9"/>
    <n v="50"/>
    <n v="50"/>
    <s v=""/>
    <s v=""/>
    <n v="39.9"/>
    <n v="13.5"/>
    <n v="4"/>
    <n v="101.25"/>
    <n v="10.067496382460131"/>
    <n v="75.50622286845099"/>
    <n v="2582.3831810486658"/>
    <n v="25998.133333333335"/>
    <n v="13.6"/>
    <n v="194986"/>
    <n v="194986"/>
    <n v="0"/>
    <s v=""/>
    <s v="2009"/>
    <s v="FR-MD 758.811.8N"/>
  </r>
  <r>
    <s v="eGIS Link"/>
    <n v="25"/>
    <s v="NorthBound Visi-Data"/>
    <s v="25901"/>
    <n v="2017"/>
    <n v="7"/>
    <x v="28"/>
    <s v="CL"/>
    <s v="CL-MD 140"/>
    <s v="14.19-16.15(N)"/>
    <s v="MD"/>
    <s v="140"/>
    <s v=""/>
    <n v="14.19"/>
    <n v="16.149999999999999"/>
    <s v="N"/>
    <s v="PLEASANT VALLEY RD"/>
    <s v="TYRONE RD"/>
    <n v="2.2000000000000002"/>
    <n v="4.3099999999999996"/>
    <s v="UNDIVIDED"/>
    <s v="URBAN"/>
    <s v="NON-IS"/>
    <n v="2"/>
    <s v="F"/>
    <n v="82.09"/>
    <n v="77.760000000000005"/>
    <n v="62.2"/>
    <n v="71.2"/>
    <n v="59.2"/>
    <n v="0.18"/>
    <n v="46"/>
    <n v="70.540000000000006"/>
    <n v="70.540000000000006"/>
    <n v="91.924999999999997"/>
    <n v="88.7"/>
    <n v="93"/>
    <n v="0.11"/>
    <n v="44"/>
    <n v="73.23"/>
    <n v="73.23"/>
    <n v="91.674999999999997"/>
    <n v="90.4"/>
    <n v="92.1"/>
    <n v="0.11"/>
    <n v="42"/>
    <x v="0"/>
    <m/>
    <s v="Preventive Maintenance"/>
    <n v="6001.6591661921966"/>
    <n v="2561.3408338078034"/>
    <n v="8563"/>
    <n v="31.2"/>
    <n v="18.3"/>
    <n v="18.399999999999999"/>
    <s v=""/>
    <s v=""/>
    <n v="18.3"/>
    <s v="D"/>
    <n v="30.8"/>
    <n v="21"/>
    <n v="18.399999999999999"/>
    <s v=""/>
    <s v=""/>
    <n v="18.399999999999999"/>
    <n v="1"/>
    <n v="1"/>
    <n v="8.6199999999999992"/>
    <n v="1.4914809455496492"/>
    <n v="6.4282828753189873"/>
    <n v="1332.0820141374197"/>
    <n v="1986.7749419953598"/>
    <n v="0"/>
    <n v="8563"/>
    <n v="8563"/>
    <n v="0"/>
    <s v=""/>
    <s v="1997"/>
    <s v="CL-MD 14014.1916.15N"/>
  </r>
  <r>
    <s v="eGIS Link"/>
    <n v="21"/>
    <s v="NorthBound Visi-Data"/>
    <s v="25878"/>
    <n v="2017"/>
    <n v="7"/>
    <x v="28"/>
    <s v="CL"/>
    <s v="CL-MD 27"/>
    <s v="0-0.75(N)"/>
    <s v="MD"/>
    <s v="27"/>
    <s v=""/>
    <n v="0"/>
    <n v="0.75"/>
    <s v="N"/>
    <s v="FREDERICK CO/L"/>
    <s v="E RIDGEVILLE BLVD"/>
    <n v="2.8"/>
    <n v="2.1"/>
    <s v="DIVIDED"/>
    <s v="RURAL"/>
    <s v="NON-IS"/>
    <n v="14"/>
    <s v="F"/>
    <n v="118.98"/>
    <n v="79.16"/>
    <n v="67.400000000000006"/>
    <n v="55.4"/>
    <n v="71.400000000000006"/>
    <n v="0.17"/>
    <n v="33"/>
    <n v="84.45"/>
    <n v="84.45"/>
    <n v="83.825000000000003"/>
    <n v="82.4"/>
    <n v="84.3"/>
    <n v="0.12"/>
    <n v="35"/>
    <n v="87.22"/>
    <n v="87.22"/>
    <n v="84.05"/>
    <n v="85.1"/>
    <n v="83.7"/>
    <n v="0.12"/>
    <n v="33"/>
    <x v="0"/>
    <m/>
    <s v="Preventive Maintenance"/>
    <n v="3553.7965716681042"/>
    <n v="1607.2034283318958"/>
    <n v="5161"/>
    <n v="41.4"/>
    <n v="32.799999999999997"/>
    <n v="35.4"/>
    <s v=""/>
    <s v=""/>
    <n v="32.799999999999997"/>
    <s v="B"/>
    <n v="41.1"/>
    <n v="36.1"/>
    <n v="35.4"/>
    <s v=""/>
    <s v=""/>
    <n v="35.4"/>
    <n v="2.6000000000000014"/>
    <n v="1"/>
    <n v="5.4600000000000035"/>
    <n v="1.9389252292145449"/>
    <n v="4.0717429813505444"/>
    <n v="1267.5161530672458"/>
    <n v="2457.6190476190477"/>
    <n v="2.7"/>
    <n v="5161"/>
    <n v="5161"/>
    <n v="0"/>
    <s v=""/>
    <s v="1994"/>
    <s v="CL-MD 2700.75N"/>
  </r>
  <r>
    <s v="eGIS Link"/>
    <n v="8"/>
    <s v="EastBound Visi-Data"/>
    <s v="25876"/>
    <n v="2017"/>
    <n v="7"/>
    <x v="28"/>
    <s v="CL"/>
    <s v="CL-MD 26"/>
    <s v="3.5-6.45(E)"/>
    <s v="MD"/>
    <s v="26"/>
    <s v=""/>
    <n v="3.5"/>
    <n v="6.45"/>
    <s v="E"/>
    <s v="WOODBINE RD"/>
    <s v="RAMP 6 FR MD26 TO MD97"/>
    <n v="2.2999999999999998"/>
    <n v="6.78"/>
    <s v="UNDIVIDED"/>
    <s v="URBAN"/>
    <s v="NON-IS"/>
    <n v="6"/>
    <s v="F"/>
    <n v="88.4"/>
    <n v="86.69"/>
    <n v="87.4"/>
    <n v="85.7"/>
    <n v="87.9"/>
    <n v="0.15"/>
    <n v="39"/>
    <n v="82.28"/>
    <n v="82.28"/>
    <n v="84.15"/>
    <n v="86.1"/>
    <n v="83.5"/>
    <n v="0.17"/>
    <n v="43"/>
    <n v="85.41"/>
    <n v="85.41"/>
    <n v="83.35"/>
    <n v="87.7"/>
    <n v="81.900000000000006"/>
    <n v="0.17"/>
    <n v="41"/>
    <x v="0"/>
    <m/>
    <s v="Preventive Maintenance"/>
    <n v="4400.8429177298613"/>
    <n v="1878.1570822701387"/>
    <n v="6279"/>
    <n v="44.4"/>
    <n v="32.1"/>
    <n v="29.3"/>
    <s v=""/>
    <s v=""/>
    <n v="29.3"/>
    <s v="C"/>
    <n v="44.2"/>
    <n v="34.200000000000003"/>
    <n v="29.3"/>
    <s v=""/>
    <s v=""/>
    <n v="29.3"/>
    <n v="1"/>
    <n v="1"/>
    <n v="13.56"/>
    <n v="1.4914809455496492"/>
    <n v="10.112240810826622"/>
    <n v="620.9306243258585"/>
    <n v="926.1061946902654"/>
    <n v="0"/>
    <n v="6279"/>
    <n v="6279"/>
    <n v="0"/>
    <s v=""/>
    <s v="1990"/>
    <s v="CL-MD 263.56.45E"/>
  </r>
  <r>
    <s v="eGIS Link"/>
    <n v="375"/>
    <s v="West Bound Visi-Data"/>
    <s v="26311"/>
    <n v="2017"/>
    <n v="7"/>
    <x v="28"/>
    <s v="CL"/>
    <s v="CL-MD 140 RP2-10"/>
    <s v="0-0.3(W)"/>
    <s v="MD"/>
    <s v="140"/>
    <s v=""/>
    <n v="0"/>
    <n v="0.3"/>
    <s v="W"/>
    <s v=""/>
    <s v=""/>
    <n v="1"/>
    <n v="0.3"/>
    <s v="UNDIVIDED"/>
    <s v="RURAL"/>
    <s v="NON-IS"/>
    <n v="14"/>
    <s v=""/>
    <s v=""/>
    <s v=""/>
    <s v=""/>
    <s v=""/>
    <s v=""/>
    <s v=""/>
    <n v="29"/>
    <n v="126.28"/>
    <n v="126.28"/>
    <n v="70.125"/>
    <n v="65.099999999999994"/>
    <n v="71.8"/>
    <n v="0.15"/>
    <n v="43"/>
    <n v="66.900000000000006"/>
    <n v="66.900000000000006"/>
    <n v="100"/>
    <n v="100"/>
    <n v="100"/>
    <n v="0.08"/>
    <n v="49"/>
    <x v="1"/>
    <m/>
    <s v="Minor Rehabilitation"/>
    <n v="518611.91690333647"/>
    <n v="234542.08309666353"/>
    <n v="753154"/>
    <n v="10.199999999999999"/>
    <n v="5.5"/>
    <n v="11.5"/>
    <s v=""/>
    <s v=""/>
    <n v="5.5"/>
    <s v="E"/>
    <n v="32.5"/>
    <n v="40.799999999999997"/>
    <n v="37.700000000000003"/>
    <s v=""/>
    <s v=""/>
    <n v="32.5"/>
    <n v="27"/>
    <n v="6"/>
    <n v="8.1"/>
    <n v="20.134992764920263"/>
    <n v="6.0404978294760783"/>
    <n v="124684.09413621538"/>
    <n v="2510513.3333333335"/>
    <n v="27"/>
    <n v="753154"/>
    <n v="753154"/>
    <n v="0"/>
    <s v=""/>
    <s v=""/>
    <s v="CL-MD 140 RP2-1000.3W"/>
  </r>
  <r>
    <s v="eGIS Link"/>
    <n v="376"/>
    <s v="NorthBound Visi-Data"/>
    <s v="26303"/>
    <n v="2017"/>
    <n v="7"/>
    <x v="28"/>
    <s v="CL"/>
    <s v="CL-MD 140 RP1-10"/>
    <s v="0-0.23(N)"/>
    <s v="MD"/>
    <s v="140"/>
    <s v=""/>
    <n v="0"/>
    <n v="0.23"/>
    <s v="N"/>
    <s v=""/>
    <s v=""/>
    <n v="1"/>
    <n v="0.23"/>
    <s v="UNDIVIDED"/>
    <s v="RURAL"/>
    <s v="NON-IS"/>
    <n v="14"/>
    <s v=""/>
    <s v=""/>
    <s v=""/>
    <s v=""/>
    <s v=""/>
    <s v=""/>
    <s v=""/>
    <s v=""/>
    <n v="87.71"/>
    <n v="87.71"/>
    <n v="60.024999999999999"/>
    <n v="68.5"/>
    <n v="57.2"/>
    <n v="0.18"/>
    <n v="46"/>
    <n v="46.23"/>
    <n v="46.23"/>
    <n v="100"/>
    <n v="100"/>
    <n v="100"/>
    <n v="0.08"/>
    <n v="49"/>
    <x v="2"/>
    <m/>
    <s v="Structural Overlay"/>
    <n v="695208.95820535487"/>
    <n v="314408.04179464513"/>
    <n v="1009617"/>
    <n v="25.5"/>
    <n v="20.6"/>
    <n v="2.8"/>
    <s v=""/>
    <s v=""/>
    <n v="2.8"/>
    <s v="E"/>
    <n v="50"/>
    <n v="50"/>
    <n v="50"/>
    <s v=""/>
    <s v=""/>
    <n v="50"/>
    <n v="47.2"/>
    <n v="6"/>
    <n v="10.856000000000002"/>
    <n v="35.198950314971725"/>
    <n v="8.0957585724434971"/>
    <n v="124709.37602271815"/>
    <n v="4389639.1304347822"/>
    <n v="57"/>
    <n v="1009617"/>
    <n v="1009617"/>
    <n v="0"/>
    <s v=""/>
    <s v=""/>
    <s v="CL-MD 140 RP1-1000.23N"/>
  </r>
  <r>
    <s v="eGIS Link"/>
    <n v="157"/>
    <s v="SouthBound Visi-Data"/>
    <s v="25900"/>
    <n v="2017"/>
    <n v="7"/>
    <x v="28"/>
    <s v="CL"/>
    <s v="CL-MD 97"/>
    <s v="19.92-21.15(S)"/>
    <s v="MD"/>
    <s v="97"/>
    <s v=""/>
    <n v="19.920000000000002"/>
    <n v="21.15"/>
    <s v="S"/>
    <s v="BACHMANS VALLEY RD"/>
    <s v="JOHN OWINGS RD"/>
    <n v="2.2999999999999998"/>
    <n v="2.83"/>
    <s v="UNDIVIDED"/>
    <s v="URBAN"/>
    <s v="NON-IS"/>
    <n v="6"/>
    <s v="FCJ"/>
    <n v="118.27"/>
    <n v="112.01"/>
    <n v="88.4"/>
    <n v="91"/>
    <n v="87.5"/>
    <n v="0.11"/>
    <n v="50"/>
    <n v="85.91"/>
    <n v="85.91"/>
    <n v="71.75"/>
    <n v="82.7"/>
    <n v="68.099999999999994"/>
    <n v="0.12"/>
    <n v="44"/>
    <n v="46.09"/>
    <n v="46.09"/>
    <n v="100"/>
    <n v="100"/>
    <n v="100"/>
    <n v="0.08"/>
    <n v="49"/>
    <x v="2"/>
    <m/>
    <s v="Structural Overlay"/>
    <n v="298787.72694920772"/>
    <n v="127514.27305079228"/>
    <n v="426302"/>
    <n v="26.4"/>
    <n v="50"/>
    <n v="36.9"/>
    <s v=""/>
    <s v=""/>
    <n v="26.4"/>
    <s v="C"/>
    <n v="50"/>
    <n v="50"/>
    <n v="50"/>
    <s v=""/>
    <s v=""/>
    <n v="50"/>
    <n v="23.6"/>
    <n v="6"/>
    <n v="66.788000000000011"/>
    <n v="17.599475157485863"/>
    <n v="49.806514695684996"/>
    <n v="8559.1614391145667"/>
    <n v="150636.74911660777"/>
    <n v="25.4"/>
    <n v="426302"/>
    <n v="426302"/>
    <n v="0"/>
    <s v=""/>
    <s v="1990"/>
    <s v="CL-MD 9719.9221.15S"/>
  </r>
  <r>
    <s v="eGIS Link"/>
    <n v="48"/>
    <s v="SouthBound Visi-Data"/>
    <s v="25900"/>
    <n v="2017"/>
    <n v="7"/>
    <x v="28"/>
    <s v="CL"/>
    <s v="CL-MD 97"/>
    <s v="21.15-23.74(S)"/>
    <s v="MD"/>
    <s v="97"/>
    <s v=""/>
    <n v="21.15"/>
    <n v="23.74"/>
    <s v="S"/>
    <s v="PLANKWOOD RD"/>
    <s v="OLD HANOVER RD"/>
    <n v="2.2000000000000002"/>
    <n v="5.7"/>
    <s v="UNDIVIDED"/>
    <s v="URBAN"/>
    <s v="NON-IS"/>
    <n v="6"/>
    <s v="FCJ"/>
    <n v="119.23"/>
    <n v="118.53"/>
    <n v="93.7"/>
    <n v="91.4"/>
    <n v="94.4"/>
    <n v="0.14000000000000001"/>
    <n v="43"/>
    <n v="97.62"/>
    <n v="97.62"/>
    <n v="74.724999999999994"/>
    <n v="78.099999999999994"/>
    <n v="73.599999999999994"/>
    <n v="0.16"/>
    <n v="37"/>
    <n v="48.24"/>
    <n v="48.24"/>
    <n v="100"/>
    <n v="100"/>
    <n v="100"/>
    <n v="0.08"/>
    <n v="49"/>
    <x v="2"/>
    <m/>
    <s v="Structural Overlay"/>
    <n v="245388.16952622312"/>
    <n v="104724.83047377688"/>
    <n v="350113"/>
    <n v="22.9"/>
    <n v="50"/>
    <n v="48.8"/>
    <s v=""/>
    <s v=""/>
    <n v="22.9"/>
    <s v="C"/>
    <n v="50"/>
    <n v="50"/>
    <n v="50"/>
    <s v=""/>
    <s v=""/>
    <n v="50"/>
    <n v="27.1"/>
    <n v="6"/>
    <n v="154.47"/>
    <n v="20.209566812197746"/>
    <n v="115.19453082952715"/>
    <n v="3039.3196402537674"/>
    <n v="61423.333333333328"/>
    <n v="27.5"/>
    <n v="350113"/>
    <n v="350113"/>
    <n v="0"/>
    <s v=""/>
    <s v="1991"/>
    <s v="CL-MD 9721.1523.74S"/>
  </r>
  <r>
    <s v="eGIS Link"/>
    <n v="59"/>
    <s v="SouthBound Visi-Data"/>
    <s v="25900"/>
    <n v="2017"/>
    <n v="7"/>
    <x v="28"/>
    <s v="CL"/>
    <s v="CL-MD 97"/>
    <s v="0-3.9(S)"/>
    <s v="MD"/>
    <s v="97"/>
    <s v=""/>
    <n v="0"/>
    <n v="3.9"/>
    <s v="S"/>
    <s v="HOWARD CO/L"/>
    <s v="BLANKNER RD"/>
    <n v="2.1"/>
    <n v="8.19"/>
    <s v="UNDIVIDED"/>
    <s v="RURAL"/>
    <s v="NON-IS"/>
    <n v="7"/>
    <s v="F"/>
    <n v="163.78"/>
    <n v="165.94"/>
    <n v="82.6"/>
    <n v="90.8"/>
    <n v="79.8"/>
    <n v="0.12"/>
    <n v="45"/>
    <n v="97.16"/>
    <n v="97.16"/>
    <n v="84.2"/>
    <n v="83.6"/>
    <n v="84.4"/>
    <n v="0.22"/>
    <n v="43"/>
    <n v="106.07"/>
    <n v="106.07"/>
    <n v="97.075000000000003"/>
    <n v="99.1"/>
    <n v="96.4"/>
    <n v="0.22"/>
    <n v="55"/>
    <x v="4"/>
    <m/>
    <s v="Preventive Maintenance"/>
    <n v="119442.95817053305"/>
    <n v="54018.041829466951"/>
    <n v="173461"/>
    <n v="25.7"/>
    <n v="27.6"/>
    <n v="21.2"/>
    <s v=""/>
    <s v=""/>
    <n v="21.2"/>
    <s v="C"/>
    <n v="27.5"/>
    <n v="37.700000000000003"/>
    <n v="28.1"/>
    <s v=""/>
    <s v=""/>
    <n v="27.5"/>
    <n v="6.3000000000000007"/>
    <n v="4"/>
    <n v="65.52"/>
    <n v="5.9659237821985966"/>
    <n v="48.860915776206504"/>
    <n v="3550.0971941354651"/>
    <n v="21179.609279609282"/>
    <n v="6.3"/>
    <n v="173461"/>
    <n v="173461"/>
    <n v="0"/>
    <s v=""/>
    <s v="1993"/>
    <s v="CL-MD 9703.9S"/>
  </r>
  <r>
    <s v="eGIS Link"/>
    <n v="429"/>
    <s v="West Bound Visi-Data"/>
    <s v="26293"/>
    <n v="2017"/>
    <n v="7"/>
    <x v="28"/>
    <s v="CL"/>
    <s v="CL-MD 26 RP7-6"/>
    <s v="0-0.01(W)"/>
    <s v="MD"/>
    <s v="26"/>
    <s v=""/>
    <n v="0"/>
    <n v="0.01"/>
    <s v="W"/>
    <s v=""/>
    <s v=""/>
    <n v="1"/>
    <n v="0.01"/>
    <s v="UNDIVIDED"/>
    <s v="RURAL"/>
    <s v="NON-IS"/>
    <n v="6"/>
    <s v=""/>
    <s v=""/>
    <s v=""/>
    <s v=""/>
    <s v=""/>
    <s v=""/>
    <s v=""/>
    <s v=""/>
    <n v="98.6"/>
    <n v="98.6"/>
    <n v="84.525000000000006"/>
    <n v="81.3"/>
    <n v="85.6"/>
    <n v="0.18"/>
    <n v="42"/>
    <n v="106.26"/>
    <n v="106.26"/>
    <n v="97.5"/>
    <n v="99"/>
    <n v="97"/>
    <n v="0.18"/>
    <n v="55"/>
    <x v="4"/>
    <m/>
    <s v="Preventive Maintenance"/>
    <n v="69207.106807222342"/>
    <n v="31298.893192777658"/>
    <n v="100506"/>
    <n v="37"/>
    <n v="31.7"/>
    <n v="37.299999999999997"/>
    <s v=""/>
    <s v=""/>
    <n v="31.7"/>
    <s v="B"/>
    <n v="38"/>
    <n v="46.2"/>
    <n v="49"/>
    <s v=""/>
    <s v=""/>
    <n v="38"/>
    <n v="6.3000000000000007"/>
    <n v="4"/>
    <n v="0.08"/>
    <n v="5.9659237821985966"/>
    <n v="5.9659237821985969E-2"/>
    <n v="1684667.8514381044"/>
    <n v="10050600"/>
    <n v="6.3"/>
    <n v="100506"/>
    <n v="100506"/>
    <n v="0"/>
    <s v=""/>
    <s v=""/>
    <s v="CL-MD 26 RP7-600.01W"/>
  </r>
  <r>
    <s v="eGIS Link"/>
    <n v="360"/>
    <s v="NorthBound Visi-Data"/>
    <s v="25910"/>
    <n v="2017"/>
    <n v="7"/>
    <x v="28"/>
    <s v="CL"/>
    <s v="CL-MD 668"/>
    <s v="0-0.135(N)"/>
    <s v="MD"/>
    <s v="668"/>
    <s v=""/>
    <n v="0"/>
    <n v="0.13500000000000001"/>
    <s v="N"/>
    <s v=""/>
    <s v=""/>
    <n v="2"/>
    <n v="0.27"/>
    <s v="UNDIVIDED"/>
    <s v="RURAL"/>
    <s v="NON-IS"/>
    <n v="9"/>
    <s v=""/>
    <s v=""/>
    <s v=""/>
    <s v=""/>
    <s v=""/>
    <s v=""/>
    <s v=""/>
    <s v=""/>
    <n v="73.81"/>
    <n v="73.81"/>
    <n v="69.05"/>
    <n v="82.7"/>
    <n v="64.5"/>
    <n v="0.2"/>
    <n v="50"/>
    <n v="56.32"/>
    <n v="56.32"/>
    <n v="100"/>
    <n v="100"/>
    <n v="100"/>
    <n v="0.2"/>
    <n v="49"/>
    <x v="8"/>
    <m/>
    <s v="Minor Rehabilitation"/>
    <n v="290597.40925699932"/>
    <n v="131422.59074300068"/>
    <n v="422020"/>
    <n v="45.6"/>
    <n v="50"/>
    <n v="21.7"/>
    <s v=""/>
    <s v=""/>
    <n v="21.7"/>
    <s v="C"/>
    <n v="50"/>
    <n v="50"/>
    <n v="50"/>
    <s v=""/>
    <s v=""/>
    <n v="50"/>
    <n v="28.3"/>
    <n v="4"/>
    <n v="7.6410000000000009"/>
    <n v="21.104455379527536"/>
    <n v="5.6982029524724354"/>
    <n v="74061.94611178014"/>
    <n v="1563037.0370370368"/>
    <n v="34.4"/>
    <n v="422020"/>
    <n v="422020"/>
    <n v="0"/>
    <s v=""/>
    <s v=""/>
    <s v="CL-MD 66800.135N"/>
  </r>
  <r>
    <s v="eGIS Link"/>
    <n v="400"/>
    <s v="West Bound Visi-Data"/>
    <s v="26292"/>
    <n v="2017"/>
    <n v="7"/>
    <x v="28"/>
    <s v="CL"/>
    <s v="CL-MD 26 RP5-6"/>
    <s v="0-0.06(W)"/>
    <s v="MD"/>
    <s v="26"/>
    <s v=""/>
    <n v="0"/>
    <n v="0.06"/>
    <s v="W"/>
    <s v=""/>
    <s v=""/>
    <n v="1"/>
    <n v="0.06"/>
    <s v="UNDIVIDED"/>
    <s v="RURAL"/>
    <s v="NON-IS"/>
    <n v="6"/>
    <s v=""/>
    <s v=""/>
    <s v=""/>
    <s v=""/>
    <s v=""/>
    <s v=""/>
    <s v=""/>
    <s v=""/>
    <n v="117.27"/>
    <n v="117.27"/>
    <n v="67.650000000000006"/>
    <n v="66.599999999999994"/>
    <n v="68"/>
    <n v="0.13"/>
    <n v="44"/>
    <n v="77.430000000000007"/>
    <n v="77.430000000000007"/>
    <n v="100"/>
    <n v="100"/>
    <n v="100"/>
    <n v="0.13"/>
    <n v="49"/>
    <x v="8"/>
    <m/>
    <s v="Minor Rehabilitation"/>
    <n v="228532.32493405163"/>
    <n v="103353.67506594837"/>
    <n v="331886"/>
    <n v="28.8"/>
    <n v="20.8"/>
    <n v="50"/>
    <s v=""/>
    <s v=""/>
    <n v="20.8"/>
    <s v="C"/>
    <n v="45.8"/>
    <n v="46.8"/>
    <n v="50"/>
    <s v=""/>
    <s v=""/>
    <n v="45.8"/>
    <n v="24.999999999999996"/>
    <n v="4"/>
    <n v="1.4999999999999998"/>
    <n v="18.643511819370612"/>
    <n v="1.1186107091622366"/>
    <n v="296694.81731366587"/>
    <n v="5531433.333333334"/>
    <n v="25"/>
    <n v="331886"/>
    <n v="331886"/>
    <n v="0"/>
    <s v=""/>
    <s v=""/>
    <s v="CL-MD 26 RP5-600.06W"/>
  </r>
  <r>
    <s v="eGIS Link"/>
    <n v="245"/>
    <s v="NorthBound Visi-Data"/>
    <s v="25900"/>
    <n v="2017"/>
    <n v="7"/>
    <x v="28"/>
    <s v="CL"/>
    <s v="CL-MD 97"/>
    <s v="23.74-26(N)"/>
    <s v="MD"/>
    <s v="97"/>
    <s v=""/>
    <n v="23.74"/>
    <n v="26"/>
    <s v="N"/>
    <s v="OLD HANOVER RD"/>
    <s v="STRUC #6030 SILVER RUN"/>
    <n v="2"/>
    <n v="4.5199999999999996"/>
    <s v="UNDIVIDED"/>
    <s v="URBAN"/>
    <s v="NON-IS"/>
    <n v="6"/>
    <s v="FCJ"/>
    <n v="116.69"/>
    <n v="116.42"/>
    <n v="82.4"/>
    <n v="82.8"/>
    <n v="82.3"/>
    <n v="0.12"/>
    <n v="43"/>
    <n v="74.78"/>
    <n v="74.78"/>
    <n v="86.974999999999994"/>
    <n v="87.2"/>
    <n v="86.9"/>
    <n v="0.19"/>
    <n v="38"/>
    <n v="58.49"/>
    <n v="58.49"/>
    <n v="100"/>
    <n v="100"/>
    <n v="100"/>
    <n v="0.16"/>
    <n v="49"/>
    <x v="5"/>
    <m/>
    <s v="Preventive Maintenance"/>
    <n v="283718.04649465927"/>
    <n v="121082.95350534073"/>
    <n v="404801"/>
    <n v="29.9"/>
    <n v="50"/>
    <n v="50"/>
    <s v=""/>
    <s v=""/>
    <n v="29.9"/>
    <s v="C"/>
    <n v="35.5"/>
    <n v="50"/>
    <n v="50"/>
    <s v=""/>
    <s v=""/>
    <n v="35.5"/>
    <n v="5.6000000000000014"/>
    <n v="4"/>
    <n v="36.159999999999997"/>
    <n v="5.9659237821985966"/>
    <n v="26.965975495537656"/>
    <n v="15011.546682855464"/>
    <n v="89557.743362831869"/>
    <n v="5.6"/>
    <n v="404801"/>
    <n v="404801"/>
    <n v="0"/>
    <s v=""/>
    <s v="1991"/>
    <s v="CL-MD 9723.7426N"/>
  </r>
  <r>
    <s v="eGIS Link"/>
    <n v="205"/>
    <s v="West Bound Visi-Data"/>
    <s v="25890"/>
    <n v="2017"/>
    <n v="7"/>
    <x v="28"/>
    <s v="CL"/>
    <s v="CL-MD 31"/>
    <s v="6.1-7.85(W)"/>
    <s v="MD"/>
    <s v="31"/>
    <s v=""/>
    <n v="6.1"/>
    <n v="7.85"/>
    <s v="W"/>
    <s v="MEDFORD RD"/>
    <s v="STONE CHAPEL RD"/>
    <n v="2.6"/>
    <n v="4.55"/>
    <s v="UNDIVIDED"/>
    <s v="URBAN"/>
    <s v="NON-IS"/>
    <n v="6"/>
    <s v="F"/>
    <n v="69.95"/>
    <n v="68.7"/>
    <n v="100"/>
    <n v="100"/>
    <n v="100"/>
    <n v="0.09"/>
    <n v="48"/>
    <n v="107.61"/>
    <n v="107.61"/>
    <n v="89.9"/>
    <n v="90.5"/>
    <n v="89.7"/>
    <n v="0.19"/>
    <n v="43"/>
    <n v="75.42"/>
    <n v="75.42"/>
    <n v="100"/>
    <n v="100"/>
    <n v="100"/>
    <n v="0.16"/>
    <n v="49"/>
    <x v="5"/>
    <m/>
    <s v="Preventive Maintenance"/>
    <n v="246291.60741775902"/>
    <n v="105110.39258224098"/>
    <n v="351402"/>
    <n v="26.6"/>
    <n v="50"/>
    <n v="50"/>
    <s v=""/>
    <s v=""/>
    <n v="26.6"/>
    <s v="C"/>
    <n v="35.4"/>
    <n v="50"/>
    <n v="50"/>
    <s v=""/>
    <s v=""/>
    <n v="35.4"/>
    <n v="8.7999999999999972"/>
    <n v="4"/>
    <n v="40.039999999999985"/>
    <n v="6.562516160418455"/>
    <n v="29.859448529903968"/>
    <n v="11768.536168646051"/>
    <n v="77231.208791208788"/>
    <n v="8.6999999999999993"/>
    <n v="351402"/>
    <n v="351402"/>
    <n v="0"/>
    <s v=""/>
    <s v="2009"/>
    <s v="CL-MD 316.17.85W"/>
  </r>
  <r>
    <s v="eGIS Link"/>
    <n v="93"/>
    <s v="EastBound Visi-Data"/>
    <s v="25906"/>
    <n v="2017"/>
    <n v="7"/>
    <x v="28"/>
    <s v="CL"/>
    <s v="CL-MD 407"/>
    <s v="0-2.3(E)"/>
    <s v="MD"/>
    <s v="407"/>
    <s v=""/>
    <n v="0"/>
    <n v="2.2999999999999998"/>
    <s v="E"/>
    <s v="NEW WINDSOR RD"/>
    <s v="BOWERSOX RD"/>
    <n v="2"/>
    <n v="4.5999999999999996"/>
    <s v="UNDIVIDED"/>
    <s v="URBAN"/>
    <s v="NON-IS"/>
    <n v="7"/>
    <s v="FCJ"/>
    <n v="82.54"/>
    <n v="85.8"/>
    <n v="79.900000000000006"/>
    <n v="83.7"/>
    <n v="78.599999999999994"/>
    <n v="0.18"/>
    <n v="48"/>
    <n v="78.239999999999995"/>
    <n v="78.239999999999995"/>
    <n v="92.4"/>
    <n v="93.9"/>
    <n v="91.9"/>
    <n v="0.2"/>
    <n v="36"/>
    <n v="60.31"/>
    <n v="60.31"/>
    <n v="100"/>
    <n v="100"/>
    <n v="100"/>
    <n v="0.17"/>
    <n v="49"/>
    <x v="5"/>
    <m/>
    <s v="Preventive Maintenance"/>
    <n v="104767.25569347698"/>
    <n v="44711.744306523018"/>
    <n v="149479"/>
    <n v="28.5"/>
    <n v="50"/>
    <n v="50"/>
    <s v=""/>
    <s v=""/>
    <n v="28.5"/>
    <s v="C"/>
    <n v="34.700000000000003"/>
    <n v="50"/>
    <n v="50"/>
    <s v=""/>
    <s v=""/>
    <n v="34.700000000000003"/>
    <n v="6.2000000000000028"/>
    <n v="4"/>
    <n v="36.799999999999997"/>
    <n v="5.9659237821985966"/>
    <n v="27.443249398113544"/>
    <n v="5446.8404171655866"/>
    <n v="32495.4347826087"/>
    <n v="6.2"/>
    <n v="149479"/>
    <n v="149479"/>
    <n v="0"/>
    <s v=""/>
    <s v="2007"/>
    <s v="CL-MD 40702.3E"/>
  </r>
  <r>
    <s v="eGIS Link"/>
    <n v="283"/>
    <s v="SouthBound Visi-Data"/>
    <s v="25901"/>
    <n v="2017"/>
    <n v="7"/>
    <x v="28"/>
    <s v="CL"/>
    <s v="CL-MD 140"/>
    <s v="8.94-10.04(S)"/>
    <s v="MD"/>
    <s v="140"/>
    <s v=""/>
    <n v="8.94"/>
    <n v="10.039999999999999"/>
    <s v="S"/>
    <s v="SPUR FR CENTER ST"/>
    <s v="SULLIVAN RD"/>
    <n v="4.0999999999999996"/>
    <n v="4.51"/>
    <s v="DIVIDED"/>
    <s v="URBAN"/>
    <s v="NON-IS"/>
    <n v="14"/>
    <s v="FCJ"/>
    <n v="117.78"/>
    <n v="75.59"/>
    <n v="96.7"/>
    <n v="95.8"/>
    <n v="97"/>
    <n v="0.2"/>
    <n v="51"/>
    <n v="128.91999999999999"/>
    <n v="128.91999999999999"/>
    <n v="91.224999999999994"/>
    <n v="89.5"/>
    <n v="91.8"/>
    <n v="0.24"/>
    <n v="38"/>
    <n v="88.07"/>
    <n v="88.07"/>
    <n v="100"/>
    <n v="100"/>
    <n v="100"/>
    <n v="0.2"/>
    <n v="49"/>
    <x v="5"/>
    <m/>
    <s v="Preventive Maintenance"/>
    <n v="392376.60333150881"/>
    <n v="167455.39666849119"/>
    <n v="559832"/>
    <n v="11.9"/>
    <n v="40.700000000000003"/>
    <n v="49.9"/>
    <s v=""/>
    <s v=""/>
    <n v="11.9"/>
    <s v="D"/>
    <n v="18.7"/>
    <n v="47.1"/>
    <n v="50"/>
    <s v=""/>
    <s v=""/>
    <n v="18.7"/>
    <n v="6.7999999999999989"/>
    <n v="4"/>
    <n v="36.08"/>
    <n v="5.9659237821985966"/>
    <n v="26.90631625771567"/>
    <n v="20806.712990280201"/>
    <n v="124131.26385809314"/>
    <n v="6.8"/>
    <n v="559832"/>
    <n v="559832"/>
    <n v="0"/>
    <s v=""/>
    <s v="2006"/>
    <s v="CL-MD 1408.9410.04S"/>
  </r>
  <r>
    <s v="eGIS Link"/>
    <n v="166"/>
    <s v="West Bound Visi-Data"/>
    <s v="25875"/>
    <n v="2017"/>
    <n v="7"/>
    <x v="28"/>
    <s v="CL"/>
    <s v="CL-IS 70"/>
    <s v="0-1.61(W)"/>
    <s v="IS"/>
    <s v="70"/>
    <s v=""/>
    <n v="0"/>
    <n v="1.61"/>
    <s v="W"/>
    <s v="FREDERICK CO/L"/>
    <s v="HOWARD CO/L"/>
    <n v="3.1"/>
    <n v="4.99"/>
    <s v="DIVIDED"/>
    <s v="URBAN"/>
    <s v="IS"/>
    <n v="11"/>
    <s v="F"/>
    <n v="52.52"/>
    <n v="64.930000000000007"/>
    <n v="96.4"/>
    <n v="91.6"/>
    <n v="97.9"/>
    <n v="0.11"/>
    <n v="46"/>
    <n v="58.55"/>
    <n v="58.55"/>
    <n v="92.625"/>
    <n v="93.3"/>
    <n v="92.4"/>
    <n v="0.12"/>
    <n v="50"/>
    <n v="49.62"/>
    <n v="49.62"/>
    <n v="100"/>
    <n v="100"/>
    <n v="100"/>
    <n v="0.1"/>
    <n v="49"/>
    <x v="5"/>
    <m/>
    <s v="Preventive Maintenance"/>
    <n v="187142.00774329234"/>
    <n v="79866.992256707657"/>
    <n v="267009"/>
    <n v="50"/>
    <n v="24.2"/>
    <n v="20.8"/>
    <s v=""/>
    <s v=""/>
    <n v="20.8"/>
    <s v="C"/>
    <n v="50"/>
    <n v="32.1"/>
    <n v="28.3"/>
    <s v=""/>
    <s v=""/>
    <n v="28.3"/>
    <n v="7.5"/>
    <n v="4"/>
    <n v="39.92"/>
    <n v="5.9659237821985966"/>
    <n v="29.769959673170998"/>
    <n v="8969.0749645398864"/>
    <n v="53508.817635270541"/>
    <n v="7.5"/>
    <n v="267009"/>
    <n v="267009"/>
    <n v="0"/>
    <s v=""/>
    <s v="2002"/>
    <s v="CL-IS 7001.61W"/>
  </r>
  <r>
    <s v="eGIS Link"/>
    <n v="259"/>
    <s v="NorthBound Visi-Data"/>
    <s v="25878"/>
    <n v="2017"/>
    <n v="7"/>
    <x v="28"/>
    <s v="CL"/>
    <s v="CL-MD 27"/>
    <s v="0.75-2.2(N)"/>
    <s v="MD"/>
    <s v="27"/>
    <s v=""/>
    <n v="0.75"/>
    <n v="2.2000000000000002"/>
    <s v="N"/>
    <s v="SPUR FR E.RIDGEVILLE BLVD"/>
    <s v="CENTER ST"/>
    <n v="3.1"/>
    <n v="4.5"/>
    <s v="UNDIVIDED"/>
    <s v="URBAN"/>
    <s v="NON-IS"/>
    <n v="14"/>
    <s v="F"/>
    <n v="92.63"/>
    <n v="91.88"/>
    <n v="95.1"/>
    <n v="93.7"/>
    <n v="95.6"/>
    <n v="0.23"/>
    <n v="45"/>
    <n v="135.49"/>
    <n v="135.49"/>
    <n v="85.15"/>
    <n v="83.2"/>
    <n v="85.8"/>
    <n v="0.17"/>
    <n v="33"/>
    <n v="90.73"/>
    <n v="90.73"/>
    <n v="100"/>
    <n v="100"/>
    <n v="100"/>
    <n v="0.14000000000000001"/>
    <n v="49"/>
    <x v="5"/>
    <m/>
    <s v="Preventive Maintenance"/>
    <n v="405900.83727648656"/>
    <n v="173227.16272351344"/>
    <n v="579128"/>
    <n v="14.9"/>
    <n v="50"/>
    <n v="50"/>
    <s v=""/>
    <s v=""/>
    <n v="14.9"/>
    <s v="D"/>
    <n v="24.8"/>
    <n v="50"/>
    <n v="50"/>
    <s v=""/>
    <s v=""/>
    <n v="24.8"/>
    <n v="9.9"/>
    <n v="4"/>
    <n v="44.550000000000004"/>
    <n v="7.3828306804707644"/>
    <n v="33.222738062118438"/>
    <n v="17431.675827476094"/>
    <n v="128695.11111111111"/>
    <n v="9.8000000000000007"/>
    <n v="579128"/>
    <n v="579128"/>
    <n v="0"/>
    <s v=""/>
    <s v="2011"/>
    <s v="CL-MD 270.752.2N"/>
  </r>
  <r>
    <s v="eGIS Link"/>
    <n v="131"/>
    <s v="SouthBound Visi-Data"/>
    <s v="25900"/>
    <n v="2017"/>
    <n v="7"/>
    <x v="28"/>
    <s v="CL"/>
    <s v="CL-MD 97"/>
    <s v="23.74-26(S)"/>
    <s v="MD"/>
    <s v="97"/>
    <s v=""/>
    <n v="23.74"/>
    <n v="26"/>
    <s v="S"/>
    <s v="OLD HANOVER RD"/>
    <s v="STRUC #6030 SILVER RUN"/>
    <n v="2"/>
    <n v="4.5199999999999996"/>
    <s v="UNDIVIDED"/>
    <s v="URBAN"/>
    <s v="NON-IS"/>
    <n v="6"/>
    <s v="FCJ"/>
    <n v="123.34"/>
    <n v="133.08000000000001"/>
    <n v="89.7"/>
    <n v="83"/>
    <n v="92"/>
    <n v="0.15"/>
    <n v="40"/>
    <n v="101.21"/>
    <n v="101.21"/>
    <n v="82.025000000000006"/>
    <n v="87.8"/>
    <n v="80.099999999999994"/>
    <n v="0.18"/>
    <n v="40"/>
    <n v="72.31"/>
    <n v="72.31"/>
    <n v="100"/>
    <n v="100"/>
    <n v="100"/>
    <n v="0.15"/>
    <n v="49"/>
    <x v="5"/>
    <m/>
    <s v="Preventive Maintenance"/>
    <n v="133210.48029728542"/>
    <n v="56850.519702714577"/>
    <n v="190061"/>
    <n v="23.1"/>
    <n v="50"/>
    <n v="50"/>
    <s v=""/>
    <s v=""/>
    <n v="23.1"/>
    <s v="C"/>
    <n v="30.3"/>
    <n v="50"/>
    <n v="50"/>
    <s v=""/>
    <s v=""/>
    <n v="30.3"/>
    <n v="7.1999999999999993"/>
    <n v="4"/>
    <n v="36.159999999999997"/>
    <n v="5.9659237821985966"/>
    <n v="26.965975495537656"/>
    <n v="7048.1781766601171"/>
    <n v="42048.893805309737"/>
    <n v="7.3"/>
    <n v="190061"/>
    <n v="190061"/>
    <n v="0"/>
    <s v=""/>
    <s v="1991"/>
    <s v="CL-MD 9723.7426S"/>
  </r>
  <r>
    <s v="eGIS Link"/>
    <n v="133"/>
    <s v="EastBound Visi-Data"/>
    <s v="25875"/>
    <n v="2017"/>
    <n v="7"/>
    <x v="28"/>
    <s v="CL"/>
    <s v="CL-IS 70"/>
    <s v="0-1.61(E)"/>
    <s v="IS"/>
    <s v="70"/>
    <s v=""/>
    <n v="0"/>
    <n v="1.61"/>
    <s v="E"/>
    <s v="FREDERICK CO/L"/>
    <s v="HOWARD CO/L"/>
    <n v="3.1"/>
    <n v="4.99"/>
    <s v="DIVIDED"/>
    <s v="URBAN"/>
    <s v="IS"/>
    <n v="11"/>
    <s v="F"/>
    <n v="68.33"/>
    <n v="71.16"/>
    <n v="88"/>
    <n v="79.400000000000006"/>
    <n v="90.9"/>
    <n v="0.14000000000000001"/>
    <n v="45"/>
    <n v="76.709999999999994"/>
    <n v="76.709999999999994"/>
    <n v="93.924999999999997"/>
    <n v="93.7"/>
    <n v="94"/>
    <n v="0.13"/>
    <n v="44"/>
    <n v="59.53"/>
    <n v="59.53"/>
    <n v="100"/>
    <n v="100"/>
    <n v="100"/>
    <n v="0.11"/>
    <n v="49"/>
    <x v="5"/>
    <m/>
    <s v="Preventive Maintenance"/>
    <n v="149713.46601807972"/>
    <n v="63893.533981920278"/>
    <n v="213607"/>
    <n v="28.7"/>
    <n v="45.1"/>
    <n v="26.3"/>
    <s v=""/>
    <s v=""/>
    <n v="26.3"/>
    <s v="C"/>
    <n v="33.1"/>
    <n v="50"/>
    <n v="32.9"/>
    <s v=""/>
    <s v=""/>
    <n v="32.9"/>
    <n v="6.5999999999999979"/>
    <n v="4"/>
    <n v="39.92"/>
    <n v="5.9659237821985966"/>
    <n v="29.769959673170998"/>
    <n v="7175.2532534501506"/>
    <n v="42807.01402805611"/>
    <n v="6.6"/>
    <n v="213607"/>
    <n v="213607"/>
    <n v="0"/>
    <s v=""/>
    <s v="2002"/>
    <s v="CL-IS 7001.61E"/>
  </r>
  <r>
    <s v="eGIS Link"/>
    <n v="116"/>
    <s v="NorthBound Visi-Data"/>
    <s v="25900"/>
    <n v="2017"/>
    <n v="7"/>
    <x v="28"/>
    <s v="CL"/>
    <s v="CL-MD 97"/>
    <s v="26-28.31(N)"/>
    <s v="MD"/>
    <s v="97"/>
    <s v=""/>
    <n v="26"/>
    <n v="28.31"/>
    <s v="N"/>
    <s v="STRUC #6030 SILVER RUN"/>
    <s v="PENNSYLVANIA ST/L"/>
    <n v="2.1"/>
    <n v="4.8499999999999996"/>
    <s v="UNDIVIDED"/>
    <s v="URBAN"/>
    <s v="NON-IS"/>
    <n v="6"/>
    <s v="FCJ"/>
    <n v="129.97"/>
    <n v="122.06"/>
    <n v="75.900000000000006"/>
    <n v="70.8"/>
    <n v="77.599999999999994"/>
    <n v="0.19"/>
    <n v="44"/>
    <n v="114.13"/>
    <n v="114.13"/>
    <n v="86.974999999999994"/>
    <n v="87.2"/>
    <n v="86.9"/>
    <n v="0.17"/>
    <n v="38"/>
    <n v="78.569999999999993"/>
    <n v="78.569999999999993"/>
    <n v="100"/>
    <n v="100"/>
    <n v="100"/>
    <n v="0.14000000000000001"/>
    <n v="49"/>
    <x v="5"/>
    <m/>
    <s v="Preventive Maintenance"/>
    <n v="203734.00557597572"/>
    <n v="86947.994424024277"/>
    <n v="290682"/>
    <n v="29.7"/>
    <n v="50"/>
    <n v="50"/>
    <s v=""/>
    <s v=""/>
    <n v="29.7"/>
    <s v="C"/>
    <n v="42.3"/>
    <n v="50"/>
    <n v="50"/>
    <s v=""/>
    <s v=""/>
    <n v="42.3"/>
    <n v="12.599999999999998"/>
    <n v="4"/>
    <n v="61.109999999999985"/>
    <n v="9.3963299569627896"/>
    <n v="45.572200291269525"/>
    <n v="6378.4938656053282"/>
    <n v="59934.432989690729"/>
    <n v="12.6"/>
    <n v="290682"/>
    <n v="290682"/>
    <n v="0"/>
    <s v=""/>
    <s v="1989"/>
    <s v="CL-MD 972628.31N"/>
  </r>
  <r>
    <s v="eGIS Link"/>
    <n v="342"/>
    <s v="NorthBound Visi-Data"/>
    <s v="25878"/>
    <n v="2017"/>
    <n v="7"/>
    <x v="28"/>
    <s v="CL"/>
    <s v="CL-MD 27"/>
    <s v="2.2-3.2(N)"/>
    <s v="MD"/>
    <s v="27"/>
    <s v=""/>
    <n v="2.2000000000000002"/>
    <n v="3.2"/>
    <s v="N"/>
    <s v="WATERSVILLE RD W"/>
    <s v="LEISHEAR RD"/>
    <n v="2.4"/>
    <n v="2.4"/>
    <s v="UNDIVIDED"/>
    <s v="URBAN"/>
    <s v="NON-IS"/>
    <n v="6"/>
    <s v="F"/>
    <n v="81.93"/>
    <n v="77.58"/>
    <n v="83"/>
    <n v="80.900000000000006"/>
    <n v="83.6"/>
    <n v="0.25"/>
    <n v="45"/>
    <n v="102.48"/>
    <n v="102.48"/>
    <n v="82.724999999999994"/>
    <n v="83.7"/>
    <n v="82.4"/>
    <n v="0.18"/>
    <n v="44"/>
    <n v="73.06"/>
    <n v="73.06"/>
    <n v="100"/>
    <n v="100"/>
    <n v="100"/>
    <n v="0.15"/>
    <n v="49"/>
    <x v="5"/>
    <m/>
    <s v="Preventive Maintenance"/>
    <n v="534003.28394032479"/>
    <n v="227897.71605967521"/>
    <n v="761901"/>
    <n v="21.8"/>
    <n v="50"/>
    <n v="50"/>
    <s v=""/>
    <s v=""/>
    <n v="21.8"/>
    <s v="C"/>
    <n v="30.1"/>
    <n v="50"/>
    <n v="50"/>
    <s v=""/>
    <s v=""/>
    <n v="30.1"/>
    <n v="8.3000000000000007"/>
    <n v="4"/>
    <n v="19.920000000000002"/>
    <n v="6.1896459240310451"/>
    <n v="14.855150217674508"/>
    <n v="51288.67691243525"/>
    <n v="317458.75"/>
    <n v="8.1999999999999993"/>
    <n v="761901"/>
    <n v="761901"/>
    <n v="0"/>
    <s v=""/>
    <s v="1993"/>
    <s v="CL-MD 272.23.2N"/>
  </r>
  <r>
    <s v="eGIS Link"/>
    <n v="139"/>
    <s v="NorthBound Visi-Data"/>
    <s v="25900"/>
    <n v="2017"/>
    <n v="7"/>
    <x v="28"/>
    <s v="CL"/>
    <s v="CL-MD 97"/>
    <s v="21.15-23.74(N)"/>
    <s v="MD"/>
    <s v="97"/>
    <s v=""/>
    <n v="21.15"/>
    <n v="23.74"/>
    <s v="N"/>
    <s v="PLANKWOOD RD"/>
    <s v="OLD HANOVER RD"/>
    <n v="2.2000000000000002"/>
    <n v="5.7"/>
    <s v="UNDIVIDED"/>
    <s v="URBAN"/>
    <s v="NON-IS"/>
    <n v="6"/>
    <s v="FCJ"/>
    <n v="108.73"/>
    <n v="109.3"/>
    <n v="88.1"/>
    <n v="85.3"/>
    <n v="89.1"/>
    <n v="0.12"/>
    <n v="43"/>
    <n v="72.25"/>
    <n v="72.25"/>
    <n v="86.974999999999994"/>
    <n v="87.2"/>
    <n v="86.9"/>
    <n v="0.17"/>
    <n v="39"/>
    <n v="57.17"/>
    <n v="57.17"/>
    <n v="100"/>
    <n v="100"/>
    <n v="100"/>
    <n v="0.14000000000000001"/>
    <n v="49"/>
    <x v="5"/>
    <m/>
    <s v="Preventive Maintenance"/>
    <n v="177033.87642309803"/>
    <n v="75553.123576901969"/>
    <n v="252587"/>
    <n v="30.8"/>
    <n v="50"/>
    <n v="50"/>
    <s v=""/>
    <s v=""/>
    <n v="30.8"/>
    <s v="B"/>
    <n v="36"/>
    <n v="50"/>
    <n v="50"/>
    <s v=""/>
    <s v=""/>
    <n v="36"/>
    <n v="5.1999999999999993"/>
    <n v="4"/>
    <n v="45.6"/>
    <n v="5.9659237821985966"/>
    <n v="34.005765558532005"/>
    <n v="7427.7698458291652"/>
    <n v="44313.508771929824"/>
    <n v="5.3"/>
    <n v="252587"/>
    <n v="252587"/>
    <n v="0"/>
    <s v=""/>
    <s v="1991"/>
    <s v="CL-MD 9721.1523.74N"/>
  </r>
  <r>
    <s v="eGIS Link"/>
    <n v="38"/>
    <s v="NorthBound Visi-Data"/>
    <s v="25878"/>
    <n v="2017"/>
    <n v="7"/>
    <x v="28"/>
    <s v="CL"/>
    <s v="CL-MD 27"/>
    <s v="3.2-8.7(N)"/>
    <s v="MD"/>
    <s v="27"/>
    <s v=""/>
    <n v="3.2"/>
    <n v="8.6999999999999993"/>
    <s v="N"/>
    <s v="WIND SONG WAY"/>
    <s v="NO NAME"/>
    <n v="2.5"/>
    <n v="13.75"/>
    <s v="UNDIVIDED"/>
    <s v="RURAL"/>
    <s v="NON-IS"/>
    <n v="6"/>
    <s v="FCJ"/>
    <n v="112.55"/>
    <n v="107.76"/>
    <n v="90.6"/>
    <n v="95.4"/>
    <n v="89"/>
    <n v="0.16"/>
    <n v="45"/>
    <n v="162.88999999999999"/>
    <n v="162.88999999999999"/>
    <n v="79.8"/>
    <n v="72.3"/>
    <n v="82.3"/>
    <n v="0.18"/>
    <n v="47"/>
    <n v="104.96"/>
    <n v="104.96"/>
    <n v="100"/>
    <n v="100"/>
    <n v="100"/>
    <n v="0.15"/>
    <n v="49"/>
    <x v="5"/>
    <m/>
    <s v="Preventive Maintenance"/>
    <n v="210884.53335581449"/>
    <n v="95372.466644185508"/>
    <n v="306257"/>
    <n v="13"/>
    <n v="13.5"/>
    <n v="28.3"/>
    <s v=""/>
    <s v=""/>
    <n v="13"/>
    <s v="D"/>
    <n v="27.1"/>
    <n v="43.9"/>
    <n v="42.1"/>
    <s v=""/>
    <s v=""/>
    <n v="27.1"/>
    <n v="14.100000000000001"/>
    <n v="4"/>
    <n v="193.87500000000003"/>
    <n v="10.514940666125028"/>
    <n v="144.58043415921912"/>
    <n v="2118.2465095016569"/>
    <n v="22273.236363636363"/>
    <n v="14.1"/>
    <n v="306257"/>
    <n v="306257"/>
    <n v="0"/>
    <s v=""/>
    <s v="1988"/>
    <s v="CL-MD 273.28.7N"/>
  </r>
  <r>
    <s v="eGIS Link"/>
    <n v="210"/>
    <s v="NorthBound Visi-Data"/>
    <s v="25891"/>
    <n v="2017"/>
    <n v="7"/>
    <x v="28"/>
    <s v="CL"/>
    <s v="CL-MD 32"/>
    <s v="13.84-15.6(N)"/>
    <s v="MD"/>
    <s v="32"/>
    <s v=""/>
    <n v="13.84"/>
    <n v="15.6"/>
    <s v="N"/>
    <s v="NEW WASHINGTON RD"/>
    <s v="MYERSVIEW DR"/>
    <n v="2.5"/>
    <n v="4.4000000000000004"/>
    <s v="UNDIVIDED"/>
    <s v="RURAL"/>
    <s v="NON-IS"/>
    <n v="16"/>
    <s v="F"/>
    <n v="144.03"/>
    <n v="141.26"/>
    <n v="66.7"/>
    <n v="63"/>
    <n v="67.900000000000006"/>
    <n v="0.16"/>
    <n v="38"/>
    <n v="119.77"/>
    <n v="119.77"/>
    <n v="87.6"/>
    <n v="85.5"/>
    <n v="88.3"/>
    <n v="0.18"/>
    <n v="42"/>
    <n v="81.430000000000007"/>
    <n v="81.430000000000007"/>
    <n v="100"/>
    <n v="100"/>
    <n v="100"/>
    <n v="0.15"/>
    <n v="49"/>
    <x v="5"/>
    <m/>
    <s v="Preventive Maintenance"/>
    <n v="393502.57780115126"/>
    <n v="177961.42219884874"/>
    <n v="571464"/>
    <n v="27.9"/>
    <n v="49.3"/>
    <n v="50"/>
    <s v=""/>
    <s v=""/>
    <n v="27.9"/>
    <s v="C"/>
    <n v="42.1"/>
    <n v="46.8"/>
    <n v="50"/>
    <s v=""/>
    <s v=""/>
    <n v="42.1"/>
    <n v="14.200000000000003"/>
    <n v="4"/>
    <n v="62.480000000000018"/>
    <n v="10.589514713402512"/>
    <n v="46.593864738971057"/>
    <n v="12264.790723016118"/>
    <n v="129878.18181818181"/>
    <n v="14.1"/>
    <n v="571464"/>
    <n v="571464"/>
    <n v="0"/>
    <s v=""/>
    <s v="1999"/>
    <s v="CL-MD 3213.8415.6N"/>
  </r>
  <r>
    <s v="eGIS Link"/>
    <n v="109"/>
    <s v="SouthBound Visi-Data"/>
    <s v="25891"/>
    <n v="2017"/>
    <n v="7"/>
    <x v="28"/>
    <s v="CL"/>
    <s v="CL-MD 32"/>
    <s v="13.84-15.6(S)"/>
    <s v="MD"/>
    <s v="32"/>
    <s v=""/>
    <n v="13.84"/>
    <n v="15.6"/>
    <s v="S"/>
    <s v="NEW WASHINGTON RD"/>
    <s v="MYERSVIEW DR"/>
    <n v="2.4"/>
    <n v="4.22"/>
    <s v="UNDIVIDED"/>
    <s v="URBAN"/>
    <s v="NON-IS"/>
    <n v="16"/>
    <s v="F"/>
    <n v="139.19"/>
    <n v="162.13999999999999"/>
    <n v="61.4"/>
    <n v="73.2"/>
    <n v="57.4"/>
    <n v="0.13"/>
    <n v="31"/>
    <n v="94.72"/>
    <n v="94.72"/>
    <n v="92.4"/>
    <n v="93.9"/>
    <n v="91.9"/>
    <n v="0.23"/>
    <n v="37"/>
    <n v="68.95"/>
    <n v="68.95"/>
    <n v="100"/>
    <n v="100"/>
    <n v="100"/>
    <n v="0.2"/>
    <n v="49"/>
    <x v="5"/>
    <m/>
    <s v="Preventive Maintenance"/>
    <n v="110051.2109023901"/>
    <n v="46966.789097609901"/>
    <n v="157018"/>
    <n v="23.9"/>
    <n v="50"/>
    <n v="50"/>
    <s v=""/>
    <s v=""/>
    <n v="23.9"/>
    <s v="C"/>
    <n v="31.5"/>
    <n v="50"/>
    <n v="50"/>
    <s v=""/>
    <s v=""/>
    <n v="31.5"/>
    <n v="7.6000000000000014"/>
    <n v="4"/>
    <n v="33.76"/>
    <n v="5.9659237821985966"/>
    <n v="25.176198360878075"/>
    <n v="6236.763698366557"/>
    <n v="37208.056872037916"/>
    <n v="7.6"/>
    <n v="157018"/>
    <n v="157018"/>
    <n v="0"/>
    <s v=""/>
    <s v="1999"/>
    <s v="CL-MD 3213.8415.6S"/>
  </r>
  <r>
    <s v="eGIS Link"/>
    <n v="335"/>
    <s v="EastBound Visi-Data"/>
    <s v="34931"/>
    <n v="2017"/>
    <n v="7"/>
    <x v="4"/>
    <s v="FR"/>
    <s v="FR-IS 70 RP1-42"/>
    <s v="0-0.05(E)"/>
    <s v="IS"/>
    <s v="70"/>
    <s v=""/>
    <n v="0"/>
    <n v="0.05"/>
    <s v="E"/>
    <s v=""/>
    <s v=""/>
    <s v=""/>
    <n v="0.1"/>
    <s v="UNDIVIDED"/>
    <s v="URBAN"/>
    <s v="IS"/>
    <n v="1"/>
    <s v=""/>
    <s v=""/>
    <s v=""/>
    <s v=""/>
    <s v=""/>
    <s v=""/>
    <s v=""/>
    <s v=""/>
    <n v="91.09"/>
    <n v="91.09"/>
    <n v="86.75"/>
    <n v="82.4"/>
    <n v="88.2"/>
    <n v="0.12"/>
    <n v="40"/>
    <n v="94.12"/>
    <n v="94.12"/>
    <n v="86.825000000000003"/>
    <n v="85.1"/>
    <n v="87.4"/>
    <n v="0.12"/>
    <n v="38"/>
    <x v="0"/>
    <m/>
    <s v="Preventive Maintenance"/>
    <n v="11760.112010923611"/>
    <n v="5018.8879890763892"/>
    <n v="16779"/>
    <n v="21.8"/>
    <n v="4.8"/>
    <n v="12.6"/>
    <s v=""/>
    <s v=""/>
    <n v="4.8"/>
    <s v="E"/>
    <n v="21.6"/>
    <n v="10"/>
    <n v="12.6"/>
    <s v=""/>
    <s v=""/>
    <n v="10"/>
    <n v="5.2"/>
    <n v="1"/>
    <n v="0.52"/>
    <n v="3.8778504584290876"/>
    <n v="0.38778504584290879"/>
    <n v="43268.816525733564"/>
    <n v="167790"/>
    <n v="5.2"/>
    <n v="16779"/>
    <n v="16779"/>
    <n v="0"/>
    <s v=""/>
    <s v=""/>
    <s v="FR-IS 70 RP1-4200.05E"/>
  </r>
  <r>
    <s v="eGIS Link"/>
    <n v="365"/>
    <s v="EastBound Visi-Data"/>
    <s v="34937"/>
    <n v="2017"/>
    <n v="7"/>
    <x v="4"/>
    <s v="FR"/>
    <s v="FR-IS 70 RP2-53"/>
    <s v="0-0.453(E)"/>
    <s v="IS"/>
    <s v="70"/>
    <s v=""/>
    <n v="0"/>
    <n v="0.45300000000000001"/>
    <s v="E"/>
    <s v=""/>
    <s v=""/>
    <s v=""/>
    <n v="0.91"/>
    <s v="UNDIVIDED"/>
    <s v="URBAN"/>
    <s v="IS"/>
    <n v="11"/>
    <s v=""/>
    <s v=""/>
    <s v=""/>
    <s v=""/>
    <s v=""/>
    <s v=""/>
    <s v=""/>
    <s v=""/>
    <n v="89.81"/>
    <n v="89.81"/>
    <n v="94.375"/>
    <n v="94"/>
    <n v="94.5"/>
    <n v="0.22"/>
    <n v="48"/>
    <n v="54.89"/>
    <n v="54.89"/>
    <n v="100"/>
    <n v="100"/>
    <n v="100"/>
    <n v="0.12"/>
    <n v="49"/>
    <x v="7"/>
    <m/>
    <s v="Minor Rehabilitation"/>
    <n v="521322.21196859574"/>
    <n v="222485.78803140426"/>
    <n v="743808"/>
    <n v="18.2"/>
    <n v="22.7"/>
    <n v="20"/>
    <s v=""/>
    <s v=""/>
    <n v="18.2"/>
    <s v="D"/>
    <n v="41.4"/>
    <n v="28.7"/>
    <n v="26"/>
    <s v=""/>
    <s v=""/>
    <n v="26"/>
    <n v="7.8000000000000007"/>
    <n v="6"/>
    <n v="10.92"/>
    <n v="8.9488856732978945"/>
    <n v="8.1434859627010852"/>
    <n v="91337.788682488113"/>
    <n v="817371.42857142852"/>
    <n v="7.9"/>
    <n v="743808"/>
    <n v="743808"/>
    <n v="0"/>
    <s v=""/>
    <s v=""/>
    <s v="FR-IS 70 RP2-5300.453E"/>
  </r>
  <r>
    <s v="eGIS Link"/>
    <n v="336"/>
    <s v="EastBound Visi-Data"/>
    <s v="26311"/>
    <n v="2017"/>
    <n v="7"/>
    <x v="4"/>
    <s v="CL"/>
    <s v="CL-MD 140 RP2-10"/>
    <s v="0-0.3(E)"/>
    <s v="MD"/>
    <s v="140"/>
    <s v=""/>
    <n v="0"/>
    <n v="0.3"/>
    <s v="E"/>
    <s v=""/>
    <s v=""/>
    <s v=""/>
    <n v="0.6"/>
    <s v="UNDIVIDED"/>
    <s v="RURAL"/>
    <s v="NON-IS"/>
    <n v="14"/>
    <s v=""/>
    <s v=""/>
    <s v=""/>
    <s v=""/>
    <s v=""/>
    <s v=""/>
    <s v=""/>
    <s v=""/>
    <n v="139.41"/>
    <n v="139.41"/>
    <n v="73.400000000000006"/>
    <n v="82.4"/>
    <n v="70.400000000000006"/>
    <n v="0.16"/>
    <n v="43"/>
    <n v="56.15"/>
    <n v="56.15"/>
    <n v="100"/>
    <n v="100"/>
    <n v="100"/>
    <n v="0.08"/>
    <n v="49"/>
    <x v="2"/>
    <m/>
    <s v="Structural Overlay"/>
    <n v="415319.7625670362"/>
    <n v="187828.2374329638"/>
    <n v="603148"/>
    <n v="7.1"/>
    <n v="21.3"/>
    <n v="10.5"/>
    <s v=""/>
    <s v=""/>
    <n v="7.1"/>
    <s v="E"/>
    <n v="44"/>
    <n v="40.799999999999997"/>
    <n v="37.700000000000003"/>
    <s v=""/>
    <s v=""/>
    <n v="37.700000000000003"/>
    <n v="30.6"/>
    <n v="6"/>
    <n v="18.36"/>
    <n v="22.819658466909633"/>
    <n v="13.691795080145779"/>
    <n v="44051.784040692655"/>
    <n v="1005246.6666666667"/>
    <n v="30.7"/>
    <n v="603148"/>
    <n v="603148"/>
    <n v="0"/>
    <s v=""/>
    <s v=""/>
    <s v="CL-MD 140 RP2-1000.3E"/>
  </r>
  <r>
    <s v="eGIS Link"/>
    <n v="412"/>
    <s v="West Bound Visi-Data"/>
    <s v="34964"/>
    <n v="2017"/>
    <n v="7"/>
    <x v="4"/>
    <s v="FR"/>
    <s v="FR-US 340 RP3-4"/>
    <s v="0-0.04(W)"/>
    <s v="US"/>
    <s v="340"/>
    <s v=""/>
    <n v="0"/>
    <n v="0.04"/>
    <s v="W"/>
    <s v=""/>
    <s v=""/>
    <s v=""/>
    <n v="0.08"/>
    <s v="UNDIVIDED"/>
    <s v="RURAL"/>
    <s v="NON-IS"/>
    <n v="2"/>
    <s v=""/>
    <s v=""/>
    <s v=""/>
    <s v=""/>
    <s v=""/>
    <s v=""/>
    <s v=""/>
    <s v=""/>
    <n v="83.43"/>
    <n v="83.43"/>
    <n v="87.625"/>
    <n v="76.900000000000006"/>
    <n v="91.2"/>
    <n v="0.14000000000000001"/>
    <n v="44"/>
    <n v="90.09"/>
    <n v="90.09"/>
    <n v="98.275000000000006"/>
    <n v="98.8"/>
    <n v="98.1"/>
    <n v="0.14000000000000001"/>
    <n v="55"/>
    <x v="4"/>
    <m/>
    <s v="Preventive Maintenance"/>
    <n v="129437.79584496873"/>
    <n v="58538.204155031272"/>
    <n v="187976"/>
    <n v="27.4"/>
    <n v="35.6"/>
    <n v="50"/>
    <s v=""/>
    <s v=""/>
    <n v="27.4"/>
    <s v="C"/>
    <n v="28.8"/>
    <n v="41.9"/>
    <n v="47.4"/>
    <s v=""/>
    <s v=""/>
    <n v="28.8"/>
    <n v="4"/>
    <n v="4"/>
    <n v="0.64"/>
    <n v="5.9659237821985966"/>
    <n v="0.47727390257588775"/>
    <n v="393853.50631048036"/>
    <n v="2349700"/>
    <n v="1.5"/>
    <n v="187976"/>
    <n v="187976"/>
    <n v="0"/>
    <s v=""/>
    <s v=""/>
    <s v="FR-US 340 RP3-400.04W"/>
  </r>
  <r>
    <s v="eGIS Link"/>
    <n v="433"/>
    <s v="EastBound Visi-Data"/>
    <s v="26293"/>
    <n v="2017"/>
    <n v="7"/>
    <x v="4"/>
    <s v="CL"/>
    <s v="CL-MD 26 RP7-6"/>
    <s v="0-0.01(E)"/>
    <s v="MD"/>
    <s v="26"/>
    <s v=""/>
    <n v="0"/>
    <n v="0.01"/>
    <s v="E"/>
    <s v=""/>
    <s v=""/>
    <s v=""/>
    <n v="0.02"/>
    <s v="UNDIVIDED"/>
    <s v="RURAL"/>
    <s v="NON-IS"/>
    <n v="6"/>
    <s v=""/>
    <s v=""/>
    <s v=""/>
    <s v=""/>
    <s v=""/>
    <s v=""/>
    <s v=""/>
    <s v=""/>
    <n v="94.26"/>
    <n v="94.26"/>
    <n v="83.9"/>
    <n v="81.5"/>
    <n v="84.7"/>
    <n v="0.15"/>
    <n v="39"/>
    <n v="68.040000000000006"/>
    <n v="68.040000000000006"/>
    <n v="100"/>
    <n v="100"/>
    <n v="100"/>
    <n v="0.13"/>
    <n v="49"/>
    <x v="5"/>
    <m/>
    <s v="Preventive Maintenance"/>
    <n v="504710.03761920403"/>
    <n v="228254.96238079597"/>
    <n v="732965"/>
    <n v="37.4"/>
    <n v="45.5"/>
    <n v="50"/>
    <s v=""/>
    <s v=""/>
    <n v="37.4"/>
    <s v="B"/>
    <n v="48.8"/>
    <n v="46.8"/>
    <n v="50"/>
    <s v=""/>
    <s v=""/>
    <n v="46.8"/>
    <n v="9.3999999999999986"/>
    <n v="4"/>
    <n v="0.18799999999999997"/>
    <n v="7.0099604440833509"/>
    <n v="0.14019920888166701"/>
    <n v="5228025.2210171018"/>
    <n v="36648250"/>
    <n v="9.5"/>
    <n v="732965"/>
    <n v="732965"/>
    <n v="0"/>
    <s v=""/>
    <s v=""/>
    <s v="CL-MD 26 RP7-600.01E"/>
  </r>
  <r>
    <s v="eGIS Link"/>
    <n v="374"/>
    <s v="NorthBound Visi-Data"/>
    <s v="25889"/>
    <n v="2017"/>
    <n v="7"/>
    <x v="4"/>
    <s v="CL"/>
    <s v="CL-MD 30D"/>
    <s v="0-0.176(N)"/>
    <s v="MD"/>
    <s v="30"/>
    <s v="D"/>
    <n v="0"/>
    <n v="0.17599999999999999"/>
    <s v="N"/>
    <s v=""/>
    <s v=""/>
    <s v=""/>
    <n v="0.35"/>
    <s v=""/>
    <s v="URBAN"/>
    <s v="NON-IS"/>
    <n v="9"/>
    <s v=""/>
    <s v=""/>
    <s v=""/>
    <s v=""/>
    <s v=""/>
    <s v=""/>
    <s v=""/>
    <s v=""/>
    <n v="79.03"/>
    <n v="79.03"/>
    <n v="91.924999999999997"/>
    <n v="92"/>
    <n v="91.9"/>
    <n v="0.2"/>
    <n v="42"/>
    <n v="60.65"/>
    <n v="60.65"/>
    <n v="100"/>
    <n v="100"/>
    <n v="100"/>
    <n v="0.17"/>
    <n v="49"/>
    <x v="5"/>
    <m/>
    <s v="Preventive Maintenance"/>
    <n v="178659.22356853768"/>
    <n v="76246.77643146232"/>
    <n v="254906"/>
    <n v="29.6"/>
    <n v="50"/>
    <n v="50"/>
    <s v=""/>
    <s v=""/>
    <n v="29.6"/>
    <s v="C"/>
    <n v="34.6"/>
    <n v="50"/>
    <n v="50"/>
    <s v=""/>
    <s v=""/>
    <n v="34.6"/>
    <n v="5"/>
    <n v="4"/>
    <n v="2.8"/>
    <n v="5.9659237821985966"/>
    <n v="2.0880733237695086"/>
    <n v="122077.13067270511"/>
    <n v="728302.85714285716"/>
    <n v="5"/>
    <n v="254906"/>
    <n v="254906"/>
    <n v="0"/>
    <s v=""/>
    <s v=""/>
    <s v="CL-MD 30D00.176N"/>
  </r>
  <r>
    <s v="eGIS Link"/>
    <n v="330"/>
    <s v="NorthBound Visi-Data"/>
    <s v="25888"/>
    <n v="2017"/>
    <n v="7"/>
    <x v="4"/>
    <s v="CL"/>
    <s v="CL-MD 30C"/>
    <s v="0-0.5(N)"/>
    <s v="MD"/>
    <s v="30"/>
    <s v="C"/>
    <n v="0"/>
    <n v="0.5"/>
    <s v="N"/>
    <s v=""/>
    <s v=""/>
    <s v=""/>
    <n v="1"/>
    <s v=""/>
    <s v="URBAN"/>
    <s v="NON-IS"/>
    <n v="9"/>
    <s v=""/>
    <s v=""/>
    <s v=""/>
    <s v=""/>
    <s v=""/>
    <s v=""/>
    <s v=""/>
    <s v=""/>
    <n v="82.7"/>
    <n v="82.7"/>
    <n v="91.65"/>
    <n v="93.9"/>
    <n v="90.9"/>
    <n v="0.22"/>
    <n v="41"/>
    <n v="62.57"/>
    <n v="62.57"/>
    <n v="100"/>
    <n v="100"/>
    <n v="100"/>
    <n v="0.19"/>
    <n v="49"/>
    <x v="5"/>
    <m/>
    <s v="Preventive Maintenance"/>
    <n v="164380.13887942946"/>
    <n v="70152.861120570538"/>
    <n v="234533"/>
    <n v="28.4"/>
    <n v="50"/>
    <n v="50"/>
    <s v=""/>
    <s v=""/>
    <n v="28.4"/>
    <s v="C"/>
    <n v="33.799999999999997"/>
    <n v="50"/>
    <n v="50"/>
    <s v=""/>
    <s v=""/>
    <n v="33.799999999999997"/>
    <n v="5.3999999999999986"/>
    <n v="4"/>
    <n v="8"/>
    <n v="5.9659237821985966"/>
    <n v="5.9659237821985966"/>
    <n v="39312.101287617952"/>
    <n v="234533"/>
    <n v="5.4"/>
    <n v="234533"/>
    <n v="234533"/>
    <n v="0"/>
    <s v=""/>
    <s v=""/>
    <s v="CL-MD 30C00.5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reatment" cacheId="3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rowHeaderCaption="Treatment Type">
  <location ref="D44:J55" firstHeaderRow="1" firstDataRow="2" firstDataCol="1"/>
  <pivotFields count="81">
    <pivotField showAll="0"/>
    <pivotField showAll="0"/>
    <pivotField showAll="0"/>
    <pivotField showAll="0"/>
    <pivotField showAll="0"/>
    <pivotField showAll="0"/>
    <pivotField showAll="0" includeNewItemsInFilter="1">
      <items count="30">
        <item sd="0" x="0"/>
        <item sd="0" x="1"/>
        <item sd="0" x="2"/>
        <item sd="0" x="3"/>
        <item sd="0" x="6"/>
        <item sd="0" x="5"/>
        <item sd="0" x="7"/>
        <item sd="0" x="8"/>
        <item sd="0" x="9"/>
        <item sd="0" x="11"/>
        <item sd="0" x="10"/>
        <item sd="0" x="12"/>
        <item sd="0" x="13"/>
        <item sd="0" x="14"/>
        <item sd="0" x="17"/>
        <item sd="0" x="16"/>
        <item sd="0" x="15"/>
        <item sd="0" x="18"/>
        <item sd="0" x="19"/>
        <item sd="0" x="20"/>
        <item sd="0" x="21"/>
        <item sd="0" x="22"/>
        <item sd="0" x="25"/>
        <item sd="0" x="23"/>
        <item sd="0" x="24"/>
        <item sd="0" x="26"/>
        <item sd="0" x="27"/>
        <item sd="0" x="28"/>
        <item x="4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dataField="1" numFmtId="2" showAll="0"/>
    <pivotField showAll="0"/>
    <pivotField showAll="0"/>
    <pivotField showAll="0"/>
    <pivotField numFmtId="1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axis="axisRow" showAll="0" includeNewItemsInFilter="1">
      <items count="13">
        <item x="6"/>
        <item m="1" x="10"/>
        <item sd="0" x="0"/>
        <item sd="0" x="1"/>
        <item sd="0" x="7"/>
        <item sd="0" x="4"/>
        <item sd="0" x="8"/>
        <item sd="0" x="9"/>
        <item sd="0" m="1" x="11"/>
        <item x="5"/>
        <item x="2"/>
        <item x="3"/>
        <item t="default"/>
      </items>
    </pivotField>
    <pivotField showAll="0"/>
    <pivotField showAll="0"/>
    <pivotField numFmtId="164" showAll="0"/>
    <pivotField numFmtId="164" showAll="0"/>
    <pivotField numFmtId="164" showAll="0"/>
    <pivotField numFmtId="2" showAll="0"/>
    <pivotField numFmtId="2"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dataField="1" numFmtId="2" showAll="0"/>
    <pivotField dataField="1" numFmtId="167" showAll="0"/>
    <pivotField numFmtId="166" showAll="0"/>
    <pivotField numFmtId="165" showAll="0"/>
    <pivotField showAll="0"/>
    <pivotField dataField="1" numFmtId="164" showAll="0"/>
    <pivotField numFmtId="164" showAll="0"/>
    <pivotField numFmtId="165" showAll="0"/>
    <pivotField showAll="0"/>
    <pivotField showAll="0"/>
    <pivotField showAll="0"/>
    <pivotField dataField="1" dragToRow="0" dragToCol="0" dragToPage="0" showAll="0"/>
    <pivotField dataField="1" dragToRow="0" dragToCol="0" dragToPage="0" showAll="0"/>
  </pivotFields>
  <rowFields count="1">
    <field x="46"/>
  </rowFields>
  <rowItems count="10">
    <i>
      <x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Budget" fld="73" baseField="0" baseItem="0" numFmtId="164"/>
    <dataField name="Benefit (LMY)" fld="69" baseField="0" baseItem="0" numFmtId="1"/>
    <dataField name="Suggested LM" fld="19" baseField="0" baseItem="0" numFmtId="1"/>
    <dataField name="$/LM " fld="80" subtotal="average" baseField="0" baseItem="0" numFmtId="164"/>
    <dataField name="Average Life Extension" fld="68" subtotal="average" baseField="0" baseItem="0" numFmtId="1"/>
    <dataField name="$/LMY " fld="79" baseField="0" baseItem="0" numFmtId="164"/>
  </dataFields>
  <formats count="21">
    <format dxfId="26">
      <pivotArea type="origin" dataOnly="0" labelOnly="1" outline="0" fieldPosition="0"/>
    </format>
    <format dxfId="25">
      <pivotArea field="6" type="button" dataOnly="0" labelOnly="1" outline="0"/>
    </format>
    <format dxfId="24">
      <pivotArea type="origin" dataOnly="0" labelOnly="1" outline="0" fieldPosition="0"/>
    </format>
    <format dxfId="23">
      <pivotArea field="6" type="button" dataOnly="0" labelOnly="1" outline="0"/>
    </format>
    <format dxfId="22">
      <pivotArea field="-2" type="button" dataOnly="0" labelOnly="1" outline="0" axis="axisCol" fieldPosition="0"/>
    </format>
    <format dxfId="21">
      <pivotArea type="topRight" dataOnly="0" labelOnly="1" outline="0" fieldPosition="0"/>
    </format>
    <format dxfId="20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9">
      <pivotArea type="all" dataOnly="0" outline="0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-2" type="button" dataOnly="0" labelOnly="1" outline="0" axis="axisCol" fieldPosition="0"/>
    </format>
    <format dxfId="15">
      <pivotArea type="topRight" dataOnly="0" labelOnly="1" outline="0" fieldPosition="0"/>
    </format>
    <format dxfId="14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2">
      <pivotArea outline="0" fieldPosition="0">
        <references count="1">
          <reference field="4294967294" count="1">
            <x v="3"/>
          </reference>
        </references>
      </pivotArea>
    </format>
    <format dxfId="11">
      <pivotArea field="6" type="button" dataOnly="0" labelOnly="1" outline="0"/>
    </format>
    <format dxfId="1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">
      <pivotArea field="6" type="button" dataOnly="0" labelOnly="1" outline="0"/>
    </format>
    <format dxfId="8">
      <pivotArea field="6" type="button" dataOnly="0" labelOnly="1" outline="0"/>
    </format>
    <format dxfId="7">
      <pivotArea field="46" type="button" dataOnly="0" labelOnly="1" outline="0" axis="axisRow" fieldPosition="0"/>
    </format>
    <format dxfId="6">
      <pivotArea dataOnly="0" labelOnly="1" fieldPosition="0">
        <references count="1">
          <reference field="46" count="0"/>
        </references>
      </pivotArea>
    </format>
  </formats>
  <pivotTableStyleInfo name="PivotStyleLight22 2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PivotShopTreatment" cacheId="2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rowHeaderCaption="Shop + Treatment">
  <location ref="D80:J110" firstHeaderRow="1" firstDataRow="2" firstDataCol="1"/>
  <pivotFields count="81">
    <pivotField showAll="0"/>
    <pivotField showAll="0"/>
    <pivotField showAll="0"/>
    <pivotField showAll="0"/>
    <pivotField showAll="0"/>
    <pivotField showAll="0"/>
    <pivotField axis="axisRow" showAll="0" includeNewItemsInFilter="1">
      <items count="30">
        <item sd="0" x="0"/>
        <item sd="0" x="1"/>
        <item sd="0" x="2"/>
        <item sd="0" x="3"/>
        <item sd="0" x="6"/>
        <item sd="0" x="5"/>
        <item sd="0" x="7"/>
        <item sd="0" x="8"/>
        <item sd="0" x="9"/>
        <item sd="0" x="11"/>
        <item sd="0" x="10"/>
        <item sd="0" x="12"/>
        <item sd="0" x="13"/>
        <item sd="0" x="14"/>
        <item sd="0" x="17"/>
        <item sd="0" x="16"/>
        <item sd="0" x="15"/>
        <item sd="0" x="18"/>
        <item sd="0" x="19"/>
        <item sd="0" x="20"/>
        <item sd="0" x="21"/>
        <item sd="0" x="22"/>
        <item sd="0" x="25"/>
        <item sd="0" x="23"/>
        <item sd="0" x="24"/>
        <item sd="0" x="26"/>
        <item sd="0" x="27"/>
        <item sd="0" x="28"/>
        <item sd="0" x="4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dataField="1" numFmtId="2" showAll="0"/>
    <pivotField showAll="0"/>
    <pivotField showAll="0"/>
    <pivotField showAll="0"/>
    <pivotField numFmtId="1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axis="axisRow" showAll="0" includeNewItemsInFilter="1">
      <items count="13">
        <item x="6"/>
        <item m="1" x="10"/>
        <item sd="0" x="0"/>
        <item sd="0" x="1"/>
        <item sd="0" x="7"/>
        <item sd="0" x="4"/>
        <item sd="0" x="8"/>
        <item sd="0" x="9"/>
        <item sd="0" m="1" x="11"/>
        <item x="5"/>
        <item x="2"/>
        <item x="3"/>
        <item t="default"/>
      </items>
    </pivotField>
    <pivotField showAll="0"/>
    <pivotField showAll="0"/>
    <pivotField numFmtId="164" showAll="0"/>
    <pivotField numFmtId="164" showAll="0"/>
    <pivotField numFmtId="164" showAll="0"/>
    <pivotField numFmtId="2" showAll="0"/>
    <pivotField numFmtId="2" showAll="0"/>
    <pivotField numFmtId="2" showAll="0"/>
    <pivotField showAll="0"/>
    <pivotField numFmtId="2" showAll="0"/>
    <pivotField numFmtId="2" showAll="0"/>
    <pivotField showAll="0"/>
    <pivotField numFmtId="2"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dataField="1" numFmtId="2" showAll="0"/>
    <pivotField dataField="1" numFmtId="167" showAll="0"/>
    <pivotField numFmtId="166" showAll="0"/>
    <pivotField numFmtId="165" showAll="0"/>
    <pivotField showAll="0"/>
    <pivotField dataField="1" numFmtId="164" showAll="0"/>
    <pivotField numFmtId="164" showAll="0"/>
    <pivotField numFmtId="165" showAll="0"/>
    <pivotField showAll="0"/>
    <pivotField showAll="0"/>
    <pivotField showAll="0"/>
    <pivotField dataField="1" dragToRow="0" dragToCol="0" dragToPage="0" showAll="0"/>
    <pivotField dataField="1" dragToRow="0" dragToCol="0" dragToPage="0" showAll="0"/>
  </pivotFields>
  <rowFields count="2">
    <field x="6"/>
    <field x="46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Budget" fld="73" baseField="0" baseItem="0" numFmtId="164"/>
    <dataField name="Benefit (LMY)" fld="69" baseField="0" baseItem="0" numFmtId="1"/>
    <dataField name="Suggested LM" fld="19" baseField="0" baseItem="0" numFmtId="1"/>
    <dataField name="$/LM " fld="80" baseField="0" baseItem="0" numFmtId="164"/>
    <dataField name="Average Life Extension" fld="68" subtotal="average" baseField="0" baseItem="0" numFmtId="1"/>
    <dataField name="$/LMY " fld="79" baseField="0" baseItem="0" numFmtId="164"/>
  </dataFields>
  <formats count="23">
    <format dxfId="49">
      <pivotArea type="origin" dataOnly="0" labelOnly="1" outline="0" fieldPosition="0"/>
    </format>
    <format dxfId="48">
      <pivotArea field="6" type="button" dataOnly="0" labelOnly="1" outline="0" axis="axisRow" fieldPosition="0"/>
    </format>
    <format dxfId="47">
      <pivotArea type="origin" dataOnly="0" labelOnly="1" outline="0" fieldPosition="0"/>
    </format>
    <format dxfId="46">
      <pivotArea field="6" type="button" dataOnly="0" labelOnly="1" outline="0" axis="axisRow" fieldPosition="0"/>
    </format>
    <format dxfId="45">
      <pivotArea field="-2" type="button" dataOnly="0" labelOnly="1" outline="0" axis="axisCol" fieldPosition="0"/>
    </format>
    <format dxfId="44">
      <pivotArea type="topRight" dataOnly="0" labelOnly="1" outline="0" fieldPosition="0"/>
    </format>
    <format dxfId="43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42">
      <pivotArea type="all" dataOnly="0" outline="0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-2" type="button" dataOnly="0" labelOnly="1" outline="0" axis="axisCol" fieldPosition="0"/>
    </format>
    <format dxfId="38">
      <pivotArea type="topRight" dataOnly="0" labelOnly="1" outline="0" fieldPosition="0"/>
    </format>
    <format dxfId="37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5">
      <pivotArea outline="0" fieldPosition="0">
        <references count="1">
          <reference field="4294967294" count="1">
            <x v="3"/>
          </reference>
        </references>
      </pivotArea>
    </format>
    <format dxfId="34">
      <pivotArea dataOnly="0" labelOnly="1" fieldPosition="0">
        <references count="2">
          <reference field="6" count="1" selected="0">
            <x v="17"/>
          </reference>
          <reference field="46" count="3">
            <x v="2"/>
            <x v="3"/>
            <x v="4"/>
          </reference>
        </references>
      </pivotArea>
    </format>
    <format dxfId="33">
      <pivotArea field="6" type="button" dataOnly="0" labelOnly="1" outline="0" axis="axisRow" fieldPosition="0"/>
    </format>
    <format dxfId="3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">
      <pivotArea field="6" type="button" dataOnly="0" labelOnly="1" outline="0" axis="axisRow" fieldPosition="0"/>
    </format>
    <format dxfId="30">
      <pivotArea collapsedLevelsAreSubtotals="1" fieldPosition="0">
        <references count="2">
          <reference field="6" count="1" selected="0">
            <x v="17"/>
          </reference>
          <reference field="46" count="7">
            <x v="2"/>
            <x v="3"/>
            <x v="4"/>
            <x v="5"/>
            <x v="6"/>
            <x v="7"/>
            <x v="8"/>
          </reference>
        </references>
      </pivotArea>
    </format>
    <format dxfId="29">
      <pivotArea dataOnly="0" labelOnly="1" fieldPosition="0">
        <references count="2">
          <reference field="6" count="1" selected="0">
            <x v="17"/>
          </reference>
          <reference field="46" count="7">
            <x v="2"/>
            <x v="3"/>
            <x v="4"/>
            <x v="5"/>
            <x v="6"/>
            <x v="7"/>
            <x v="8"/>
          </reference>
        </references>
      </pivotArea>
    </format>
    <format dxfId="28">
      <pivotArea field="6" type="button" dataOnly="0" labelOnly="1" outline="0" axis="axisRow" fieldPosition="0"/>
    </format>
    <format dxfId="27">
      <pivotArea dataOnly="0" labelOnly="1" fieldPosition="0">
        <references count="1">
          <reference field="6" count="0"/>
        </references>
      </pivotArea>
    </format>
  </formats>
  <pivotTableStyleInfo name="PivotStyleLight22 2" showRowHeaders="1" showColHeaders="1" showRowStripes="1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42"/>
  <sheetViews>
    <sheetView zoomScale="80" zoomScaleNormal="80" workbookViewId="0"/>
  </sheetViews>
  <sheetFormatPr defaultRowHeight="15" x14ac:dyDescent="0.25"/>
  <cols>
    <col min="1" max="1" width="9.42578125" style="100" customWidth="1"/>
    <col min="2" max="2" width="13.7109375" style="100" customWidth="1"/>
    <col min="3" max="3" width="12.42578125" style="100" customWidth="1"/>
    <col min="4" max="4" width="71.7109375" style="100" bestFit="1" customWidth="1"/>
    <col min="5" max="6" width="25.7109375" style="100" bestFit="1" customWidth="1"/>
    <col min="7" max="7" width="18.42578125" style="100" customWidth="1"/>
    <col min="8" max="8" width="18" style="143" bestFit="1" customWidth="1"/>
    <col min="9" max="9" width="17.28515625" style="100" customWidth="1"/>
    <col min="10" max="10" width="14.140625" style="100" bestFit="1" customWidth="1"/>
    <col min="11" max="11" width="10.28515625" style="100" customWidth="1"/>
    <col min="12" max="12" width="31.5703125" style="100" bestFit="1" customWidth="1"/>
    <col min="13" max="13" width="37.28515625" style="146" bestFit="1" customWidth="1"/>
    <col min="14" max="14" width="27.140625" style="146" customWidth="1"/>
    <col min="15" max="15" width="31.42578125" style="100" hidden="1" customWidth="1"/>
    <col min="16" max="16" width="94.28515625" style="100" hidden="1" customWidth="1"/>
    <col min="17" max="17" width="62.140625" style="100" hidden="1" customWidth="1"/>
    <col min="18" max="18" width="9.140625" style="100" hidden="1" customWidth="1"/>
    <col min="19" max="16384" width="9.140625" style="100"/>
  </cols>
  <sheetData>
    <row r="1" spans="1:18" ht="24.75" x14ac:dyDescent="0.4">
      <c r="A1" s="3"/>
      <c r="B1" s="280" t="str">
        <f>CONCATENATE("Fund 77 FY ",'Suggested Projects'!E4," Target Summary - Statewide")</f>
        <v>Fund 77 FY 0 Target Summary - Statewide</v>
      </c>
      <c r="C1" s="280"/>
      <c r="D1" s="280"/>
      <c r="E1" s="280"/>
      <c r="F1" s="280"/>
      <c r="G1" s="280"/>
      <c r="H1" s="65"/>
      <c r="I1" s="103"/>
      <c r="J1" s="103"/>
      <c r="K1" s="103"/>
      <c r="O1" s="146" t="s">
        <v>399</v>
      </c>
      <c r="P1" s="132">
        <f>'Suggested Projects'!$ER$19</f>
        <v>3</v>
      </c>
      <c r="Q1" s="132">
        <f>P1-3</f>
        <v>0</v>
      </c>
    </row>
    <row r="2" spans="1:18" ht="15.75" thickBot="1" x14ac:dyDescent="0.3">
      <c r="A2" s="3"/>
      <c r="B2" s="3"/>
      <c r="C2" s="3"/>
      <c r="D2" s="103"/>
      <c r="E2" s="103"/>
      <c r="F2" s="103"/>
      <c r="G2" s="103"/>
      <c r="H2" s="130"/>
      <c r="I2" s="103"/>
      <c r="J2" s="103"/>
      <c r="K2" s="103"/>
      <c r="O2" s="100" t="str">
        <f ca="1">CELL("contents",'Suggested Projects'!$AU$3)</f>
        <v>TREATMENT</v>
      </c>
      <c r="P2" s="100" t="str">
        <f ca="1">Q2&amp;":"&amp;R2</f>
        <v>'[FY17 Targets Suggested Projects Report Template 09-03-14.xlsm]Suggested Projects'!$AU$4:$AU3</v>
      </c>
      <c r="Q2" s="100" t="str">
        <f ca="1">CELL("address",'Suggested Projects'!AU4)</f>
        <v>'[FY17 Targets Suggested Projects Report Template 09-03-14.xlsm]Suggested Projects'!$AU$4</v>
      </c>
      <c r="R2" s="100" t="str">
        <f ca="1">TRIM(MID(Q2,FIND("$",Q2,1),3))&amp;$P$1</f>
        <v>$AU3</v>
      </c>
    </row>
    <row r="3" spans="1:18" ht="31.5" x14ac:dyDescent="0.45">
      <c r="A3" s="131"/>
      <c r="B3" s="52"/>
      <c r="C3" s="27"/>
      <c r="D3" s="97" t="s">
        <v>0</v>
      </c>
      <c r="E3" s="98" t="s">
        <v>1</v>
      </c>
      <c r="F3" s="98" t="s">
        <v>2</v>
      </c>
      <c r="G3" s="94" t="s">
        <v>3</v>
      </c>
      <c r="H3" s="95" t="s">
        <v>4</v>
      </c>
      <c r="I3" s="94" t="s">
        <v>5</v>
      </c>
      <c r="J3" s="96" t="s">
        <v>6</v>
      </c>
      <c r="K3" s="47"/>
      <c r="L3" s="132"/>
      <c r="M3" s="132"/>
      <c r="N3" s="132"/>
      <c r="O3" s="146" t="str">
        <f ca="1">CELL("contents",'Suggested Projects'!$AW$3)</f>
        <v>TREATMENT TYPE</v>
      </c>
      <c r="P3" s="146" t="str">
        <f t="shared" ref="P3:P15" ca="1" si="0">Q3&amp;":"&amp;R3</f>
        <v>'[FY17 Targets Suggested Projects Report Template 09-03-14.xlsm]Suggested Projects'!$AW$4:$AW3</v>
      </c>
      <c r="Q3" s="146" t="str">
        <f ca="1">CELL("address",'Suggested Projects'!AW4)</f>
        <v>'[FY17 Targets Suggested Projects Report Template 09-03-14.xlsm]Suggested Projects'!$AW$4</v>
      </c>
      <c r="R3" s="146" t="str">
        <f t="shared" ref="R3:R15" ca="1" si="1">TRIM(MID(Q3,FIND("$",Q3,1),3))&amp;$P$1</f>
        <v>$AW3</v>
      </c>
    </row>
    <row r="4" spans="1:18" ht="28.5" x14ac:dyDescent="0.45">
      <c r="A4" s="131"/>
      <c r="B4" s="32"/>
      <c r="C4" s="28"/>
      <c r="D4" s="29"/>
      <c r="E4" s="30" t="e">
        <f ca="1">SUM(INDIRECT($P$12))+SUM($N$20:$N$26)</f>
        <v>#DIV/0!</v>
      </c>
      <c r="F4" s="90">
        <f ca="1">SUM(F5:F9)</f>
        <v>0</v>
      </c>
      <c r="G4" s="22">
        <f ca="1">SUM(INDIRECT($P$14))</f>
        <v>0</v>
      </c>
      <c r="H4" s="24">
        <f t="shared" ref="H4:H9" ca="1" si="2">IF(G4&gt;0,E4/G4,0)</f>
        <v>0</v>
      </c>
      <c r="I4" s="22" t="e">
        <f ca="1">SUM(INDIRECT($P$10))/$Q$1</f>
        <v>#DIV/0!</v>
      </c>
      <c r="J4" s="37">
        <f t="shared" ref="J4:J9" ca="1" si="3">IF(F4&gt;0,E4/F4,0)</f>
        <v>0</v>
      </c>
      <c r="K4" s="31"/>
      <c r="L4" s="143"/>
      <c r="M4" s="187"/>
      <c r="O4" s="146" t="str">
        <f ca="1">CELL("contents",'Suggested Projects'!$AX$3)</f>
        <v>PAVING BUDGET</v>
      </c>
      <c r="P4" s="146" t="str">
        <f t="shared" ca="1" si="0"/>
        <v>'[FY17 Targets Suggested Projects Report Template 09-03-14.xlsm]Suggested Projects'!$AX$4:$AX3</v>
      </c>
      <c r="Q4" s="146" t="str">
        <f ca="1">CELL("address",'Suggested Projects'!AX4)</f>
        <v>'[FY17 Targets Suggested Projects Report Template 09-03-14.xlsm]Suggested Projects'!$AX$4</v>
      </c>
      <c r="R4" s="146" t="str">
        <f t="shared" ca="1" si="1"/>
        <v>$AX3</v>
      </c>
    </row>
    <row r="5" spans="1:18" ht="18.75" x14ac:dyDescent="0.3">
      <c r="A5" s="131"/>
      <c r="B5" s="53"/>
      <c r="C5" s="55"/>
      <c r="D5" s="33" t="s">
        <v>191</v>
      </c>
      <c r="E5" s="25">
        <f ca="1">SUMIF(INDIRECT($P$3),D5,INDIRECT($P$12))</f>
        <v>0</v>
      </c>
      <c r="F5" s="21">
        <f ca="1">SUMIF(INDIRECT($P$3),D5,INDIRECT($P$11))</f>
        <v>0</v>
      </c>
      <c r="G5" s="21">
        <f ca="1">SUMIF(INDIRECT($P$3),D5,INDIRECT($P$14))</f>
        <v>0</v>
      </c>
      <c r="H5" s="25">
        <f t="shared" ca="1" si="2"/>
        <v>0</v>
      </c>
      <c r="I5" s="21">
        <f ca="1">IF(COUNTIF(INDIRECT($P$3),D5)&gt;0,SUMIF(INDIRECT($P$3),D5,INDIRECT($P$10))/COUNTIF(INDIRECT($P$3),D5),0)</f>
        <v>0</v>
      </c>
      <c r="J5" s="34">
        <f t="shared" ca="1" si="3"/>
        <v>0</v>
      </c>
      <c r="K5" s="22"/>
      <c r="O5" s="146" t="str">
        <f ca="1">CELL("contents",'Suggested Projects'!$AY$3)</f>
        <v>NON-PAVING BUDGET</v>
      </c>
      <c r="P5" s="146" t="str">
        <f t="shared" ca="1" si="0"/>
        <v>'[FY17 Targets Suggested Projects Report Template 09-03-14.xlsm]Suggested Projects'!$AY$4:$AY3</v>
      </c>
      <c r="Q5" s="146" t="str">
        <f ca="1">CELL("address",'Suggested Projects'!AY4)</f>
        <v>'[FY17 Targets Suggested Projects Report Template 09-03-14.xlsm]Suggested Projects'!$AY$4</v>
      </c>
      <c r="R5" s="146" t="str">
        <f t="shared" ca="1" si="1"/>
        <v>$AY3</v>
      </c>
    </row>
    <row r="6" spans="1:18" ht="18.75" x14ac:dyDescent="0.3">
      <c r="A6" s="131"/>
      <c r="B6" s="54"/>
      <c r="C6" s="35"/>
      <c r="D6" s="36" t="s">
        <v>188</v>
      </c>
      <c r="E6" s="24">
        <f ca="1">SUMIF(INDIRECT($P$3),D6,INDIRECT($P$12))</f>
        <v>0</v>
      </c>
      <c r="F6" s="22">
        <f ca="1">SUMIF(INDIRECT($P$3),D6,INDIRECT($P$11))</f>
        <v>0</v>
      </c>
      <c r="G6" s="22">
        <f ca="1">SUMIF(INDIRECT($P$3),D6,INDIRECT($P$14))</f>
        <v>0</v>
      </c>
      <c r="H6" s="24">
        <f t="shared" ca="1" si="2"/>
        <v>0</v>
      </c>
      <c r="I6" s="22">
        <f ca="1">IF(COUNTIF(INDIRECT($P$3),D6)&gt;0,SUMIF(INDIRECT($P$3),D6,INDIRECT($P$10))/COUNTIF(INDIRECT($P$3),D6),0)</f>
        <v>0</v>
      </c>
      <c r="J6" s="37">
        <f t="shared" ca="1" si="3"/>
        <v>0</v>
      </c>
      <c r="K6" s="22"/>
      <c r="O6" s="146" t="str">
        <f ca="1">CELL("contents",'Suggested Projects'!$F$3)</f>
        <v>DISTRICT</v>
      </c>
      <c r="P6" s="146" t="str">
        <f t="shared" ca="1" si="0"/>
        <v>'[FY17 Targets Suggested Projects Report Template 09-03-14.xlsm]Suggested Projects'!$F$4:$F$3</v>
      </c>
      <c r="Q6" s="146" t="str">
        <f ca="1">CELL("address",'Suggested Projects'!F4)</f>
        <v>'[FY17 Targets Suggested Projects Report Template 09-03-14.xlsm]Suggested Projects'!$F$4</v>
      </c>
      <c r="R6" s="146" t="str">
        <f t="shared" ca="1" si="1"/>
        <v>$F$3</v>
      </c>
    </row>
    <row r="7" spans="1:18" s="146" customFormat="1" ht="18.75" x14ac:dyDescent="0.3">
      <c r="A7" s="131"/>
      <c r="B7" s="54"/>
      <c r="C7" s="55"/>
      <c r="D7" s="33" t="s">
        <v>184</v>
      </c>
      <c r="E7" s="25">
        <f ca="1">SUMIF(INDIRECT($P$3),D7,INDIRECT($P$12))</f>
        <v>0</v>
      </c>
      <c r="F7" s="21">
        <f ca="1">SUMIF(INDIRECT($P$3),D7,INDIRECT($P$11))</f>
        <v>0</v>
      </c>
      <c r="G7" s="21">
        <f ca="1">SUMIF(INDIRECT($P$3),D7,INDIRECT($P$14))</f>
        <v>0</v>
      </c>
      <c r="H7" s="25">
        <f t="shared" ca="1" si="2"/>
        <v>0</v>
      </c>
      <c r="I7" s="21">
        <f ca="1">IF(COUNTIF(INDIRECT($P$3),D7)&gt;0,SUMIF(INDIRECT($P$3),D7,INDIRECT($P$10))/COUNTIF(INDIRECT($P$3),D7),0)</f>
        <v>0</v>
      </c>
      <c r="J7" s="34">
        <f t="shared" ca="1" si="3"/>
        <v>0</v>
      </c>
      <c r="K7" s="22"/>
      <c r="O7" s="146" t="s">
        <v>4589</v>
      </c>
      <c r="P7" s="146" t="str">
        <f t="shared" ca="1" si="0"/>
        <v>'[FY17 Targets Suggested Projects Report Template 09-03-14.xlsm]Suggested Projects'!$A$3:$CA3</v>
      </c>
      <c r="Q7" s="146" t="str">
        <f ca="1">CELL("address",'Suggested Projects'!A3)</f>
        <v>'[FY17 Targets Suggested Projects Report Template 09-03-14.xlsm]Suggested Projects'!$A$3</v>
      </c>
      <c r="R7" s="146" t="str">
        <f ca="1">TRIM(MID(Q8,FIND("$",Q8,1),3))&amp;$P$1</f>
        <v>$CA3</v>
      </c>
    </row>
    <row r="8" spans="1:18" s="146" customFormat="1" ht="18.75" x14ac:dyDescent="0.3">
      <c r="A8" s="131"/>
      <c r="B8" s="54"/>
      <c r="C8" s="35"/>
      <c r="D8" s="36" t="s">
        <v>178</v>
      </c>
      <c r="E8" s="24">
        <f ca="1">SUMIF(INDIRECT($P$3),D8,INDIRECT($P$12))</f>
        <v>0</v>
      </c>
      <c r="F8" s="22">
        <f ca="1">SUMIF(INDIRECT($P$3),D8,INDIRECT($P$11))</f>
        <v>0</v>
      </c>
      <c r="G8" s="22">
        <f ca="1">SUMIF(INDIRECT($P$3),D8,INDIRECT($P$14))</f>
        <v>0</v>
      </c>
      <c r="H8" s="24">
        <f t="shared" ca="1" si="2"/>
        <v>0</v>
      </c>
      <c r="I8" s="22">
        <f ca="1">IF(COUNTIF(INDIRECT($P$3),D8)&gt;0,SUMIF(INDIRECT($P$3),D8,INDIRECT($P$10))/COUNTIF(INDIRECT($P$3),D8),0)</f>
        <v>0</v>
      </c>
      <c r="J8" s="37">
        <f t="shared" ca="1" si="3"/>
        <v>0</v>
      </c>
      <c r="K8" s="22"/>
      <c r="Q8" s="146" t="str">
        <f ca="1">CELL("address",'Suggested Projects'!CA4)</f>
        <v>'[FY17 Targets Suggested Projects Report Template 09-03-14.xlsm]Suggested Projects'!$CA$4</v>
      </c>
    </row>
    <row r="9" spans="1:18" ht="19.5" thickBot="1" x14ac:dyDescent="0.35">
      <c r="A9" s="131"/>
      <c r="B9" s="54"/>
      <c r="C9" s="56"/>
      <c r="D9" s="38" t="s">
        <v>43</v>
      </c>
      <c r="E9" s="26">
        <f ca="1">SUMIF(INDIRECT($P$3),D9,INDIRECT($P$12))</f>
        <v>0</v>
      </c>
      <c r="F9" s="23">
        <f ca="1">SUMIF(INDIRECT($P$3),D9,INDIRECT($P$11))</f>
        <v>0</v>
      </c>
      <c r="G9" s="23">
        <f ca="1">SUMIF(INDIRECT($P$3),D9,INDIRECT($P$14))</f>
        <v>0</v>
      </c>
      <c r="H9" s="26">
        <f t="shared" ca="1" si="2"/>
        <v>0</v>
      </c>
      <c r="I9" s="23">
        <f ca="1">IF(COUNTIF(INDIRECT($P$3),D9)&gt;0,SUMIF(INDIRECT($P$3),D9,INDIRECT($P$10))/COUNTIF(INDIRECT($P$3),D9),0)</f>
        <v>0</v>
      </c>
      <c r="J9" s="39">
        <f t="shared" ca="1" si="3"/>
        <v>0</v>
      </c>
      <c r="K9" s="22"/>
      <c r="O9" s="146" t="str">
        <f ca="1">CELL("contents",'Suggested Projects'!$BG$3)</f>
        <v>Pre Treatment RSL Category</v>
      </c>
      <c r="P9" s="146" t="str">
        <f t="shared" ca="1" si="0"/>
        <v>'[FY17 Targets Suggested Projects Report Template 09-03-14.xlsm]Suggested Projects'!$BG$4:$BG3</v>
      </c>
      <c r="Q9" s="146" t="str">
        <f ca="1">CELL("address",'Suggested Projects'!BG4)</f>
        <v>'[FY17 Targets Suggested Projects Report Template 09-03-14.xlsm]Suggested Projects'!$BG$4</v>
      </c>
      <c r="R9" s="146" t="str">
        <f t="shared" ca="1" si="1"/>
        <v>$BG3</v>
      </c>
    </row>
    <row r="10" spans="1:18" ht="15.75" thickBot="1" x14ac:dyDescent="0.3">
      <c r="A10" s="103"/>
      <c r="B10" s="110"/>
      <c r="C10" s="110"/>
      <c r="D10" s="110"/>
      <c r="E10" s="110"/>
      <c r="F10" s="110"/>
      <c r="G10" s="110"/>
      <c r="H10" s="130"/>
      <c r="I10" s="103"/>
      <c r="J10" s="103"/>
      <c r="K10" s="103"/>
      <c r="O10" s="146" t="str">
        <f ca="1">CELL("contents",'Suggested Projects'!$BQ$3)</f>
        <v>Predicted Life Extension</v>
      </c>
      <c r="P10" s="146" t="str">
        <f t="shared" ca="1" si="0"/>
        <v>'[FY17 Targets Suggested Projects Report Template 09-03-14.xlsm]Suggested Projects'!$BQ$4:$BQ3</v>
      </c>
      <c r="Q10" s="146" t="str">
        <f ca="1">CELL("address",'Suggested Projects'!BQ4)</f>
        <v>'[FY17 Targets Suggested Projects Report Template 09-03-14.xlsm]Suggested Projects'!$BQ$4</v>
      </c>
      <c r="R10" s="146" t="str">
        <f t="shared" ca="1" si="1"/>
        <v>$BQ3</v>
      </c>
    </row>
    <row r="11" spans="1:18" ht="37.5" x14ac:dyDescent="0.3">
      <c r="A11" s="103"/>
      <c r="B11" s="284" t="s">
        <v>7</v>
      </c>
      <c r="C11" s="285"/>
      <c r="D11" s="285"/>
      <c r="E11" s="215" t="s">
        <v>1</v>
      </c>
      <c r="F11" s="215" t="s">
        <v>2</v>
      </c>
      <c r="G11" s="215" t="s">
        <v>8</v>
      </c>
      <c r="H11" s="216" t="s">
        <v>9</v>
      </c>
      <c r="I11" s="217" t="s">
        <v>5</v>
      </c>
      <c r="J11" s="218" t="s">
        <v>6</v>
      </c>
      <c r="K11" s="103"/>
      <c r="O11" s="146" t="str">
        <f ca="1">CELL("contents",'Suggested Projects'!$BR$3)</f>
        <v>Added LMY</v>
      </c>
      <c r="P11" s="146" t="str">
        <f t="shared" ca="1" si="0"/>
        <v>'[FY17 Targets Suggested Projects Report Template 09-03-14.xlsm]Suggested Projects'!$BR$4:$BR3</v>
      </c>
      <c r="Q11" s="146" t="str">
        <f ca="1">CELL("address",'Suggested Projects'!BR4)</f>
        <v>'[FY17 Targets Suggested Projects Report Template 09-03-14.xlsm]Suggested Projects'!$BR$4</v>
      </c>
      <c r="R11" s="146" t="str">
        <f t="shared" ca="1" si="1"/>
        <v>$BR3</v>
      </c>
    </row>
    <row r="12" spans="1:18" ht="18.75" x14ac:dyDescent="0.3">
      <c r="A12" s="20"/>
      <c r="B12" s="40"/>
      <c r="C12" s="41" t="s">
        <v>10</v>
      </c>
      <c r="D12" s="223" t="s">
        <v>11</v>
      </c>
      <c r="E12" s="224" t="str">
        <f t="shared" ref="E12:E17" ca="1" si="4">IF(SUMIF(INDIRECT($P$9),D12,INDIRECT($P$12))&lt;&gt;0,SUMIF(INDIRECT($P$9),D12,INDIRECT($P$12)),"0")</f>
        <v>0</v>
      </c>
      <c r="F12" s="225">
        <f t="shared" ref="F12:F17" ca="1" si="5">SUMIF(INDIRECT($P$9),D12,INDIRECT($P$11))</f>
        <v>0</v>
      </c>
      <c r="G12" s="225">
        <f t="shared" ref="G12:G17" ca="1" si="6">SUMIF(INDIRECT($P$9),D12,INDIRECT($P$14))</f>
        <v>0</v>
      </c>
      <c r="H12" s="172" t="str">
        <f t="shared" ref="H12:H17" ca="1" si="7">IF(G12&lt;&gt;0,E12/G12,"0")</f>
        <v>0</v>
      </c>
      <c r="I12" s="225">
        <f t="shared" ref="I12:I17" ca="1" si="8">IF(COUNTIF(INDIRECT($P$9),D12)&gt;0,SUMIF(INDIRECT($P$9),D12,INDIRECT($P$10))/COUNTIF(INDIRECT($P$9),D12),0)</f>
        <v>0</v>
      </c>
      <c r="J12" s="67">
        <f t="shared" ref="J12:J17" ca="1" si="9">IF(F12&gt;0,E12/F12,0)</f>
        <v>0</v>
      </c>
      <c r="K12" s="20"/>
      <c r="O12" s="146" t="str">
        <f ca="1">CELL("contents",'Suggested Projects'!$BV$3)</f>
        <v>ADJUSTED CONS BUDGET+ DIFFERENCE</v>
      </c>
      <c r="P12" s="146" t="str">
        <f t="shared" ca="1" si="0"/>
        <v>'[FY17 Targets Suggested Projects Report Template 09-03-14.xlsm]Suggested Projects'!$BV$4:$BV3</v>
      </c>
      <c r="Q12" s="146" t="str">
        <f ca="1">CELL("address",'Suggested Projects'!BV4)</f>
        <v>'[FY17 Targets Suggested Projects Report Template 09-03-14.xlsm]Suggested Projects'!$BV$4</v>
      </c>
      <c r="R12" s="146" t="str">
        <f ca="1">TRIM(MID(Q12,FIND("$",Q12,1),3))&amp;$P$1</f>
        <v>$BV3</v>
      </c>
    </row>
    <row r="13" spans="1:18" ht="18.75" x14ac:dyDescent="0.3">
      <c r="A13" s="20"/>
      <c r="B13" s="133"/>
      <c r="C13" s="134" t="s">
        <v>12</v>
      </c>
      <c r="D13" s="226" t="s">
        <v>13</v>
      </c>
      <c r="E13" s="227" t="str">
        <f t="shared" ca="1" si="4"/>
        <v>0</v>
      </c>
      <c r="F13" s="228">
        <f t="shared" ca="1" si="5"/>
        <v>0</v>
      </c>
      <c r="G13" s="228">
        <f t="shared" ca="1" si="6"/>
        <v>0</v>
      </c>
      <c r="H13" s="173" t="str">
        <f t="shared" ca="1" si="7"/>
        <v>0</v>
      </c>
      <c r="I13" s="228">
        <f t="shared" ca="1" si="8"/>
        <v>0</v>
      </c>
      <c r="J13" s="68">
        <f t="shared" ca="1" si="9"/>
        <v>0</v>
      </c>
      <c r="K13" s="20"/>
      <c r="O13" s="146" t="str">
        <f ca="1">CELL("contents",'Suggested Projects'!$G$3)</f>
        <v>SHOP</v>
      </c>
      <c r="P13" s="146" t="str">
        <f t="shared" ca="1" si="0"/>
        <v>'[FY17 Targets Suggested Projects Report Template 09-03-14.xlsm]Suggested Projects'!$G$4:$G$3</v>
      </c>
      <c r="Q13" s="146" t="str">
        <f ca="1">CELL("address",'Suggested Projects'!G4)</f>
        <v>'[FY17 Targets Suggested Projects Report Template 09-03-14.xlsm]Suggested Projects'!$G$4</v>
      </c>
      <c r="R13" s="146" t="str">
        <f t="shared" ca="1" si="1"/>
        <v>$G$3</v>
      </c>
    </row>
    <row r="14" spans="1:18" ht="18.75" x14ac:dyDescent="0.3">
      <c r="A14" s="20"/>
      <c r="B14" s="135"/>
      <c r="C14" s="136" t="s">
        <v>14</v>
      </c>
      <c r="D14" s="229" t="s">
        <v>15</v>
      </c>
      <c r="E14" s="230" t="str">
        <f t="shared" ca="1" si="4"/>
        <v>0</v>
      </c>
      <c r="F14" s="231">
        <f t="shared" ca="1" si="5"/>
        <v>0</v>
      </c>
      <c r="G14" s="231">
        <f t="shared" ca="1" si="6"/>
        <v>0</v>
      </c>
      <c r="H14" s="174" t="str">
        <f t="shared" ca="1" si="7"/>
        <v>0</v>
      </c>
      <c r="I14" s="231">
        <f t="shared" ca="1" si="8"/>
        <v>0</v>
      </c>
      <c r="J14" s="69">
        <f t="shared" ca="1" si="9"/>
        <v>0</v>
      </c>
      <c r="K14" s="20"/>
      <c r="O14" s="146" t="str">
        <f ca="1">CELL("contents",'Suggested Projects'!$T$3)</f>
        <v>TOTAL LANE MILES</v>
      </c>
      <c r="P14" s="146" t="str">
        <f t="shared" ca="1" si="0"/>
        <v>'[FY17 Targets Suggested Projects Report Template 09-03-14.xlsm]Suggested Projects'!$T$4:$T$3</v>
      </c>
      <c r="Q14" s="146" t="str">
        <f ca="1">CELL("address",'Suggested Projects'!T4)</f>
        <v>'[FY17 Targets Suggested Projects Report Template 09-03-14.xlsm]Suggested Projects'!$T$4</v>
      </c>
      <c r="R14" s="146" t="str">
        <f t="shared" ca="1" si="1"/>
        <v>$T$3</v>
      </c>
    </row>
    <row r="15" spans="1:18" ht="18.75" x14ac:dyDescent="0.3">
      <c r="A15" s="20"/>
      <c r="B15" s="137"/>
      <c r="C15" s="138" t="s">
        <v>16</v>
      </c>
      <c r="D15" s="232" t="s">
        <v>17</v>
      </c>
      <c r="E15" s="233" t="str">
        <f t="shared" ca="1" si="4"/>
        <v>0</v>
      </c>
      <c r="F15" s="234">
        <f t="shared" ca="1" si="5"/>
        <v>0</v>
      </c>
      <c r="G15" s="234">
        <f t="shared" ca="1" si="6"/>
        <v>0</v>
      </c>
      <c r="H15" s="175" t="str">
        <f t="shared" ca="1" si="7"/>
        <v>0</v>
      </c>
      <c r="I15" s="234">
        <f t="shared" ca="1" si="8"/>
        <v>0</v>
      </c>
      <c r="J15" s="70">
        <f t="shared" ca="1" si="9"/>
        <v>0</v>
      </c>
      <c r="K15" s="20"/>
      <c r="O15" s="146" t="str">
        <f ca="1">CELL("contents",'Suggested Projects'!$X$3)</f>
        <v>FUNCTIONAL CLASS</v>
      </c>
      <c r="P15" s="146" t="str">
        <f t="shared" ca="1" si="0"/>
        <v>'[FY17 Targets Suggested Projects Report Template 09-03-14.xlsm]Suggested Projects'!$X$4:$X$3</v>
      </c>
      <c r="Q15" s="146" t="str">
        <f ca="1">CELL("address",'Suggested Projects'!X4)</f>
        <v>'[FY17 Targets Suggested Projects Report Template 09-03-14.xlsm]Suggested Projects'!$X$4</v>
      </c>
      <c r="R15" s="146" t="str">
        <f t="shared" ca="1" si="1"/>
        <v>$X$3</v>
      </c>
    </row>
    <row r="16" spans="1:18" ht="19.5" thickBot="1" x14ac:dyDescent="0.35">
      <c r="A16" s="20"/>
      <c r="B16" s="44"/>
      <c r="C16" s="45" t="s">
        <v>18</v>
      </c>
      <c r="D16" s="235" t="s">
        <v>19</v>
      </c>
      <c r="E16" s="236" t="str">
        <f t="shared" ca="1" si="4"/>
        <v>0</v>
      </c>
      <c r="F16" s="237">
        <f t="shared" ca="1" si="5"/>
        <v>0</v>
      </c>
      <c r="G16" s="237">
        <f t="shared" ca="1" si="6"/>
        <v>0</v>
      </c>
      <c r="H16" s="176" t="str">
        <f t="shared" ca="1" si="7"/>
        <v>0</v>
      </c>
      <c r="I16" s="237">
        <f t="shared" ca="1" si="8"/>
        <v>0</v>
      </c>
      <c r="J16" s="71">
        <f t="shared" ca="1" si="9"/>
        <v>0</v>
      </c>
      <c r="K16" s="20"/>
    </row>
    <row r="17" spans="1:14" ht="19.5" thickBot="1" x14ac:dyDescent="0.35">
      <c r="A17" s="20"/>
      <c r="B17" s="42"/>
      <c r="C17" s="43" t="s">
        <v>20</v>
      </c>
      <c r="D17" s="238" t="s">
        <v>21</v>
      </c>
      <c r="E17" s="239" t="e">
        <f t="shared" ca="1" si="4"/>
        <v>#DIV/0!</v>
      </c>
      <c r="F17" s="240" t="e">
        <f t="shared" ca="1" si="5"/>
        <v>#VALUE!</v>
      </c>
      <c r="G17" s="240">
        <f t="shared" ca="1" si="6"/>
        <v>0</v>
      </c>
      <c r="H17" s="177" t="str">
        <f t="shared" ca="1" si="7"/>
        <v>0</v>
      </c>
      <c r="I17" s="240">
        <f t="shared" ca="1" si="8"/>
        <v>0</v>
      </c>
      <c r="J17" s="72" t="e">
        <f t="shared" ca="1" si="9"/>
        <v>#VALUE!</v>
      </c>
      <c r="L17" s="281" t="s">
        <v>22</v>
      </c>
      <c r="M17" s="282"/>
      <c r="N17" s="283"/>
    </row>
    <row r="18" spans="1:14" ht="19.5" thickBot="1" x14ac:dyDescent="0.35">
      <c r="A18" s="103"/>
      <c r="B18" s="110"/>
      <c r="C18" s="110"/>
      <c r="D18" s="110"/>
      <c r="E18" s="110"/>
      <c r="F18" s="110"/>
      <c r="G18" s="110"/>
      <c r="H18" s="130"/>
      <c r="I18" s="139"/>
      <c r="L18" s="209" t="s">
        <v>23</v>
      </c>
      <c r="M18" s="282" t="s">
        <v>24</v>
      </c>
      <c r="N18" s="283"/>
    </row>
    <row r="19" spans="1:14" ht="38.25" thickBot="1" x14ac:dyDescent="0.35">
      <c r="A19" s="103"/>
      <c r="B19" s="50"/>
      <c r="C19" s="51"/>
      <c r="D19" s="212" t="s">
        <v>25</v>
      </c>
      <c r="E19" s="209" t="s">
        <v>1</v>
      </c>
      <c r="F19" s="209" t="s">
        <v>2</v>
      </c>
      <c r="G19" s="209" t="s">
        <v>8</v>
      </c>
      <c r="H19" s="209" t="s">
        <v>9</v>
      </c>
      <c r="I19" s="211" t="s">
        <v>5</v>
      </c>
      <c r="J19" s="209" t="s">
        <v>6</v>
      </c>
      <c r="L19" s="209" t="s">
        <v>26</v>
      </c>
      <c r="M19" s="209" t="s">
        <v>27</v>
      </c>
      <c r="N19" s="209" t="s">
        <v>28</v>
      </c>
    </row>
    <row r="20" spans="1:14" ht="18.75" x14ac:dyDescent="0.3">
      <c r="A20" s="103"/>
      <c r="B20" s="131"/>
      <c r="C20" s="140"/>
      <c r="D20" s="219">
        <v>1</v>
      </c>
      <c r="E20" s="213">
        <f ca="1">SUMIF(INDIRECT($P$6),D20,INDIRECT($P$12))+N20</f>
        <v>650000</v>
      </c>
      <c r="F20" s="80">
        <f ca="1">SUMIF(INDIRECT($P$6),D20,INDIRECT($P$11))</f>
        <v>0</v>
      </c>
      <c r="G20" s="80">
        <f ca="1">SUMIF(INDIRECT($P$6),D20,INDIRECT($P$14))</f>
        <v>0</v>
      </c>
      <c r="H20" s="73" t="e">
        <f t="shared" ref="H20:H25" ca="1" si="10">E20/G20</f>
        <v>#DIV/0!</v>
      </c>
      <c r="I20" s="80">
        <f t="shared" ref="I20:I26" ca="1" si="11">IF(COUNTIF(INDIRECT($P$6),D20)&gt;0,SUMIF(INDIRECT($P$6),D20,INDIRECT($P$10))/COUNTIF(INDIRECT($P$6),D20),0)</f>
        <v>0</v>
      </c>
      <c r="J20" s="73">
        <f ca="1">IF(F20&gt;0,E20/F20,0)</f>
        <v>0</v>
      </c>
      <c r="K20" s="198"/>
      <c r="L20" s="213">
        <f t="shared" ref="L20:L26" ca="1" si="12">ROUND(SUMIF(INDIRECT($P$6),$D20,INDIRECT($P$4)),0)</f>
        <v>0</v>
      </c>
      <c r="M20" s="213">
        <f t="shared" ref="M20:M26" ca="1" si="13">ROUND(SUMIF(INDIRECT($P$6),$D20,INDIRECT($P$5)),0)</f>
        <v>0</v>
      </c>
      <c r="N20" s="213">
        <v>650000</v>
      </c>
    </row>
    <row r="21" spans="1:14" ht="18.75" x14ac:dyDescent="0.3">
      <c r="A21" s="103"/>
      <c r="B21" s="131"/>
      <c r="C21" s="140"/>
      <c r="D21" s="220">
        <v>2</v>
      </c>
      <c r="E21" s="77">
        <f t="shared" ref="E21:E26" ca="1" si="14">SUMIF(INDIRECT($P$6),D21,INDIRECT($P$12))+N21</f>
        <v>500000</v>
      </c>
      <c r="F21" s="81">
        <f t="shared" ref="F21:F26" ca="1" si="15">SUMIF(INDIRECT($P$6),D21,INDIRECT($P$11))</f>
        <v>0</v>
      </c>
      <c r="G21" s="81">
        <f t="shared" ref="G21:G26" ca="1" si="16">SUMIF(INDIRECT($P$6),D21,INDIRECT($P$14))</f>
        <v>0</v>
      </c>
      <c r="H21" s="74" t="e">
        <f t="shared" ca="1" si="10"/>
        <v>#DIV/0!</v>
      </c>
      <c r="I21" s="81">
        <f t="shared" ca="1" si="11"/>
        <v>0</v>
      </c>
      <c r="J21" s="74">
        <f t="shared" ref="J21:J26" ca="1" si="17">IF(F21&gt;0,E21/F21,0)</f>
        <v>0</v>
      </c>
      <c r="K21" s="198"/>
      <c r="L21" s="77">
        <f t="shared" ca="1" si="12"/>
        <v>0</v>
      </c>
      <c r="M21" s="77">
        <f t="shared" ca="1" si="13"/>
        <v>0</v>
      </c>
      <c r="N21" s="77">
        <v>500000</v>
      </c>
    </row>
    <row r="22" spans="1:14" ht="18.75" x14ac:dyDescent="0.3">
      <c r="A22" s="103"/>
      <c r="B22" s="131"/>
      <c r="C22" s="140"/>
      <c r="D22" s="221">
        <v>3</v>
      </c>
      <c r="E22" s="78">
        <f t="shared" ca="1" si="14"/>
        <v>1500000</v>
      </c>
      <c r="F22" s="82">
        <f t="shared" ca="1" si="15"/>
        <v>0</v>
      </c>
      <c r="G22" s="82">
        <f t="shared" ca="1" si="16"/>
        <v>0</v>
      </c>
      <c r="H22" s="75" t="e">
        <f t="shared" ca="1" si="10"/>
        <v>#DIV/0!</v>
      </c>
      <c r="I22" s="82">
        <f t="shared" ca="1" si="11"/>
        <v>0</v>
      </c>
      <c r="J22" s="75">
        <f t="shared" ca="1" si="17"/>
        <v>0</v>
      </c>
      <c r="K22" s="198"/>
      <c r="L22" s="78">
        <f t="shared" ca="1" si="12"/>
        <v>0</v>
      </c>
      <c r="M22" s="78">
        <f t="shared" ca="1" si="13"/>
        <v>0</v>
      </c>
      <c r="N22" s="78">
        <v>1500000</v>
      </c>
    </row>
    <row r="23" spans="1:14" ht="18.75" x14ac:dyDescent="0.3">
      <c r="A23" s="103"/>
      <c r="B23" s="131"/>
      <c r="C23" s="140"/>
      <c r="D23" s="220">
        <v>4</v>
      </c>
      <c r="E23" s="77">
        <f t="shared" ca="1" si="14"/>
        <v>500000</v>
      </c>
      <c r="F23" s="81">
        <f t="shared" ca="1" si="15"/>
        <v>0</v>
      </c>
      <c r="G23" s="81">
        <f t="shared" ca="1" si="16"/>
        <v>0</v>
      </c>
      <c r="H23" s="74" t="e">
        <f t="shared" ca="1" si="10"/>
        <v>#DIV/0!</v>
      </c>
      <c r="I23" s="81">
        <f t="shared" ca="1" si="11"/>
        <v>0</v>
      </c>
      <c r="J23" s="74">
        <f t="shared" ca="1" si="17"/>
        <v>0</v>
      </c>
      <c r="K23" s="198"/>
      <c r="L23" s="77">
        <f t="shared" ca="1" si="12"/>
        <v>0</v>
      </c>
      <c r="M23" s="77">
        <f t="shared" ca="1" si="13"/>
        <v>0</v>
      </c>
      <c r="N23" s="77">
        <v>500000</v>
      </c>
    </row>
    <row r="24" spans="1:14" ht="18.75" x14ac:dyDescent="0.3">
      <c r="A24" s="103"/>
      <c r="B24" s="131"/>
      <c r="C24" s="140"/>
      <c r="D24" s="221">
        <v>5</v>
      </c>
      <c r="E24" s="78">
        <f t="shared" ca="1" si="14"/>
        <v>300000</v>
      </c>
      <c r="F24" s="82">
        <f t="shared" ca="1" si="15"/>
        <v>0</v>
      </c>
      <c r="G24" s="82">
        <f t="shared" ca="1" si="16"/>
        <v>0</v>
      </c>
      <c r="H24" s="75" t="e">
        <f t="shared" ca="1" si="10"/>
        <v>#DIV/0!</v>
      </c>
      <c r="I24" s="82">
        <f t="shared" ca="1" si="11"/>
        <v>0</v>
      </c>
      <c r="J24" s="75">
        <f t="shared" ca="1" si="17"/>
        <v>0</v>
      </c>
      <c r="K24" s="198"/>
      <c r="L24" s="78">
        <f t="shared" ca="1" si="12"/>
        <v>0</v>
      </c>
      <c r="M24" s="78">
        <f t="shared" ca="1" si="13"/>
        <v>0</v>
      </c>
      <c r="N24" s="78">
        <v>300000</v>
      </c>
    </row>
    <row r="25" spans="1:14" ht="18.75" x14ac:dyDescent="0.3">
      <c r="A25" s="103"/>
      <c r="B25" s="131"/>
      <c r="C25" s="140"/>
      <c r="D25" s="220">
        <v>6</v>
      </c>
      <c r="E25" s="77">
        <f t="shared" ca="1" si="14"/>
        <v>500000</v>
      </c>
      <c r="F25" s="81">
        <f t="shared" ca="1" si="15"/>
        <v>0</v>
      </c>
      <c r="G25" s="81">
        <f t="shared" ca="1" si="16"/>
        <v>0</v>
      </c>
      <c r="H25" s="74" t="e">
        <f t="shared" ca="1" si="10"/>
        <v>#DIV/0!</v>
      </c>
      <c r="I25" s="81">
        <f t="shared" ca="1" si="11"/>
        <v>0</v>
      </c>
      <c r="J25" s="74">
        <f t="shared" ca="1" si="17"/>
        <v>0</v>
      </c>
      <c r="K25" s="198"/>
      <c r="L25" s="77">
        <f t="shared" ca="1" si="12"/>
        <v>0</v>
      </c>
      <c r="M25" s="77">
        <f t="shared" ca="1" si="13"/>
        <v>0</v>
      </c>
      <c r="N25" s="77">
        <v>500000</v>
      </c>
    </row>
    <row r="26" spans="1:14" ht="19.5" thickBot="1" x14ac:dyDescent="0.35">
      <c r="A26" s="103"/>
      <c r="B26" s="131"/>
      <c r="C26" s="140"/>
      <c r="D26" s="222">
        <v>7</v>
      </c>
      <c r="E26" s="214">
        <f t="shared" ca="1" si="14"/>
        <v>500000</v>
      </c>
      <c r="F26" s="83">
        <f t="shared" ca="1" si="15"/>
        <v>0</v>
      </c>
      <c r="G26" s="83">
        <f t="shared" ca="1" si="16"/>
        <v>0</v>
      </c>
      <c r="H26" s="76" t="e">
        <f ca="1">E26/G26</f>
        <v>#DIV/0!</v>
      </c>
      <c r="I26" s="83">
        <f t="shared" ca="1" si="11"/>
        <v>0</v>
      </c>
      <c r="J26" s="76">
        <f t="shared" ca="1" si="17"/>
        <v>0</v>
      </c>
      <c r="K26" s="198"/>
      <c r="L26" s="214">
        <f t="shared" ca="1" si="12"/>
        <v>0</v>
      </c>
      <c r="M26" s="214">
        <f t="shared" ca="1" si="13"/>
        <v>0</v>
      </c>
      <c r="N26" s="214">
        <v>500000</v>
      </c>
    </row>
    <row r="27" spans="1:14" ht="18.75" x14ac:dyDescent="0.3">
      <c r="A27" s="103"/>
      <c r="B27" s="131"/>
      <c r="C27" s="131"/>
      <c r="D27" s="48"/>
      <c r="E27" s="24"/>
      <c r="F27" s="49"/>
      <c r="G27" s="49"/>
      <c r="H27" s="66"/>
      <c r="I27" s="141"/>
      <c r="J27" s="24"/>
      <c r="K27" s="24"/>
    </row>
    <row r="28" spans="1:14" ht="15.75" thickBot="1" x14ac:dyDescent="0.3">
      <c r="A28" s="103"/>
      <c r="B28" s="110"/>
      <c r="C28" s="110"/>
      <c r="D28" s="110"/>
      <c r="E28" s="110"/>
      <c r="F28" s="110"/>
      <c r="G28" s="110"/>
      <c r="H28" s="130"/>
      <c r="I28" s="139"/>
      <c r="J28" s="139"/>
      <c r="K28" s="139"/>
    </row>
    <row r="29" spans="1:14" ht="38.25" thickBot="1" x14ac:dyDescent="0.35">
      <c r="A29" s="103"/>
      <c r="B29" s="281" t="s">
        <v>29</v>
      </c>
      <c r="C29" s="282"/>
      <c r="D29" s="283"/>
      <c r="E29" s="209" t="s">
        <v>1</v>
      </c>
      <c r="F29" s="209" t="s">
        <v>2</v>
      </c>
      <c r="G29" s="209" t="s">
        <v>8</v>
      </c>
      <c r="H29" s="210" t="s">
        <v>9</v>
      </c>
      <c r="I29" s="211" t="s">
        <v>5</v>
      </c>
      <c r="J29" s="209" t="s">
        <v>6</v>
      </c>
      <c r="K29" s="103"/>
    </row>
    <row r="30" spans="1:14" ht="18.75" x14ac:dyDescent="0.3">
      <c r="A30" s="103"/>
      <c r="B30" s="274" t="s">
        <v>30</v>
      </c>
      <c r="C30" s="275"/>
      <c r="D30" s="219">
        <v>1</v>
      </c>
      <c r="E30" s="64">
        <f ca="1">SUMIF(INDIRECT($P$15),D30,INDIRECT($P$12))</f>
        <v>0</v>
      </c>
      <c r="F30" s="80">
        <f ca="1">SUMIF(INDIRECT($P$15),D30,INDIRECT($P$11))</f>
        <v>0</v>
      </c>
      <c r="G30" s="80">
        <f ca="1">SUMIF(INDIRECT($P$15),D30,INDIRECT($P$14))</f>
        <v>0</v>
      </c>
      <c r="H30" s="64">
        <f t="shared" ref="H30:H41" ca="1" si="18">IF(G30=0,0,E30/G30)</f>
        <v>0</v>
      </c>
      <c r="I30" s="80">
        <f ca="1">IF(COUNTIF(INDIRECT($P$15),D30)&gt;0,SUMIF(INDIRECT($P$15),D30,INDIRECT($P$10))/COUNTIF(INDIRECT($P$15),D30),0)</f>
        <v>0</v>
      </c>
      <c r="J30" s="64">
        <f ca="1">IF(F30&gt;0,E30/F30,0)</f>
        <v>0</v>
      </c>
      <c r="K30" s="103"/>
    </row>
    <row r="31" spans="1:14" ht="18.75" x14ac:dyDescent="0.3">
      <c r="A31" s="103"/>
      <c r="B31" s="276" t="s">
        <v>31</v>
      </c>
      <c r="C31" s="277"/>
      <c r="D31" s="220">
        <v>2</v>
      </c>
      <c r="E31" s="77">
        <f t="shared" ref="E31:E41" ca="1" si="19">SUMIF(INDIRECT($P$15),D31,INDIRECT($P$12))</f>
        <v>0</v>
      </c>
      <c r="F31" s="81">
        <f t="shared" ref="F31:F41" ca="1" si="20">SUMIF(INDIRECT($P$15),D31,INDIRECT($P$11))</f>
        <v>0</v>
      </c>
      <c r="G31" s="81">
        <f t="shared" ref="G31:G41" ca="1" si="21">SUMIF(INDIRECT($P$15),D31,INDIRECT($P$14))</f>
        <v>0</v>
      </c>
      <c r="H31" s="77">
        <f t="shared" ca="1" si="18"/>
        <v>0</v>
      </c>
      <c r="I31" s="81">
        <f t="shared" ref="I31:I41" ca="1" si="22">IF(COUNTIF(INDIRECT($P$15),D31)&gt;0,SUMIF(INDIRECT($P$15),D31,INDIRECT($P$10))/COUNTIF(INDIRECT($P$15),D31),0)</f>
        <v>0</v>
      </c>
      <c r="J31" s="77">
        <f t="shared" ref="J31:J41" ca="1" si="23">IF(F31&gt;0,E31/F31,0)</f>
        <v>0</v>
      </c>
      <c r="K31" s="103"/>
    </row>
    <row r="32" spans="1:14" ht="18.75" x14ac:dyDescent="0.3">
      <c r="A32" s="103"/>
      <c r="B32" s="278" t="s">
        <v>32</v>
      </c>
      <c r="C32" s="279"/>
      <c r="D32" s="221">
        <v>6</v>
      </c>
      <c r="E32" s="78">
        <f t="shared" ca="1" si="19"/>
        <v>0</v>
      </c>
      <c r="F32" s="82">
        <f t="shared" ca="1" si="20"/>
        <v>0</v>
      </c>
      <c r="G32" s="82">
        <f t="shared" ca="1" si="21"/>
        <v>0</v>
      </c>
      <c r="H32" s="78">
        <f t="shared" ca="1" si="18"/>
        <v>0</v>
      </c>
      <c r="I32" s="82">
        <f t="shared" ca="1" si="22"/>
        <v>0</v>
      </c>
      <c r="J32" s="78">
        <f t="shared" ca="1" si="23"/>
        <v>0</v>
      </c>
      <c r="K32" s="103"/>
    </row>
    <row r="33" spans="1:11" ht="18.75" x14ac:dyDescent="0.3">
      <c r="A33" s="103"/>
      <c r="B33" s="276" t="s">
        <v>33</v>
      </c>
      <c r="C33" s="277"/>
      <c r="D33" s="220">
        <v>7</v>
      </c>
      <c r="E33" s="77">
        <f t="shared" ca="1" si="19"/>
        <v>0</v>
      </c>
      <c r="F33" s="81">
        <f t="shared" ca="1" si="20"/>
        <v>0</v>
      </c>
      <c r="G33" s="81">
        <f t="shared" ca="1" si="21"/>
        <v>0</v>
      </c>
      <c r="H33" s="77">
        <f t="shared" ca="1" si="18"/>
        <v>0</v>
      </c>
      <c r="I33" s="81">
        <f t="shared" ca="1" si="22"/>
        <v>0</v>
      </c>
      <c r="J33" s="77">
        <f t="shared" ca="1" si="23"/>
        <v>0</v>
      </c>
      <c r="K33" s="103"/>
    </row>
    <row r="34" spans="1:11" ht="18.75" x14ac:dyDescent="0.3">
      <c r="A34" s="103"/>
      <c r="B34" s="278" t="s">
        <v>34</v>
      </c>
      <c r="C34" s="279"/>
      <c r="D34" s="221">
        <v>8</v>
      </c>
      <c r="E34" s="78">
        <f t="shared" ca="1" si="19"/>
        <v>0</v>
      </c>
      <c r="F34" s="82">
        <f t="shared" ca="1" si="20"/>
        <v>0</v>
      </c>
      <c r="G34" s="82">
        <f t="shared" ca="1" si="21"/>
        <v>0</v>
      </c>
      <c r="H34" s="78">
        <f t="shared" ca="1" si="18"/>
        <v>0</v>
      </c>
      <c r="I34" s="82">
        <f t="shared" ca="1" si="22"/>
        <v>0</v>
      </c>
      <c r="J34" s="78">
        <f t="shared" ca="1" si="23"/>
        <v>0</v>
      </c>
      <c r="K34" s="103"/>
    </row>
    <row r="35" spans="1:11" ht="18.75" x14ac:dyDescent="0.3">
      <c r="A35" s="103"/>
      <c r="B35" s="276" t="s">
        <v>35</v>
      </c>
      <c r="C35" s="277"/>
      <c r="D35" s="220">
        <v>9</v>
      </c>
      <c r="E35" s="77">
        <f t="shared" ca="1" si="19"/>
        <v>0</v>
      </c>
      <c r="F35" s="81">
        <f t="shared" ca="1" si="20"/>
        <v>0</v>
      </c>
      <c r="G35" s="81">
        <f t="shared" ca="1" si="21"/>
        <v>0</v>
      </c>
      <c r="H35" s="77">
        <f t="shared" ca="1" si="18"/>
        <v>0</v>
      </c>
      <c r="I35" s="81">
        <f t="shared" ca="1" si="22"/>
        <v>0</v>
      </c>
      <c r="J35" s="77">
        <f t="shared" ca="1" si="23"/>
        <v>0</v>
      </c>
      <c r="K35" s="103"/>
    </row>
    <row r="36" spans="1:11" ht="18.75" x14ac:dyDescent="0.3">
      <c r="A36" s="103"/>
      <c r="B36" s="278" t="s">
        <v>36</v>
      </c>
      <c r="C36" s="279"/>
      <c r="D36" s="221">
        <v>11</v>
      </c>
      <c r="E36" s="78">
        <f t="shared" ca="1" si="19"/>
        <v>0</v>
      </c>
      <c r="F36" s="82">
        <f t="shared" ca="1" si="20"/>
        <v>0</v>
      </c>
      <c r="G36" s="82">
        <f t="shared" ca="1" si="21"/>
        <v>0</v>
      </c>
      <c r="H36" s="78">
        <f t="shared" ca="1" si="18"/>
        <v>0</v>
      </c>
      <c r="I36" s="82">
        <f t="shared" ca="1" si="22"/>
        <v>0</v>
      </c>
      <c r="J36" s="78">
        <f t="shared" ca="1" si="23"/>
        <v>0</v>
      </c>
      <c r="K36" s="103"/>
    </row>
    <row r="37" spans="1:11" ht="18.75" x14ac:dyDescent="0.3">
      <c r="A37" s="103"/>
      <c r="B37" s="276" t="s">
        <v>37</v>
      </c>
      <c r="C37" s="277"/>
      <c r="D37" s="220">
        <v>12</v>
      </c>
      <c r="E37" s="77">
        <f t="shared" ca="1" si="19"/>
        <v>0</v>
      </c>
      <c r="F37" s="81">
        <f t="shared" ca="1" si="20"/>
        <v>0</v>
      </c>
      <c r="G37" s="81">
        <f t="shared" ca="1" si="21"/>
        <v>0</v>
      </c>
      <c r="H37" s="77">
        <f t="shared" ca="1" si="18"/>
        <v>0</v>
      </c>
      <c r="I37" s="81">
        <f t="shared" ca="1" si="22"/>
        <v>0</v>
      </c>
      <c r="J37" s="77">
        <f t="shared" ca="1" si="23"/>
        <v>0</v>
      </c>
      <c r="K37" s="103"/>
    </row>
    <row r="38" spans="1:11" ht="18.75" x14ac:dyDescent="0.3">
      <c r="A38" s="103"/>
      <c r="B38" s="278" t="s">
        <v>38</v>
      </c>
      <c r="C38" s="279"/>
      <c r="D38" s="221">
        <v>14</v>
      </c>
      <c r="E38" s="78">
        <f t="shared" ca="1" si="19"/>
        <v>0</v>
      </c>
      <c r="F38" s="82">
        <f t="shared" ca="1" si="20"/>
        <v>0</v>
      </c>
      <c r="G38" s="82">
        <f t="shared" ca="1" si="21"/>
        <v>0</v>
      </c>
      <c r="H38" s="78">
        <f t="shared" ca="1" si="18"/>
        <v>0</v>
      </c>
      <c r="I38" s="82">
        <f t="shared" ca="1" si="22"/>
        <v>0</v>
      </c>
      <c r="J38" s="78">
        <f t="shared" ca="1" si="23"/>
        <v>0</v>
      </c>
      <c r="K38" s="103"/>
    </row>
    <row r="39" spans="1:11" ht="18.75" x14ac:dyDescent="0.3">
      <c r="A39" s="103"/>
      <c r="B39" s="276" t="s">
        <v>39</v>
      </c>
      <c r="C39" s="277"/>
      <c r="D39" s="220">
        <v>16</v>
      </c>
      <c r="E39" s="77">
        <f t="shared" ca="1" si="19"/>
        <v>0</v>
      </c>
      <c r="F39" s="81">
        <f t="shared" ca="1" si="20"/>
        <v>0</v>
      </c>
      <c r="G39" s="81">
        <f t="shared" ca="1" si="21"/>
        <v>0</v>
      </c>
      <c r="H39" s="77">
        <f t="shared" ca="1" si="18"/>
        <v>0</v>
      </c>
      <c r="I39" s="81">
        <f t="shared" ca="1" si="22"/>
        <v>0</v>
      </c>
      <c r="J39" s="77">
        <f t="shared" ca="1" si="23"/>
        <v>0</v>
      </c>
      <c r="K39" s="103"/>
    </row>
    <row r="40" spans="1:11" ht="18.75" x14ac:dyDescent="0.3">
      <c r="A40" s="103"/>
      <c r="B40" s="278" t="s">
        <v>40</v>
      </c>
      <c r="C40" s="279"/>
      <c r="D40" s="221">
        <v>17</v>
      </c>
      <c r="E40" s="78">
        <f t="shared" ca="1" si="19"/>
        <v>0</v>
      </c>
      <c r="F40" s="82">
        <f t="shared" ca="1" si="20"/>
        <v>0</v>
      </c>
      <c r="G40" s="82">
        <f t="shared" ca="1" si="21"/>
        <v>0</v>
      </c>
      <c r="H40" s="78">
        <f t="shared" ca="1" si="18"/>
        <v>0</v>
      </c>
      <c r="I40" s="82">
        <f t="shared" ca="1" si="22"/>
        <v>0</v>
      </c>
      <c r="J40" s="78">
        <f t="shared" ca="1" si="23"/>
        <v>0</v>
      </c>
      <c r="K40" s="103"/>
    </row>
    <row r="41" spans="1:11" ht="19.5" thickBot="1" x14ac:dyDescent="0.35">
      <c r="A41" s="103"/>
      <c r="B41" s="272" t="s">
        <v>41</v>
      </c>
      <c r="C41" s="273"/>
      <c r="D41" s="241">
        <v>19</v>
      </c>
      <c r="E41" s="79">
        <f t="shared" ca="1" si="19"/>
        <v>0</v>
      </c>
      <c r="F41" s="84">
        <f t="shared" ca="1" si="20"/>
        <v>0</v>
      </c>
      <c r="G41" s="84">
        <f t="shared" ca="1" si="21"/>
        <v>0</v>
      </c>
      <c r="H41" s="79">
        <f t="shared" ca="1" si="18"/>
        <v>0</v>
      </c>
      <c r="I41" s="84">
        <f t="shared" ca="1" si="22"/>
        <v>0</v>
      </c>
      <c r="J41" s="79">
        <f t="shared" ca="1" si="23"/>
        <v>0</v>
      </c>
      <c r="K41" s="103"/>
    </row>
    <row r="42" spans="1:11" ht="18.75" customHeight="1" x14ac:dyDescent="0.25">
      <c r="A42" s="103"/>
      <c r="B42" s="110"/>
      <c r="C42" s="110"/>
      <c r="D42" s="110"/>
      <c r="E42" s="110"/>
      <c r="F42" s="110"/>
      <c r="G42" s="110"/>
      <c r="H42" s="142"/>
      <c r="I42" s="110"/>
      <c r="J42" s="110"/>
      <c r="K42" s="110"/>
    </row>
    <row r="43" spans="1:11" ht="18.75" customHeight="1" x14ac:dyDescent="0.25">
      <c r="A43" s="103"/>
      <c r="B43" s="110"/>
      <c r="C43" s="110"/>
      <c r="D43" s="110"/>
      <c r="E43" s="110"/>
      <c r="F43" s="110"/>
      <c r="G43" s="110"/>
      <c r="H43" s="142"/>
      <c r="I43" s="110"/>
      <c r="J43" s="110"/>
      <c r="K43" s="110"/>
    </row>
    <row r="44" spans="1:11" ht="18.75" hidden="1" x14ac:dyDescent="0.3">
      <c r="A44" s="103"/>
      <c r="B44" s="110"/>
      <c r="C44" s="110"/>
      <c r="D44" s="242"/>
      <c r="E44" s="248" t="s">
        <v>4590</v>
      </c>
      <c r="F44" s="243"/>
      <c r="G44" s="243"/>
      <c r="H44" s="243"/>
      <c r="I44" s="243"/>
      <c r="J44" s="243"/>
      <c r="K44" s="110"/>
    </row>
    <row r="45" spans="1:11" ht="37.5" x14ac:dyDescent="0.3">
      <c r="A45" s="103"/>
      <c r="B45" s="110"/>
      <c r="C45" s="110"/>
      <c r="D45" s="249" t="s">
        <v>42</v>
      </c>
      <c r="E45" s="244" t="s">
        <v>1</v>
      </c>
      <c r="F45" s="244" t="s">
        <v>2</v>
      </c>
      <c r="G45" s="244" t="s">
        <v>8</v>
      </c>
      <c r="H45" s="245" t="s">
        <v>4592</v>
      </c>
      <c r="I45" s="244" t="s">
        <v>5</v>
      </c>
      <c r="J45" s="244" t="s">
        <v>4591</v>
      </c>
      <c r="K45" s="110"/>
    </row>
    <row r="46" spans="1:11" ht="18.75" x14ac:dyDescent="0.3">
      <c r="A46" s="103"/>
      <c r="B46" s="110"/>
      <c r="C46" s="110"/>
      <c r="D46" s="246" t="s">
        <v>116</v>
      </c>
      <c r="E46" s="66">
        <v>9042240</v>
      </c>
      <c r="F46" s="247">
        <v>262.71691115384294</v>
      </c>
      <c r="G46" s="247">
        <v>86.81</v>
      </c>
      <c r="H46" s="66">
        <v>104161.27174288676</v>
      </c>
      <c r="I46" s="247">
        <v>3.0236386441597443</v>
      </c>
      <c r="J46" s="66">
        <v>34418.187852037452</v>
      </c>
      <c r="K46" s="110"/>
    </row>
    <row r="47" spans="1:11" ht="18.75" x14ac:dyDescent="0.3">
      <c r="A47" s="103"/>
      <c r="B47" s="110"/>
      <c r="C47" s="110"/>
      <c r="D47" s="246" t="s">
        <v>107</v>
      </c>
      <c r="E47" s="66">
        <v>359964</v>
      </c>
      <c r="F47" s="247">
        <v>219.86666358820156</v>
      </c>
      <c r="G47" s="247">
        <v>135.70000000000002</v>
      </c>
      <c r="H47" s="66">
        <v>2652.6455416359613</v>
      </c>
      <c r="I47" s="247">
        <v>1.6522294474588888</v>
      </c>
      <c r="J47" s="66">
        <v>1637.1922606429923</v>
      </c>
      <c r="K47" s="110"/>
    </row>
    <row r="48" spans="1:11" ht="18.75" x14ac:dyDescent="0.3">
      <c r="A48" s="103"/>
      <c r="B48" s="110"/>
      <c r="C48" s="110"/>
      <c r="D48" s="246" t="s">
        <v>109</v>
      </c>
      <c r="E48" s="66">
        <v>27161072</v>
      </c>
      <c r="F48" s="247">
        <v>2488.2742027436461</v>
      </c>
      <c r="G48" s="247">
        <v>148.35000000000005</v>
      </c>
      <c r="H48" s="66">
        <v>183087.77890124699</v>
      </c>
      <c r="I48" s="247">
        <v>16.493914906597183</v>
      </c>
      <c r="J48" s="66">
        <v>10915.626569632632</v>
      </c>
      <c r="K48" s="110"/>
    </row>
    <row r="49" spans="1:11" ht="18.75" x14ac:dyDescent="0.3">
      <c r="A49" s="103"/>
      <c r="B49" s="110"/>
      <c r="C49" s="110"/>
      <c r="D49" s="246" t="s">
        <v>117</v>
      </c>
      <c r="E49" s="66">
        <v>14130680</v>
      </c>
      <c r="F49" s="247">
        <v>245.99293531139475</v>
      </c>
      <c r="G49" s="247">
        <v>25.38</v>
      </c>
      <c r="H49" s="66">
        <v>556764.38140267925</v>
      </c>
      <c r="I49" s="247">
        <v>11.288646406628907</v>
      </c>
      <c r="J49" s="66">
        <v>57443.438292698993</v>
      </c>
      <c r="K49" s="110"/>
    </row>
    <row r="50" spans="1:11" ht="18.75" x14ac:dyDescent="0.3">
      <c r="A50" s="103"/>
      <c r="B50" s="110"/>
      <c r="C50" s="110"/>
      <c r="D50" s="246" t="s">
        <v>106</v>
      </c>
      <c r="E50" s="66">
        <v>7539986</v>
      </c>
      <c r="F50" s="247">
        <v>930.71915982520159</v>
      </c>
      <c r="G50" s="247">
        <v>155.40999999999997</v>
      </c>
      <c r="H50" s="66">
        <v>48516.736374750668</v>
      </c>
      <c r="I50" s="247">
        <v>5.987467395856533</v>
      </c>
      <c r="J50" s="66">
        <v>8101.2472134086993</v>
      </c>
      <c r="K50" s="110"/>
    </row>
    <row r="51" spans="1:11" ht="18.75" x14ac:dyDescent="0.3">
      <c r="A51" s="103"/>
      <c r="B51" s="110"/>
      <c r="C51" s="110"/>
      <c r="D51" s="246" t="s">
        <v>119</v>
      </c>
      <c r="E51" s="66">
        <v>5780646</v>
      </c>
      <c r="F51" s="247">
        <v>827.49376358371035</v>
      </c>
      <c r="G51" s="247">
        <v>31.259999999999994</v>
      </c>
      <c r="H51" s="66">
        <v>184921.49712092133</v>
      </c>
      <c r="I51" s="247">
        <v>23.032727173416728</v>
      </c>
      <c r="J51" s="66">
        <v>6985.7275720909074</v>
      </c>
      <c r="K51" s="110"/>
    </row>
    <row r="52" spans="1:11" ht="18.75" x14ac:dyDescent="0.3">
      <c r="A52" s="103"/>
      <c r="B52" s="110"/>
      <c r="C52" s="110"/>
      <c r="D52" s="246" t="s">
        <v>115</v>
      </c>
      <c r="E52" s="66">
        <v>3385968</v>
      </c>
      <c r="F52" s="247">
        <v>535.74517582474334</v>
      </c>
      <c r="G52" s="247">
        <v>37.35</v>
      </c>
      <c r="H52" s="66">
        <v>90655.100401606425</v>
      </c>
      <c r="I52" s="247">
        <v>15.548688857355094</v>
      </c>
      <c r="J52" s="66">
        <v>6320.1091727751573</v>
      </c>
      <c r="K52" s="110"/>
    </row>
    <row r="53" spans="1:11" ht="18.75" x14ac:dyDescent="0.3">
      <c r="A53" s="103"/>
      <c r="B53" s="110"/>
      <c r="C53" s="110"/>
      <c r="D53" s="246" t="s">
        <v>110</v>
      </c>
      <c r="E53" s="66">
        <v>46023000</v>
      </c>
      <c r="F53" s="247">
        <v>3368.790859682118</v>
      </c>
      <c r="G53" s="247">
        <v>436.25999999999988</v>
      </c>
      <c r="H53" s="66">
        <v>105494.42992710772</v>
      </c>
      <c r="I53" s="247">
        <v>7.4874569557555954</v>
      </c>
      <c r="J53" s="66">
        <v>13661.578268572828</v>
      </c>
      <c r="K53" s="110"/>
    </row>
    <row r="54" spans="1:11" ht="18.75" x14ac:dyDescent="0.3">
      <c r="A54" s="103"/>
      <c r="B54" s="110"/>
      <c r="C54" s="110"/>
      <c r="D54" s="246" t="s">
        <v>108</v>
      </c>
      <c r="E54" s="66">
        <v>103503023</v>
      </c>
      <c r="F54" s="247">
        <v>7425.8845151854757</v>
      </c>
      <c r="G54" s="247">
        <v>339.71000000000009</v>
      </c>
      <c r="H54" s="66">
        <v>304680.53045244463</v>
      </c>
      <c r="I54" s="247">
        <v>22.489228745232971</v>
      </c>
      <c r="J54" s="66">
        <v>13938.140673793499</v>
      </c>
      <c r="K54" s="110"/>
    </row>
    <row r="55" spans="1:11" ht="18.75" x14ac:dyDescent="0.3">
      <c r="A55" s="103"/>
      <c r="B55" s="110"/>
      <c r="C55" s="110"/>
      <c r="D55" s="246" t="s">
        <v>118</v>
      </c>
      <c r="E55" s="66">
        <v>5300739</v>
      </c>
      <c r="F55" s="247">
        <v>67.722183813627367</v>
      </c>
      <c r="G55" s="247">
        <v>4.7200000000000006</v>
      </c>
      <c r="H55" s="66">
        <v>1123037.9237288134</v>
      </c>
      <c r="I55" s="247">
        <v>15.168361216239933</v>
      </c>
      <c r="J55" s="66">
        <v>78271.826180143951</v>
      </c>
      <c r="K55" s="110"/>
    </row>
    <row r="56" spans="1:11" x14ac:dyDescent="0.25">
      <c r="A56" s="103"/>
      <c r="B56" s="110"/>
      <c r="C56" s="110"/>
      <c r="D56"/>
      <c r="E56"/>
      <c r="F56"/>
      <c r="G56"/>
      <c r="H56"/>
      <c r="I56"/>
      <c r="J56"/>
      <c r="K56" s="110"/>
    </row>
    <row r="57" spans="1:11" ht="18.75" customHeight="1" x14ac:dyDescent="0.25">
      <c r="A57" s="103"/>
      <c r="B57" s="110"/>
      <c r="C57" s="110"/>
      <c r="D57" s="146"/>
      <c r="E57" s="146"/>
      <c r="F57" s="146"/>
      <c r="G57" s="146"/>
      <c r="H57" s="146"/>
      <c r="I57" s="146"/>
      <c r="J57" s="146"/>
      <c r="K57" s="110"/>
    </row>
    <row r="58" spans="1:11" hidden="1" x14ac:dyDescent="0.25">
      <c r="A58" s="103"/>
      <c r="B58" s="110"/>
      <c r="C58" s="110"/>
      <c r="D58" s="146"/>
      <c r="E58" s="146"/>
      <c r="F58" s="146"/>
      <c r="G58" s="146"/>
      <c r="H58" s="146"/>
      <c r="I58" s="146"/>
      <c r="J58" s="146"/>
      <c r="K58" s="110"/>
    </row>
    <row r="59" spans="1:11" hidden="1" x14ac:dyDescent="0.25">
      <c r="A59" s="103"/>
      <c r="B59" s="110"/>
      <c r="C59" s="110"/>
      <c r="D59" s="146"/>
      <c r="E59" s="146"/>
      <c r="F59" s="146"/>
      <c r="G59" s="146"/>
      <c r="H59" s="146"/>
      <c r="I59" s="146"/>
      <c r="J59" s="146"/>
      <c r="K59" s="110"/>
    </row>
    <row r="60" spans="1:11" hidden="1" x14ac:dyDescent="0.25">
      <c r="A60" s="103"/>
      <c r="B60" s="110"/>
      <c r="C60" s="110"/>
      <c r="D60" s="146"/>
      <c r="E60" s="146"/>
      <c r="F60" s="146"/>
      <c r="G60" s="146"/>
      <c r="H60" s="146"/>
      <c r="I60" s="146"/>
      <c r="J60" s="146"/>
      <c r="K60" s="110"/>
    </row>
    <row r="61" spans="1:11" hidden="1" x14ac:dyDescent="0.25">
      <c r="A61" s="103"/>
      <c r="B61" s="110"/>
      <c r="C61" s="110"/>
      <c r="D61" s="146"/>
      <c r="E61" s="146"/>
      <c r="F61" s="146"/>
      <c r="G61" s="146"/>
      <c r="H61" s="146"/>
      <c r="I61" s="146"/>
      <c r="J61" s="146"/>
      <c r="K61" s="110"/>
    </row>
    <row r="62" spans="1:11" hidden="1" x14ac:dyDescent="0.25">
      <c r="A62" s="103"/>
      <c r="B62" s="110"/>
      <c r="C62" s="110"/>
      <c r="D62" s="146"/>
      <c r="E62" s="146"/>
      <c r="F62" s="146"/>
      <c r="G62" s="146"/>
      <c r="H62" s="146"/>
      <c r="I62" s="146"/>
      <c r="J62" s="146"/>
      <c r="K62" s="110"/>
    </row>
    <row r="63" spans="1:11" hidden="1" x14ac:dyDescent="0.25">
      <c r="A63" s="103"/>
      <c r="B63" s="110"/>
      <c r="C63" s="110"/>
      <c r="D63" s="146"/>
      <c r="E63" s="146"/>
      <c r="F63" s="146"/>
      <c r="G63" s="146"/>
      <c r="H63" s="146"/>
      <c r="I63" s="146"/>
      <c r="J63" s="146"/>
      <c r="K63" s="110"/>
    </row>
    <row r="64" spans="1:11" s="146" customFormat="1" hidden="1" x14ac:dyDescent="0.25">
      <c r="A64" s="139"/>
      <c r="B64" s="131"/>
      <c r="C64" s="131"/>
      <c r="K64" s="131"/>
    </row>
    <row r="65" spans="1:11" s="146" customFormat="1" hidden="1" x14ac:dyDescent="0.25">
      <c r="A65" s="139"/>
      <c r="B65" s="131"/>
      <c r="C65" s="131"/>
      <c r="K65" s="131"/>
    </row>
    <row r="66" spans="1:11" s="146" customFormat="1" hidden="1" x14ac:dyDescent="0.25">
      <c r="A66" s="139"/>
      <c r="B66" s="131"/>
      <c r="C66" s="131"/>
      <c r="K66" s="131"/>
    </row>
    <row r="67" spans="1:11" s="146" customFormat="1" hidden="1" x14ac:dyDescent="0.25">
      <c r="A67" s="139"/>
      <c r="B67" s="131"/>
      <c r="C67" s="131"/>
      <c r="K67" s="131"/>
    </row>
    <row r="68" spans="1:11" s="146" customFormat="1" hidden="1" x14ac:dyDescent="0.25">
      <c r="A68" s="139"/>
      <c r="B68" s="131"/>
      <c r="C68" s="131"/>
      <c r="K68" s="131"/>
    </row>
    <row r="69" spans="1:11" s="146" customFormat="1" hidden="1" x14ac:dyDescent="0.25">
      <c r="A69" s="139"/>
      <c r="B69" s="131"/>
      <c r="C69" s="131"/>
      <c r="K69" s="131"/>
    </row>
    <row r="70" spans="1:11" s="146" customFormat="1" hidden="1" x14ac:dyDescent="0.25">
      <c r="A70" s="139"/>
      <c r="B70" s="131"/>
      <c r="C70" s="131"/>
      <c r="K70" s="131"/>
    </row>
    <row r="71" spans="1:11" hidden="1" x14ac:dyDescent="0.25">
      <c r="A71" s="103"/>
      <c r="B71" s="110"/>
      <c r="C71" s="110"/>
      <c r="D71" s="146"/>
      <c r="E71" s="146"/>
      <c r="F71" s="146"/>
      <c r="G71" s="146"/>
      <c r="H71" s="146"/>
      <c r="I71" s="146"/>
      <c r="J71" s="146"/>
      <c r="K71" s="110"/>
    </row>
    <row r="72" spans="1:11" hidden="1" x14ac:dyDescent="0.25">
      <c r="A72" s="103"/>
      <c r="B72" s="110"/>
      <c r="C72" s="110"/>
      <c r="D72" s="146"/>
      <c r="E72" s="146"/>
      <c r="F72" s="146"/>
      <c r="G72" s="146"/>
      <c r="H72" s="146"/>
      <c r="I72" s="146"/>
      <c r="J72" s="146"/>
      <c r="K72" s="110"/>
    </row>
    <row r="73" spans="1:11" hidden="1" x14ac:dyDescent="0.25">
      <c r="A73" s="103"/>
      <c r="B73" s="110"/>
      <c r="C73" s="110"/>
      <c r="D73" s="146"/>
      <c r="E73" s="146"/>
      <c r="F73" s="146"/>
      <c r="G73" s="146"/>
      <c r="H73" s="146"/>
      <c r="I73" s="146"/>
      <c r="J73" s="146"/>
      <c r="K73" s="110"/>
    </row>
    <row r="74" spans="1:11" hidden="1" x14ac:dyDescent="0.25">
      <c r="A74" s="103"/>
      <c r="B74" s="110"/>
      <c r="C74" s="110"/>
      <c r="D74" s="146"/>
      <c r="E74" s="146"/>
      <c r="F74" s="146"/>
      <c r="G74" s="146"/>
      <c r="H74" s="146"/>
      <c r="I74" s="146"/>
      <c r="J74" s="146"/>
      <c r="K74" s="110"/>
    </row>
    <row r="75" spans="1:11" hidden="1" x14ac:dyDescent="0.25">
      <c r="A75" s="103"/>
      <c r="B75" s="110"/>
      <c r="C75" s="110"/>
      <c r="D75" s="146"/>
      <c r="E75" s="146"/>
      <c r="F75" s="146"/>
      <c r="G75" s="146"/>
      <c r="H75" s="146"/>
      <c r="I75" s="146"/>
      <c r="J75" s="146"/>
      <c r="K75" s="110"/>
    </row>
    <row r="76" spans="1:11" hidden="1" x14ac:dyDescent="0.25">
      <c r="A76" s="103"/>
      <c r="B76" s="110"/>
      <c r="C76" s="110"/>
      <c r="D76" s="146"/>
      <c r="E76" s="146"/>
      <c r="F76" s="146"/>
      <c r="G76" s="146"/>
      <c r="H76" s="146"/>
      <c r="I76" s="146"/>
      <c r="J76" s="146"/>
      <c r="K76" s="110"/>
    </row>
    <row r="77" spans="1:11" hidden="1" x14ac:dyDescent="0.25">
      <c r="A77" s="103"/>
      <c r="B77" s="110"/>
      <c r="C77" s="110"/>
      <c r="D77" s="146"/>
      <c r="E77" s="146"/>
      <c r="F77" s="146"/>
      <c r="G77" s="146"/>
      <c r="H77" s="146"/>
      <c r="I77" s="146"/>
      <c r="J77" s="146"/>
      <c r="K77" s="110"/>
    </row>
    <row r="78" spans="1:11" ht="18.75" hidden="1" x14ac:dyDescent="0.3">
      <c r="A78" s="103"/>
      <c r="B78" s="110"/>
      <c r="C78" s="110"/>
      <c r="D78" s="66"/>
      <c r="E78" s="24"/>
      <c r="F78" s="147"/>
      <c r="G78" s="147"/>
      <c r="H78" s="66"/>
      <c r="I78" s="110"/>
      <c r="J78" s="110"/>
      <c r="K78" s="110"/>
    </row>
    <row r="79" spans="1:11" hidden="1" x14ac:dyDescent="0.25"/>
    <row r="80" spans="1:11" ht="18.75" hidden="1" x14ac:dyDescent="0.3">
      <c r="D80" s="242"/>
      <c r="E80" s="248" t="s">
        <v>4590</v>
      </c>
      <c r="F80" s="243"/>
      <c r="G80" s="243"/>
      <c r="H80" s="243"/>
      <c r="I80" s="243"/>
      <c r="J80" s="243"/>
    </row>
    <row r="81" spans="4:10" ht="37.5" x14ac:dyDescent="0.3">
      <c r="D81" s="244" t="s">
        <v>4593</v>
      </c>
      <c r="E81" s="244" t="s">
        <v>1</v>
      </c>
      <c r="F81" s="244" t="s">
        <v>2</v>
      </c>
      <c r="G81" s="244" t="s">
        <v>8</v>
      </c>
      <c r="H81" s="245" t="s">
        <v>4592</v>
      </c>
      <c r="I81" s="244" t="s">
        <v>5</v>
      </c>
      <c r="J81" s="244" t="s">
        <v>4591</v>
      </c>
    </row>
    <row r="82" spans="4:10" ht="18.75" x14ac:dyDescent="0.3">
      <c r="D82" s="246" t="s">
        <v>4595</v>
      </c>
      <c r="E82" s="66">
        <v>2505347</v>
      </c>
      <c r="F82" s="247">
        <v>189.8252543829405</v>
      </c>
      <c r="G82" s="247">
        <v>18.129999999999995</v>
      </c>
      <c r="H82" s="66">
        <v>138187.92057363488</v>
      </c>
      <c r="I82" s="247">
        <v>9.6839727107473657</v>
      </c>
      <c r="J82" s="66">
        <v>13198.175385799215</v>
      </c>
    </row>
    <row r="83" spans="4:10" ht="18.75" x14ac:dyDescent="0.3">
      <c r="D83" s="246" t="s">
        <v>4597</v>
      </c>
      <c r="E83" s="66">
        <v>162608</v>
      </c>
      <c r="F83" s="247">
        <v>25.829467015028822</v>
      </c>
      <c r="G83" s="247">
        <v>7.32</v>
      </c>
      <c r="H83" s="66">
        <v>22214.207650273223</v>
      </c>
      <c r="I83" s="247">
        <v>7.3082566331932801</v>
      </c>
      <c r="J83" s="66">
        <v>6295.4454269376474</v>
      </c>
    </row>
    <row r="84" spans="4:10" ht="18.75" x14ac:dyDescent="0.3">
      <c r="D84" s="246" t="s">
        <v>4598</v>
      </c>
      <c r="E84" s="66">
        <v>3906427</v>
      </c>
      <c r="F84" s="247">
        <v>384.06976680754451</v>
      </c>
      <c r="G84" s="247">
        <v>27.019999999999989</v>
      </c>
      <c r="H84" s="66">
        <v>144575.38860103633</v>
      </c>
      <c r="I84" s="247">
        <v>9.7759796521936124</v>
      </c>
      <c r="J84" s="66">
        <v>10171.139041926963</v>
      </c>
    </row>
    <row r="85" spans="4:10" ht="18.75" x14ac:dyDescent="0.3">
      <c r="D85" s="246" t="s">
        <v>4599</v>
      </c>
      <c r="E85" s="66">
        <v>4916097</v>
      </c>
      <c r="F85" s="247">
        <v>447.30333871554029</v>
      </c>
      <c r="G85" s="247">
        <v>36.33</v>
      </c>
      <c r="H85" s="66">
        <v>135317.83649876137</v>
      </c>
      <c r="I85" s="247">
        <v>9.539741586342565</v>
      </c>
      <c r="J85" s="66">
        <v>10990.521586798082</v>
      </c>
    </row>
    <row r="86" spans="4:10" ht="18.75" x14ac:dyDescent="0.3">
      <c r="D86" s="246" t="s">
        <v>4601</v>
      </c>
      <c r="E86" s="66">
        <v>1369448</v>
      </c>
      <c r="F86" s="247">
        <v>96.707624509439256</v>
      </c>
      <c r="G86" s="247">
        <v>21.880000000000003</v>
      </c>
      <c r="H86" s="66">
        <v>62589.031078610598</v>
      </c>
      <c r="I86" s="247">
        <v>4.4744428366489482</v>
      </c>
      <c r="J86" s="66">
        <v>14160.703532391424</v>
      </c>
    </row>
    <row r="87" spans="4:10" ht="18.75" x14ac:dyDescent="0.3">
      <c r="D87" s="246" t="s">
        <v>4600</v>
      </c>
      <c r="E87" s="66">
        <v>1454215</v>
      </c>
      <c r="F87" s="247">
        <v>110.1011234004751</v>
      </c>
      <c r="G87" s="247">
        <v>13.42</v>
      </c>
      <c r="H87" s="66">
        <v>108361.77347242921</v>
      </c>
      <c r="I87" s="247">
        <v>7.3828306804707644</v>
      </c>
      <c r="J87" s="66">
        <v>13207.994206476233</v>
      </c>
    </row>
    <row r="88" spans="4:10" ht="18.75" x14ac:dyDescent="0.3">
      <c r="D88" s="246" t="s">
        <v>4602</v>
      </c>
      <c r="E88" s="66">
        <v>2075757</v>
      </c>
      <c r="F88" s="247">
        <v>255.40119711592192</v>
      </c>
      <c r="G88" s="247">
        <v>13.02</v>
      </c>
      <c r="H88" s="66">
        <v>159428.34101382489</v>
      </c>
      <c r="I88" s="247">
        <v>23.863695128794387</v>
      </c>
      <c r="J88" s="66">
        <v>8127.4364546453244</v>
      </c>
    </row>
    <row r="89" spans="4:10" ht="18.75" x14ac:dyDescent="0.3">
      <c r="D89" s="246" t="s">
        <v>4603</v>
      </c>
      <c r="E89" s="66">
        <v>196431</v>
      </c>
      <c r="F89" s="247">
        <v>55.542750412268937</v>
      </c>
      <c r="G89" s="247">
        <v>9.3099999999999987</v>
      </c>
      <c r="H89" s="66">
        <v>21098.925886143934</v>
      </c>
      <c r="I89" s="247">
        <v>5.9659237821985966</v>
      </c>
      <c r="J89" s="66">
        <v>3536.57315386762</v>
      </c>
    </row>
    <row r="90" spans="4:10" ht="18.75" x14ac:dyDescent="0.3">
      <c r="D90" s="246" t="s">
        <v>4604</v>
      </c>
      <c r="E90" s="66">
        <v>2718292</v>
      </c>
      <c r="F90" s="247">
        <v>565.89919184139353</v>
      </c>
      <c r="G90" s="247">
        <v>28.040000000000003</v>
      </c>
      <c r="H90" s="66">
        <v>96943.366619115535</v>
      </c>
      <c r="I90" s="247">
        <v>15.767084281524864</v>
      </c>
      <c r="J90" s="66">
        <v>4803.4915744531845</v>
      </c>
    </row>
    <row r="91" spans="4:10" ht="18.75" x14ac:dyDescent="0.3">
      <c r="D91" s="246" t="s">
        <v>4606</v>
      </c>
      <c r="E91" s="66">
        <v>8152682</v>
      </c>
      <c r="F91" s="247">
        <v>491.18047091219267</v>
      </c>
      <c r="G91" s="247">
        <v>31.330000000000005</v>
      </c>
      <c r="H91" s="66">
        <v>260219.66166613466</v>
      </c>
      <c r="I91" s="247">
        <v>16.974200453390047</v>
      </c>
      <c r="J91" s="66">
        <v>16598.139549113788</v>
      </c>
    </row>
    <row r="92" spans="4:10" ht="18.75" x14ac:dyDescent="0.3">
      <c r="D92" s="246" t="s">
        <v>4605</v>
      </c>
      <c r="E92" s="66">
        <v>15903495</v>
      </c>
      <c r="F92" s="247">
        <v>437.42376893221945</v>
      </c>
      <c r="G92" s="247">
        <v>23.099999999999998</v>
      </c>
      <c r="H92" s="66">
        <v>688462.98701298703</v>
      </c>
      <c r="I92" s="247">
        <v>16.838819875255535</v>
      </c>
      <c r="J92" s="66">
        <v>36357.180678181918</v>
      </c>
    </row>
    <row r="93" spans="4:10" ht="18.75" x14ac:dyDescent="0.3">
      <c r="D93" s="246" t="s">
        <v>4607</v>
      </c>
      <c r="E93" s="66">
        <v>16859994</v>
      </c>
      <c r="F93" s="247">
        <v>509.78520422697892</v>
      </c>
      <c r="G93" s="247">
        <v>32.1</v>
      </c>
      <c r="H93" s="66">
        <v>525233.45794392517</v>
      </c>
      <c r="I93" s="247">
        <v>17.041945375458972</v>
      </c>
      <c r="J93" s="66">
        <v>33072.740950898966</v>
      </c>
    </row>
    <row r="94" spans="4:10" ht="18.75" x14ac:dyDescent="0.3">
      <c r="D94" s="246" t="s">
        <v>4608</v>
      </c>
      <c r="E94" s="66">
        <v>16971298</v>
      </c>
      <c r="F94" s="247">
        <v>932.13233802110994</v>
      </c>
      <c r="G94" s="247">
        <v>62.440000000000019</v>
      </c>
      <c r="H94" s="66">
        <v>271801.69762972445</v>
      </c>
      <c r="I94" s="247">
        <v>14.591655250627399</v>
      </c>
      <c r="J94" s="66">
        <v>18206.961938504974</v>
      </c>
    </row>
    <row r="95" spans="4:10" ht="18.75" x14ac:dyDescent="0.3">
      <c r="D95" s="246" t="s">
        <v>4609</v>
      </c>
      <c r="E95" s="66">
        <v>9780594</v>
      </c>
      <c r="F95" s="247">
        <v>1498.2328797901523</v>
      </c>
      <c r="G95" s="247">
        <v>100.88000000000001</v>
      </c>
      <c r="H95" s="66">
        <v>96952.755749405231</v>
      </c>
      <c r="I95" s="247">
        <v>12.313666686457902</v>
      </c>
      <c r="J95" s="66">
        <v>6528.0866091858188</v>
      </c>
    </row>
    <row r="96" spans="4:10" ht="18.75" x14ac:dyDescent="0.3">
      <c r="D96" s="246" t="s">
        <v>4612</v>
      </c>
      <c r="E96" s="66">
        <v>13177303</v>
      </c>
      <c r="F96" s="247">
        <v>1203.624377318094</v>
      </c>
      <c r="G96" s="247">
        <v>92.88</v>
      </c>
      <c r="H96" s="66">
        <v>141874.49397071492</v>
      </c>
      <c r="I96" s="247">
        <v>12.246355502915272</v>
      </c>
      <c r="J96" s="66">
        <v>10948.019372423778</v>
      </c>
    </row>
    <row r="97" spans="4:10" ht="18.75" x14ac:dyDescent="0.3">
      <c r="D97" s="246" t="s">
        <v>4611</v>
      </c>
      <c r="E97" s="66">
        <v>8084755</v>
      </c>
      <c r="F97" s="247">
        <v>740.47479929656151</v>
      </c>
      <c r="G97" s="247">
        <v>94.449999999999974</v>
      </c>
      <c r="H97" s="66">
        <v>85598.253043938617</v>
      </c>
      <c r="I97" s="247">
        <v>11.500975291238404</v>
      </c>
      <c r="J97" s="66">
        <v>10918.339162494633</v>
      </c>
    </row>
    <row r="98" spans="4:10" ht="18.75" x14ac:dyDescent="0.3">
      <c r="D98" s="246" t="s">
        <v>4610</v>
      </c>
      <c r="E98" s="66">
        <v>7742048</v>
      </c>
      <c r="F98" s="247">
        <v>484.56799014009835</v>
      </c>
      <c r="G98" s="247">
        <v>49.989999999999995</v>
      </c>
      <c r="H98" s="66">
        <v>154871.9343868774</v>
      </c>
      <c r="I98" s="247">
        <v>10.467000207160927</v>
      </c>
      <c r="J98" s="66">
        <v>15977.217145031842</v>
      </c>
    </row>
    <row r="99" spans="4:10" ht="18.75" x14ac:dyDescent="0.3">
      <c r="D99" s="246" t="s">
        <v>4613</v>
      </c>
      <c r="E99" s="66">
        <v>8424400</v>
      </c>
      <c r="F99" s="247">
        <v>830.72431131177086</v>
      </c>
      <c r="G99" s="247">
        <v>88.81</v>
      </c>
      <c r="H99" s="66">
        <v>94858.687084787744</v>
      </c>
      <c r="I99" s="247">
        <v>10.153256536829236</v>
      </c>
      <c r="J99" s="66">
        <v>10141.02980409625</v>
      </c>
    </row>
    <row r="100" spans="4:10" ht="18.75" x14ac:dyDescent="0.3">
      <c r="D100" s="246" t="s">
        <v>4614</v>
      </c>
      <c r="E100" s="66">
        <v>7549077</v>
      </c>
      <c r="F100" s="247">
        <v>829.56692209802418</v>
      </c>
      <c r="G100" s="247">
        <v>55.76</v>
      </c>
      <c r="H100" s="66">
        <v>135385.16857962697</v>
      </c>
      <c r="I100" s="247">
        <v>16.735293550799746</v>
      </c>
      <c r="J100" s="66">
        <v>9100.0217088067275</v>
      </c>
    </row>
    <row r="101" spans="4:10" ht="18.75" x14ac:dyDescent="0.3">
      <c r="D101" s="246" t="s">
        <v>4615</v>
      </c>
      <c r="E101" s="66">
        <v>6888870</v>
      </c>
      <c r="F101" s="247">
        <v>835.91093629991974</v>
      </c>
      <c r="G101" s="247">
        <v>61.370000000000005</v>
      </c>
      <c r="H101" s="66">
        <v>112251.42577806745</v>
      </c>
      <c r="I101" s="247">
        <v>13.037298147569285</v>
      </c>
      <c r="J101" s="66">
        <v>8241.1530952004614</v>
      </c>
    </row>
    <row r="102" spans="4:10" ht="18.75" x14ac:dyDescent="0.3">
      <c r="D102" s="246" t="s">
        <v>4616</v>
      </c>
      <c r="E102" s="66">
        <v>4934549</v>
      </c>
      <c r="F102" s="247">
        <v>531.36991647097352</v>
      </c>
      <c r="G102" s="247">
        <v>66.22999999999999</v>
      </c>
      <c r="H102" s="66">
        <v>74506.250943681123</v>
      </c>
      <c r="I102" s="247">
        <v>7.4787115983989576</v>
      </c>
      <c r="J102" s="66">
        <v>9286.4666347168968</v>
      </c>
    </row>
    <row r="103" spans="4:10" ht="18.75" x14ac:dyDescent="0.3">
      <c r="D103" s="246" t="s">
        <v>4617</v>
      </c>
      <c r="E103" s="66">
        <v>3379646</v>
      </c>
      <c r="F103" s="247">
        <v>215.27737671874524</v>
      </c>
      <c r="G103" s="247">
        <v>28.26</v>
      </c>
      <c r="H103" s="66">
        <v>119591.15357395612</v>
      </c>
      <c r="I103" s="247">
        <v>6.9880269007664459</v>
      </c>
      <c r="J103" s="66">
        <v>15699.030021233615</v>
      </c>
    </row>
    <row r="104" spans="4:10" ht="18.75" x14ac:dyDescent="0.3">
      <c r="D104" s="246" t="s">
        <v>4620</v>
      </c>
      <c r="E104" s="66">
        <v>7952705</v>
      </c>
      <c r="F104" s="247">
        <v>588.31465897205908</v>
      </c>
      <c r="G104" s="247">
        <v>49.56</v>
      </c>
      <c r="H104" s="66">
        <v>160466.202582728</v>
      </c>
      <c r="I104" s="247">
        <v>11.735243257938377</v>
      </c>
      <c r="J104" s="66">
        <v>13517.774678427142</v>
      </c>
    </row>
    <row r="105" spans="4:10" ht="18.75" x14ac:dyDescent="0.3">
      <c r="D105" s="246" t="s">
        <v>4618</v>
      </c>
      <c r="E105" s="66">
        <v>6659971</v>
      </c>
      <c r="F105" s="247">
        <v>737.29123321828581</v>
      </c>
      <c r="G105" s="247">
        <v>54.699999999999996</v>
      </c>
      <c r="H105" s="66">
        <v>121754.49725776966</v>
      </c>
      <c r="I105" s="247">
        <v>9.7519907978246305</v>
      </c>
      <c r="J105" s="66">
        <v>9033.0261637984495</v>
      </c>
    </row>
    <row r="106" spans="4:10" ht="18.75" x14ac:dyDescent="0.3">
      <c r="D106" s="246" t="s">
        <v>4619</v>
      </c>
      <c r="E106" s="66">
        <v>2084878</v>
      </c>
      <c r="F106" s="247">
        <v>61.812936307359678</v>
      </c>
      <c r="G106" s="247">
        <v>9.1999999999999993</v>
      </c>
      <c r="H106" s="66">
        <v>226617.17391304349</v>
      </c>
      <c r="I106" s="247">
        <v>10.347149059750691</v>
      </c>
      <c r="J106" s="66">
        <v>33728.829668163926</v>
      </c>
    </row>
    <row r="107" spans="4:10" ht="18.75" x14ac:dyDescent="0.3">
      <c r="D107" s="246" t="s">
        <v>4621</v>
      </c>
      <c r="E107" s="66">
        <v>7145937</v>
      </c>
      <c r="F107" s="247">
        <v>551.31325393439067</v>
      </c>
      <c r="G107" s="247">
        <v>47.089999999999996</v>
      </c>
      <c r="H107" s="66">
        <v>151750.62645997028</v>
      </c>
      <c r="I107" s="247">
        <v>11.747898247779402</v>
      </c>
      <c r="J107" s="66">
        <v>12961.663716596238</v>
      </c>
    </row>
    <row r="108" spans="4:10" ht="18.75" x14ac:dyDescent="0.3">
      <c r="D108" s="246" t="s">
        <v>4622</v>
      </c>
      <c r="E108" s="66">
        <v>18784640</v>
      </c>
      <c r="F108" s="247">
        <v>1807.4601327500156</v>
      </c>
      <c r="G108" s="247">
        <v>144.78000000000003</v>
      </c>
      <c r="H108" s="66">
        <v>129746.09752728275</v>
      </c>
      <c r="I108" s="247">
        <v>13.742658404699142</v>
      </c>
      <c r="J108" s="66">
        <v>10392.837805733248</v>
      </c>
    </row>
    <row r="109" spans="4:10" ht="18.75" x14ac:dyDescent="0.3">
      <c r="D109" s="246" t="s">
        <v>4623</v>
      </c>
      <c r="E109" s="66">
        <v>8642290</v>
      </c>
      <c r="F109" s="247">
        <v>797.1741931821042</v>
      </c>
      <c r="G109" s="247">
        <v>103.28</v>
      </c>
      <c r="H109" s="66">
        <v>83678.253292021691</v>
      </c>
      <c r="I109" s="247">
        <v>9.9243142116873635</v>
      </c>
      <c r="J109" s="66">
        <v>10841.156266615093</v>
      </c>
    </row>
    <row r="110" spans="4:10" ht="18.75" x14ac:dyDescent="0.3">
      <c r="D110" s="246" t="s">
        <v>4596</v>
      </c>
      <c r="E110" s="66">
        <v>23803564</v>
      </c>
      <c r="F110" s="247">
        <v>158.88895661034962</v>
      </c>
      <c r="G110" s="247">
        <v>30.27</v>
      </c>
      <c r="H110" s="66">
        <v>786374.76048893295</v>
      </c>
      <c r="I110" s="247">
        <v>11.001865327760356</v>
      </c>
      <c r="J110" s="66">
        <v>149812.57670647636</v>
      </c>
    </row>
    <row r="111" spans="4:10" x14ac:dyDescent="0.25">
      <c r="D111"/>
      <c r="E111"/>
      <c r="F111"/>
      <c r="G111"/>
      <c r="H111"/>
      <c r="I111"/>
      <c r="J111"/>
    </row>
    <row r="112" spans="4:10" x14ac:dyDescent="0.25">
      <c r="D112"/>
      <c r="E112"/>
      <c r="F112"/>
      <c r="G112"/>
      <c r="H112"/>
      <c r="I112"/>
      <c r="J112"/>
    </row>
    <row r="113" spans="4:10" x14ac:dyDescent="0.25">
      <c r="D113"/>
      <c r="E113"/>
      <c r="F113"/>
      <c r="G113"/>
      <c r="H113"/>
      <c r="I113"/>
      <c r="J113"/>
    </row>
    <row r="114" spans="4:10" x14ac:dyDescent="0.25">
      <c r="D114"/>
      <c r="E114"/>
      <c r="F114"/>
      <c r="G114"/>
      <c r="H114"/>
      <c r="I114"/>
      <c r="J114"/>
    </row>
    <row r="115" spans="4:10" x14ac:dyDescent="0.25">
      <c r="D115"/>
      <c r="E115"/>
      <c r="F115"/>
      <c r="G115"/>
      <c r="H115"/>
      <c r="I115"/>
      <c r="J115"/>
    </row>
    <row r="116" spans="4:10" x14ac:dyDescent="0.25">
      <c r="D116"/>
      <c r="E116"/>
      <c r="F116"/>
      <c r="G116"/>
      <c r="H116"/>
      <c r="I116"/>
      <c r="J116"/>
    </row>
    <row r="117" spans="4:10" x14ac:dyDescent="0.25">
      <c r="D117"/>
      <c r="E117"/>
      <c r="F117"/>
      <c r="G117"/>
      <c r="H117"/>
      <c r="I117"/>
      <c r="J117"/>
    </row>
    <row r="118" spans="4:10" x14ac:dyDescent="0.25">
      <c r="H118" s="100"/>
    </row>
    <row r="119" spans="4:10" x14ac:dyDescent="0.25">
      <c r="H119" s="100"/>
    </row>
    <row r="120" spans="4:10" x14ac:dyDescent="0.25">
      <c r="H120" s="100"/>
    </row>
    <row r="121" spans="4:10" x14ac:dyDescent="0.25">
      <c r="H121" s="100"/>
    </row>
    <row r="122" spans="4:10" x14ac:dyDescent="0.25">
      <c r="H122" s="100"/>
    </row>
    <row r="123" spans="4:10" x14ac:dyDescent="0.25">
      <c r="H123" s="100"/>
    </row>
    <row r="124" spans="4:10" x14ac:dyDescent="0.25">
      <c r="H124" s="100"/>
    </row>
    <row r="125" spans="4:10" x14ac:dyDescent="0.25">
      <c r="H125" s="100"/>
    </row>
    <row r="126" spans="4:10" x14ac:dyDescent="0.25">
      <c r="D126"/>
      <c r="E126"/>
      <c r="F126"/>
      <c r="G126"/>
      <c r="H126"/>
      <c r="I126"/>
      <c r="J126"/>
    </row>
    <row r="127" spans="4:10" x14ac:dyDescent="0.25">
      <c r="D127"/>
      <c r="E127"/>
      <c r="F127"/>
      <c r="G127"/>
      <c r="H127"/>
      <c r="I127"/>
      <c r="J127"/>
    </row>
    <row r="128" spans="4:10" x14ac:dyDescent="0.25">
      <c r="D128"/>
      <c r="E128"/>
      <c r="F128"/>
      <c r="G128"/>
      <c r="H128"/>
      <c r="I128"/>
      <c r="J128"/>
    </row>
    <row r="129" spans="4:10" x14ac:dyDescent="0.25">
      <c r="D129"/>
      <c r="E129"/>
      <c r="F129"/>
      <c r="G129"/>
      <c r="H129"/>
      <c r="I129"/>
      <c r="J129"/>
    </row>
    <row r="130" spans="4:10" x14ac:dyDescent="0.25">
      <c r="D130"/>
      <c r="E130"/>
      <c r="F130"/>
      <c r="G130"/>
      <c r="H130"/>
      <c r="I130"/>
      <c r="J130"/>
    </row>
    <row r="131" spans="4:10" x14ac:dyDescent="0.25">
      <c r="D131"/>
      <c r="E131"/>
      <c r="F131"/>
      <c r="G131"/>
      <c r="H131"/>
      <c r="I131"/>
      <c r="J131"/>
    </row>
    <row r="132" spans="4:10" x14ac:dyDescent="0.25">
      <c r="D132"/>
      <c r="E132"/>
      <c r="F132"/>
      <c r="G132"/>
      <c r="H132"/>
      <c r="I132"/>
      <c r="J132"/>
    </row>
    <row r="133" spans="4:10" x14ac:dyDescent="0.25">
      <c r="D133"/>
      <c r="E133"/>
      <c r="F133"/>
      <c r="G133"/>
      <c r="H133"/>
      <c r="I133"/>
      <c r="J133"/>
    </row>
    <row r="134" spans="4:10" x14ac:dyDescent="0.25">
      <c r="D134"/>
      <c r="E134"/>
      <c r="F134"/>
      <c r="G134"/>
      <c r="H134"/>
      <c r="I134"/>
      <c r="J134"/>
    </row>
    <row r="135" spans="4:10" x14ac:dyDescent="0.25">
      <c r="D135"/>
      <c r="E135"/>
      <c r="F135"/>
      <c r="G135"/>
      <c r="H135"/>
      <c r="I135"/>
      <c r="J135"/>
    </row>
    <row r="136" spans="4:10" x14ac:dyDescent="0.25">
      <c r="D136"/>
      <c r="E136"/>
      <c r="F136"/>
      <c r="G136"/>
      <c r="H136"/>
      <c r="I136"/>
      <c r="J136"/>
    </row>
    <row r="137" spans="4:10" x14ac:dyDescent="0.25">
      <c r="D137"/>
      <c r="E137"/>
      <c r="F137"/>
      <c r="G137"/>
      <c r="H137"/>
      <c r="I137"/>
      <c r="J137"/>
    </row>
    <row r="138" spans="4:10" x14ac:dyDescent="0.25">
      <c r="D138"/>
      <c r="E138"/>
      <c r="F138"/>
      <c r="G138"/>
      <c r="H138"/>
      <c r="I138"/>
      <c r="J138"/>
    </row>
    <row r="139" spans="4:10" x14ac:dyDescent="0.25">
      <c r="D139"/>
      <c r="E139"/>
      <c r="F139"/>
      <c r="G139"/>
      <c r="H139"/>
      <c r="I139"/>
      <c r="J139"/>
    </row>
    <row r="140" spans="4:10" x14ac:dyDescent="0.25">
      <c r="D140"/>
      <c r="E140"/>
      <c r="F140"/>
      <c r="G140"/>
      <c r="H140"/>
      <c r="I140"/>
      <c r="J140"/>
    </row>
    <row r="141" spans="4:10" x14ac:dyDescent="0.25">
      <c r="D141"/>
      <c r="E141"/>
      <c r="F141"/>
      <c r="G141"/>
      <c r="H141"/>
      <c r="I141"/>
      <c r="J141"/>
    </row>
    <row r="142" spans="4:10" x14ac:dyDescent="0.25">
      <c r="D142"/>
      <c r="E142"/>
      <c r="F142"/>
      <c r="G142"/>
      <c r="H142"/>
      <c r="I142"/>
      <c r="J142"/>
    </row>
  </sheetData>
  <sortState ref="P2:P13">
    <sortCondition ref="P13"/>
  </sortState>
  <mergeCells count="17">
    <mergeCell ref="B1:G1"/>
    <mergeCell ref="B29:D29"/>
    <mergeCell ref="B11:D11"/>
    <mergeCell ref="L17:N17"/>
    <mergeCell ref="M18:N18"/>
    <mergeCell ref="B41:C41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</mergeCells>
  <pageMargins left="0.7" right="0.7" top="0.75" bottom="0.75" header="0.3" footer="0.3"/>
  <pageSetup orientation="portrait" verticalDpi="0"/>
  <ignoredErrors>
    <ignoredError sqref="H6 H30:H41" formula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S23"/>
  <sheetViews>
    <sheetView tabSelected="1" zoomScale="90" zoomScaleNormal="9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9.140625" style="149"/>
    <col min="2" max="2" width="12.28515625" style="149" customWidth="1"/>
    <col min="3" max="3" width="19.85546875" style="149" bestFit="1" customWidth="1"/>
    <col min="4" max="4" width="13.5703125" style="149" bestFit="1" customWidth="1"/>
    <col min="5" max="5" width="9.42578125" style="261" customWidth="1"/>
    <col min="6" max="6" width="13.7109375" style="261" customWidth="1"/>
    <col min="7" max="7" width="18.42578125" style="261" bestFit="1" customWidth="1"/>
    <col min="8" max="8" width="10.5703125" style="261" customWidth="1"/>
    <col min="9" max="9" width="15.5703125" style="261" hidden="1" customWidth="1"/>
    <col min="10" max="10" width="16.28515625" style="261" hidden="1" customWidth="1"/>
    <col min="11" max="11" width="13.140625" style="149" bestFit="1" customWidth="1"/>
    <col min="12" max="13" width="12.85546875" style="149" bestFit="1" customWidth="1"/>
    <col min="14" max="14" width="15.5703125" style="149" customWidth="1"/>
    <col min="15" max="15" width="15.85546875" style="149" customWidth="1"/>
    <col min="16" max="16" width="13.42578125" style="149" bestFit="1" customWidth="1"/>
    <col min="17" max="17" width="35.140625" style="149" bestFit="1" customWidth="1"/>
    <col min="18" max="18" width="41.5703125" style="149" bestFit="1" customWidth="1"/>
    <col min="19" max="19" width="13.85546875" style="149" hidden="1" customWidth="1"/>
    <col min="20" max="20" width="18.85546875" style="149" customWidth="1"/>
    <col min="21" max="21" width="15.7109375" style="149" hidden="1" customWidth="1"/>
    <col min="22" max="22" width="13" style="149" hidden="1" customWidth="1"/>
    <col min="23" max="23" width="12" style="149" hidden="1" customWidth="1"/>
    <col min="24" max="24" width="14.42578125" style="149" customWidth="1"/>
    <col min="25" max="25" width="16.7109375" style="149" customWidth="1"/>
    <col min="26" max="26" width="15.7109375" style="149" hidden="1" customWidth="1"/>
    <col min="27" max="27" width="11.28515625" style="149" bestFit="1" customWidth="1"/>
    <col min="28" max="28" width="10.85546875" style="149" bestFit="1" customWidth="1"/>
    <col min="29" max="29" width="15.42578125" style="149" customWidth="1"/>
    <col min="30" max="30" width="15.28515625" style="149" customWidth="1"/>
    <col min="31" max="31" width="11.28515625" style="149" customWidth="1"/>
    <col min="32" max="32" width="21.140625" style="149" customWidth="1"/>
    <col min="33" max="33" width="16.140625" style="149" hidden="1" customWidth="1"/>
    <col min="34" max="34" width="16.140625" style="149" customWidth="1"/>
    <col min="35" max="35" width="10.85546875" style="149" bestFit="1" customWidth="1"/>
    <col min="36" max="36" width="15.42578125" style="149" customWidth="1"/>
    <col min="37" max="37" width="15.28515625" style="149" customWidth="1"/>
    <col min="38" max="38" width="11.28515625" style="149" customWidth="1"/>
    <col min="39" max="39" width="21.140625" style="149" customWidth="1"/>
    <col min="40" max="40" width="15.7109375" style="149" hidden="1" customWidth="1"/>
    <col min="41" max="41" width="12.28515625" style="149" customWidth="1"/>
    <col min="42" max="42" width="10.85546875" style="149" bestFit="1" customWidth="1"/>
    <col min="43" max="43" width="15.42578125" style="149" customWidth="1"/>
    <col min="44" max="44" width="15.28515625" style="149" customWidth="1"/>
    <col min="45" max="45" width="11.28515625" style="149" customWidth="1"/>
    <col min="46" max="46" width="21.140625" style="149" customWidth="1"/>
    <col min="47" max="47" width="45.5703125" style="149" bestFit="1" customWidth="1"/>
    <col min="48" max="48" width="14.85546875" style="149" hidden="1" customWidth="1"/>
    <col min="49" max="49" width="23.140625" style="149" bestFit="1" customWidth="1"/>
    <col min="50" max="51" width="13.85546875" style="149" hidden="1" customWidth="1"/>
    <col min="52" max="59" width="15.7109375" style="149" customWidth="1"/>
    <col min="60" max="61" width="14.85546875" style="149" customWidth="1"/>
    <col min="62" max="62" width="15.42578125" style="149" customWidth="1"/>
    <col min="63" max="64" width="16" style="149" customWidth="1"/>
    <col min="65" max="66" width="17" style="149" customWidth="1"/>
    <col min="67" max="68" width="17" style="149" hidden="1" customWidth="1"/>
    <col min="69" max="69" width="12.28515625" style="149" customWidth="1"/>
    <col min="70" max="70" width="11.140625" style="260" customWidth="1"/>
    <col min="71" max="71" width="13.140625" style="149" customWidth="1"/>
    <col min="72" max="72" width="12" style="149" hidden="1" customWidth="1"/>
    <col min="73" max="73" width="12.28515625" style="149" hidden="1" customWidth="1"/>
    <col min="74" max="74" width="19.42578125" style="149" hidden="1" customWidth="1"/>
    <col min="75" max="75" width="19.85546875" style="149" hidden="1" customWidth="1"/>
    <col min="76" max="76" width="13.5703125" style="149" hidden="1" customWidth="1"/>
    <col min="77" max="77" width="17.7109375" style="149" bestFit="1" customWidth="1"/>
    <col min="78" max="78" width="17.7109375" style="149" customWidth="1"/>
    <col min="79" max="79" width="17.7109375" style="139" hidden="1" customWidth="1"/>
    <col min="80" max="80" width="14.140625" style="103" hidden="1" customWidth="1"/>
    <col min="81" max="81" width="19.85546875" style="103" hidden="1" customWidth="1"/>
    <col min="82" max="82" width="15.28515625" style="103" hidden="1" customWidth="1"/>
    <col min="83" max="83" width="12.42578125" style="103" hidden="1" customWidth="1"/>
    <col min="84" max="84" width="18.7109375" style="103" hidden="1" customWidth="1"/>
    <col min="85" max="85" width="11.5703125" style="103" hidden="1" customWidth="1"/>
    <col min="86" max="86" width="15.5703125" style="103" hidden="1" customWidth="1"/>
    <col min="87" max="87" width="16.28515625" style="103" hidden="1" customWidth="1"/>
    <col min="88" max="88" width="10.28515625" style="103" hidden="1" customWidth="1"/>
    <col min="89" max="90" width="10" style="103" hidden="1" customWidth="1"/>
    <col min="91" max="91" width="19.28515625" style="103" hidden="1" customWidth="1"/>
    <col min="92" max="92" width="17.28515625" style="103" hidden="1" customWidth="1"/>
    <col min="93" max="93" width="14.28515625" style="103" hidden="1" customWidth="1"/>
    <col min="94" max="94" width="37.42578125" style="103" hidden="1" customWidth="1"/>
    <col min="95" max="95" width="40.140625" style="103" hidden="1" customWidth="1"/>
    <col min="96" max="96" width="16.7109375" style="103" hidden="1" customWidth="1"/>
    <col min="97" max="97" width="21.28515625" style="103" hidden="1" customWidth="1"/>
    <col min="98" max="98" width="12.140625" style="103" hidden="1" customWidth="1"/>
    <col min="99" max="99" width="15.85546875" style="103" hidden="1" customWidth="1"/>
    <col min="100" max="100" width="14.85546875" style="103" hidden="1" customWidth="1"/>
    <col min="101" max="101" width="22.7109375" style="103" hidden="1" customWidth="1"/>
    <col min="102" max="103" width="19.5703125" style="103" hidden="1" customWidth="1"/>
    <col min="104" max="104" width="14.42578125" style="103" hidden="1" customWidth="1"/>
    <col min="105" max="105" width="11.28515625" style="103" hidden="1" customWidth="1"/>
    <col min="106" max="107" width="24.42578125" style="103" hidden="1" customWidth="1"/>
    <col min="108" max="108" width="18.42578125" style="103" hidden="1" customWidth="1"/>
    <col min="109" max="109" width="29.42578125" style="103" hidden="1" customWidth="1"/>
    <col min="110" max="110" width="19.5703125" style="103" hidden="1" customWidth="1"/>
    <col min="111" max="111" width="11.28515625" style="103" hidden="1" customWidth="1"/>
    <col min="112" max="113" width="24.42578125" style="103" hidden="1" customWidth="1"/>
    <col min="114" max="114" width="18.42578125" style="103" hidden="1" customWidth="1"/>
    <col min="115" max="115" width="30.140625" style="103" hidden="1" customWidth="1"/>
    <col min="116" max="116" width="19.5703125" style="103" hidden="1" customWidth="1"/>
    <col min="117" max="117" width="11.28515625" style="103" hidden="1" customWidth="1"/>
    <col min="118" max="118" width="22.28515625" style="103" hidden="1" customWidth="1"/>
    <col min="119" max="119" width="21.85546875" style="103" hidden="1" customWidth="1"/>
    <col min="120" max="120" width="18.42578125" style="103" hidden="1" customWidth="1"/>
    <col min="121" max="121" width="30.140625" style="103" hidden="1" customWidth="1"/>
    <col min="122" max="122" width="35.5703125" style="103" hidden="1" customWidth="1"/>
    <col min="123" max="123" width="11.7109375" style="103" hidden="1" customWidth="1"/>
    <col min="124" max="124" width="19.5703125" style="103" hidden="1" customWidth="1"/>
    <col min="125" max="125" width="21.28515625" style="103" hidden="1" customWidth="1"/>
    <col min="126" max="126" width="16.42578125" style="103" hidden="1" customWidth="1"/>
    <col min="127" max="128" width="16.5703125" style="103" hidden="1" customWidth="1"/>
    <col min="129" max="129" width="17.7109375" style="103" hidden="1" customWidth="1"/>
    <col min="130" max="130" width="18.140625" style="103" hidden="1" customWidth="1"/>
    <col min="131" max="131" width="16.42578125" style="103" hidden="1" customWidth="1"/>
    <col min="132" max="133" width="16.5703125" style="103" hidden="1" customWidth="1"/>
    <col min="134" max="134" width="17.7109375" style="103" hidden="1" customWidth="1"/>
    <col min="135" max="136" width="18.140625" style="103" hidden="1" customWidth="1"/>
    <col min="137" max="138" width="18.140625" style="139" hidden="1" customWidth="1"/>
    <col min="139" max="144" width="9.140625" style="103" hidden="1" customWidth="1"/>
    <col min="145" max="145" width="15.85546875" style="103" hidden="1" customWidth="1"/>
    <col min="146" max="146" width="42.85546875" style="103" hidden="1" customWidth="1"/>
    <col min="147" max="147" width="31.140625" style="103" hidden="1" customWidth="1"/>
    <col min="148" max="148" width="15.7109375" style="103" hidden="1" customWidth="1"/>
    <col min="149" max="149" width="41.140625" style="103" hidden="1" customWidth="1"/>
    <col min="150" max="16384" width="9.140625" style="103"/>
  </cols>
  <sheetData>
    <row r="1" spans="1:149" s="2" customFormat="1" ht="24" thickBot="1" x14ac:dyDescent="0.4">
      <c r="A1" s="286" t="str">
        <f>CONCATENATE("Detailed Project Summary - FY ",E4," - Suggested projects")</f>
        <v>Detailed Project Summary - FY 0 - Suggested projects</v>
      </c>
      <c r="B1" s="286"/>
      <c r="C1" s="286"/>
      <c r="D1" s="286"/>
      <c r="E1" s="286"/>
      <c r="F1" s="286"/>
      <c r="G1" s="286"/>
      <c r="H1" s="146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EK1" s="103"/>
    </row>
    <row r="2" spans="1:149" ht="30.75" thickBot="1" x14ac:dyDescent="0.3">
      <c r="A2" s="169" t="s">
        <v>44</v>
      </c>
      <c r="B2" s="169"/>
      <c r="C2" s="169"/>
      <c r="D2" s="170"/>
      <c r="E2" s="170"/>
      <c r="F2" s="170"/>
      <c r="G2" s="170"/>
      <c r="H2" s="5"/>
      <c r="I2" s="10" t="s">
        <v>45</v>
      </c>
      <c r="J2" s="10" t="s">
        <v>45</v>
      </c>
      <c r="K2" s="5"/>
      <c r="L2" s="5"/>
      <c r="M2" s="5"/>
      <c r="N2" s="5"/>
      <c r="O2" s="5"/>
      <c r="P2" s="5"/>
      <c r="Q2" s="8"/>
      <c r="R2" s="8"/>
      <c r="S2" s="9" t="s">
        <v>45</v>
      </c>
      <c r="T2" s="5"/>
      <c r="U2" s="10" t="s">
        <v>45</v>
      </c>
      <c r="V2" s="10" t="s">
        <v>45</v>
      </c>
      <c r="W2" s="10" t="s">
        <v>45</v>
      </c>
      <c r="X2" s="5"/>
      <c r="Y2" s="8"/>
      <c r="Z2" s="8" t="s">
        <v>45</v>
      </c>
      <c r="AA2" s="5" t="s">
        <v>46</v>
      </c>
      <c r="AB2" s="5" t="s">
        <v>46</v>
      </c>
      <c r="AC2" s="5" t="s">
        <v>46</v>
      </c>
      <c r="AD2" s="5" t="s">
        <v>46</v>
      </c>
      <c r="AE2" s="5" t="s">
        <v>46</v>
      </c>
      <c r="AF2" s="5" t="s">
        <v>46</v>
      </c>
      <c r="AG2" s="10" t="s">
        <v>45</v>
      </c>
      <c r="AH2" s="5" t="s">
        <v>47</v>
      </c>
      <c r="AI2" s="5" t="s">
        <v>47</v>
      </c>
      <c r="AJ2" s="5" t="s">
        <v>47</v>
      </c>
      <c r="AK2" s="5" t="s">
        <v>47</v>
      </c>
      <c r="AL2" s="5" t="s">
        <v>47</v>
      </c>
      <c r="AM2" s="5" t="s">
        <v>47</v>
      </c>
      <c r="AN2" s="10" t="s">
        <v>45</v>
      </c>
      <c r="AO2" s="5" t="s">
        <v>48</v>
      </c>
      <c r="AP2" s="5" t="s">
        <v>48</v>
      </c>
      <c r="AQ2" s="5" t="s">
        <v>48</v>
      </c>
      <c r="AR2" s="5" t="s">
        <v>48</v>
      </c>
      <c r="AS2" s="5" t="s">
        <v>48</v>
      </c>
      <c r="AT2" s="5" t="s">
        <v>48</v>
      </c>
      <c r="AU2" s="5"/>
      <c r="AV2" s="10" t="s">
        <v>45</v>
      </c>
      <c r="AW2" s="5" t="s">
        <v>49</v>
      </c>
      <c r="AX2" s="9" t="s">
        <v>45</v>
      </c>
      <c r="AY2" s="9" t="s">
        <v>45</v>
      </c>
      <c r="AZ2" s="5" t="s">
        <v>50</v>
      </c>
      <c r="BA2" s="5" t="s">
        <v>51</v>
      </c>
      <c r="BB2" s="5" t="s">
        <v>51</v>
      </c>
      <c r="BC2" s="5" t="s">
        <v>51</v>
      </c>
      <c r="BD2" s="5" t="s">
        <v>51</v>
      </c>
      <c r="BE2" s="5" t="s">
        <v>51</v>
      </c>
      <c r="BF2" s="5" t="s">
        <v>52</v>
      </c>
      <c r="BG2" s="5" t="s">
        <v>53</v>
      </c>
      <c r="BH2" s="5" t="s">
        <v>54</v>
      </c>
      <c r="BI2" s="5" t="s">
        <v>55</v>
      </c>
      <c r="BJ2" s="5" t="s">
        <v>55</v>
      </c>
      <c r="BK2" s="5" t="s">
        <v>55</v>
      </c>
      <c r="BL2" s="5" t="s">
        <v>55</v>
      </c>
      <c r="BM2" s="5"/>
      <c r="BN2" s="5"/>
      <c r="BO2" s="9" t="s">
        <v>56</v>
      </c>
      <c r="BP2" s="9" t="s">
        <v>56</v>
      </c>
      <c r="BQ2" s="5" t="s">
        <v>57</v>
      </c>
      <c r="BR2" s="162" t="s">
        <v>58</v>
      </c>
      <c r="BS2" s="162" t="s">
        <v>59</v>
      </c>
      <c r="BT2" s="91" t="s">
        <v>45</v>
      </c>
      <c r="BU2" s="91" t="s">
        <v>45</v>
      </c>
      <c r="BV2" s="91" t="s">
        <v>60</v>
      </c>
      <c r="BW2" s="91" t="s">
        <v>60</v>
      </c>
      <c r="BX2" s="157" t="s">
        <v>45</v>
      </c>
      <c r="BY2" s="162"/>
      <c r="BZ2" s="197"/>
      <c r="CA2" s="191" t="s">
        <v>45</v>
      </c>
      <c r="CB2" s="161"/>
      <c r="CC2" s="161"/>
      <c r="CD2" s="161"/>
      <c r="CE2" s="161"/>
      <c r="CF2" s="161"/>
      <c r="CG2" s="161"/>
      <c r="CH2" s="161"/>
      <c r="CI2" s="161"/>
      <c r="CJ2" s="161"/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1"/>
      <c r="DA2" s="161"/>
      <c r="DB2" s="161"/>
      <c r="DC2" s="161"/>
      <c r="DD2" s="161"/>
      <c r="DE2" s="161"/>
      <c r="DF2" s="161"/>
      <c r="DG2" s="161"/>
      <c r="DH2" s="161"/>
      <c r="DI2" s="161"/>
      <c r="DJ2" s="161"/>
      <c r="DK2" s="161"/>
      <c r="DL2" s="161"/>
      <c r="DM2" s="161"/>
      <c r="DN2" s="161"/>
      <c r="DO2" s="161"/>
      <c r="DP2" s="161"/>
      <c r="DQ2" s="161"/>
      <c r="DR2" s="161"/>
      <c r="DS2" s="161"/>
      <c r="DT2" s="161"/>
      <c r="DU2" s="161"/>
      <c r="DV2" s="161"/>
      <c r="DW2" s="161"/>
      <c r="DX2" s="161"/>
      <c r="DY2" s="161"/>
      <c r="DZ2" s="161"/>
      <c r="EA2" s="161"/>
      <c r="EB2" s="161"/>
      <c r="EC2" s="161"/>
      <c r="ED2" s="161"/>
      <c r="EE2" s="161"/>
      <c r="EF2" s="161"/>
      <c r="EG2" s="161"/>
      <c r="EH2" s="161"/>
      <c r="EI2" s="161"/>
      <c r="EJ2" s="161"/>
      <c r="EK2" s="161"/>
      <c r="EL2" s="161"/>
      <c r="EM2" s="161"/>
      <c r="EN2" s="161"/>
      <c r="EO2" s="161"/>
      <c r="EP2" s="161"/>
      <c r="EQ2" s="161"/>
      <c r="ER2" s="161"/>
      <c r="ES2" s="161"/>
    </row>
    <row r="3" spans="1:149" ht="60" x14ac:dyDescent="0.25">
      <c r="A3" s="186" t="s">
        <v>403</v>
      </c>
      <c r="B3" s="168" t="s">
        <v>4587</v>
      </c>
      <c r="C3" s="8" t="s">
        <v>4586</v>
      </c>
      <c r="D3" s="5" t="s">
        <v>4588</v>
      </c>
      <c r="E3" s="5" t="s">
        <v>61</v>
      </c>
      <c r="F3" s="5" t="s">
        <v>62</v>
      </c>
      <c r="G3" s="5" t="s">
        <v>63</v>
      </c>
      <c r="H3" s="5" t="s">
        <v>64</v>
      </c>
      <c r="I3" s="5" t="s">
        <v>65</v>
      </c>
      <c r="J3" s="5" t="s">
        <v>66</v>
      </c>
      <c r="K3" s="5" t="s">
        <v>578</v>
      </c>
      <c r="L3" s="5" t="s">
        <v>579</v>
      </c>
      <c r="M3" s="5" t="s">
        <v>580</v>
      </c>
      <c r="N3" s="5" t="s">
        <v>4580</v>
      </c>
      <c r="O3" s="5" t="s">
        <v>4581</v>
      </c>
      <c r="P3" s="5" t="s">
        <v>69</v>
      </c>
      <c r="Q3" s="5" t="s">
        <v>4582</v>
      </c>
      <c r="R3" s="5" t="s">
        <v>4583</v>
      </c>
      <c r="S3" s="6" t="s">
        <v>70</v>
      </c>
      <c r="T3" s="5" t="s">
        <v>71</v>
      </c>
      <c r="U3" s="5" t="s">
        <v>72</v>
      </c>
      <c r="V3" s="5" t="s">
        <v>73</v>
      </c>
      <c r="W3" s="5" t="s">
        <v>74</v>
      </c>
      <c r="X3" s="5" t="s">
        <v>4584</v>
      </c>
      <c r="Y3" s="5" t="s">
        <v>4585</v>
      </c>
      <c r="Z3" s="9">
        <f t="shared" ref="Z3:AG3" si="0">CY3</f>
        <v>0</v>
      </c>
      <c r="AA3" s="5">
        <f t="shared" si="0"/>
        <v>0</v>
      </c>
      <c r="AB3" s="5">
        <f t="shared" si="0"/>
        <v>0</v>
      </c>
      <c r="AC3" s="5">
        <f t="shared" si="0"/>
        <v>0</v>
      </c>
      <c r="AD3" s="5">
        <f t="shared" si="0"/>
        <v>0</v>
      </c>
      <c r="AE3" s="5">
        <f t="shared" si="0"/>
        <v>0</v>
      </c>
      <c r="AF3" s="5">
        <f t="shared" si="0"/>
        <v>0</v>
      </c>
      <c r="AG3" s="5">
        <f t="shared" si="0"/>
        <v>0</v>
      </c>
      <c r="AH3" s="5" t="str">
        <f>CONCATENATE("R_IRI_",$E$4-1)</f>
        <v>R_IRI_-1</v>
      </c>
      <c r="AI3" s="5">
        <f>DG3</f>
        <v>0</v>
      </c>
      <c r="AJ3" s="5">
        <f t="shared" ref="AJ3:AN3" si="1">DH3</f>
        <v>0</v>
      </c>
      <c r="AK3" s="5">
        <f t="shared" si="1"/>
        <v>0</v>
      </c>
      <c r="AL3" s="5">
        <f t="shared" si="1"/>
        <v>0</v>
      </c>
      <c r="AM3" s="5">
        <f t="shared" si="1"/>
        <v>0</v>
      </c>
      <c r="AN3" s="5">
        <f t="shared" si="1"/>
        <v>0</v>
      </c>
      <c r="AO3" s="5" t="str">
        <f>CONCATENATE("R_IRI_",$E$4)</f>
        <v>R_IRI_0</v>
      </c>
      <c r="AP3" s="5">
        <f>DM3</f>
        <v>0</v>
      </c>
      <c r="AQ3" s="5">
        <f t="shared" ref="AQ3:AT3" si="2">DN3</f>
        <v>0</v>
      </c>
      <c r="AR3" s="5">
        <f t="shared" si="2"/>
        <v>0</v>
      </c>
      <c r="AS3" s="5">
        <f t="shared" si="2"/>
        <v>0</v>
      </c>
      <c r="AT3" s="5">
        <f t="shared" si="2"/>
        <v>0</v>
      </c>
      <c r="AU3" s="5" t="s">
        <v>75</v>
      </c>
      <c r="AV3" s="5" t="s">
        <v>402</v>
      </c>
      <c r="AW3" s="5" t="s">
        <v>76</v>
      </c>
      <c r="AX3" s="5" t="s">
        <v>77</v>
      </c>
      <c r="AY3" s="5" t="s">
        <v>78</v>
      </c>
      <c r="AZ3" s="5" t="s">
        <v>79</v>
      </c>
      <c r="BA3" s="7" t="s">
        <v>80</v>
      </c>
      <c r="BB3" s="7" t="s">
        <v>81</v>
      </c>
      <c r="BC3" s="7" t="s">
        <v>82</v>
      </c>
      <c r="BD3" s="7" t="s">
        <v>83</v>
      </c>
      <c r="BE3" s="7" t="s">
        <v>84</v>
      </c>
      <c r="BF3" s="7" t="s">
        <v>85</v>
      </c>
      <c r="BG3" s="7" t="s">
        <v>86</v>
      </c>
      <c r="BH3" s="7" t="s">
        <v>87</v>
      </c>
      <c r="BI3" s="7" t="s">
        <v>88</v>
      </c>
      <c r="BJ3" s="7" t="s">
        <v>89</v>
      </c>
      <c r="BK3" s="7" t="s">
        <v>90</v>
      </c>
      <c r="BL3" s="7" t="s">
        <v>91</v>
      </c>
      <c r="BM3" s="7" t="s">
        <v>92</v>
      </c>
      <c r="BN3" s="7" t="s">
        <v>93</v>
      </c>
      <c r="BO3" s="7" t="s">
        <v>94</v>
      </c>
      <c r="BP3" s="7" t="s">
        <v>95</v>
      </c>
      <c r="BQ3" s="7" t="s">
        <v>96</v>
      </c>
      <c r="BR3" s="85" t="s">
        <v>97</v>
      </c>
      <c r="BS3" s="86" t="s">
        <v>6</v>
      </c>
      <c r="BT3" s="5" t="s">
        <v>9</v>
      </c>
      <c r="BU3" s="5" t="s">
        <v>98</v>
      </c>
      <c r="BV3" s="5" t="s">
        <v>99</v>
      </c>
      <c r="BW3" s="5" t="s">
        <v>100</v>
      </c>
      <c r="BX3" s="5" t="s">
        <v>101</v>
      </c>
      <c r="BY3" s="86" t="s">
        <v>385</v>
      </c>
      <c r="BZ3" s="86" t="s">
        <v>4572</v>
      </c>
      <c r="CA3" s="86" t="str">
        <f>CH3&amp;CM3&amp;CN3&amp;CO3</f>
        <v/>
      </c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158">
        <v>8.3445000000000005E-2</v>
      </c>
      <c r="EJ3" s="159" t="s">
        <v>397</v>
      </c>
      <c r="EK3" s="139"/>
      <c r="EL3" s="160" t="s">
        <v>102</v>
      </c>
      <c r="EM3" s="160" t="s">
        <v>398</v>
      </c>
      <c r="EO3" s="160" t="s">
        <v>103</v>
      </c>
      <c r="EP3" s="160" t="s">
        <v>104</v>
      </c>
      <c r="EQ3" s="166" t="s">
        <v>105</v>
      </c>
      <c r="ER3" s="166"/>
      <c r="ES3" s="166"/>
    </row>
    <row r="4" spans="1:149" x14ac:dyDescent="0.25">
      <c r="A4" s="262" t="str">
        <f>HYPERLINK(CONCATENATE("http://shagbegis1/egis/?initContent=124&amp;initAttQuery=GLOBAL_ROUTE_ID%3D"&amp;D4&amp;"%20and%20ID_MP%3E%3D"&amp;N4&amp;"%20and%20ID_MP%3C%3D"&amp;O4&amp;"%20and%20MP_DIRECTION%3DCAL_DIRECTION&amp;initQueryLayer=100th%20milepoints&amp;initQueryZoom=true"),"eGIS Link")</f>
        <v>eGIS Link</v>
      </c>
      <c r="B4" s="263" t="e">
        <f ca="1">RANK(BS4,INDIRECT($ER$6),1)</f>
        <v>#VALUE!</v>
      </c>
      <c r="C4" s="264" t="e">
        <f>HYPERLINK(CONCATENATE("http://shahisdweb/visidataviewer2/visidataimageviewer.aspx?CODE="&amp;IF(H4="AL",1,IF(H4="AA",2,IF(H4="BA",3,IF(H4="CA",4,IF(H4="CO",5,IF(H4="CL",6,IF(H4="CE",7,IF(H4="CH",8,IF(H4="DO",9,IF(H4="FR",10,IF(H4="GA",11,IF(H4="HA",12,IF(H4="HO",13,IF(H4="KE",14,IF(H4="MO",15,IF(H4="PG",16,IF(H4="QA",17,IF(H4="SM",18,IF(H4="SO",19,IF(H4="TA",20,IF(H4="WA",21,IF(H4="WI",22,IF(H4="WO",23,IF(H4="BC",24,#N/A))))))))))))))))))))))))&amp;"&amp;ROUTE="&amp;K4&amp;"&amp;RNUM="&amp;L4&amp;"&amp;BMP="&amp;IF(N4&gt;=0.008,N4-0.008,N4)&amp;"&amp;EMP="&amp;O4&amp;"&amp;DIRECTION="&amp;CO4&amp;"&amp;RSUFF="&amp;IF(M4=" ","",M4)&amp;"&amp;YEAR="&amp;$EP$14),IF(CO4="N","NorthBound",IF(CO4="S","SouthBound",IF(CO4="E","EastBound",IF(CO4="W","West Bound","No Direction"))))&amp;" Visi-Data")</f>
        <v>#N/A</v>
      </c>
      <c r="D4" s="263" t="str">
        <f>IF(ISBLANK(EG4),"",EG4)</f>
        <v/>
      </c>
      <c r="E4" s="263">
        <f>CD4</f>
        <v>0</v>
      </c>
      <c r="F4" s="263">
        <f>CE4</f>
        <v>0</v>
      </c>
      <c r="G4" s="263" t="str">
        <f>IF(ISBLANK(CF4),"",CF4)</f>
        <v/>
      </c>
      <c r="H4" s="263" t="str">
        <f>IF(ISBLANK(CG4),"",CG4)</f>
        <v/>
      </c>
      <c r="I4" s="263" t="str">
        <f>IF(ISBLANK(CH4),"",CH4)</f>
        <v/>
      </c>
      <c r="J4" s="263" t="str">
        <f>IF(ISBLANK(CI4),"",CI4)</f>
        <v/>
      </c>
      <c r="K4" s="263" t="str">
        <f>IF(ISBLANK(CJ4),"",CJ4)</f>
        <v/>
      </c>
      <c r="L4" s="263" t="str">
        <f t="shared" ref="L4:AG4" si="3">IF(ISBLANK(CK4),"",CK4)</f>
        <v/>
      </c>
      <c r="M4" s="263" t="str">
        <f t="shared" ref="M4" si="4">IF(CL4=0, " ",CL4)</f>
        <v xml:space="preserve"> </v>
      </c>
      <c r="N4" s="263" t="str">
        <f t="shared" si="3"/>
        <v/>
      </c>
      <c r="O4" s="263" t="str">
        <f t="shared" si="3"/>
        <v/>
      </c>
      <c r="P4" s="263" t="str">
        <f>IF(ISBLANK(CO4),"",CO4)</f>
        <v/>
      </c>
      <c r="Q4" s="263" t="str">
        <f t="shared" si="3"/>
        <v/>
      </c>
      <c r="R4" s="263" t="str">
        <f t="shared" si="3"/>
        <v/>
      </c>
      <c r="S4" s="265" t="str">
        <f t="shared" si="3"/>
        <v/>
      </c>
      <c r="T4" s="266" t="str">
        <f t="shared" si="3"/>
        <v/>
      </c>
      <c r="U4" s="266" t="str">
        <f t="shared" si="3"/>
        <v/>
      </c>
      <c r="V4" s="266" t="str">
        <f t="shared" si="3"/>
        <v/>
      </c>
      <c r="W4" s="266" t="str">
        <f t="shared" si="3"/>
        <v/>
      </c>
      <c r="X4" s="265" t="str">
        <f t="shared" si="3"/>
        <v/>
      </c>
      <c r="Y4" s="265" t="str">
        <f t="shared" si="3"/>
        <v/>
      </c>
      <c r="Z4" s="266" t="str">
        <f t="shared" si="3"/>
        <v/>
      </c>
      <c r="AA4" s="267">
        <f t="shared" ref="AA4" si="5">CZ4</f>
        <v>0</v>
      </c>
      <c r="AB4" s="268" t="str">
        <f t="shared" si="3"/>
        <v/>
      </c>
      <c r="AC4" s="268" t="str">
        <f t="shared" si="3"/>
        <v/>
      </c>
      <c r="AD4" s="268" t="str">
        <f t="shared" si="3"/>
        <v/>
      </c>
      <c r="AE4" s="268" t="str">
        <f t="shared" si="3"/>
        <v/>
      </c>
      <c r="AF4" s="268" t="str">
        <f t="shared" si="3"/>
        <v/>
      </c>
      <c r="AG4" s="268" t="str">
        <f t="shared" si="3"/>
        <v/>
      </c>
      <c r="AH4" s="267" t="str">
        <f>AG4</f>
        <v/>
      </c>
      <c r="AI4" s="268" t="str">
        <f t="shared" ref="AI4:AN4" si="6">IF(ISBLANK(DG4),"",DG4)</f>
        <v/>
      </c>
      <c r="AJ4" s="268" t="str">
        <f t="shared" si="6"/>
        <v/>
      </c>
      <c r="AK4" s="268" t="str">
        <f t="shared" si="6"/>
        <v/>
      </c>
      <c r="AL4" s="268" t="str">
        <f t="shared" si="6"/>
        <v/>
      </c>
      <c r="AM4" s="268" t="str">
        <f t="shared" si="6"/>
        <v/>
      </c>
      <c r="AN4" s="268" t="str">
        <f t="shared" si="6"/>
        <v/>
      </c>
      <c r="AO4" s="267" t="str">
        <f t="shared" ref="AO4" si="7">AN4</f>
        <v/>
      </c>
      <c r="AP4" s="268" t="str">
        <f t="shared" ref="AP4:AU4" si="8">IF(ISBLANK(DM4),"",DM4)</f>
        <v/>
      </c>
      <c r="AQ4" s="268" t="str">
        <f t="shared" si="8"/>
        <v/>
      </c>
      <c r="AR4" s="268" t="str">
        <f t="shared" si="8"/>
        <v/>
      </c>
      <c r="AS4" s="268" t="str">
        <f t="shared" si="8"/>
        <v/>
      </c>
      <c r="AT4" s="268" t="str">
        <f t="shared" si="8"/>
        <v/>
      </c>
      <c r="AU4" s="268" t="str">
        <f t="shared" si="8"/>
        <v/>
      </c>
      <c r="AV4" s="263"/>
      <c r="AW4" s="263" t="e">
        <f>VLOOKUP(AU4,'Lookup &amp; Notes'!$B$34:$G$67,6,FALSE)</f>
        <v>#N/A</v>
      </c>
      <c r="AX4" s="269" t="b">
        <f t="shared" ref="AX4" si="9">IF(F4=1,IF(V4="URBAN",$EM$4*AZ4,IF(F4=1,IF(V4="RURAL",$EM$5*AZ4))),IF(F4=2,IF(V4="URBAN",$EM$6*AZ4,IF(F4=2,IF(V4="RURAL",$EM$7*AZ4))),IF(F4=3,IF(V4="URBAN",$EM$8*AZ4,IF(F4=3,IF(V4="RURAL",$EM$9*AZ4))),IF(F4=4,IF(V4="URBAN",$EM$10*AZ4,IF(F4=4,IF(V4="RURAL",$EM$11*AZ4))),IF(F4=5,IF(V4="URBAN",$EM$12*AZ4,IF(F4=5,IF(V4="RURAL",$EM$13*AZ4))),IF(F4=6,IF(V4="URBAN",$EM$14*AZ4,IF(F4=6,IF(V4="RURAL",$EM$15*AZ4))),IF(F4=7,IF(V4="URBAN",$EM$16*AZ4,IF(F4=7,IF(V4="RURAL",$EM$17*AZ4))))))))))</f>
        <v>0</v>
      </c>
      <c r="AY4" s="269" t="e">
        <f t="shared" ref="AY4" ca="1" si="10">AZ4-AX4</f>
        <v>#DIV/0!</v>
      </c>
      <c r="AZ4" s="269" t="e">
        <f ca="1">IF(ISBLANK(BV4),"",BV4)</f>
        <v>#DIV/0!</v>
      </c>
      <c r="BA4" s="266" t="str">
        <f>IF(ISBLANK(DV4),"",DV4)</f>
        <v/>
      </c>
      <c r="BB4" s="266" t="str">
        <f>IF(ISBLANK(DW4),"",DW4)</f>
        <v/>
      </c>
      <c r="BC4" s="266" t="str">
        <f>IF(ISBLANK(DX4),"",DX4)</f>
        <v/>
      </c>
      <c r="BD4" s="266" t="str">
        <f>IF(ISBLANK(DY4),"",DY4)</f>
        <v/>
      </c>
      <c r="BE4" s="266" t="str">
        <f>IF(ISBLANK(DZ4),"",DZ4)</f>
        <v/>
      </c>
      <c r="BF4" s="266">
        <f>MIN(BA4:BE4)</f>
        <v>0</v>
      </c>
      <c r="BG4" s="266" t="str">
        <f>IF(BF4="","",IF(BF4&lt;1,'Lookup &amp; Notes'!$N$7,IF(BF4&lt;'Lookup &amp; Notes'!$O$6,'Lookup &amp; Notes'!$N$6,IF(BF4&lt;'Lookup &amp; Notes'!$O$5,'Lookup &amp; Notes'!$N$5,IF(BF4&lt;'Lookup &amp; Notes'!$O$4,'Lookup &amp; Notes'!$N$4,IF(BF4&lt;'Lookup &amp; Notes'!$O$3,'Lookup &amp; Notes'!$N$3,'Lookup &amp; Notes'!$N$2))))))</f>
        <v>F</v>
      </c>
      <c r="BH4" s="266" t="str">
        <f>IF(ISBLANK(EA4),"",EA4)</f>
        <v/>
      </c>
      <c r="BI4" s="266" t="str">
        <f>IF(ISBLANK(EB4),"",EB4)</f>
        <v/>
      </c>
      <c r="BJ4" s="266" t="str">
        <f>IF(ISBLANK(EC4),"",EC4)</f>
        <v/>
      </c>
      <c r="BK4" s="266" t="str">
        <f>IF(ISBLANK(ED4),"",ED4)</f>
        <v/>
      </c>
      <c r="BL4" s="266" t="str">
        <f>IF(ISBLANK(EE4),"",EE4)</f>
        <v/>
      </c>
      <c r="BM4" s="266">
        <f>MIN(BH4:BL4)</f>
        <v>0</v>
      </c>
      <c r="BN4" s="266" t="str">
        <f>IF(ISNA(MAX(VLOOKUP(DR4,'Lookup &amp; Notes'!$B$35:$E$67,4,FALSE),BM4-BF4)),"",MAX(VLOOKUP(DR4,'Lookup &amp; Notes'!$B$35:$E$67,4,FALSE),BM4-BF4))</f>
        <v/>
      </c>
      <c r="BO4" s="266" t="str">
        <f>IF(ISNA(VLOOKUP(DR4,'Lookup &amp; Notes'!$B$35:$E$67,4,FALSE)),"",VLOOKUP(DR4,'Lookup &amp; Notes'!$B$35:$E$67,4,FALSE))</f>
        <v/>
      </c>
      <c r="BP4" s="266">
        <f t="shared" ref="BP4" si="11">IF(ISERROR(MAX(BN4,BO4*2)*T4),0,MAX(BN4,BO4*2)*T4)</f>
        <v>0</v>
      </c>
      <c r="BQ4" s="266">
        <f ca="1">IF(ISERROR(MAX(BN4,BO4*2)*(0.0722313397528021*Targets!$E$4/1000)/$EP$13),0,MAX(BN4,BO4*2)*(0.0722313397528021*Targets!$E$4/1000)/$EP$13)</f>
        <v>0</v>
      </c>
      <c r="BR4" s="267" t="e">
        <f ca="1">BQ4*T4</f>
        <v>#VALUE!</v>
      </c>
      <c r="BS4" s="270" t="str">
        <f ca="1">IF(BQ4&lt;=0," ",AZ4/BR4)</f>
        <v xml:space="preserve"> </v>
      </c>
      <c r="BT4" s="271">
        <f ca="1">IF(ISERROR(AZ4/T4),0,AZ4/T4)</f>
        <v>0</v>
      </c>
      <c r="BU4" s="263">
        <f t="shared" ref="BU4" si="12">DT4</f>
        <v>0</v>
      </c>
      <c r="BV4" s="269" t="e">
        <f t="shared" ref="BV4" ca="1" si="13">BW4+BX4</f>
        <v>#DIV/0!</v>
      </c>
      <c r="BW4" s="269">
        <f t="shared" ref="BW4" si="14">DS4</f>
        <v>0</v>
      </c>
      <c r="BX4" s="271" t="e">
        <f t="shared" ref="BX4" ca="1" si="15">BW4/$EQ$20*$EQ$22</f>
        <v>#DIV/0!</v>
      </c>
      <c r="BY4" s="263" t="str">
        <f>IF(ISBLANK(EF4),"",EF4)</f>
        <v/>
      </c>
      <c r="BZ4" s="263" t="str">
        <f>IF(ISBLANK(EH4),"",EH4)</f>
        <v/>
      </c>
      <c r="CA4" s="263" t="str">
        <f>CH4&amp;CM4&amp;CN4&amp;CO4</f>
        <v/>
      </c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/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/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L4" s="202">
        <v>1</v>
      </c>
      <c r="EM4" s="128">
        <v>0.90361250202884902</v>
      </c>
      <c r="EO4" s="193">
        <f ca="1">SUM(Targets!L20,Targets!M20)</f>
        <v>0</v>
      </c>
      <c r="EP4" s="193">
        <f ca="1">ROUND(SUMIF(INDIRECT($ER$4),Targets!$D20,INDIRECT($ER$5)),0)</f>
        <v>0</v>
      </c>
      <c r="EQ4" s="193">
        <f ca="1">EP4-Targets!E20</f>
        <v>-650000</v>
      </c>
      <c r="ER4" s="192" t="str">
        <f ca="1">MID(CELL("address",F4),2,2)&amp;RIGHT(CELL("address",F4),1)&amp;":"&amp;MID(CELL("address",F4),2,2)&amp;$ES$19</f>
        <v>F$4:F$10</v>
      </c>
      <c r="ES4" s="201" t="s">
        <v>392</v>
      </c>
    </row>
    <row r="5" spans="1:149" x14ac:dyDescent="0.25">
      <c r="A5" s="251"/>
      <c r="B5" s="199"/>
      <c r="C5" s="252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253"/>
      <c r="T5" s="254"/>
      <c r="U5" s="254"/>
      <c r="V5" s="254"/>
      <c r="W5" s="254"/>
      <c r="X5" s="253"/>
      <c r="Y5" s="253"/>
      <c r="Z5" s="254"/>
      <c r="AA5" s="255"/>
      <c r="AB5" s="256"/>
      <c r="AC5" s="256"/>
      <c r="AD5" s="256"/>
      <c r="AE5" s="256"/>
      <c r="AF5" s="256"/>
      <c r="AG5" s="256"/>
      <c r="AH5" s="255"/>
      <c r="AI5" s="256"/>
      <c r="AJ5" s="256"/>
      <c r="AK5" s="256"/>
      <c r="AL5" s="256"/>
      <c r="AM5" s="256"/>
      <c r="AN5" s="256"/>
      <c r="AO5" s="255"/>
      <c r="AP5" s="256"/>
      <c r="AQ5" s="256"/>
      <c r="AR5" s="256"/>
      <c r="AS5" s="256"/>
      <c r="AT5" s="256"/>
      <c r="AU5" s="256"/>
      <c r="AV5" s="199"/>
      <c r="AW5" s="199"/>
      <c r="AX5" s="257"/>
      <c r="AY5" s="257"/>
      <c r="AZ5" s="257"/>
      <c r="BA5" s="254"/>
      <c r="BB5" s="254"/>
      <c r="BC5" s="254"/>
      <c r="BD5" s="254"/>
      <c r="BE5" s="254"/>
      <c r="BF5" s="254"/>
      <c r="BG5" s="254"/>
      <c r="BH5" s="254"/>
      <c r="BI5" s="254"/>
      <c r="BJ5" s="254"/>
      <c r="BK5" s="254"/>
      <c r="BL5" s="254"/>
      <c r="BM5" s="254"/>
      <c r="BN5" s="254"/>
      <c r="BO5" s="254"/>
      <c r="BP5" s="254"/>
      <c r="BQ5" s="254"/>
      <c r="BR5" s="255"/>
      <c r="BS5" s="258"/>
      <c r="BT5" s="259"/>
      <c r="BU5" s="199"/>
      <c r="BV5" s="257"/>
      <c r="BW5" s="257"/>
      <c r="BX5" s="259"/>
      <c r="BY5" s="199"/>
      <c r="BZ5" s="199"/>
      <c r="CA5" s="199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  <c r="DR5" s="146"/>
      <c r="DS5" s="146"/>
      <c r="DT5" s="146"/>
      <c r="DU5" s="146"/>
      <c r="DV5" s="146"/>
      <c r="DW5" s="146"/>
      <c r="DX5" s="146"/>
      <c r="DY5" s="146"/>
      <c r="DZ5" s="146"/>
      <c r="EA5" s="146"/>
      <c r="EB5" s="146"/>
      <c r="EC5" s="146"/>
      <c r="ED5" s="146"/>
      <c r="EE5" s="146"/>
      <c r="EF5" s="146"/>
      <c r="EG5" s="146"/>
      <c r="EH5" s="146"/>
      <c r="EK5" s="139"/>
      <c r="EL5" s="202">
        <v>2</v>
      </c>
      <c r="EM5" s="128">
        <v>0.95802274091443895</v>
      </c>
      <c r="EO5" s="193">
        <f ca="1">SUM(Targets!L21,Targets!M21)</f>
        <v>0</v>
      </c>
      <c r="EP5" s="193">
        <f ca="1">ROUND(SUMIF(INDIRECT($ER$4),Targets!$D21,INDIRECT($ER$5)),0)</f>
        <v>0</v>
      </c>
      <c r="EQ5" s="193">
        <f ca="1">EP5-Targets!E21</f>
        <v>-500000</v>
      </c>
      <c r="ER5" s="192" t="str">
        <f ca="1">MID(CELL("address",BV4),2,2)&amp;RIGHT(CELL("address",BV4),1)&amp;":"&amp;MID(CELL("address",BV4),2,2)&amp;$ES$19</f>
        <v>BV4:BV10</v>
      </c>
      <c r="ES5" s="201" t="s">
        <v>393</v>
      </c>
    </row>
    <row r="6" spans="1:149" x14ac:dyDescent="0.25">
      <c r="A6" s="251"/>
      <c r="B6" s="199"/>
      <c r="C6" s="252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253"/>
      <c r="T6" s="254"/>
      <c r="U6" s="254"/>
      <c r="V6" s="254"/>
      <c r="W6" s="254"/>
      <c r="X6" s="253"/>
      <c r="Y6" s="253"/>
      <c r="Z6" s="254"/>
      <c r="AA6" s="255"/>
      <c r="AB6" s="256"/>
      <c r="AC6" s="256"/>
      <c r="AD6" s="256"/>
      <c r="AE6" s="256"/>
      <c r="AF6" s="256"/>
      <c r="AG6" s="256"/>
      <c r="AH6" s="255"/>
      <c r="AI6" s="256"/>
      <c r="AJ6" s="256"/>
      <c r="AK6" s="256"/>
      <c r="AL6" s="256"/>
      <c r="AM6" s="256"/>
      <c r="AN6" s="256"/>
      <c r="AO6" s="255"/>
      <c r="AP6" s="256"/>
      <c r="AQ6" s="256"/>
      <c r="AR6" s="256"/>
      <c r="AS6" s="256"/>
      <c r="AT6" s="256"/>
      <c r="AU6" s="256"/>
      <c r="AV6" s="199"/>
      <c r="AW6" s="199"/>
      <c r="AX6" s="257"/>
      <c r="AY6" s="257"/>
      <c r="AZ6" s="257"/>
      <c r="BA6" s="254"/>
      <c r="BB6" s="254"/>
      <c r="BC6" s="254"/>
      <c r="BD6" s="254"/>
      <c r="BE6" s="254"/>
      <c r="BF6" s="254"/>
      <c r="BG6" s="254"/>
      <c r="BH6" s="254"/>
      <c r="BI6" s="254"/>
      <c r="BJ6" s="254"/>
      <c r="BK6" s="254"/>
      <c r="BL6" s="254"/>
      <c r="BM6" s="254"/>
      <c r="BN6" s="254"/>
      <c r="BO6" s="254"/>
      <c r="BP6" s="254"/>
      <c r="BQ6" s="254"/>
      <c r="BR6" s="255"/>
      <c r="BS6" s="258"/>
      <c r="BT6" s="259"/>
      <c r="BU6" s="199"/>
      <c r="BV6" s="257"/>
      <c r="BW6" s="257"/>
      <c r="BX6" s="259"/>
      <c r="BY6" s="199"/>
      <c r="BZ6" s="199"/>
      <c r="CA6" s="199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  <c r="CN6" s="146"/>
      <c r="CO6" s="146"/>
      <c r="CP6" s="146"/>
      <c r="CQ6" s="146"/>
      <c r="CR6" s="146"/>
      <c r="CS6" s="146"/>
      <c r="CT6" s="146"/>
      <c r="CU6" s="146"/>
      <c r="CV6" s="146"/>
      <c r="CW6" s="146"/>
      <c r="CX6" s="146"/>
      <c r="CY6" s="146"/>
      <c r="CZ6" s="146"/>
      <c r="DA6" s="146"/>
      <c r="DB6" s="146"/>
      <c r="DC6" s="146"/>
      <c r="DD6" s="146"/>
      <c r="DE6" s="146"/>
      <c r="DF6" s="146"/>
      <c r="DG6" s="146"/>
      <c r="DH6" s="146"/>
      <c r="DI6" s="146"/>
      <c r="DJ6" s="146"/>
      <c r="DK6" s="146"/>
      <c r="DL6" s="146"/>
      <c r="DM6" s="146"/>
      <c r="DN6" s="146"/>
      <c r="DO6" s="146"/>
      <c r="DP6" s="146"/>
      <c r="DQ6" s="146"/>
      <c r="DR6" s="146"/>
      <c r="DS6" s="146"/>
      <c r="DT6" s="146"/>
      <c r="DU6" s="146"/>
      <c r="DV6" s="146"/>
      <c r="DW6" s="146"/>
      <c r="DX6" s="146"/>
      <c r="DY6" s="146"/>
      <c r="DZ6" s="146"/>
      <c r="EA6" s="146"/>
      <c r="EB6" s="146"/>
      <c r="EC6" s="146"/>
      <c r="ED6" s="146"/>
      <c r="EE6" s="146"/>
      <c r="EF6" s="146"/>
      <c r="EG6" s="146"/>
      <c r="EH6" s="146"/>
      <c r="EK6" s="139"/>
      <c r="EL6" s="202">
        <v>1</v>
      </c>
      <c r="EM6" s="128">
        <v>0.58552666760123895</v>
      </c>
      <c r="EO6" s="193">
        <f ca="1">SUM(Targets!L22,Targets!M22)</f>
        <v>0</v>
      </c>
      <c r="EP6" s="193">
        <f ca="1">ROUND(SUMIF(INDIRECT($ER$4),Targets!$D22,INDIRECT($ER$5)),0)</f>
        <v>0</v>
      </c>
      <c r="EQ6" s="193">
        <f ca="1">EP6-Targets!E22</f>
        <v>-1500000</v>
      </c>
      <c r="ER6" s="192" t="str">
        <f ca="1">MID(CELL("address",BS4),2,2)&amp;RIGHT(CELL("address",BS4),1)&amp;":"&amp;MID(CELL("address",BS4),2,2)&amp;$ER$19</f>
        <v>BS4:BS3</v>
      </c>
      <c r="ES6" s="201" t="s">
        <v>400</v>
      </c>
    </row>
    <row r="7" spans="1:149" x14ac:dyDescent="0.25">
      <c r="A7" s="251"/>
      <c r="B7" s="199"/>
      <c r="C7" s="252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253"/>
      <c r="T7" s="254"/>
      <c r="U7" s="254"/>
      <c r="V7" s="254"/>
      <c r="W7" s="254"/>
      <c r="X7" s="253"/>
      <c r="Y7" s="253"/>
      <c r="Z7" s="254"/>
      <c r="AA7" s="255"/>
      <c r="AB7" s="256"/>
      <c r="AC7" s="256"/>
      <c r="AD7" s="256"/>
      <c r="AE7" s="256"/>
      <c r="AF7" s="256"/>
      <c r="AG7" s="256"/>
      <c r="AH7" s="255"/>
      <c r="AI7" s="256"/>
      <c r="AJ7" s="256"/>
      <c r="AK7" s="256"/>
      <c r="AL7" s="256"/>
      <c r="AM7" s="256"/>
      <c r="AN7" s="256"/>
      <c r="AO7" s="255"/>
      <c r="AP7" s="256"/>
      <c r="AQ7" s="256"/>
      <c r="AR7" s="256"/>
      <c r="AS7" s="256"/>
      <c r="AT7" s="256"/>
      <c r="AU7" s="256"/>
      <c r="AV7" s="199"/>
      <c r="AW7" s="199"/>
      <c r="AX7" s="257"/>
      <c r="AY7" s="257"/>
      <c r="AZ7" s="257"/>
      <c r="BA7" s="254"/>
      <c r="BB7" s="254"/>
      <c r="BC7" s="254"/>
      <c r="BD7" s="254"/>
      <c r="BE7" s="254"/>
      <c r="BF7" s="254"/>
      <c r="BG7" s="254"/>
      <c r="BH7" s="254"/>
      <c r="BI7" s="254"/>
      <c r="BJ7" s="254"/>
      <c r="BK7" s="254"/>
      <c r="BL7" s="254"/>
      <c r="BM7" s="254"/>
      <c r="BN7" s="254"/>
      <c r="BO7" s="254"/>
      <c r="BP7" s="254"/>
      <c r="BQ7" s="254"/>
      <c r="BR7" s="255"/>
      <c r="BS7" s="258"/>
      <c r="BT7" s="259"/>
      <c r="BU7" s="199"/>
      <c r="BV7" s="257"/>
      <c r="BW7" s="257"/>
      <c r="BX7" s="259"/>
      <c r="BY7" s="199"/>
      <c r="BZ7" s="199"/>
      <c r="CA7" s="199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K7" s="139"/>
      <c r="EL7" s="202">
        <v>2</v>
      </c>
      <c r="EM7" s="128">
        <v>0.78818847408584203</v>
      </c>
      <c r="EO7" s="193">
        <f ca="1">SUM(Targets!L23,Targets!M23)</f>
        <v>0</v>
      </c>
      <c r="EP7" s="193">
        <f ca="1">ROUND(SUMIF(INDIRECT($ER$4),Targets!$D23,INDIRECT($ER$5)),0)</f>
        <v>0</v>
      </c>
      <c r="EQ7" s="193">
        <f ca="1">EP7-Targets!E23</f>
        <v>-500000</v>
      </c>
      <c r="ER7" s="192" t="str">
        <f ca="1">CELL("address",DIV_UNDIV!A2)&amp;":"&amp;TRIM(MID(CELL("address",DIV_UNDIV!F2),FIND("$",CELL("address",DIV_UNDIV!F2),1),3))&amp;$EP$16</f>
        <v>'[FY17 Targets Suggested Projects Report Template 09-03-14.xlsm]DIV_UNDIV'!$A$2:$F$10311</v>
      </c>
      <c r="ES7" s="201" t="s">
        <v>4503</v>
      </c>
    </row>
    <row r="8" spans="1:149" x14ac:dyDescent="0.25">
      <c r="A8" s="251"/>
      <c r="B8" s="199"/>
      <c r="C8" s="252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253"/>
      <c r="T8" s="254"/>
      <c r="U8" s="254"/>
      <c r="V8" s="254"/>
      <c r="W8" s="254"/>
      <c r="X8" s="253"/>
      <c r="Y8" s="253"/>
      <c r="Z8" s="254"/>
      <c r="AA8" s="255"/>
      <c r="AB8" s="256"/>
      <c r="AC8" s="256"/>
      <c r="AD8" s="256"/>
      <c r="AE8" s="256"/>
      <c r="AF8" s="256"/>
      <c r="AG8" s="256"/>
      <c r="AH8" s="255"/>
      <c r="AI8" s="256"/>
      <c r="AJ8" s="256"/>
      <c r="AK8" s="256"/>
      <c r="AL8" s="256"/>
      <c r="AM8" s="256"/>
      <c r="AN8" s="256"/>
      <c r="AO8" s="255"/>
      <c r="AP8" s="256"/>
      <c r="AQ8" s="256"/>
      <c r="AR8" s="256"/>
      <c r="AS8" s="256"/>
      <c r="AT8" s="256"/>
      <c r="AU8" s="256"/>
      <c r="AV8" s="199"/>
      <c r="AW8" s="199"/>
      <c r="AX8" s="257"/>
      <c r="AY8" s="257"/>
      <c r="AZ8" s="257"/>
      <c r="BA8" s="254"/>
      <c r="BB8" s="254"/>
      <c r="BC8" s="254"/>
      <c r="BD8" s="254"/>
      <c r="BE8" s="254"/>
      <c r="BF8" s="254"/>
      <c r="BG8" s="254"/>
      <c r="BH8" s="254"/>
      <c r="BI8" s="254"/>
      <c r="BJ8" s="254"/>
      <c r="BK8" s="254"/>
      <c r="BL8" s="254"/>
      <c r="BM8" s="254"/>
      <c r="BN8" s="254"/>
      <c r="BO8" s="254"/>
      <c r="BP8" s="254"/>
      <c r="BQ8" s="254"/>
      <c r="BR8" s="255"/>
      <c r="BS8" s="258"/>
      <c r="BT8" s="259"/>
      <c r="BU8" s="199"/>
      <c r="BV8" s="257"/>
      <c r="BW8" s="257"/>
      <c r="BX8" s="259"/>
      <c r="BY8" s="199"/>
      <c r="BZ8" s="199"/>
      <c r="CA8" s="199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  <c r="CN8" s="146"/>
      <c r="CO8" s="146"/>
      <c r="CP8" s="146"/>
      <c r="CQ8" s="146"/>
      <c r="CR8" s="146"/>
      <c r="CS8" s="146"/>
      <c r="CT8" s="146"/>
      <c r="CU8" s="146"/>
      <c r="CV8" s="146"/>
      <c r="CW8" s="146"/>
      <c r="CX8" s="146"/>
      <c r="CY8" s="146"/>
      <c r="CZ8" s="146"/>
      <c r="DA8" s="146"/>
      <c r="DB8" s="146"/>
      <c r="DC8" s="146"/>
      <c r="DD8" s="146"/>
      <c r="DE8" s="146"/>
      <c r="DF8" s="146"/>
      <c r="DG8" s="146"/>
      <c r="DH8" s="146"/>
      <c r="DI8" s="146"/>
      <c r="DJ8" s="146"/>
      <c r="DK8" s="146"/>
      <c r="DL8" s="146"/>
      <c r="DM8" s="146"/>
      <c r="DN8" s="146"/>
      <c r="DO8" s="146"/>
      <c r="DP8" s="146"/>
      <c r="DQ8" s="146"/>
      <c r="DR8" s="146"/>
      <c r="DS8" s="146"/>
      <c r="DT8" s="146"/>
      <c r="DU8" s="146"/>
      <c r="DV8" s="146"/>
      <c r="DW8" s="146"/>
      <c r="DX8" s="146"/>
      <c r="DY8" s="146"/>
      <c r="DZ8" s="146"/>
      <c r="EA8" s="146"/>
      <c r="EB8" s="146"/>
      <c r="EC8" s="146"/>
      <c r="ED8" s="146"/>
      <c r="EE8" s="146"/>
      <c r="EF8" s="146"/>
      <c r="EG8" s="146"/>
      <c r="EH8" s="146"/>
      <c r="EK8" s="139"/>
      <c r="EL8" s="202">
        <v>1</v>
      </c>
      <c r="EM8" s="128">
        <v>0.57841577358824503</v>
      </c>
      <c r="EO8" s="193">
        <f ca="1">SUM(Targets!L24,Targets!M24)</f>
        <v>0</v>
      </c>
      <c r="EP8" s="193">
        <f ca="1">ROUND(SUMIF(INDIRECT($ER$4),Targets!$D24,INDIRECT($ER$5)),0)</f>
        <v>0</v>
      </c>
      <c r="EQ8" s="193">
        <f ca="1">EP8-Targets!E24</f>
        <v>-300000</v>
      </c>
      <c r="ER8" s="192"/>
      <c r="ES8" s="192"/>
    </row>
    <row r="9" spans="1:149" x14ac:dyDescent="0.25">
      <c r="A9" s="251"/>
      <c r="B9" s="199"/>
      <c r="C9" s="252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253"/>
      <c r="T9" s="254"/>
      <c r="U9" s="254"/>
      <c r="V9" s="254"/>
      <c r="W9" s="254"/>
      <c r="X9" s="253"/>
      <c r="Y9" s="253"/>
      <c r="Z9" s="254"/>
      <c r="AA9" s="255"/>
      <c r="AB9" s="256"/>
      <c r="AC9" s="256"/>
      <c r="AD9" s="256"/>
      <c r="AE9" s="256"/>
      <c r="AF9" s="256"/>
      <c r="AG9" s="256"/>
      <c r="AH9" s="255"/>
      <c r="AI9" s="256"/>
      <c r="AJ9" s="256"/>
      <c r="AK9" s="256"/>
      <c r="AL9" s="256"/>
      <c r="AM9" s="256"/>
      <c r="AN9" s="256"/>
      <c r="AO9" s="255"/>
      <c r="AP9" s="256"/>
      <c r="AQ9" s="256"/>
      <c r="AR9" s="256"/>
      <c r="AS9" s="256"/>
      <c r="AT9" s="256"/>
      <c r="AU9" s="256"/>
      <c r="AV9" s="199"/>
      <c r="AW9" s="199"/>
      <c r="AX9" s="257"/>
      <c r="AY9" s="257"/>
      <c r="AZ9" s="257"/>
      <c r="BA9" s="254"/>
      <c r="BB9" s="254"/>
      <c r="BC9" s="254"/>
      <c r="BD9" s="254"/>
      <c r="BE9" s="254"/>
      <c r="BF9" s="254"/>
      <c r="BG9" s="254"/>
      <c r="BH9" s="254"/>
      <c r="BI9" s="254"/>
      <c r="BJ9" s="254"/>
      <c r="BK9" s="254"/>
      <c r="BL9" s="254"/>
      <c r="BM9" s="254"/>
      <c r="BN9" s="254"/>
      <c r="BO9" s="254"/>
      <c r="BP9" s="254"/>
      <c r="BQ9" s="254"/>
      <c r="BR9" s="255"/>
      <c r="BS9" s="258"/>
      <c r="BT9" s="259"/>
      <c r="BU9" s="199"/>
      <c r="BV9" s="257"/>
      <c r="BW9" s="257"/>
      <c r="BX9" s="259"/>
      <c r="BY9" s="199"/>
      <c r="BZ9" s="199"/>
      <c r="CA9" s="199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  <c r="CN9" s="146"/>
      <c r="CO9" s="146"/>
      <c r="CP9" s="146"/>
      <c r="CQ9" s="146"/>
      <c r="CR9" s="146"/>
      <c r="CS9" s="146"/>
      <c r="CT9" s="146"/>
      <c r="CU9" s="146"/>
      <c r="CV9" s="146"/>
      <c r="CW9" s="146"/>
      <c r="CX9" s="146"/>
      <c r="CY9" s="146"/>
      <c r="CZ9" s="146"/>
      <c r="DA9" s="146"/>
      <c r="DB9" s="146"/>
      <c r="DC9" s="146"/>
      <c r="DD9" s="146"/>
      <c r="DE9" s="146"/>
      <c r="DF9" s="146"/>
      <c r="DG9" s="146"/>
      <c r="DH9" s="146"/>
      <c r="DI9" s="146"/>
      <c r="DJ9" s="146"/>
      <c r="DK9" s="146"/>
      <c r="DL9" s="146"/>
      <c r="DM9" s="146"/>
      <c r="DN9" s="146"/>
      <c r="DO9" s="146"/>
      <c r="DP9" s="146"/>
      <c r="DQ9" s="146"/>
      <c r="DR9" s="146"/>
      <c r="DS9" s="146"/>
      <c r="DT9" s="146"/>
      <c r="DU9" s="146"/>
      <c r="DV9" s="146"/>
      <c r="DW9" s="146"/>
      <c r="DX9" s="146"/>
      <c r="DY9" s="146"/>
      <c r="DZ9" s="146"/>
      <c r="EA9" s="146"/>
      <c r="EB9" s="146"/>
      <c r="EC9" s="146"/>
      <c r="ED9" s="146"/>
      <c r="EE9" s="146"/>
      <c r="EF9" s="146"/>
      <c r="EG9" s="146"/>
      <c r="EH9" s="146"/>
      <c r="EK9" s="139"/>
      <c r="EL9" s="202">
        <v>2</v>
      </c>
      <c r="EM9" s="128">
        <v>0.71061815467705702</v>
      </c>
      <c r="EO9" s="193">
        <f ca="1">SUM(Targets!L25,Targets!M25)</f>
        <v>0</v>
      </c>
      <c r="EP9" s="193">
        <f ca="1">ROUND(SUMIF(INDIRECT($ER$4),Targets!$D25,INDIRECT($ER$5)),0)</f>
        <v>0</v>
      </c>
      <c r="EQ9" s="193">
        <f ca="1">EP9-Targets!E25</f>
        <v>-500000</v>
      </c>
      <c r="ER9" s="192"/>
      <c r="ES9" s="192"/>
    </row>
    <row r="10" spans="1:149" x14ac:dyDescent="0.25">
      <c r="A10" s="251"/>
      <c r="B10" s="199"/>
      <c r="C10" s="252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253"/>
      <c r="T10" s="254"/>
      <c r="U10" s="254"/>
      <c r="V10" s="254"/>
      <c r="W10" s="254"/>
      <c r="X10" s="253"/>
      <c r="Y10" s="253"/>
      <c r="Z10" s="254"/>
      <c r="AA10" s="255"/>
      <c r="AB10" s="256"/>
      <c r="AC10" s="256"/>
      <c r="AD10" s="256"/>
      <c r="AE10" s="256"/>
      <c r="AF10" s="256"/>
      <c r="AG10" s="256"/>
      <c r="AH10" s="255"/>
      <c r="AI10" s="256"/>
      <c r="AJ10" s="256"/>
      <c r="AK10" s="256"/>
      <c r="AL10" s="256"/>
      <c r="AM10" s="256"/>
      <c r="AN10" s="256"/>
      <c r="AO10" s="255"/>
      <c r="AP10" s="256"/>
      <c r="AQ10" s="256"/>
      <c r="AR10" s="256"/>
      <c r="AS10" s="256"/>
      <c r="AT10" s="256"/>
      <c r="AU10" s="256"/>
      <c r="AV10" s="199"/>
      <c r="AW10" s="199"/>
      <c r="AX10" s="257"/>
      <c r="AY10" s="257"/>
      <c r="AZ10" s="257"/>
      <c r="BA10" s="254"/>
      <c r="BB10" s="254"/>
      <c r="BC10" s="254"/>
      <c r="BD10" s="254"/>
      <c r="BE10" s="254"/>
      <c r="BF10" s="254"/>
      <c r="BG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5"/>
      <c r="BS10" s="258"/>
      <c r="BT10" s="259"/>
      <c r="BU10" s="199"/>
      <c r="BV10" s="257"/>
      <c r="BW10" s="257"/>
      <c r="BX10" s="259"/>
      <c r="BY10" s="199"/>
      <c r="BZ10" s="199"/>
      <c r="CA10" s="199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  <c r="CN10" s="146"/>
      <c r="CO10" s="146"/>
      <c r="CP10" s="146"/>
      <c r="CQ10" s="146"/>
      <c r="CR10" s="146"/>
      <c r="CS10" s="146"/>
      <c r="CT10" s="146"/>
      <c r="CU10" s="146"/>
      <c r="CV10" s="146"/>
      <c r="CW10" s="146"/>
      <c r="CX10" s="146"/>
      <c r="CY10" s="146"/>
      <c r="CZ10" s="146"/>
      <c r="DA10" s="146"/>
      <c r="DB10" s="146"/>
      <c r="DC10" s="146"/>
      <c r="DD10" s="146"/>
      <c r="DE10" s="146"/>
      <c r="DF10" s="146"/>
      <c r="DG10" s="146"/>
      <c r="DH10" s="146"/>
      <c r="DI10" s="146"/>
      <c r="DJ10" s="146"/>
      <c r="DK10" s="146"/>
      <c r="DL10" s="146"/>
      <c r="DM10" s="146"/>
      <c r="DN10" s="146"/>
      <c r="DO10" s="146"/>
      <c r="DP10" s="146"/>
      <c r="DQ10" s="146"/>
      <c r="DR10" s="146"/>
      <c r="DS10" s="146"/>
      <c r="DT10" s="146"/>
      <c r="DU10" s="146"/>
      <c r="DV10" s="146"/>
      <c r="DW10" s="146"/>
      <c r="DX10" s="146"/>
      <c r="DY10" s="146"/>
      <c r="DZ10" s="146"/>
      <c r="EA10" s="146"/>
      <c r="EB10" s="146"/>
      <c r="EC10" s="146"/>
      <c r="ED10" s="146"/>
      <c r="EE10" s="146"/>
      <c r="EF10" s="146"/>
      <c r="EG10" s="146"/>
      <c r="EH10" s="146"/>
      <c r="EK10" s="139"/>
      <c r="EL10" s="202">
        <v>1</v>
      </c>
      <c r="EM10" s="128">
        <v>0.60528372457012602</v>
      </c>
      <c r="EO10" s="193">
        <f ca="1">SUM(Targets!L26,Targets!M26)</f>
        <v>0</v>
      </c>
      <c r="EP10" s="193">
        <f ca="1">ROUND(SUMIF(INDIRECT($ER$4),Targets!$D26,INDIRECT($ER$5)),0)</f>
        <v>0</v>
      </c>
      <c r="EQ10" s="193">
        <f ca="1">EP10-Targets!E26</f>
        <v>-500000</v>
      </c>
      <c r="ER10" s="192"/>
      <c r="ES10" s="192"/>
    </row>
    <row r="11" spans="1:149" x14ac:dyDescent="0.25">
      <c r="A11" s="251"/>
      <c r="B11" s="199"/>
      <c r="C11" s="252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253"/>
      <c r="T11" s="254"/>
      <c r="U11" s="254"/>
      <c r="V11" s="254"/>
      <c r="W11" s="254"/>
      <c r="X11" s="253"/>
      <c r="Y11" s="253"/>
      <c r="Z11" s="254"/>
      <c r="AA11" s="255"/>
      <c r="AB11" s="256"/>
      <c r="AC11" s="256"/>
      <c r="AD11" s="256"/>
      <c r="AE11" s="256"/>
      <c r="AF11" s="256"/>
      <c r="AG11" s="256"/>
      <c r="AH11" s="255"/>
      <c r="AI11" s="256"/>
      <c r="AJ11" s="256"/>
      <c r="AK11" s="256"/>
      <c r="AL11" s="256"/>
      <c r="AM11" s="256"/>
      <c r="AN11" s="256"/>
      <c r="AO11" s="255"/>
      <c r="AP11" s="256"/>
      <c r="AQ11" s="256"/>
      <c r="AR11" s="256"/>
      <c r="AS11" s="256"/>
      <c r="AT11" s="256"/>
      <c r="AU11" s="256"/>
      <c r="AV11" s="199"/>
      <c r="AW11" s="199"/>
      <c r="AX11" s="257"/>
      <c r="AY11" s="257"/>
      <c r="AZ11" s="257"/>
      <c r="BA11" s="254"/>
      <c r="BB11" s="254"/>
      <c r="BC11" s="254"/>
      <c r="BD11" s="254"/>
      <c r="BE11" s="254"/>
      <c r="BF11" s="254"/>
      <c r="BG11" s="254"/>
      <c r="BH11" s="254"/>
      <c r="BI11" s="254"/>
      <c r="BJ11" s="254"/>
      <c r="BK11" s="254"/>
      <c r="BL11" s="254"/>
      <c r="BM11" s="254"/>
      <c r="BN11" s="254"/>
      <c r="BO11" s="254"/>
      <c r="BP11" s="254"/>
      <c r="BQ11" s="254"/>
      <c r="BR11" s="255"/>
      <c r="BS11" s="258"/>
      <c r="BT11" s="259"/>
      <c r="BU11" s="199"/>
      <c r="BV11" s="257"/>
      <c r="BW11" s="257"/>
      <c r="BX11" s="259"/>
      <c r="BY11" s="199"/>
      <c r="BZ11" s="199"/>
      <c r="CA11" s="199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  <c r="CN11" s="146"/>
      <c r="CO11" s="146"/>
      <c r="CP11" s="146"/>
      <c r="CQ11" s="146"/>
      <c r="CR11" s="146"/>
      <c r="CS11" s="146"/>
      <c r="CT11" s="146"/>
      <c r="CU11" s="146"/>
      <c r="CV11" s="146"/>
      <c r="CW11" s="146"/>
      <c r="CX11" s="146"/>
      <c r="CY11" s="146"/>
      <c r="CZ11" s="146"/>
      <c r="DA11" s="146"/>
      <c r="DB11" s="146"/>
      <c r="DC11" s="146"/>
      <c r="DD11" s="146"/>
      <c r="DE11" s="146"/>
      <c r="DF11" s="146"/>
      <c r="DG11" s="146"/>
      <c r="DH11" s="146"/>
      <c r="DI11" s="146"/>
      <c r="DJ11" s="146"/>
      <c r="DK11" s="146"/>
      <c r="DL11" s="146"/>
      <c r="DM11" s="146"/>
      <c r="DN11" s="146"/>
      <c r="DO11" s="146"/>
      <c r="DP11" s="146"/>
      <c r="DQ11" s="146"/>
      <c r="DR11" s="146"/>
      <c r="DS11" s="146"/>
      <c r="DT11" s="146"/>
      <c r="DU11" s="146"/>
      <c r="DV11" s="146"/>
      <c r="DW11" s="146"/>
      <c r="DX11" s="146"/>
      <c r="DY11" s="146"/>
      <c r="DZ11" s="146"/>
      <c r="EA11" s="146"/>
      <c r="EB11" s="146"/>
      <c r="EC11" s="146"/>
      <c r="ED11" s="146"/>
      <c r="EE11" s="146"/>
      <c r="EF11" s="146"/>
      <c r="EG11" s="146"/>
      <c r="EH11" s="146"/>
      <c r="EK11" s="139"/>
      <c r="EL11" s="202">
        <v>2</v>
      </c>
      <c r="EM11" s="128">
        <v>0.77544722025316903</v>
      </c>
    </row>
    <row r="12" spans="1:149" x14ac:dyDescent="0.25">
      <c r="A12" s="251"/>
      <c r="B12" s="199"/>
      <c r="C12" s="252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253"/>
      <c r="T12" s="254"/>
      <c r="U12" s="254"/>
      <c r="V12" s="254"/>
      <c r="W12" s="254"/>
      <c r="X12" s="253"/>
      <c r="Y12" s="253"/>
      <c r="Z12" s="254"/>
      <c r="AA12" s="255"/>
      <c r="AB12" s="256"/>
      <c r="AC12" s="256"/>
      <c r="AD12" s="256"/>
      <c r="AE12" s="256"/>
      <c r="AF12" s="256"/>
      <c r="AG12" s="256"/>
      <c r="AH12" s="255"/>
      <c r="AI12" s="256"/>
      <c r="AJ12" s="256"/>
      <c r="AK12" s="256"/>
      <c r="AL12" s="256"/>
      <c r="AM12" s="256"/>
      <c r="AN12" s="256"/>
      <c r="AO12" s="255"/>
      <c r="AP12" s="256"/>
      <c r="AQ12" s="256"/>
      <c r="AR12" s="256"/>
      <c r="AS12" s="256"/>
      <c r="AT12" s="256"/>
      <c r="AU12" s="256"/>
      <c r="AV12" s="199"/>
      <c r="AW12" s="199"/>
      <c r="AX12" s="257"/>
      <c r="AY12" s="257"/>
      <c r="AZ12" s="257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  <c r="BL12" s="254"/>
      <c r="BM12" s="254"/>
      <c r="BN12" s="254"/>
      <c r="BO12" s="254"/>
      <c r="BP12" s="254"/>
      <c r="BQ12" s="254"/>
      <c r="BR12" s="255"/>
      <c r="BS12" s="258"/>
      <c r="BT12" s="259"/>
      <c r="BU12" s="199"/>
      <c r="BV12" s="257"/>
      <c r="BW12" s="257"/>
      <c r="BX12" s="259"/>
      <c r="BY12" s="199"/>
      <c r="BZ12" s="199"/>
      <c r="CA12" s="199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  <c r="CN12" s="146"/>
      <c r="CO12" s="146"/>
      <c r="CP12" s="146"/>
      <c r="CQ12" s="146"/>
      <c r="CR12" s="146"/>
      <c r="CS12" s="146"/>
      <c r="CT12" s="146"/>
      <c r="CU12" s="146"/>
      <c r="CV12" s="146"/>
      <c r="CW12" s="146"/>
      <c r="CX12" s="146"/>
      <c r="CY12" s="146"/>
      <c r="CZ12" s="146"/>
      <c r="DA12" s="146"/>
      <c r="DB12" s="146"/>
      <c r="DC12" s="146"/>
      <c r="DD12" s="146"/>
      <c r="DE12" s="146"/>
      <c r="DF12" s="146"/>
      <c r="DG12" s="146"/>
      <c r="DH12" s="146"/>
      <c r="DI12" s="146"/>
      <c r="DJ12" s="146"/>
      <c r="DK12" s="146"/>
      <c r="DL12" s="146"/>
      <c r="DM12" s="146"/>
      <c r="DN12" s="146"/>
      <c r="DO12" s="146"/>
      <c r="DP12" s="146"/>
      <c r="DQ12" s="146"/>
      <c r="DR12" s="146"/>
      <c r="DS12" s="146"/>
      <c r="DT12" s="146"/>
      <c r="DU12" s="146"/>
      <c r="DV12" s="146"/>
      <c r="DW12" s="146"/>
      <c r="DX12" s="146"/>
      <c r="DY12" s="146"/>
      <c r="DZ12" s="146"/>
      <c r="EA12" s="146"/>
      <c r="EB12" s="146"/>
      <c r="EC12" s="146"/>
      <c r="ED12" s="146"/>
      <c r="EE12" s="146"/>
      <c r="EF12" s="146"/>
      <c r="EG12" s="146"/>
      <c r="EH12" s="146"/>
      <c r="EK12" s="139"/>
      <c r="EL12" s="202">
        <v>1</v>
      </c>
      <c r="EM12" s="128">
        <v>0.67309771864541101</v>
      </c>
      <c r="EP12" s="127" t="str">
        <f ca="1">MID(CELL("address",BP4),2,2)&amp;RIGHT(CELL("address",BP4),1)&amp;":"&amp;MID(CELL("address",BP4),2,2)&amp;$ER$19</f>
        <v>BP4:BP3</v>
      </c>
      <c r="EQ12" s="165" t="s">
        <v>391</v>
      </c>
    </row>
    <row r="13" spans="1:149" x14ac:dyDescent="0.25">
      <c r="A13" s="251"/>
      <c r="B13" s="199"/>
      <c r="C13" s="252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253"/>
      <c r="T13" s="254"/>
      <c r="U13" s="254"/>
      <c r="V13" s="254"/>
      <c r="W13" s="254"/>
      <c r="X13" s="253"/>
      <c r="Y13" s="253"/>
      <c r="Z13" s="254"/>
      <c r="AA13" s="255"/>
      <c r="AB13" s="256"/>
      <c r="AC13" s="256"/>
      <c r="AD13" s="256"/>
      <c r="AE13" s="256"/>
      <c r="AF13" s="256"/>
      <c r="AG13" s="256"/>
      <c r="AH13" s="255"/>
      <c r="AI13" s="256"/>
      <c r="AJ13" s="256"/>
      <c r="AK13" s="256"/>
      <c r="AL13" s="256"/>
      <c r="AM13" s="256"/>
      <c r="AN13" s="256"/>
      <c r="AO13" s="255"/>
      <c r="AP13" s="256"/>
      <c r="AQ13" s="256"/>
      <c r="AR13" s="256"/>
      <c r="AS13" s="256"/>
      <c r="AT13" s="256"/>
      <c r="AU13" s="256"/>
      <c r="AV13" s="199"/>
      <c r="AW13" s="199"/>
      <c r="AX13" s="257"/>
      <c r="AY13" s="257"/>
      <c r="AZ13" s="257"/>
      <c r="BA13" s="254"/>
      <c r="BB13" s="254"/>
      <c r="BC13" s="254"/>
      <c r="BD13" s="254"/>
      <c r="BE13" s="254"/>
      <c r="BF13" s="254"/>
      <c r="BG13" s="254"/>
      <c r="BH13" s="254"/>
      <c r="BI13" s="254"/>
      <c r="BJ13" s="254"/>
      <c r="BK13" s="254"/>
      <c r="BL13" s="254"/>
      <c r="BM13" s="254"/>
      <c r="BN13" s="254"/>
      <c r="BO13" s="254"/>
      <c r="BP13" s="254"/>
      <c r="BQ13" s="254"/>
      <c r="BR13" s="255"/>
      <c r="BS13" s="258"/>
      <c r="BT13" s="259"/>
      <c r="BU13" s="199"/>
      <c r="BV13" s="257"/>
      <c r="BW13" s="257"/>
      <c r="BX13" s="259"/>
      <c r="BY13" s="199"/>
      <c r="BZ13" s="199"/>
      <c r="CA13" s="199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  <c r="CN13" s="146"/>
      <c r="CO13" s="146"/>
      <c r="CP13" s="146"/>
      <c r="CQ13" s="146"/>
      <c r="CR13" s="146"/>
      <c r="CS13" s="146"/>
      <c r="CT13" s="146"/>
      <c r="CU13" s="146"/>
      <c r="CV13" s="146"/>
      <c r="CW13" s="146"/>
      <c r="CX13" s="146"/>
      <c r="CY13" s="146"/>
      <c r="CZ13" s="146"/>
      <c r="DA13" s="146"/>
      <c r="DB13" s="146"/>
      <c r="DC13" s="146"/>
      <c r="DD13" s="146"/>
      <c r="DE13" s="146"/>
      <c r="DF13" s="146"/>
      <c r="DG13" s="146"/>
      <c r="DH13" s="146"/>
      <c r="DI13" s="146"/>
      <c r="DJ13" s="146"/>
      <c r="DK13" s="146"/>
      <c r="DL13" s="146"/>
      <c r="DM13" s="146"/>
      <c r="DN13" s="146"/>
      <c r="DO13" s="146"/>
      <c r="DP13" s="146"/>
      <c r="DQ13" s="146"/>
      <c r="DR13" s="146"/>
      <c r="DS13" s="146"/>
      <c r="DT13" s="146"/>
      <c r="DU13" s="146"/>
      <c r="DV13" s="146"/>
      <c r="DW13" s="146"/>
      <c r="DX13" s="146"/>
      <c r="DY13" s="146"/>
      <c r="DZ13" s="146"/>
      <c r="EA13" s="146"/>
      <c r="EB13" s="146"/>
      <c r="EC13" s="146"/>
      <c r="ED13" s="146"/>
      <c r="EE13" s="146"/>
      <c r="EF13" s="146"/>
      <c r="EG13" s="146"/>
      <c r="EH13" s="146"/>
      <c r="EK13" s="139"/>
      <c r="EL13" s="202">
        <v>2</v>
      </c>
      <c r="EM13" s="128">
        <v>0.85000301693121805</v>
      </c>
      <c r="EP13" s="89">
        <f ca="1">SUM(INDIRECT($EP$12))</f>
        <v>0</v>
      </c>
      <c r="EQ13" s="165" t="s">
        <v>390</v>
      </c>
    </row>
    <row r="14" spans="1:149" x14ac:dyDescent="0.25">
      <c r="A14" s="251"/>
      <c r="B14" s="199"/>
      <c r="C14" s="252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253"/>
      <c r="T14" s="254"/>
      <c r="U14" s="254"/>
      <c r="V14" s="254"/>
      <c r="W14" s="254"/>
      <c r="X14" s="253"/>
      <c r="Y14" s="253"/>
      <c r="Z14" s="254"/>
      <c r="AA14" s="255"/>
      <c r="AB14" s="256"/>
      <c r="AC14" s="256"/>
      <c r="AD14" s="256"/>
      <c r="AE14" s="256"/>
      <c r="AF14" s="256"/>
      <c r="AG14" s="256"/>
      <c r="AH14" s="255"/>
      <c r="AI14" s="256"/>
      <c r="AJ14" s="256"/>
      <c r="AK14" s="256"/>
      <c r="AL14" s="256"/>
      <c r="AM14" s="256"/>
      <c r="AN14" s="256"/>
      <c r="AO14" s="255"/>
      <c r="AP14" s="256"/>
      <c r="AQ14" s="256"/>
      <c r="AR14" s="256"/>
      <c r="AS14" s="256"/>
      <c r="AT14" s="256"/>
      <c r="AU14" s="256"/>
      <c r="AV14" s="199"/>
      <c r="AW14" s="199"/>
      <c r="AX14" s="257"/>
      <c r="AY14" s="257"/>
      <c r="AZ14" s="257"/>
      <c r="BA14" s="254"/>
      <c r="BB14" s="254"/>
      <c r="BC14" s="254"/>
      <c r="BD14" s="254"/>
      <c r="BE14" s="254"/>
      <c r="BF14" s="254"/>
      <c r="BG14" s="254"/>
      <c r="BH14" s="254"/>
      <c r="BI14" s="254"/>
      <c r="BJ14" s="254"/>
      <c r="BK14" s="254"/>
      <c r="BL14" s="254"/>
      <c r="BM14" s="254"/>
      <c r="BN14" s="254"/>
      <c r="BO14" s="254"/>
      <c r="BP14" s="254"/>
      <c r="BQ14" s="254"/>
      <c r="BR14" s="255"/>
      <c r="BS14" s="258"/>
      <c r="BT14" s="259"/>
      <c r="BU14" s="199"/>
      <c r="BV14" s="257"/>
      <c r="BW14" s="257"/>
      <c r="BX14" s="259"/>
      <c r="BY14" s="199"/>
      <c r="BZ14" s="199"/>
      <c r="CA14" s="199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  <c r="CN14" s="146"/>
      <c r="CO14" s="146"/>
      <c r="CP14" s="146"/>
      <c r="CQ14" s="146"/>
      <c r="CR14" s="146"/>
      <c r="CS14" s="146"/>
      <c r="CT14" s="146"/>
      <c r="CU14" s="146"/>
      <c r="CV14" s="146"/>
      <c r="CW14" s="146"/>
      <c r="CX14" s="146"/>
      <c r="CY14" s="146"/>
      <c r="CZ14" s="146"/>
      <c r="DA14" s="146"/>
      <c r="DB14" s="146"/>
      <c r="DC14" s="146"/>
      <c r="DD14" s="146"/>
      <c r="DE14" s="146"/>
      <c r="DF14" s="146"/>
      <c r="DG14" s="146"/>
      <c r="DH14" s="146"/>
      <c r="DI14" s="146"/>
      <c r="DJ14" s="146"/>
      <c r="DK14" s="146"/>
      <c r="DL14" s="146"/>
      <c r="DM14" s="146"/>
      <c r="DN14" s="146"/>
      <c r="DO14" s="146"/>
      <c r="DP14" s="146"/>
      <c r="DQ14" s="146"/>
      <c r="DR14" s="146"/>
      <c r="DS14" s="146"/>
      <c r="DT14" s="146"/>
      <c r="DU14" s="146"/>
      <c r="DV14" s="146"/>
      <c r="DW14" s="146"/>
      <c r="DX14" s="146"/>
      <c r="DY14" s="146"/>
      <c r="DZ14" s="146"/>
      <c r="EA14" s="146"/>
      <c r="EB14" s="146"/>
      <c r="EC14" s="146"/>
      <c r="ED14" s="146"/>
      <c r="EE14" s="146"/>
      <c r="EF14" s="146"/>
      <c r="EG14" s="146"/>
      <c r="EH14" s="146"/>
      <c r="EK14" s="139"/>
      <c r="EL14" s="202">
        <v>1</v>
      </c>
      <c r="EM14" s="128">
        <v>0.62519452275837195</v>
      </c>
      <c r="EO14" s="139"/>
      <c r="EP14" s="163">
        <v>2013</v>
      </c>
      <c r="EQ14" s="165" t="s">
        <v>394</v>
      </c>
    </row>
    <row r="15" spans="1:149" x14ac:dyDescent="0.25">
      <c r="A15" s="251"/>
      <c r="B15" s="199"/>
      <c r="C15" s="252"/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199"/>
      <c r="O15" s="199"/>
      <c r="P15" s="199"/>
      <c r="Q15" s="199"/>
      <c r="R15" s="199"/>
      <c r="S15" s="253"/>
      <c r="T15" s="254"/>
      <c r="U15" s="254"/>
      <c r="V15" s="254"/>
      <c r="W15" s="254"/>
      <c r="X15" s="253"/>
      <c r="Y15" s="253"/>
      <c r="Z15" s="254"/>
      <c r="AA15" s="255"/>
      <c r="AB15" s="256"/>
      <c r="AC15" s="256"/>
      <c r="AD15" s="256"/>
      <c r="AE15" s="256"/>
      <c r="AF15" s="256"/>
      <c r="AG15" s="256"/>
      <c r="AH15" s="255"/>
      <c r="AI15" s="256"/>
      <c r="AJ15" s="256"/>
      <c r="AK15" s="256"/>
      <c r="AL15" s="256"/>
      <c r="AM15" s="256"/>
      <c r="AN15" s="256"/>
      <c r="AO15" s="255"/>
      <c r="AP15" s="256"/>
      <c r="AQ15" s="256"/>
      <c r="AR15" s="256"/>
      <c r="AS15" s="256"/>
      <c r="AT15" s="256"/>
      <c r="AU15" s="256"/>
      <c r="AV15" s="199"/>
      <c r="AW15" s="199"/>
      <c r="AX15" s="257"/>
      <c r="AY15" s="257"/>
      <c r="AZ15" s="257"/>
      <c r="BA15" s="254"/>
      <c r="BB15" s="254"/>
      <c r="BC15" s="254"/>
      <c r="BD15" s="254"/>
      <c r="BE15" s="254"/>
      <c r="BF15" s="254"/>
      <c r="BG15" s="254"/>
      <c r="BH15" s="254"/>
      <c r="BI15" s="254"/>
      <c r="BJ15" s="254"/>
      <c r="BK15" s="254"/>
      <c r="BL15" s="254"/>
      <c r="BM15" s="254"/>
      <c r="BN15" s="254"/>
      <c r="BO15" s="254"/>
      <c r="BP15" s="254"/>
      <c r="BQ15" s="254"/>
      <c r="BR15" s="255"/>
      <c r="BS15" s="258"/>
      <c r="BT15" s="259"/>
      <c r="BU15" s="199"/>
      <c r="BV15" s="257"/>
      <c r="BW15" s="257"/>
      <c r="BX15" s="259"/>
      <c r="BY15" s="199"/>
      <c r="BZ15" s="199"/>
      <c r="CA15" s="199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  <c r="CN15" s="146"/>
      <c r="CO15" s="146"/>
      <c r="CP15" s="146"/>
      <c r="CQ15" s="146"/>
      <c r="CR15" s="146"/>
      <c r="CS15" s="146"/>
      <c r="CT15" s="146"/>
      <c r="CU15" s="146"/>
      <c r="CV15" s="146"/>
      <c r="CW15" s="146"/>
      <c r="CX15" s="146"/>
      <c r="CY15" s="146"/>
      <c r="CZ15" s="146"/>
      <c r="DA15" s="146"/>
      <c r="DB15" s="146"/>
      <c r="DC15" s="146"/>
      <c r="DD15" s="146"/>
      <c r="DE15" s="146"/>
      <c r="DF15" s="146"/>
      <c r="DG15" s="146"/>
      <c r="DH15" s="146"/>
      <c r="DI15" s="146"/>
      <c r="DJ15" s="146"/>
      <c r="DK15" s="146"/>
      <c r="DL15" s="146"/>
      <c r="DM15" s="146"/>
      <c r="DN15" s="146"/>
      <c r="DO15" s="146"/>
      <c r="DP15" s="146"/>
      <c r="DQ15" s="146"/>
      <c r="DR15" s="146"/>
      <c r="DS15" s="146"/>
      <c r="DT15" s="146"/>
      <c r="DU15" s="146"/>
      <c r="DV15" s="146"/>
      <c r="DW15" s="146"/>
      <c r="DX15" s="146"/>
      <c r="DY15" s="146"/>
      <c r="DZ15" s="146"/>
      <c r="EA15" s="146"/>
      <c r="EB15" s="146"/>
      <c r="EC15" s="146"/>
      <c r="ED15" s="146"/>
      <c r="EE15" s="146"/>
      <c r="EF15" s="146"/>
      <c r="EG15" s="146"/>
      <c r="EH15" s="146"/>
      <c r="EK15" s="139"/>
      <c r="EL15" s="202">
        <v>2</v>
      </c>
      <c r="EM15" s="128">
        <v>0.59049002566865905</v>
      </c>
      <c r="EP15" s="163">
        <v>2013</v>
      </c>
      <c r="EQ15" s="165" t="s">
        <v>401</v>
      </c>
    </row>
    <row r="16" spans="1:149" x14ac:dyDescent="0.25">
      <c r="A16" s="251"/>
      <c r="B16" s="199"/>
      <c r="C16" s="252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253"/>
      <c r="T16" s="254"/>
      <c r="U16" s="254"/>
      <c r="V16" s="254"/>
      <c r="W16" s="254"/>
      <c r="X16" s="253"/>
      <c r="Y16" s="253"/>
      <c r="Z16" s="254"/>
      <c r="AA16" s="255"/>
      <c r="AB16" s="256"/>
      <c r="AC16" s="256"/>
      <c r="AD16" s="256"/>
      <c r="AE16" s="256"/>
      <c r="AF16" s="256"/>
      <c r="AG16" s="256"/>
      <c r="AH16" s="255"/>
      <c r="AI16" s="256"/>
      <c r="AJ16" s="256"/>
      <c r="AK16" s="256"/>
      <c r="AL16" s="256"/>
      <c r="AM16" s="256"/>
      <c r="AN16" s="256"/>
      <c r="AO16" s="255"/>
      <c r="AP16" s="256"/>
      <c r="AQ16" s="256"/>
      <c r="AR16" s="256"/>
      <c r="AS16" s="256"/>
      <c r="AT16" s="256"/>
      <c r="AU16" s="256"/>
      <c r="AV16" s="199"/>
      <c r="AW16" s="199"/>
      <c r="AX16" s="257"/>
      <c r="AY16" s="257"/>
      <c r="AZ16" s="257"/>
      <c r="BA16" s="254"/>
      <c r="BB16" s="254"/>
      <c r="BC16" s="254"/>
      <c r="BD16" s="254"/>
      <c r="BE16" s="254"/>
      <c r="BF16" s="254"/>
      <c r="BG16" s="254"/>
      <c r="BH16" s="254"/>
      <c r="BI16" s="254"/>
      <c r="BJ16" s="254"/>
      <c r="BK16" s="254"/>
      <c r="BL16" s="254"/>
      <c r="BM16" s="254"/>
      <c r="BN16" s="254"/>
      <c r="BO16" s="254"/>
      <c r="BP16" s="254"/>
      <c r="BQ16" s="254"/>
      <c r="BR16" s="255"/>
      <c r="BS16" s="258"/>
      <c r="BT16" s="259"/>
      <c r="BU16" s="199"/>
      <c r="BV16" s="257"/>
      <c r="BW16" s="257"/>
      <c r="BX16" s="259"/>
      <c r="BY16" s="199"/>
      <c r="BZ16" s="199"/>
      <c r="CA16" s="199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  <c r="CN16" s="146"/>
      <c r="CO16" s="146"/>
      <c r="CP16" s="146"/>
      <c r="CQ16" s="146"/>
      <c r="CR16" s="146"/>
      <c r="CS16" s="146"/>
      <c r="CT16" s="146"/>
      <c r="CU16" s="146"/>
      <c r="CV16" s="146"/>
      <c r="CW16" s="146"/>
      <c r="CX16" s="146"/>
      <c r="CY16" s="146"/>
      <c r="CZ16" s="146"/>
      <c r="DA16" s="146"/>
      <c r="DB16" s="146"/>
      <c r="DC16" s="146"/>
      <c r="DD16" s="146"/>
      <c r="DE16" s="146"/>
      <c r="DF16" s="146"/>
      <c r="DG16" s="146"/>
      <c r="DH16" s="146"/>
      <c r="DI16" s="146"/>
      <c r="DJ16" s="146"/>
      <c r="DK16" s="146"/>
      <c r="DL16" s="146"/>
      <c r="DM16" s="146"/>
      <c r="DN16" s="146"/>
      <c r="DO16" s="146"/>
      <c r="DP16" s="146"/>
      <c r="DQ16" s="146"/>
      <c r="DR16" s="146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6"/>
      <c r="EK16" s="139"/>
      <c r="EL16" s="202">
        <v>1</v>
      </c>
      <c r="EM16" s="128">
        <v>0.70088277078035699</v>
      </c>
      <c r="EP16" s="127">
        <f>COUNTA(DIV_UNDIV!A:A)</f>
        <v>10311</v>
      </c>
      <c r="EQ16" s="165" t="s">
        <v>4502</v>
      </c>
    </row>
    <row r="17" spans="1:149" x14ac:dyDescent="0.25">
      <c r="A17" s="251"/>
      <c r="B17" s="199"/>
      <c r="C17" s="252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253"/>
      <c r="T17" s="254"/>
      <c r="U17" s="254"/>
      <c r="V17" s="254"/>
      <c r="W17" s="254"/>
      <c r="X17" s="253"/>
      <c r="Y17" s="253"/>
      <c r="Z17" s="254"/>
      <c r="AA17" s="255"/>
      <c r="AB17" s="256"/>
      <c r="AC17" s="256"/>
      <c r="AD17" s="256"/>
      <c r="AE17" s="256"/>
      <c r="AF17" s="256"/>
      <c r="AG17" s="256"/>
      <c r="AH17" s="255"/>
      <c r="AI17" s="256"/>
      <c r="AJ17" s="256"/>
      <c r="AK17" s="256"/>
      <c r="AL17" s="256"/>
      <c r="AM17" s="256"/>
      <c r="AN17" s="256"/>
      <c r="AO17" s="255"/>
      <c r="AP17" s="256"/>
      <c r="AQ17" s="256"/>
      <c r="AR17" s="256"/>
      <c r="AS17" s="256"/>
      <c r="AT17" s="256"/>
      <c r="AU17" s="256"/>
      <c r="AV17" s="199"/>
      <c r="AW17" s="199"/>
      <c r="AX17" s="257"/>
      <c r="AY17" s="257"/>
      <c r="AZ17" s="257"/>
      <c r="BA17" s="254"/>
      <c r="BB17" s="254"/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5"/>
      <c r="BS17" s="258"/>
      <c r="BT17" s="259"/>
      <c r="BU17" s="199"/>
      <c r="BV17" s="257"/>
      <c r="BW17" s="257"/>
      <c r="BX17" s="259"/>
      <c r="BY17" s="199"/>
      <c r="BZ17" s="199"/>
      <c r="CA17" s="199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  <c r="CN17" s="146"/>
      <c r="CO17" s="146"/>
      <c r="CP17" s="146"/>
      <c r="CQ17" s="146"/>
      <c r="CR17" s="146"/>
      <c r="CS17" s="146"/>
      <c r="CT17" s="146"/>
      <c r="CU17" s="146"/>
      <c r="CV17" s="146"/>
      <c r="CW17" s="146"/>
      <c r="CX17" s="146"/>
      <c r="CY17" s="146"/>
      <c r="CZ17" s="146"/>
      <c r="DA17" s="146"/>
      <c r="DB17" s="146"/>
      <c r="DC17" s="146"/>
      <c r="DD17" s="146"/>
      <c r="DE17" s="146"/>
      <c r="DF17" s="146"/>
      <c r="DG17" s="146"/>
      <c r="DH17" s="146"/>
      <c r="DI17" s="146"/>
      <c r="DJ17" s="146"/>
      <c r="DK17" s="146"/>
      <c r="DL17" s="146"/>
      <c r="DM17" s="146"/>
      <c r="DN17" s="146"/>
      <c r="DO17" s="146"/>
      <c r="DP17" s="146"/>
      <c r="DQ17" s="146"/>
      <c r="DR17" s="146"/>
      <c r="DS17" s="146"/>
      <c r="DT17" s="146"/>
      <c r="DU17" s="146"/>
      <c r="DV17" s="146"/>
      <c r="DW17" s="146"/>
      <c r="DX17" s="146"/>
      <c r="DY17" s="146"/>
      <c r="DZ17" s="146"/>
      <c r="EA17" s="146"/>
      <c r="EB17" s="146"/>
      <c r="EC17" s="146"/>
      <c r="ED17" s="146"/>
      <c r="EE17" s="146"/>
      <c r="EF17" s="146"/>
      <c r="EG17" s="146"/>
      <c r="EH17" s="146"/>
      <c r="EK17" s="139"/>
      <c r="EL17" s="202">
        <v>2</v>
      </c>
      <c r="EM17" s="128">
        <v>0.68858681876925099</v>
      </c>
      <c r="EP17" s="127"/>
      <c r="EQ17" s="165"/>
    </row>
    <row r="18" spans="1:149" x14ac:dyDescent="0.25">
      <c r="A18" s="251"/>
      <c r="B18" s="199"/>
      <c r="C18" s="252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253"/>
      <c r="T18" s="254"/>
      <c r="U18" s="254"/>
      <c r="V18" s="254"/>
      <c r="W18" s="254"/>
      <c r="X18" s="253"/>
      <c r="Y18" s="253"/>
      <c r="Z18" s="254"/>
      <c r="AA18" s="255"/>
      <c r="AB18" s="256"/>
      <c r="AC18" s="256"/>
      <c r="AD18" s="256"/>
      <c r="AE18" s="256"/>
      <c r="AF18" s="256"/>
      <c r="AG18" s="256"/>
      <c r="AH18" s="255"/>
      <c r="AI18" s="256"/>
      <c r="AJ18" s="256"/>
      <c r="AK18" s="256"/>
      <c r="AL18" s="256"/>
      <c r="AM18" s="256"/>
      <c r="AN18" s="256"/>
      <c r="AO18" s="255"/>
      <c r="AP18" s="256"/>
      <c r="AQ18" s="256"/>
      <c r="AR18" s="256"/>
      <c r="AS18" s="256"/>
      <c r="AT18" s="256"/>
      <c r="AU18" s="256"/>
      <c r="AV18" s="199"/>
      <c r="AW18" s="199"/>
      <c r="AX18" s="257"/>
      <c r="AY18" s="257"/>
      <c r="AZ18" s="257"/>
      <c r="BA18" s="254"/>
      <c r="BB18" s="254"/>
      <c r="BC18" s="254"/>
      <c r="BD18" s="254"/>
      <c r="BE18" s="254"/>
      <c r="BF18" s="254"/>
      <c r="BG18" s="254"/>
      <c r="BH18" s="254"/>
      <c r="BI18" s="254"/>
      <c r="BJ18" s="254"/>
      <c r="BK18" s="254"/>
      <c r="BL18" s="254"/>
      <c r="BM18" s="254"/>
      <c r="BN18" s="254"/>
      <c r="BO18" s="254"/>
      <c r="BP18" s="254"/>
      <c r="BQ18" s="254"/>
      <c r="BR18" s="255"/>
      <c r="BS18" s="258"/>
      <c r="BT18" s="259"/>
      <c r="BU18" s="199"/>
      <c r="BV18" s="257"/>
      <c r="BW18" s="257"/>
      <c r="BX18" s="259"/>
      <c r="BY18" s="199"/>
      <c r="BZ18" s="199"/>
      <c r="CA18" s="199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  <c r="CN18" s="146"/>
      <c r="CO18" s="146"/>
      <c r="CP18" s="146"/>
      <c r="CQ18" s="146"/>
      <c r="CR18" s="146"/>
      <c r="CS18" s="146"/>
      <c r="CT18" s="146"/>
      <c r="CU18" s="146"/>
      <c r="CV18" s="146"/>
      <c r="CW18" s="146"/>
      <c r="CX18" s="146"/>
      <c r="CY18" s="146"/>
      <c r="CZ18" s="146"/>
      <c r="DA18" s="146"/>
      <c r="DB18" s="146"/>
      <c r="DC18" s="146"/>
      <c r="DD18" s="146"/>
      <c r="DE18" s="146"/>
      <c r="DF18" s="146"/>
      <c r="DG18" s="146"/>
      <c r="DH18" s="146"/>
      <c r="DI18" s="146"/>
      <c r="DJ18" s="146"/>
      <c r="DK18" s="146"/>
      <c r="DL18" s="146"/>
      <c r="DM18" s="146"/>
      <c r="DN18" s="146"/>
      <c r="DO18" s="146"/>
      <c r="DP18" s="146"/>
      <c r="DQ18" s="146"/>
      <c r="DR18" s="146"/>
      <c r="DS18" s="146"/>
      <c r="DT18" s="146"/>
      <c r="DU18" s="146"/>
      <c r="DV18" s="146"/>
      <c r="DW18" s="146"/>
      <c r="DX18" s="146"/>
      <c r="DY18" s="146"/>
      <c r="DZ18" s="146"/>
      <c r="EA18" s="146"/>
      <c r="EB18" s="146"/>
      <c r="EC18" s="146"/>
      <c r="ED18" s="146"/>
      <c r="EE18" s="146"/>
      <c r="EF18" s="146"/>
      <c r="EG18" s="146"/>
      <c r="EH18" s="146"/>
      <c r="EK18" s="139"/>
    </row>
    <row r="19" spans="1:149" ht="15.75" x14ac:dyDescent="0.25">
      <c r="A19" s="251"/>
      <c r="B19" s="199"/>
      <c r="C19" s="252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253"/>
      <c r="T19" s="254"/>
      <c r="U19" s="254"/>
      <c r="V19" s="254"/>
      <c r="W19" s="254"/>
      <c r="X19" s="253"/>
      <c r="Y19" s="253"/>
      <c r="Z19" s="254"/>
      <c r="AA19" s="255"/>
      <c r="AB19" s="256"/>
      <c r="AC19" s="256"/>
      <c r="AD19" s="256"/>
      <c r="AE19" s="256"/>
      <c r="AF19" s="256"/>
      <c r="AG19" s="256"/>
      <c r="AH19" s="255"/>
      <c r="AI19" s="256"/>
      <c r="AJ19" s="256"/>
      <c r="AK19" s="256"/>
      <c r="AL19" s="256"/>
      <c r="AM19" s="256"/>
      <c r="AN19" s="256"/>
      <c r="AO19" s="255"/>
      <c r="AP19" s="256"/>
      <c r="AQ19" s="256"/>
      <c r="AR19" s="256"/>
      <c r="AS19" s="256"/>
      <c r="AT19" s="256"/>
      <c r="AU19" s="256"/>
      <c r="AV19" s="199"/>
      <c r="AW19" s="199"/>
      <c r="AX19" s="257"/>
      <c r="AY19" s="257"/>
      <c r="AZ19" s="257"/>
      <c r="BA19" s="254"/>
      <c r="BB19" s="254"/>
      <c r="BC19" s="254"/>
      <c r="BD19" s="254"/>
      <c r="BE19" s="254"/>
      <c r="BF19" s="254"/>
      <c r="BG19" s="254"/>
      <c r="BH19" s="254"/>
      <c r="BI19" s="254"/>
      <c r="BJ19" s="254"/>
      <c r="BK19" s="254"/>
      <c r="BL19" s="254"/>
      <c r="BM19" s="254"/>
      <c r="BN19" s="254"/>
      <c r="BO19" s="254"/>
      <c r="BP19" s="254"/>
      <c r="BQ19" s="254"/>
      <c r="BR19" s="255"/>
      <c r="BS19" s="258"/>
      <c r="BT19" s="259"/>
      <c r="BU19" s="199"/>
      <c r="BV19" s="257"/>
      <c r="BW19" s="257"/>
      <c r="BX19" s="259"/>
      <c r="BY19" s="199"/>
      <c r="BZ19" s="199"/>
      <c r="CA19" s="199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  <c r="CN19" s="146"/>
      <c r="CO19" s="146"/>
      <c r="CP19" s="146"/>
      <c r="CQ19" s="146"/>
      <c r="CR19" s="146"/>
      <c r="CS19" s="146"/>
      <c r="CT19" s="146"/>
      <c r="CU19" s="146"/>
      <c r="CV19" s="146"/>
      <c r="CW19" s="146"/>
      <c r="CX19" s="146"/>
      <c r="CY19" s="146"/>
      <c r="CZ19" s="146"/>
      <c r="DA19" s="146"/>
      <c r="DB19" s="146"/>
      <c r="DC19" s="146"/>
      <c r="DD19" s="146"/>
      <c r="DE19" s="146"/>
      <c r="DF19" s="146"/>
      <c r="DG19" s="146"/>
      <c r="DH19" s="146"/>
      <c r="DI19" s="146"/>
      <c r="DJ19" s="146"/>
      <c r="DK19" s="146"/>
      <c r="DL19" s="146"/>
      <c r="DM19" s="146"/>
      <c r="DN19" s="146"/>
      <c r="DO19" s="146"/>
      <c r="DP19" s="146"/>
      <c r="DQ19" s="146"/>
      <c r="DR19" s="146"/>
      <c r="DS19" s="146"/>
      <c r="DT19" s="146"/>
      <c r="DU19" s="146"/>
      <c r="DV19" s="146"/>
      <c r="DW19" s="146"/>
      <c r="DX19" s="146"/>
      <c r="DY19" s="146"/>
      <c r="DZ19" s="146"/>
      <c r="EA19" s="146"/>
      <c r="EB19" s="146"/>
      <c r="EC19" s="146"/>
      <c r="ED19" s="146"/>
      <c r="EE19" s="146"/>
      <c r="EF19" s="146"/>
      <c r="EG19" s="146"/>
      <c r="EH19" s="146"/>
      <c r="EK19" s="139"/>
      <c r="EP19" s="129" t="s">
        <v>111</v>
      </c>
      <c r="EQ19" s="87">
        <f>COUNTA($CB:$CB)-COUNTA($CB$1:$CB$3)</f>
        <v>0</v>
      </c>
      <c r="ER19" s="167">
        <f>3+$EQ$19</f>
        <v>3</v>
      </c>
      <c r="ES19" s="200">
        <f>3+$EQ$19+7</f>
        <v>10</v>
      </c>
    </row>
    <row r="20" spans="1:149" ht="15.75" x14ac:dyDescent="0.25">
      <c r="A20" s="251"/>
      <c r="B20" s="199"/>
      <c r="C20" s="252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253"/>
      <c r="T20" s="254"/>
      <c r="U20" s="254"/>
      <c r="V20" s="254"/>
      <c r="W20" s="254"/>
      <c r="X20" s="253"/>
      <c r="Y20" s="253"/>
      <c r="Z20" s="254"/>
      <c r="AA20" s="255"/>
      <c r="AB20" s="256"/>
      <c r="AC20" s="256"/>
      <c r="AD20" s="256"/>
      <c r="AE20" s="256"/>
      <c r="AF20" s="256"/>
      <c r="AG20" s="256"/>
      <c r="AH20" s="255"/>
      <c r="AI20" s="256"/>
      <c r="AJ20" s="256"/>
      <c r="AK20" s="256"/>
      <c r="AL20" s="256"/>
      <c r="AM20" s="256"/>
      <c r="AN20" s="256"/>
      <c r="AO20" s="255"/>
      <c r="AP20" s="256"/>
      <c r="AQ20" s="256"/>
      <c r="AR20" s="256"/>
      <c r="AS20" s="256"/>
      <c r="AT20" s="256"/>
      <c r="AU20" s="256"/>
      <c r="AV20" s="199"/>
      <c r="AW20" s="199"/>
      <c r="AX20" s="257"/>
      <c r="AY20" s="257"/>
      <c r="AZ20" s="257"/>
      <c r="BA20" s="254"/>
      <c r="BB20" s="254"/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5"/>
      <c r="BS20" s="258"/>
      <c r="BT20" s="259"/>
      <c r="BU20" s="199"/>
      <c r="BV20" s="257"/>
      <c r="BW20" s="257"/>
      <c r="BX20" s="259"/>
      <c r="BY20" s="199"/>
      <c r="BZ20" s="199"/>
      <c r="CA20" s="199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  <c r="CN20" s="146"/>
      <c r="CO20" s="146"/>
      <c r="CP20" s="146"/>
      <c r="CQ20" s="146"/>
      <c r="CR20" s="146"/>
      <c r="CS20" s="146"/>
      <c r="CT20" s="146"/>
      <c r="CU20" s="146"/>
      <c r="CV20" s="146"/>
      <c r="CW20" s="146"/>
      <c r="CX20" s="146"/>
      <c r="CY20" s="146"/>
      <c r="CZ20" s="146"/>
      <c r="DA20" s="146"/>
      <c r="DB20" s="146"/>
      <c r="DC20" s="146"/>
      <c r="DD20" s="146"/>
      <c r="DE20" s="146"/>
      <c r="DF20" s="146"/>
      <c r="DG20" s="146"/>
      <c r="DH20" s="146"/>
      <c r="DI20" s="146"/>
      <c r="DJ20" s="146"/>
      <c r="DK20" s="146"/>
      <c r="DL20" s="146"/>
      <c r="DM20" s="146"/>
      <c r="DN20" s="146"/>
      <c r="DO20" s="146"/>
      <c r="DP20" s="146"/>
      <c r="DQ20" s="146"/>
      <c r="DR20" s="146"/>
      <c r="DS20" s="146"/>
      <c r="DT20" s="146"/>
      <c r="DU20" s="146"/>
      <c r="DV20" s="146"/>
      <c r="DW20" s="146"/>
      <c r="DX20" s="146"/>
      <c r="DY20" s="146"/>
      <c r="DZ20" s="146"/>
      <c r="EA20" s="146"/>
      <c r="EB20" s="146"/>
      <c r="EC20" s="146"/>
      <c r="ED20" s="146"/>
      <c r="EE20" s="146"/>
      <c r="EF20" s="146"/>
      <c r="EG20" s="146"/>
      <c r="EH20" s="146"/>
      <c r="EK20" s="139"/>
      <c r="EP20" s="104" t="s">
        <v>395</v>
      </c>
      <c r="EQ20" s="87">
        <f ca="1">SUM(INDIRECT($ER$20))</f>
        <v>0</v>
      </c>
      <c r="ER20" s="127" t="str">
        <f ca="1">MID(CELL("address",BW4),2,2)&amp;RIGHT(CELL("address",BW4),1)&amp;":"&amp;MID(CELL("address",BW4),2,2)&amp;$ER$19</f>
        <v>BW4:BW3</v>
      </c>
      <c r="ES20" s="165" t="s">
        <v>100</v>
      </c>
    </row>
    <row r="21" spans="1:149" ht="15.75" x14ac:dyDescent="0.25">
      <c r="A21" s="251"/>
      <c r="B21" s="199"/>
      <c r="C21" s="252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253"/>
      <c r="T21" s="254"/>
      <c r="U21" s="254"/>
      <c r="V21" s="254"/>
      <c r="W21" s="254"/>
      <c r="X21" s="253"/>
      <c r="Y21" s="253"/>
      <c r="Z21" s="254"/>
      <c r="AA21" s="255"/>
      <c r="AB21" s="256"/>
      <c r="AC21" s="256"/>
      <c r="AD21" s="256"/>
      <c r="AE21" s="256"/>
      <c r="AF21" s="256"/>
      <c r="AG21" s="256"/>
      <c r="AH21" s="255"/>
      <c r="AI21" s="256"/>
      <c r="AJ21" s="256"/>
      <c r="AK21" s="256"/>
      <c r="AL21" s="256"/>
      <c r="AM21" s="256"/>
      <c r="AN21" s="256"/>
      <c r="AO21" s="255"/>
      <c r="AP21" s="256"/>
      <c r="AQ21" s="256"/>
      <c r="AR21" s="256"/>
      <c r="AS21" s="256"/>
      <c r="AT21" s="256"/>
      <c r="AU21" s="256"/>
      <c r="AV21" s="199"/>
      <c r="AW21" s="199"/>
      <c r="AX21" s="257"/>
      <c r="AY21" s="257"/>
      <c r="AZ21" s="257"/>
      <c r="BA21" s="254"/>
      <c r="BB21" s="254"/>
      <c r="BC21" s="254"/>
      <c r="BD21" s="254"/>
      <c r="BE21" s="254"/>
      <c r="BF21" s="254"/>
      <c r="BG21" s="254"/>
      <c r="BH21" s="254"/>
      <c r="BI21" s="254"/>
      <c r="BJ21" s="254"/>
      <c r="BK21" s="254"/>
      <c r="BL21" s="254"/>
      <c r="BM21" s="254"/>
      <c r="BN21" s="254"/>
      <c r="BO21" s="254"/>
      <c r="BP21" s="254"/>
      <c r="BQ21" s="254"/>
      <c r="BR21" s="255"/>
      <c r="BS21" s="258"/>
      <c r="BT21" s="259"/>
      <c r="BU21" s="199"/>
      <c r="BV21" s="257"/>
      <c r="BW21" s="257"/>
      <c r="BX21" s="259"/>
      <c r="BY21" s="199"/>
      <c r="BZ21" s="199"/>
      <c r="CA21" s="199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  <c r="CN21" s="146"/>
      <c r="CO21" s="146"/>
      <c r="CP21" s="146"/>
      <c r="CQ21" s="146"/>
      <c r="CR21" s="146"/>
      <c r="CS21" s="146"/>
      <c r="CT21" s="146"/>
      <c r="CU21" s="146"/>
      <c r="CV21" s="146"/>
      <c r="CW21" s="146"/>
      <c r="CX21" s="146"/>
      <c r="CY21" s="146"/>
      <c r="CZ21" s="146"/>
      <c r="DA21" s="146"/>
      <c r="DB21" s="146"/>
      <c r="DC21" s="146"/>
      <c r="DD21" s="146"/>
      <c r="DE21" s="146"/>
      <c r="DF21" s="146"/>
      <c r="DG21" s="146"/>
      <c r="DH21" s="146"/>
      <c r="DI21" s="146"/>
      <c r="DJ21" s="146"/>
      <c r="DK21" s="146"/>
      <c r="DL21" s="146"/>
      <c r="DM21" s="146"/>
      <c r="DN21" s="146"/>
      <c r="DO21" s="146"/>
      <c r="DP21" s="146"/>
      <c r="DQ21" s="146"/>
      <c r="DR21" s="146"/>
      <c r="DS21" s="146"/>
      <c r="DT21" s="146"/>
      <c r="DU21" s="146"/>
      <c r="DV21" s="146"/>
      <c r="DW21" s="146"/>
      <c r="DX21" s="146"/>
      <c r="DY21" s="146"/>
      <c r="DZ21" s="146"/>
      <c r="EA21" s="146"/>
      <c r="EB21" s="146"/>
      <c r="EC21" s="146"/>
      <c r="ED21" s="146"/>
      <c r="EE21" s="146"/>
      <c r="EF21" s="146"/>
      <c r="EG21" s="146"/>
      <c r="EH21" s="146"/>
      <c r="EK21" s="139"/>
      <c r="EP21" s="104" t="s">
        <v>396</v>
      </c>
      <c r="EQ21" s="164">
        <v>222227318</v>
      </c>
    </row>
    <row r="22" spans="1:149" ht="15.75" x14ac:dyDescent="0.25">
      <c r="A22" s="251"/>
      <c r="B22" s="199"/>
      <c r="C22" s="252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253"/>
      <c r="T22" s="254"/>
      <c r="U22" s="254"/>
      <c r="V22" s="254"/>
      <c r="W22" s="254"/>
      <c r="X22" s="253"/>
      <c r="Y22" s="253"/>
      <c r="Z22" s="254"/>
      <c r="AA22" s="255"/>
      <c r="AB22" s="256"/>
      <c r="AC22" s="256"/>
      <c r="AD22" s="256"/>
      <c r="AE22" s="256"/>
      <c r="AF22" s="256"/>
      <c r="AG22" s="256"/>
      <c r="AH22" s="255"/>
      <c r="AI22" s="256"/>
      <c r="AJ22" s="256"/>
      <c r="AK22" s="256"/>
      <c r="AL22" s="256"/>
      <c r="AM22" s="256"/>
      <c r="AN22" s="256"/>
      <c r="AO22" s="255"/>
      <c r="AP22" s="256"/>
      <c r="AQ22" s="256"/>
      <c r="AR22" s="256"/>
      <c r="AS22" s="256"/>
      <c r="AT22" s="256"/>
      <c r="AU22" s="256"/>
      <c r="AV22" s="199"/>
      <c r="AW22" s="199"/>
      <c r="AX22" s="257"/>
      <c r="AY22" s="257"/>
      <c r="AZ22" s="257"/>
      <c r="BA22" s="254"/>
      <c r="BB22" s="254"/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5"/>
      <c r="BS22" s="258"/>
      <c r="BT22" s="259"/>
      <c r="BU22" s="199"/>
      <c r="BV22" s="257"/>
      <c r="BW22" s="257"/>
      <c r="BX22" s="259"/>
      <c r="BY22" s="199"/>
      <c r="BZ22" s="199"/>
      <c r="CA22" s="199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  <c r="CN22" s="146"/>
      <c r="CO22" s="146"/>
      <c r="CP22" s="146"/>
      <c r="CQ22" s="146"/>
      <c r="CR22" s="146"/>
      <c r="CS22" s="146"/>
      <c r="CT22" s="146"/>
      <c r="CU22" s="146"/>
      <c r="CV22" s="146"/>
      <c r="CW22" s="146"/>
      <c r="CX22" s="146"/>
      <c r="CY22" s="146"/>
      <c r="CZ22" s="146"/>
      <c r="DA22" s="146"/>
      <c r="DB22" s="146"/>
      <c r="DC22" s="146"/>
      <c r="DD22" s="146"/>
      <c r="DE22" s="146"/>
      <c r="DF22" s="146"/>
      <c r="DG22" s="146"/>
      <c r="DH22" s="146"/>
      <c r="DI22" s="146"/>
      <c r="DJ22" s="146"/>
      <c r="DK22" s="146"/>
      <c r="DL22" s="146"/>
      <c r="DM22" s="146"/>
      <c r="DN22" s="146"/>
      <c r="DO22" s="146"/>
      <c r="DP22" s="146"/>
      <c r="DQ22" s="146"/>
      <c r="DR22" s="146"/>
      <c r="DS22" s="146"/>
      <c r="DT22" s="146"/>
      <c r="DU22" s="146"/>
      <c r="DV22" s="146"/>
      <c r="DW22" s="146"/>
      <c r="DX22" s="146"/>
      <c r="DY22" s="146"/>
      <c r="DZ22" s="146"/>
      <c r="EA22" s="146"/>
      <c r="EB22" s="146"/>
      <c r="EC22" s="146"/>
      <c r="ED22" s="146"/>
      <c r="EE22" s="146"/>
      <c r="EF22" s="146"/>
      <c r="EG22" s="146"/>
      <c r="EH22" s="146"/>
      <c r="EK22" s="139"/>
      <c r="EP22" s="104" t="s">
        <v>113</v>
      </c>
      <c r="EQ22" s="88">
        <f ca="1">EQ21-EQ20</f>
        <v>222227318</v>
      </c>
    </row>
    <row r="23" spans="1:149" x14ac:dyDescent="0.25">
      <c r="A23" s="251"/>
      <c r="B23" s="199"/>
      <c r="C23" s="252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253"/>
      <c r="T23" s="254"/>
      <c r="U23" s="254"/>
      <c r="V23" s="254"/>
      <c r="W23" s="254"/>
      <c r="X23" s="253"/>
      <c r="Y23" s="253"/>
      <c r="Z23" s="254"/>
      <c r="AA23" s="255"/>
      <c r="AB23" s="256"/>
      <c r="AC23" s="256"/>
      <c r="AD23" s="256"/>
      <c r="AE23" s="256"/>
      <c r="AF23" s="256"/>
      <c r="AG23" s="256"/>
      <c r="AH23" s="255"/>
      <c r="AI23" s="256"/>
      <c r="AJ23" s="256"/>
      <c r="AK23" s="256"/>
      <c r="AL23" s="256"/>
      <c r="AM23" s="256"/>
      <c r="AN23" s="256"/>
      <c r="AO23" s="255"/>
      <c r="AP23" s="256"/>
      <c r="AQ23" s="256"/>
      <c r="AR23" s="256"/>
      <c r="AS23" s="256"/>
      <c r="AT23" s="256"/>
      <c r="AU23" s="256"/>
      <c r="AV23" s="199"/>
      <c r="AW23" s="199"/>
      <c r="AX23" s="257"/>
      <c r="AY23" s="257"/>
      <c r="AZ23" s="257"/>
      <c r="BA23" s="254"/>
      <c r="BB23" s="254"/>
      <c r="BC23" s="254"/>
      <c r="BD23" s="254"/>
      <c r="BE23" s="254"/>
      <c r="BF23" s="254"/>
      <c r="BG23" s="254"/>
      <c r="BH23" s="254"/>
      <c r="BI23" s="254"/>
      <c r="BJ23" s="254"/>
      <c r="BK23" s="254"/>
      <c r="BL23" s="254"/>
      <c r="BM23" s="254"/>
      <c r="BN23" s="254"/>
      <c r="BO23" s="254"/>
      <c r="BP23" s="254"/>
      <c r="BQ23" s="254"/>
      <c r="BR23" s="255"/>
      <c r="BS23" s="258"/>
      <c r="BT23" s="259"/>
      <c r="BU23" s="199"/>
      <c r="BV23" s="257"/>
      <c r="BW23" s="257"/>
      <c r="BX23" s="259"/>
      <c r="BY23" s="199"/>
      <c r="BZ23" s="199"/>
      <c r="CA23" s="199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  <c r="CN23" s="146"/>
      <c r="CO23" s="146"/>
      <c r="CP23" s="146"/>
      <c r="CQ23" s="146"/>
      <c r="CR23" s="146"/>
      <c r="CS23" s="146"/>
      <c r="CT23" s="146"/>
      <c r="CU23" s="146"/>
      <c r="CV23" s="146"/>
      <c r="CW23" s="146"/>
      <c r="CX23" s="146"/>
      <c r="CY23" s="146"/>
      <c r="CZ23" s="146"/>
      <c r="DA23" s="146"/>
      <c r="DB23" s="146"/>
      <c r="DC23" s="146"/>
      <c r="DD23" s="146"/>
      <c r="DE23" s="146"/>
      <c r="DF23" s="146"/>
      <c r="DG23" s="146"/>
      <c r="DH23" s="146"/>
      <c r="DI23" s="146"/>
      <c r="DJ23" s="146"/>
      <c r="DK23" s="146"/>
      <c r="DL23" s="146"/>
      <c r="DM23" s="146"/>
      <c r="DN23" s="146"/>
      <c r="DO23" s="146"/>
      <c r="DP23" s="146"/>
      <c r="DQ23" s="146"/>
      <c r="DR23" s="146"/>
      <c r="DS23" s="146"/>
      <c r="DT23" s="146"/>
      <c r="DU23" s="146"/>
      <c r="DV23" s="146"/>
      <c r="DW23" s="146"/>
      <c r="DX23" s="146"/>
      <c r="DY23" s="146"/>
      <c r="DZ23" s="146"/>
      <c r="EA23" s="146"/>
      <c r="EB23" s="146"/>
      <c r="EC23" s="146"/>
      <c r="ED23" s="146"/>
      <c r="EE23" s="146"/>
      <c r="EF23" s="146"/>
      <c r="EG23" s="146"/>
      <c r="EH23" s="146"/>
      <c r="EK23" s="139"/>
      <c r="EP23" s="3" t="s">
        <v>114</v>
      </c>
    </row>
  </sheetData>
  <autoFilter ref="A3:EH23"/>
  <mergeCells count="1">
    <mergeCell ref="A1:G1"/>
  </mergeCells>
  <conditionalFormatting sqref="A4:CA4">
    <cfRule type="expression" dxfId="5" priority="7">
      <formula>$BG4="A"</formula>
    </cfRule>
    <cfRule type="expression" dxfId="4" priority="8">
      <formula>$BG4="B"</formula>
    </cfRule>
    <cfRule type="expression" dxfId="3" priority="9">
      <formula>$BG4="C"</formula>
    </cfRule>
    <cfRule type="expression" dxfId="2" priority="10">
      <formula>$BG4="D"</formula>
    </cfRule>
    <cfRule type="expression" dxfId="1" priority="11">
      <formula>$BG4="E"</formula>
    </cfRule>
    <cfRule type="expression" dxfId="0" priority="12">
      <formula>$BG4="F"</formula>
    </cfRule>
  </conditionalFormatting>
  <pageMargins left="0.7" right="0.7" top="0.75" bottom="0.75" header="0.3" footer="0.3"/>
  <pageSetup paperSize="17" scale="10" fitToHeight="100" orientation="landscape" horizontalDpi="1200" verticalDpi="1200" r:id="rId1"/>
  <colBreaks count="1" manualBreakCount="1">
    <brk id="23" max="16383" man="1"/>
  </colBreaks>
  <ignoredErrors>
    <ignoredError sqref="M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T107"/>
  <sheetViews>
    <sheetView zoomScaleNormal="100" workbookViewId="0"/>
  </sheetViews>
  <sheetFormatPr defaultRowHeight="15" x14ac:dyDescent="0.25"/>
  <cols>
    <col min="1" max="1" width="9.140625" style="100" customWidth="1"/>
    <col min="2" max="2" width="47.42578125" style="100" bestFit="1" customWidth="1"/>
    <col min="3" max="3" width="39.85546875" style="100" customWidth="1"/>
    <col min="4" max="4" width="15.85546875" style="100" bestFit="1" customWidth="1"/>
    <col min="5" max="5" width="20" style="100" customWidth="1"/>
    <col min="6" max="6" width="44.28515625" style="100" bestFit="1" customWidth="1"/>
    <col min="7" max="7" width="28" style="100" bestFit="1" customWidth="1"/>
    <col min="8" max="9" width="9.140625" style="100" customWidth="1"/>
    <col min="10" max="10" width="11.7109375" style="100" bestFit="1" customWidth="1"/>
    <col min="11" max="12" width="9.140625" style="100" customWidth="1"/>
    <col min="13" max="13" width="14.42578125" style="100" customWidth="1"/>
    <col min="14" max="14" width="9.140625" style="100" customWidth="1"/>
    <col min="15" max="16384" width="9.140625" style="100"/>
  </cols>
  <sheetData>
    <row r="1" spans="1:20" x14ac:dyDescent="0.25">
      <c r="A1" s="100" t="s">
        <v>120</v>
      </c>
      <c r="L1" s="99" t="s">
        <v>7</v>
      </c>
      <c r="M1" s="62"/>
      <c r="N1" s="63"/>
    </row>
    <row r="2" spans="1:20" x14ac:dyDescent="0.25">
      <c r="A2" s="100">
        <v>1</v>
      </c>
      <c r="B2" s="100" t="s">
        <v>121</v>
      </c>
      <c r="L2" s="101"/>
      <c r="M2" s="102" t="s">
        <v>10</v>
      </c>
      <c r="N2" s="12" t="s">
        <v>11</v>
      </c>
      <c r="O2" s="103">
        <f>O6*5</f>
        <v>50</v>
      </c>
    </row>
    <row r="3" spans="1:20" x14ac:dyDescent="0.25">
      <c r="A3" s="104" t="s">
        <v>122</v>
      </c>
      <c r="B3" s="100" t="s">
        <v>123</v>
      </c>
      <c r="L3" s="105"/>
      <c r="M3" s="106" t="s">
        <v>12</v>
      </c>
      <c r="N3" s="11" t="s">
        <v>13</v>
      </c>
      <c r="O3" s="103">
        <f>O6*4</f>
        <v>40</v>
      </c>
    </row>
    <row r="4" spans="1:20" x14ac:dyDescent="0.25">
      <c r="A4" s="104" t="s">
        <v>124</v>
      </c>
      <c r="B4" s="100" t="s">
        <v>125</v>
      </c>
      <c r="L4" s="101"/>
      <c r="M4" s="102" t="s">
        <v>14</v>
      </c>
      <c r="N4" s="12" t="s">
        <v>15</v>
      </c>
      <c r="O4" s="103">
        <f>O6*3</f>
        <v>30</v>
      </c>
    </row>
    <row r="5" spans="1:20" x14ac:dyDescent="0.25">
      <c r="A5" s="100">
        <v>3</v>
      </c>
      <c r="B5" s="100" t="s">
        <v>126</v>
      </c>
      <c r="L5" s="105"/>
      <c r="M5" s="106" t="s">
        <v>16</v>
      </c>
      <c r="N5" s="11" t="s">
        <v>17</v>
      </c>
      <c r="O5" s="103">
        <f>O6*2</f>
        <v>20</v>
      </c>
    </row>
    <row r="6" spans="1:20" x14ac:dyDescent="0.25">
      <c r="A6" s="100">
        <v>4</v>
      </c>
      <c r="B6" s="100" t="s">
        <v>127</v>
      </c>
      <c r="L6" s="101"/>
      <c r="M6" s="102" t="s">
        <v>128</v>
      </c>
      <c r="N6" s="12" t="s">
        <v>19</v>
      </c>
      <c r="O6" s="103">
        <f>50/5</f>
        <v>10</v>
      </c>
    </row>
    <row r="7" spans="1:20" x14ac:dyDescent="0.25">
      <c r="A7" s="100">
        <v>5</v>
      </c>
      <c r="B7" s="100" t="s">
        <v>129</v>
      </c>
      <c r="L7" s="107"/>
      <c r="M7" s="108" t="s">
        <v>20</v>
      </c>
      <c r="N7" s="46" t="s">
        <v>21</v>
      </c>
      <c r="O7" s="103">
        <v>0</v>
      </c>
    </row>
    <row r="8" spans="1:20" x14ac:dyDescent="0.25">
      <c r="A8" s="100">
        <v>6</v>
      </c>
      <c r="B8" s="100" t="s">
        <v>130</v>
      </c>
      <c r="T8" s="103"/>
    </row>
    <row r="9" spans="1:20" x14ac:dyDescent="0.25">
      <c r="A9" s="100">
        <v>7</v>
      </c>
      <c r="B9" s="100" t="s">
        <v>131</v>
      </c>
      <c r="H9" s="4"/>
      <c r="T9" s="103"/>
    </row>
    <row r="10" spans="1:20" x14ac:dyDescent="0.25">
      <c r="A10" s="100">
        <v>8</v>
      </c>
      <c r="B10" s="100" t="s">
        <v>132</v>
      </c>
      <c r="H10" s="4"/>
      <c r="T10" s="103"/>
    </row>
    <row r="11" spans="1:20" x14ac:dyDescent="0.25">
      <c r="A11" s="100">
        <v>9</v>
      </c>
      <c r="B11" s="100" t="s">
        <v>133</v>
      </c>
    </row>
    <row r="12" spans="1:20" x14ac:dyDescent="0.25">
      <c r="A12" s="100">
        <v>10</v>
      </c>
      <c r="B12" s="109" t="s">
        <v>134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</row>
    <row r="13" spans="1:20" x14ac:dyDescent="0.25">
      <c r="A13" s="100">
        <v>11</v>
      </c>
      <c r="B13" s="100" t="s">
        <v>135</v>
      </c>
    </row>
    <row r="14" spans="1:20" x14ac:dyDescent="0.25">
      <c r="A14" s="100">
        <v>12</v>
      </c>
      <c r="B14" s="100" t="s">
        <v>136</v>
      </c>
    </row>
    <row r="15" spans="1:20" x14ac:dyDescent="0.25">
      <c r="A15" s="100">
        <v>13</v>
      </c>
      <c r="B15" s="100" t="s">
        <v>137</v>
      </c>
    </row>
    <row r="16" spans="1:20" x14ac:dyDescent="0.25">
      <c r="A16" s="100">
        <v>14</v>
      </c>
      <c r="B16" s="100" t="s">
        <v>138</v>
      </c>
    </row>
    <row r="17" spans="1:20" x14ac:dyDescent="0.25">
      <c r="A17" s="100">
        <v>15</v>
      </c>
      <c r="B17" s="100" t="s">
        <v>139</v>
      </c>
    </row>
    <row r="19" spans="1:20" x14ac:dyDescent="0.25">
      <c r="B19" s="119" t="s">
        <v>140</v>
      </c>
      <c r="C19" s="120" t="s">
        <v>141</v>
      </c>
      <c r="D19" s="111" t="s">
        <v>142</v>
      </c>
      <c r="E19" s="111" t="s">
        <v>142</v>
      </c>
      <c r="F19" s="121" t="s">
        <v>143</v>
      </c>
      <c r="G19" s="111" t="s">
        <v>144</v>
      </c>
      <c r="H19" s="111" t="s">
        <v>144</v>
      </c>
      <c r="I19" s="121" t="s">
        <v>145</v>
      </c>
      <c r="J19" s="111" t="s">
        <v>146</v>
      </c>
      <c r="K19" s="111" t="s">
        <v>146</v>
      </c>
      <c r="L19" s="111" t="s">
        <v>147</v>
      </c>
      <c r="M19" s="111" t="s">
        <v>148</v>
      </c>
      <c r="N19" s="111" t="s">
        <v>148</v>
      </c>
      <c r="O19" s="121" t="s">
        <v>149</v>
      </c>
      <c r="P19" s="111" t="s">
        <v>150</v>
      </c>
      <c r="Q19" s="111" t="s">
        <v>150</v>
      </c>
      <c r="R19" s="121" t="s">
        <v>151</v>
      </c>
      <c r="S19" s="111" t="s">
        <v>152</v>
      </c>
      <c r="T19" s="111" t="s">
        <v>152</v>
      </c>
    </row>
    <row r="20" spans="1:20" x14ac:dyDescent="0.25">
      <c r="B20" s="122" t="s">
        <v>153</v>
      </c>
      <c r="C20" s="123">
        <v>0</v>
      </c>
      <c r="D20" s="124">
        <v>20</v>
      </c>
      <c r="E20" s="124">
        <v>50</v>
      </c>
      <c r="F20" s="124">
        <v>0</v>
      </c>
      <c r="G20" s="124">
        <v>20</v>
      </c>
      <c r="H20" s="124">
        <v>50</v>
      </c>
      <c r="I20" s="124">
        <v>0</v>
      </c>
      <c r="J20" s="124">
        <v>20</v>
      </c>
      <c r="K20" s="124">
        <v>50</v>
      </c>
      <c r="L20" s="124">
        <v>0</v>
      </c>
      <c r="M20" s="124">
        <v>20</v>
      </c>
      <c r="N20" s="124">
        <v>50</v>
      </c>
      <c r="O20" s="153">
        <v>0</v>
      </c>
      <c r="P20" s="153">
        <v>20</v>
      </c>
      <c r="Q20" s="124">
        <v>50</v>
      </c>
      <c r="R20" s="153">
        <v>0</v>
      </c>
      <c r="S20" s="153">
        <v>20</v>
      </c>
      <c r="T20" s="124">
        <v>50</v>
      </c>
    </row>
    <row r="21" spans="1:20" x14ac:dyDescent="0.25">
      <c r="B21" s="111">
        <v>1</v>
      </c>
      <c r="C21" s="125">
        <v>170</v>
      </c>
      <c r="D21" s="112">
        <v>107.5</v>
      </c>
      <c r="E21" s="112">
        <v>45</v>
      </c>
      <c r="F21" s="126">
        <v>35</v>
      </c>
      <c r="G21" s="112">
        <v>40</v>
      </c>
      <c r="H21" s="112">
        <v>55</v>
      </c>
      <c r="I21" s="126">
        <v>75</v>
      </c>
      <c r="J21" s="112">
        <v>87.5</v>
      </c>
      <c r="K21" s="112">
        <v>100</v>
      </c>
      <c r="L21" s="113">
        <v>0.3</v>
      </c>
      <c r="M21" s="113">
        <v>0.185</v>
      </c>
      <c r="N21" s="113">
        <v>7.0000000000000007E-2</v>
      </c>
      <c r="O21" s="155">
        <v>50</v>
      </c>
      <c r="P21" s="154">
        <v>82</v>
      </c>
      <c r="Q21" s="152">
        <v>100</v>
      </c>
      <c r="R21" s="156">
        <v>65</v>
      </c>
      <c r="S21" s="154">
        <v>88</v>
      </c>
      <c r="T21" s="152">
        <v>100</v>
      </c>
    </row>
    <row r="22" spans="1:20" x14ac:dyDescent="0.25">
      <c r="B22" s="111">
        <v>2</v>
      </c>
      <c r="C22" s="125">
        <v>180</v>
      </c>
      <c r="D22" s="112">
        <v>115</v>
      </c>
      <c r="E22" s="112">
        <v>50</v>
      </c>
      <c r="F22" s="126">
        <v>30</v>
      </c>
      <c r="G22" s="112">
        <v>35</v>
      </c>
      <c r="H22" s="112">
        <v>50</v>
      </c>
      <c r="I22" s="126">
        <v>55</v>
      </c>
      <c r="J22" s="112">
        <v>77.5</v>
      </c>
      <c r="K22" s="112">
        <v>100</v>
      </c>
      <c r="L22" s="113">
        <v>0.35</v>
      </c>
      <c r="M22" s="113">
        <v>0.21</v>
      </c>
      <c r="N22" s="113">
        <v>7.0000000000000007E-2</v>
      </c>
      <c r="O22" s="155">
        <v>40</v>
      </c>
      <c r="P22" s="154">
        <v>79</v>
      </c>
      <c r="Q22" s="152">
        <v>100</v>
      </c>
      <c r="R22" s="156">
        <v>50</v>
      </c>
      <c r="S22" s="154">
        <v>82</v>
      </c>
      <c r="T22" s="152">
        <v>100</v>
      </c>
    </row>
    <row r="23" spans="1:20" x14ac:dyDescent="0.25">
      <c r="B23" s="111">
        <v>6</v>
      </c>
      <c r="C23" s="125">
        <v>250</v>
      </c>
      <c r="D23" s="112">
        <v>152.5</v>
      </c>
      <c r="E23" s="112">
        <v>55</v>
      </c>
      <c r="F23" s="126">
        <v>30</v>
      </c>
      <c r="G23" s="112">
        <v>35</v>
      </c>
      <c r="H23" s="112">
        <v>50</v>
      </c>
      <c r="I23" s="126">
        <v>50</v>
      </c>
      <c r="J23" s="112">
        <v>75</v>
      </c>
      <c r="K23" s="112">
        <v>100</v>
      </c>
      <c r="L23" s="113">
        <v>0.4</v>
      </c>
      <c r="M23" s="113">
        <v>0.23499999999999999</v>
      </c>
      <c r="N23" s="113">
        <v>7.0000000000000007E-2</v>
      </c>
      <c r="O23" s="155">
        <v>30</v>
      </c>
      <c r="P23" s="154">
        <v>75</v>
      </c>
      <c r="Q23" s="152">
        <v>100</v>
      </c>
      <c r="R23" s="156">
        <v>45</v>
      </c>
      <c r="S23" s="154">
        <v>80</v>
      </c>
      <c r="T23" s="152">
        <v>100</v>
      </c>
    </row>
    <row r="24" spans="1:20" x14ac:dyDescent="0.25">
      <c r="B24" s="111">
        <v>7</v>
      </c>
      <c r="C24" s="125">
        <v>265</v>
      </c>
      <c r="D24" s="113">
        <v>162.5</v>
      </c>
      <c r="E24" s="112">
        <v>60</v>
      </c>
      <c r="F24" s="126">
        <v>30</v>
      </c>
      <c r="G24" s="112">
        <v>35</v>
      </c>
      <c r="H24" s="112">
        <v>50</v>
      </c>
      <c r="I24" s="126">
        <v>45</v>
      </c>
      <c r="J24" s="112">
        <v>72.5</v>
      </c>
      <c r="K24" s="112">
        <v>100</v>
      </c>
      <c r="L24" s="113">
        <v>0.45</v>
      </c>
      <c r="M24" s="113">
        <v>0.26</v>
      </c>
      <c r="N24" s="113">
        <v>7.0000000000000007E-2</v>
      </c>
      <c r="O24" s="155">
        <v>20</v>
      </c>
      <c r="P24" s="154">
        <v>71</v>
      </c>
      <c r="Q24" s="152">
        <v>100</v>
      </c>
      <c r="R24" s="156">
        <v>40</v>
      </c>
      <c r="S24" s="154">
        <v>79</v>
      </c>
      <c r="T24" s="152">
        <v>100</v>
      </c>
    </row>
    <row r="25" spans="1:20" x14ac:dyDescent="0.25">
      <c r="B25" s="111">
        <v>8</v>
      </c>
      <c r="C25" s="125">
        <v>280</v>
      </c>
      <c r="D25" s="112">
        <v>175</v>
      </c>
      <c r="E25" s="112">
        <v>70</v>
      </c>
      <c r="F25" s="126">
        <v>30</v>
      </c>
      <c r="G25" s="112">
        <v>35</v>
      </c>
      <c r="H25" s="112">
        <v>50</v>
      </c>
      <c r="I25" s="126">
        <v>45</v>
      </c>
      <c r="J25" s="112">
        <v>72.5</v>
      </c>
      <c r="K25" s="112">
        <v>100</v>
      </c>
      <c r="L25" s="113">
        <v>0.5</v>
      </c>
      <c r="M25" s="113">
        <v>0.28499999999999998</v>
      </c>
      <c r="N25" s="113">
        <v>7.0000000000000007E-2</v>
      </c>
      <c r="O25" s="155">
        <v>20</v>
      </c>
      <c r="P25" s="154">
        <v>71</v>
      </c>
      <c r="Q25" s="152">
        <v>100</v>
      </c>
      <c r="R25" s="156">
        <v>35</v>
      </c>
      <c r="S25" s="154">
        <v>77</v>
      </c>
      <c r="T25" s="152">
        <v>100</v>
      </c>
    </row>
    <row r="26" spans="1:20" x14ac:dyDescent="0.25">
      <c r="B26" s="111">
        <v>9</v>
      </c>
      <c r="C26" s="125">
        <v>325</v>
      </c>
      <c r="D26" s="112">
        <v>197.5</v>
      </c>
      <c r="E26" s="112">
        <v>70</v>
      </c>
      <c r="F26" s="126">
        <v>30</v>
      </c>
      <c r="G26" s="112">
        <v>33</v>
      </c>
      <c r="H26" s="112">
        <v>45</v>
      </c>
      <c r="I26" s="126">
        <v>40</v>
      </c>
      <c r="J26" s="112">
        <v>70</v>
      </c>
      <c r="K26" s="112">
        <v>100</v>
      </c>
      <c r="L26" s="113">
        <v>0.5</v>
      </c>
      <c r="M26" s="113">
        <v>0.28499999999999998</v>
      </c>
      <c r="N26" s="113">
        <v>7.0000000000000007E-2</v>
      </c>
      <c r="O26" s="155">
        <v>10</v>
      </c>
      <c r="P26" s="154">
        <v>68</v>
      </c>
      <c r="Q26" s="152">
        <v>100</v>
      </c>
      <c r="R26" s="156">
        <v>35</v>
      </c>
      <c r="S26" s="154">
        <v>77</v>
      </c>
      <c r="T26" s="152">
        <v>100</v>
      </c>
    </row>
    <row r="27" spans="1:20" x14ac:dyDescent="0.25">
      <c r="B27" s="111">
        <v>11</v>
      </c>
      <c r="C27" s="125">
        <v>170</v>
      </c>
      <c r="D27" s="112">
        <v>107.5</v>
      </c>
      <c r="E27" s="112">
        <v>45</v>
      </c>
      <c r="F27" s="126">
        <v>35</v>
      </c>
      <c r="G27" s="112">
        <v>40</v>
      </c>
      <c r="H27" s="112">
        <v>55</v>
      </c>
      <c r="I27" s="126">
        <v>75</v>
      </c>
      <c r="J27" s="112">
        <v>87.5</v>
      </c>
      <c r="K27" s="112">
        <v>100</v>
      </c>
      <c r="L27" s="113">
        <v>0.3</v>
      </c>
      <c r="M27" s="113">
        <v>0.185</v>
      </c>
      <c r="N27" s="113">
        <v>7.0000000000000007E-2</v>
      </c>
      <c r="O27" s="155">
        <v>50</v>
      </c>
      <c r="P27" s="154">
        <v>82</v>
      </c>
      <c r="Q27" s="152">
        <v>100</v>
      </c>
      <c r="R27" s="156">
        <v>65</v>
      </c>
      <c r="S27" s="154">
        <v>88</v>
      </c>
      <c r="T27" s="152">
        <v>100</v>
      </c>
    </row>
    <row r="28" spans="1:20" x14ac:dyDescent="0.25">
      <c r="B28" s="111">
        <v>12</v>
      </c>
      <c r="C28" s="125">
        <v>180</v>
      </c>
      <c r="D28" s="112">
        <v>115</v>
      </c>
      <c r="E28" s="112">
        <v>50</v>
      </c>
      <c r="F28" s="126">
        <v>35</v>
      </c>
      <c r="G28" s="112">
        <v>40</v>
      </c>
      <c r="H28" s="112">
        <v>50</v>
      </c>
      <c r="I28" s="126">
        <v>55</v>
      </c>
      <c r="J28" s="112">
        <v>77.5</v>
      </c>
      <c r="K28" s="112">
        <v>100</v>
      </c>
      <c r="L28" s="113">
        <v>0.35</v>
      </c>
      <c r="M28" s="113">
        <v>0.21</v>
      </c>
      <c r="N28" s="113">
        <v>7.0000000000000007E-2</v>
      </c>
      <c r="O28" s="155">
        <v>40</v>
      </c>
      <c r="P28" s="154">
        <v>79</v>
      </c>
      <c r="Q28" s="152">
        <v>100</v>
      </c>
      <c r="R28" s="156">
        <v>50</v>
      </c>
      <c r="S28" s="154">
        <v>82</v>
      </c>
      <c r="T28" s="152">
        <v>100</v>
      </c>
    </row>
    <row r="29" spans="1:20" x14ac:dyDescent="0.25">
      <c r="B29" s="111">
        <v>14</v>
      </c>
      <c r="C29" s="125">
        <v>250</v>
      </c>
      <c r="D29" s="112">
        <v>152.5</v>
      </c>
      <c r="E29" s="112">
        <v>55</v>
      </c>
      <c r="F29" s="126">
        <v>35</v>
      </c>
      <c r="G29" s="112">
        <v>40</v>
      </c>
      <c r="H29" s="112">
        <v>50</v>
      </c>
      <c r="I29" s="126">
        <v>50</v>
      </c>
      <c r="J29" s="112">
        <v>75</v>
      </c>
      <c r="K29" s="112">
        <v>100</v>
      </c>
      <c r="L29" s="113">
        <v>0.4</v>
      </c>
      <c r="M29" s="113">
        <v>0.23499999999999999</v>
      </c>
      <c r="N29" s="113">
        <v>7.0000000000000007E-2</v>
      </c>
      <c r="O29" s="155">
        <v>30</v>
      </c>
      <c r="P29" s="154">
        <v>75</v>
      </c>
      <c r="Q29" s="152">
        <v>100</v>
      </c>
      <c r="R29" s="156">
        <v>45</v>
      </c>
      <c r="S29" s="154">
        <v>80</v>
      </c>
      <c r="T29" s="152">
        <v>100</v>
      </c>
    </row>
    <row r="30" spans="1:20" x14ac:dyDescent="0.25">
      <c r="B30" s="111">
        <v>16</v>
      </c>
      <c r="C30" s="125">
        <v>265</v>
      </c>
      <c r="D30" s="112">
        <v>162.5</v>
      </c>
      <c r="E30" s="112">
        <v>60</v>
      </c>
      <c r="F30" s="126">
        <v>30</v>
      </c>
      <c r="G30" s="112">
        <v>35</v>
      </c>
      <c r="H30" s="112">
        <v>50</v>
      </c>
      <c r="I30" s="126">
        <v>45</v>
      </c>
      <c r="J30" s="112">
        <v>72.5</v>
      </c>
      <c r="K30" s="112">
        <v>100</v>
      </c>
      <c r="L30" s="113">
        <v>0.45</v>
      </c>
      <c r="M30" s="113">
        <v>0.26</v>
      </c>
      <c r="N30" s="113">
        <v>7.0000000000000007E-2</v>
      </c>
      <c r="O30" s="155">
        <v>20</v>
      </c>
      <c r="P30" s="154">
        <v>71</v>
      </c>
      <c r="Q30" s="152">
        <v>100</v>
      </c>
      <c r="R30" s="156">
        <v>40</v>
      </c>
      <c r="S30" s="154">
        <v>79</v>
      </c>
      <c r="T30" s="152">
        <v>100</v>
      </c>
    </row>
    <row r="31" spans="1:20" x14ac:dyDescent="0.25">
      <c r="B31" s="111">
        <v>17</v>
      </c>
      <c r="C31" s="125">
        <v>280</v>
      </c>
      <c r="D31" s="112">
        <v>175</v>
      </c>
      <c r="E31" s="112">
        <v>70</v>
      </c>
      <c r="F31" s="126">
        <v>30</v>
      </c>
      <c r="G31" s="112">
        <v>35</v>
      </c>
      <c r="H31" s="112">
        <v>50</v>
      </c>
      <c r="I31" s="126">
        <v>45</v>
      </c>
      <c r="J31" s="112">
        <v>72.5</v>
      </c>
      <c r="K31" s="112">
        <v>100</v>
      </c>
      <c r="L31" s="113">
        <v>0.5</v>
      </c>
      <c r="M31" s="113">
        <v>0.28499999999999998</v>
      </c>
      <c r="N31" s="113">
        <v>7.0000000000000007E-2</v>
      </c>
      <c r="O31" s="155">
        <v>20</v>
      </c>
      <c r="P31" s="154">
        <v>71</v>
      </c>
      <c r="Q31" s="152">
        <v>100</v>
      </c>
      <c r="R31" s="156">
        <v>35</v>
      </c>
      <c r="S31" s="154">
        <v>77</v>
      </c>
      <c r="T31" s="152">
        <v>100</v>
      </c>
    </row>
    <row r="32" spans="1:20" x14ac:dyDescent="0.25">
      <c r="B32" s="111">
        <v>19</v>
      </c>
      <c r="C32" s="125">
        <v>325</v>
      </c>
      <c r="D32" s="112">
        <v>197.5</v>
      </c>
      <c r="E32" s="112">
        <v>70</v>
      </c>
      <c r="F32" s="126">
        <v>30</v>
      </c>
      <c r="G32" s="112">
        <v>33</v>
      </c>
      <c r="H32" s="112">
        <v>45</v>
      </c>
      <c r="I32" s="126">
        <v>40</v>
      </c>
      <c r="J32" s="112">
        <v>70</v>
      </c>
      <c r="K32" s="112">
        <v>100</v>
      </c>
      <c r="L32" s="113">
        <v>0.5</v>
      </c>
      <c r="M32" s="113">
        <v>0.28499999999999998</v>
      </c>
      <c r="N32" s="113">
        <v>7.0000000000000007E-2</v>
      </c>
      <c r="O32" s="155">
        <v>10</v>
      </c>
      <c r="P32" s="154">
        <v>68</v>
      </c>
      <c r="Q32" s="152">
        <v>100</v>
      </c>
      <c r="R32" s="156">
        <v>35</v>
      </c>
      <c r="S32" s="154">
        <v>77</v>
      </c>
      <c r="T32" s="152">
        <v>100</v>
      </c>
    </row>
    <row r="34" spans="1:7" x14ac:dyDescent="0.25">
      <c r="B34" s="93"/>
      <c r="C34" s="93"/>
      <c r="D34" s="144"/>
      <c r="E34" s="145" t="s">
        <v>154</v>
      </c>
      <c r="F34" s="144" t="s">
        <v>155</v>
      </c>
      <c r="G34" s="144" t="s">
        <v>76</v>
      </c>
    </row>
    <row r="35" spans="1:7" x14ac:dyDescent="0.25">
      <c r="B35" s="114" t="s">
        <v>107</v>
      </c>
      <c r="C35" s="115" t="s">
        <v>156</v>
      </c>
      <c r="D35" s="116"/>
      <c r="E35" s="116">
        <v>1</v>
      </c>
      <c r="F35" s="92" t="s">
        <v>107</v>
      </c>
      <c r="G35" s="181" t="s">
        <v>191</v>
      </c>
    </row>
    <row r="36" spans="1:7" x14ac:dyDescent="0.25">
      <c r="B36" s="114" t="s">
        <v>283</v>
      </c>
      <c r="C36" s="115" t="s">
        <v>156</v>
      </c>
      <c r="D36" s="116"/>
      <c r="E36" s="116">
        <v>1</v>
      </c>
      <c r="F36" s="92" t="s">
        <v>283</v>
      </c>
      <c r="G36" s="181" t="s">
        <v>191</v>
      </c>
    </row>
    <row r="37" spans="1:7" x14ac:dyDescent="0.25">
      <c r="B37" s="114" t="s">
        <v>284</v>
      </c>
      <c r="C37" s="115" t="s">
        <v>157</v>
      </c>
      <c r="D37" s="116"/>
      <c r="E37" s="116">
        <v>1</v>
      </c>
      <c r="F37" s="92" t="s">
        <v>284</v>
      </c>
      <c r="G37" s="181" t="s">
        <v>191</v>
      </c>
    </row>
    <row r="38" spans="1:7" x14ac:dyDescent="0.25">
      <c r="A38" s="146"/>
      <c r="B38" s="114" t="s">
        <v>285</v>
      </c>
      <c r="C38" s="115" t="s">
        <v>157</v>
      </c>
      <c r="D38" s="116"/>
      <c r="E38" s="116">
        <v>1</v>
      </c>
      <c r="F38" s="92" t="s">
        <v>285</v>
      </c>
      <c r="G38" s="181" t="s">
        <v>191</v>
      </c>
    </row>
    <row r="39" spans="1:7" x14ac:dyDescent="0.25">
      <c r="A39" s="146"/>
      <c r="B39" s="114" t="s">
        <v>286</v>
      </c>
      <c r="C39" s="115" t="s">
        <v>158</v>
      </c>
      <c r="D39" s="116"/>
      <c r="E39" s="116">
        <v>2</v>
      </c>
      <c r="F39" s="92" t="s">
        <v>286</v>
      </c>
      <c r="G39" s="181" t="s">
        <v>191</v>
      </c>
    </row>
    <row r="40" spans="1:7" x14ac:dyDescent="0.25">
      <c r="A40" s="146"/>
      <c r="B40" s="178" t="s">
        <v>287</v>
      </c>
      <c r="C40" s="179" t="s">
        <v>158</v>
      </c>
      <c r="D40" s="116"/>
      <c r="E40" s="180">
        <v>2</v>
      </c>
      <c r="F40" s="183" t="s">
        <v>287</v>
      </c>
      <c r="G40" s="181" t="s">
        <v>191</v>
      </c>
    </row>
    <row r="41" spans="1:7" x14ac:dyDescent="0.25">
      <c r="A41" s="146"/>
      <c r="B41" s="179" t="s">
        <v>288</v>
      </c>
      <c r="C41" s="179" t="s">
        <v>158</v>
      </c>
      <c r="D41" s="116"/>
      <c r="E41" s="180">
        <v>5</v>
      </c>
      <c r="F41" s="183" t="s">
        <v>288</v>
      </c>
      <c r="G41" s="181" t="s">
        <v>191</v>
      </c>
    </row>
    <row r="42" spans="1:7" x14ac:dyDescent="0.25">
      <c r="A42" s="146"/>
      <c r="B42" s="178" t="s">
        <v>289</v>
      </c>
      <c r="C42" s="179" t="s">
        <v>158</v>
      </c>
      <c r="D42" s="116"/>
      <c r="E42" s="180">
        <v>2</v>
      </c>
      <c r="F42" s="183" t="s">
        <v>289</v>
      </c>
      <c r="G42" s="181" t="s">
        <v>191</v>
      </c>
    </row>
    <row r="43" spans="1:7" x14ac:dyDescent="0.25">
      <c r="A43" s="146"/>
      <c r="B43" s="179" t="s">
        <v>106</v>
      </c>
      <c r="C43" s="184" t="s">
        <v>158</v>
      </c>
      <c r="D43" s="116"/>
      <c r="E43" s="180">
        <v>4</v>
      </c>
      <c r="F43" s="183" t="s">
        <v>106</v>
      </c>
      <c r="G43" s="181" t="s">
        <v>191</v>
      </c>
    </row>
    <row r="44" spans="1:7" x14ac:dyDescent="0.25">
      <c r="A44" s="146"/>
      <c r="B44" s="178" t="s">
        <v>291</v>
      </c>
      <c r="C44" s="181" t="s">
        <v>159</v>
      </c>
      <c r="D44" s="171"/>
      <c r="E44" s="180">
        <v>6</v>
      </c>
      <c r="F44" s="178" t="s">
        <v>291</v>
      </c>
      <c r="G44" s="182" t="s">
        <v>188</v>
      </c>
    </row>
    <row r="45" spans="1:7" x14ac:dyDescent="0.25">
      <c r="A45" s="146"/>
      <c r="B45" s="181" t="s">
        <v>296</v>
      </c>
      <c r="C45" s="184" t="s">
        <v>162</v>
      </c>
      <c r="D45" s="116"/>
      <c r="E45" s="180">
        <v>5</v>
      </c>
      <c r="F45" s="183" t="s">
        <v>296</v>
      </c>
      <c r="G45" s="181" t="s">
        <v>191</v>
      </c>
    </row>
    <row r="46" spans="1:7" x14ac:dyDescent="0.25">
      <c r="A46" s="146"/>
      <c r="B46" s="178" t="s">
        <v>292</v>
      </c>
      <c r="C46" s="181" t="s">
        <v>159</v>
      </c>
      <c r="D46" s="171"/>
      <c r="E46" s="180">
        <v>6</v>
      </c>
      <c r="F46" s="178" t="s">
        <v>292</v>
      </c>
      <c r="G46" s="181" t="s">
        <v>184</v>
      </c>
    </row>
    <row r="47" spans="1:7" x14ac:dyDescent="0.25">
      <c r="A47" s="146"/>
      <c r="B47" s="178" t="s">
        <v>293</v>
      </c>
      <c r="C47" s="184" t="s">
        <v>159</v>
      </c>
      <c r="D47" s="116"/>
      <c r="E47" s="180">
        <v>3</v>
      </c>
      <c r="F47" s="183" t="s">
        <v>293</v>
      </c>
      <c r="G47" s="181" t="s">
        <v>191</v>
      </c>
    </row>
    <row r="48" spans="1:7" x14ac:dyDescent="0.25">
      <c r="A48" s="146"/>
      <c r="B48" s="178" t="s">
        <v>294</v>
      </c>
      <c r="C48" s="184" t="s">
        <v>160</v>
      </c>
      <c r="D48" s="116"/>
      <c r="E48" s="180">
        <v>10</v>
      </c>
      <c r="F48" s="183" t="s">
        <v>294</v>
      </c>
      <c r="G48" s="181" t="s">
        <v>178</v>
      </c>
    </row>
    <row r="49" spans="1:7" x14ac:dyDescent="0.25">
      <c r="A49" s="146"/>
      <c r="B49" s="178" t="s">
        <v>295</v>
      </c>
      <c r="C49" s="184" t="s">
        <v>160</v>
      </c>
      <c r="D49" s="116"/>
      <c r="E49" s="180">
        <v>6</v>
      </c>
      <c r="F49" s="183" t="s">
        <v>295</v>
      </c>
      <c r="G49" s="181" t="s">
        <v>184</v>
      </c>
    </row>
    <row r="50" spans="1:7" x14ac:dyDescent="0.25">
      <c r="A50" s="146"/>
      <c r="B50" s="178" t="s">
        <v>116</v>
      </c>
      <c r="C50" s="185" t="s">
        <v>161</v>
      </c>
      <c r="D50" s="116"/>
      <c r="E50" s="180">
        <v>2</v>
      </c>
      <c r="F50" s="183" t="s">
        <v>116</v>
      </c>
      <c r="G50" s="181" t="s">
        <v>191</v>
      </c>
    </row>
    <row r="51" spans="1:7" x14ac:dyDescent="0.25">
      <c r="A51" s="146"/>
      <c r="B51" s="179" t="s">
        <v>118</v>
      </c>
      <c r="C51" s="184" t="s">
        <v>162</v>
      </c>
      <c r="D51" s="116"/>
      <c r="E51" s="180">
        <v>5</v>
      </c>
      <c r="F51" s="183" t="s">
        <v>118</v>
      </c>
      <c r="G51" s="181" t="s">
        <v>191</v>
      </c>
    </row>
    <row r="52" spans="1:7" x14ac:dyDescent="0.25">
      <c r="A52" s="146"/>
      <c r="B52" s="179" t="s">
        <v>297</v>
      </c>
      <c r="C52" s="184" t="s">
        <v>163</v>
      </c>
      <c r="D52" s="116"/>
      <c r="E52" s="180">
        <v>2</v>
      </c>
      <c r="F52" s="183" t="s">
        <v>297</v>
      </c>
      <c r="G52" s="181" t="s">
        <v>191</v>
      </c>
    </row>
    <row r="53" spans="1:7" x14ac:dyDescent="0.25">
      <c r="A53" s="146"/>
      <c r="B53" s="179" t="s">
        <v>298</v>
      </c>
      <c r="C53" s="179" t="s">
        <v>163</v>
      </c>
      <c r="D53" s="116"/>
      <c r="E53" s="180">
        <v>2</v>
      </c>
      <c r="F53" s="183" t="s">
        <v>298</v>
      </c>
      <c r="G53" s="181" t="s">
        <v>191</v>
      </c>
    </row>
    <row r="54" spans="1:7" x14ac:dyDescent="0.25">
      <c r="A54" s="146"/>
      <c r="B54" s="179" t="s">
        <v>112</v>
      </c>
      <c r="C54" s="179" t="s">
        <v>163</v>
      </c>
      <c r="D54" s="116"/>
      <c r="E54" s="180">
        <v>1</v>
      </c>
      <c r="F54" s="183" t="s">
        <v>112</v>
      </c>
      <c r="G54" s="181" t="s">
        <v>191</v>
      </c>
    </row>
    <row r="55" spans="1:7" x14ac:dyDescent="0.25">
      <c r="A55" s="146"/>
      <c r="B55" s="178" t="s">
        <v>299</v>
      </c>
      <c r="C55" s="179" t="s">
        <v>164</v>
      </c>
      <c r="D55" s="116"/>
      <c r="E55" s="180">
        <v>8</v>
      </c>
      <c r="F55" s="183" t="s">
        <v>299</v>
      </c>
      <c r="G55" s="181" t="s">
        <v>178</v>
      </c>
    </row>
    <row r="56" spans="1:7" x14ac:dyDescent="0.25">
      <c r="A56" s="146"/>
      <c r="B56" s="114" t="s">
        <v>300</v>
      </c>
      <c r="C56" s="115" t="s">
        <v>164</v>
      </c>
      <c r="D56" s="116"/>
      <c r="E56" s="180">
        <v>10</v>
      </c>
      <c r="F56" s="183" t="s">
        <v>300</v>
      </c>
      <c r="G56" s="181" t="s">
        <v>178</v>
      </c>
    </row>
    <row r="57" spans="1:7" x14ac:dyDescent="0.25">
      <c r="A57" s="146"/>
      <c r="B57" s="114" t="s">
        <v>301</v>
      </c>
      <c r="C57" s="115" t="s">
        <v>164</v>
      </c>
      <c r="D57" s="116"/>
      <c r="E57" s="180">
        <v>10</v>
      </c>
      <c r="F57" s="183" t="s">
        <v>301</v>
      </c>
      <c r="G57" s="181" t="s">
        <v>178</v>
      </c>
    </row>
    <row r="58" spans="1:7" x14ac:dyDescent="0.25">
      <c r="A58" s="146"/>
      <c r="B58" s="178" t="s">
        <v>290</v>
      </c>
      <c r="C58" s="179" t="s">
        <v>164</v>
      </c>
      <c r="D58" s="180"/>
      <c r="E58" s="180">
        <v>6</v>
      </c>
      <c r="F58" s="178" t="s">
        <v>290</v>
      </c>
      <c r="G58" s="181" t="s">
        <v>178</v>
      </c>
    </row>
    <row r="59" spans="1:7" x14ac:dyDescent="0.25">
      <c r="A59" s="146"/>
      <c r="B59" s="114" t="s">
        <v>302</v>
      </c>
      <c r="C59" s="115" t="s">
        <v>165</v>
      </c>
      <c r="D59" s="116"/>
      <c r="E59" s="116">
        <v>10</v>
      </c>
      <c r="F59" s="92" t="s">
        <v>302</v>
      </c>
      <c r="G59" s="181" t="s">
        <v>43</v>
      </c>
    </row>
    <row r="60" spans="1:7" x14ac:dyDescent="0.25">
      <c r="A60" s="146"/>
      <c r="B60" s="114" t="s">
        <v>303</v>
      </c>
      <c r="C60" s="115" t="s">
        <v>165</v>
      </c>
      <c r="D60" s="116"/>
      <c r="E60" s="116">
        <v>8</v>
      </c>
      <c r="F60" s="92" t="s">
        <v>303</v>
      </c>
      <c r="G60" s="181" t="s">
        <v>43</v>
      </c>
    </row>
    <row r="61" spans="1:7" x14ac:dyDescent="0.25">
      <c r="A61" s="146"/>
      <c r="B61" s="117" t="s">
        <v>109</v>
      </c>
      <c r="C61" s="117" t="s">
        <v>159</v>
      </c>
      <c r="D61" s="127"/>
      <c r="E61" s="127">
        <v>6</v>
      </c>
      <c r="F61" s="92" t="s">
        <v>109</v>
      </c>
      <c r="G61" s="181" t="s">
        <v>188</v>
      </c>
    </row>
    <row r="62" spans="1:7" x14ac:dyDescent="0.25">
      <c r="A62" s="146"/>
      <c r="B62" s="117" t="s">
        <v>108</v>
      </c>
      <c r="C62" s="117" t="s">
        <v>159</v>
      </c>
      <c r="D62" s="127"/>
      <c r="E62" s="127">
        <v>6</v>
      </c>
      <c r="F62" s="92" t="s">
        <v>108</v>
      </c>
      <c r="G62" s="181" t="s">
        <v>184</v>
      </c>
    </row>
    <row r="63" spans="1:7" x14ac:dyDescent="0.25">
      <c r="A63" s="146"/>
      <c r="B63" s="118" t="s">
        <v>117</v>
      </c>
      <c r="C63" s="118" t="s">
        <v>159</v>
      </c>
      <c r="D63" s="111"/>
      <c r="E63" s="111">
        <v>6</v>
      </c>
      <c r="F63" s="92" t="s">
        <v>117</v>
      </c>
      <c r="G63" s="181" t="s">
        <v>188</v>
      </c>
    </row>
    <row r="64" spans="1:7" x14ac:dyDescent="0.25">
      <c r="A64" s="146"/>
      <c r="B64" s="118" t="s">
        <v>235</v>
      </c>
      <c r="C64" s="118" t="s">
        <v>159</v>
      </c>
      <c r="D64" s="127"/>
      <c r="E64" s="127">
        <v>6</v>
      </c>
      <c r="F64" s="92" t="s">
        <v>235</v>
      </c>
      <c r="G64" s="181" t="s">
        <v>184</v>
      </c>
    </row>
    <row r="65" spans="1:7" x14ac:dyDescent="0.25">
      <c r="A65" s="146"/>
      <c r="B65" s="118" t="s">
        <v>110</v>
      </c>
      <c r="C65" s="118" t="s">
        <v>159</v>
      </c>
      <c r="D65" s="127"/>
      <c r="E65" s="127">
        <v>4</v>
      </c>
      <c r="F65" s="92" t="s">
        <v>110</v>
      </c>
      <c r="G65" s="181" t="s">
        <v>191</v>
      </c>
    </row>
    <row r="66" spans="1:7" x14ac:dyDescent="0.25">
      <c r="A66" s="146"/>
      <c r="B66" s="118" t="s">
        <v>115</v>
      </c>
      <c r="C66" s="118" t="s">
        <v>159</v>
      </c>
      <c r="D66" s="127"/>
      <c r="E66" s="127">
        <v>4</v>
      </c>
      <c r="F66" s="92" t="s">
        <v>115</v>
      </c>
      <c r="G66" s="181" t="s">
        <v>184</v>
      </c>
    </row>
    <row r="67" spans="1:7" x14ac:dyDescent="0.25">
      <c r="A67" s="146"/>
      <c r="B67" s="118" t="s">
        <v>119</v>
      </c>
      <c r="C67" s="118" t="s">
        <v>159</v>
      </c>
      <c r="D67" s="127"/>
      <c r="E67" s="127">
        <v>4</v>
      </c>
      <c r="F67" s="92" t="s">
        <v>119</v>
      </c>
      <c r="G67" s="181" t="s">
        <v>188</v>
      </c>
    </row>
    <row r="68" spans="1:7" x14ac:dyDescent="0.25">
      <c r="G68" s="148"/>
    </row>
    <row r="69" spans="1:7" x14ac:dyDescent="0.25">
      <c r="B69" s="149"/>
      <c r="C69" s="149"/>
      <c r="D69" s="149"/>
    </row>
    <row r="70" spans="1:7" x14ac:dyDescent="0.25">
      <c r="B70" s="139"/>
      <c r="C70" s="139"/>
      <c r="D70" s="139"/>
    </row>
    <row r="71" spans="1:7" x14ac:dyDescent="0.25">
      <c r="B71" s="139"/>
      <c r="C71" s="139"/>
      <c r="D71" s="139"/>
    </row>
    <row r="72" spans="1:7" x14ac:dyDescent="0.25">
      <c r="B72" s="139"/>
      <c r="C72" s="139"/>
      <c r="D72" s="139"/>
    </row>
    <row r="73" spans="1:7" x14ac:dyDescent="0.25">
      <c r="B73" s="139"/>
      <c r="C73" s="139"/>
      <c r="D73" s="139"/>
    </row>
    <row r="74" spans="1:7" x14ac:dyDescent="0.25">
      <c r="B74" s="139"/>
      <c r="C74" s="139"/>
      <c r="D74" s="139"/>
    </row>
    <row r="75" spans="1:7" x14ac:dyDescent="0.25">
      <c r="B75" s="139"/>
      <c r="C75" s="139"/>
      <c r="D75" s="139"/>
    </row>
    <row r="76" spans="1:7" x14ac:dyDescent="0.25">
      <c r="B76" s="139"/>
      <c r="C76" s="139"/>
      <c r="D76" s="139"/>
    </row>
    <row r="77" spans="1:7" x14ac:dyDescent="0.25">
      <c r="B77" s="139"/>
      <c r="C77" s="139"/>
      <c r="D77" s="139"/>
    </row>
    <row r="78" spans="1:7" x14ac:dyDescent="0.25">
      <c r="B78" s="139"/>
      <c r="C78" s="139"/>
      <c r="D78" s="139"/>
    </row>
    <row r="79" spans="1:7" x14ac:dyDescent="0.25">
      <c r="B79" s="139"/>
      <c r="C79" s="139"/>
      <c r="D79" s="139"/>
    </row>
    <row r="80" spans="1:7" x14ac:dyDescent="0.25">
      <c r="B80" s="139"/>
      <c r="C80" s="139"/>
      <c r="D80" s="139"/>
    </row>
    <row r="81" spans="2:4" x14ac:dyDescent="0.25">
      <c r="B81" s="139"/>
      <c r="C81" s="139"/>
      <c r="D81" s="139"/>
    </row>
    <row r="82" spans="2:4" x14ac:dyDescent="0.25">
      <c r="B82" s="139"/>
      <c r="C82" s="139"/>
      <c r="D82" s="139"/>
    </row>
    <row r="83" spans="2:4" x14ac:dyDescent="0.25">
      <c r="B83" s="139"/>
      <c r="C83" s="139"/>
      <c r="D83" s="139"/>
    </row>
    <row r="84" spans="2:4" x14ac:dyDescent="0.25">
      <c r="B84" s="139"/>
      <c r="C84" s="139"/>
      <c r="D84" s="139"/>
    </row>
    <row r="85" spans="2:4" x14ac:dyDescent="0.25">
      <c r="B85" s="139"/>
      <c r="C85" s="139"/>
      <c r="D85" s="139"/>
    </row>
    <row r="86" spans="2:4" x14ac:dyDescent="0.25">
      <c r="B86" s="139"/>
      <c r="C86" s="139"/>
      <c r="D86" s="139"/>
    </row>
    <row r="87" spans="2:4" x14ac:dyDescent="0.25">
      <c r="B87" s="139"/>
      <c r="C87" s="139"/>
      <c r="D87" s="139"/>
    </row>
    <row r="88" spans="2:4" x14ac:dyDescent="0.25">
      <c r="B88" s="139"/>
      <c r="C88" s="139"/>
      <c r="D88" s="139"/>
    </row>
    <row r="89" spans="2:4" x14ac:dyDescent="0.25">
      <c r="B89" s="139"/>
      <c r="C89" s="139"/>
      <c r="D89" s="139"/>
    </row>
    <row r="90" spans="2:4" x14ac:dyDescent="0.25">
      <c r="B90" s="139"/>
      <c r="C90" s="139"/>
      <c r="D90" s="139"/>
    </row>
    <row r="91" spans="2:4" x14ac:dyDescent="0.25">
      <c r="B91" s="139"/>
      <c r="C91" s="139"/>
      <c r="D91" s="139"/>
    </row>
    <row r="92" spans="2:4" x14ac:dyDescent="0.25">
      <c r="B92" s="139"/>
      <c r="C92" s="139"/>
      <c r="D92" s="139"/>
    </row>
    <row r="93" spans="2:4" x14ac:dyDescent="0.25">
      <c r="B93" s="139"/>
      <c r="C93" s="139"/>
      <c r="D93" s="139"/>
    </row>
    <row r="94" spans="2:4" x14ac:dyDescent="0.25">
      <c r="B94" s="151"/>
    </row>
    <row r="95" spans="2:4" x14ac:dyDescent="0.25">
      <c r="B95" s="151"/>
    </row>
    <row r="96" spans="2:4" x14ac:dyDescent="0.25">
      <c r="B96" s="151"/>
    </row>
    <row r="97" spans="2:2" x14ac:dyDescent="0.25">
      <c r="B97" s="150"/>
    </row>
    <row r="98" spans="2:2" x14ac:dyDescent="0.25">
      <c r="B98" s="150"/>
    </row>
    <row r="99" spans="2:2" x14ac:dyDescent="0.25">
      <c r="B99" s="150"/>
    </row>
    <row r="100" spans="2:2" x14ac:dyDescent="0.25">
      <c r="B100" s="150"/>
    </row>
    <row r="101" spans="2:2" x14ac:dyDescent="0.25">
      <c r="B101" s="150"/>
    </row>
    <row r="102" spans="2:2" x14ac:dyDescent="0.25">
      <c r="B102" s="150"/>
    </row>
    <row r="103" spans="2:2" x14ac:dyDescent="0.25">
      <c r="B103" s="150"/>
    </row>
    <row r="104" spans="2:2" x14ac:dyDescent="0.25">
      <c r="B104" s="150"/>
    </row>
    <row r="105" spans="2:2" x14ac:dyDescent="0.25">
      <c r="B105" s="150"/>
    </row>
    <row r="106" spans="2:2" x14ac:dyDescent="0.25">
      <c r="B106" s="148"/>
    </row>
    <row r="107" spans="2:2" x14ac:dyDescent="0.25">
      <c r="B107" s="148"/>
    </row>
  </sheetData>
  <pageMargins left="0.7" right="0.7" top="0.75" bottom="0.75" header="0.3" footer="0.3"/>
  <pageSetup scale="36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8"/>
  <sheetViews>
    <sheetView workbookViewId="0">
      <selection sqref="A1:J1"/>
    </sheetView>
  </sheetViews>
  <sheetFormatPr defaultRowHeight="15" x14ac:dyDescent="0.25"/>
  <cols>
    <col min="1" max="1" width="16.140625" style="1" customWidth="1"/>
    <col min="2" max="2" width="17.28515625" style="1" customWidth="1"/>
    <col min="7" max="7" width="22.85546875" style="1" customWidth="1"/>
    <col min="8" max="8" width="17" style="1" customWidth="1"/>
    <col min="9" max="9" width="13.140625" style="1" customWidth="1"/>
    <col min="10" max="10" width="22.85546875" style="1" customWidth="1"/>
  </cols>
  <sheetData>
    <row r="1" spans="1:10" ht="23.25" customHeight="1" x14ac:dyDescent="0.3">
      <c r="A1" s="299" t="s">
        <v>166</v>
      </c>
      <c r="B1" s="300"/>
      <c r="C1" s="300"/>
      <c r="D1" s="300"/>
      <c r="E1" s="300"/>
      <c r="F1" s="300"/>
      <c r="G1" s="300"/>
      <c r="H1" s="300"/>
      <c r="I1" s="300"/>
      <c r="J1" s="301"/>
    </row>
    <row r="2" spans="1:10" ht="40.5" x14ac:dyDescent="0.25">
      <c r="A2" s="57" t="s">
        <v>167</v>
      </c>
      <c r="B2" s="13" t="s">
        <v>168</v>
      </c>
      <c r="C2" s="14" t="s">
        <v>169</v>
      </c>
      <c r="D2" s="14" t="s">
        <v>170</v>
      </c>
      <c r="E2" s="14" t="s">
        <v>171</v>
      </c>
      <c r="F2" s="14" t="s">
        <v>172</v>
      </c>
      <c r="G2" s="302" t="s">
        <v>173</v>
      </c>
      <c r="H2" s="303"/>
      <c r="I2" s="303"/>
      <c r="J2" s="304"/>
    </row>
    <row r="3" spans="1:10" x14ac:dyDescent="0.25">
      <c r="A3" s="305" t="s">
        <v>43</v>
      </c>
      <c r="B3" s="289" t="s">
        <v>43</v>
      </c>
      <c r="C3" s="289" t="s">
        <v>174</v>
      </c>
      <c r="D3" s="289" t="s">
        <v>174</v>
      </c>
      <c r="E3" s="289" t="s">
        <v>174</v>
      </c>
      <c r="F3" s="289" t="s">
        <v>174</v>
      </c>
      <c r="G3" s="292" t="s">
        <v>175</v>
      </c>
      <c r="H3" s="294"/>
      <c r="I3" s="294"/>
      <c r="J3" s="293"/>
    </row>
    <row r="4" spans="1:10" x14ac:dyDescent="0.25">
      <c r="A4" s="306"/>
      <c r="B4" s="291"/>
      <c r="C4" s="291"/>
      <c r="D4" s="291"/>
      <c r="E4" s="291"/>
      <c r="F4" s="291"/>
      <c r="G4" s="295" t="s">
        <v>176</v>
      </c>
      <c r="H4" s="296"/>
      <c r="I4" s="296"/>
      <c r="J4" s="297"/>
    </row>
    <row r="5" spans="1:10" x14ac:dyDescent="0.25">
      <c r="A5" s="305" t="s">
        <v>177</v>
      </c>
      <c r="B5" s="308" t="s">
        <v>178</v>
      </c>
      <c r="C5" s="289"/>
      <c r="D5" s="289" t="s">
        <v>174</v>
      </c>
      <c r="E5" s="289" t="s">
        <v>174</v>
      </c>
      <c r="F5" s="289" t="s">
        <v>174</v>
      </c>
      <c r="G5" s="292" t="s">
        <v>179</v>
      </c>
      <c r="H5" s="294"/>
      <c r="I5" s="294"/>
      <c r="J5" s="293"/>
    </row>
    <row r="6" spans="1:10" x14ac:dyDescent="0.25">
      <c r="A6" s="307"/>
      <c r="B6" s="309"/>
      <c r="C6" s="290"/>
      <c r="D6" s="290"/>
      <c r="E6" s="290"/>
      <c r="F6" s="290"/>
      <c r="G6" s="287" t="s">
        <v>180</v>
      </c>
      <c r="H6" s="298"/>
      <c r="I6" s="298"/>
      <c r="J6" s="288"/>
    </row>
    <row r="7" spans="1:10" x14ac:dyDescent="0.25">
      <c r="A7" s="307"/>
      <c r="B7" s="309"/>
      <c r="C7" s="290"/>
      <c r="D7" s="290"/>
      <c r="E7" s="290"/>
      <c r="F7" s="290"/>
      <c r="G7" s="287" t="s">
        <v>181</v>
      </c>
      <c r="H7" s="298"/>
      <c r="I7" s="298"/>
      <c r="J7" s="288"/>
    </row>
    <row r="8" spans="1:10" x14ac:dyDescent="0.25">
      <c r="A8" s="307"/>
      <c r="B8" s="309"/>
      <c r="C8" s="290"/>
      <c r="D8" s="290"/>
      <c r="E8" s="290"/>
      <c r="F8" s="290"/>
      <c r="G8" s="287" t="s">
        <v>182</v>
      </c>
      <c r="H8" s="298"/>
      <c r="I8" s="298"/>
      <c r="J8" s="288"/>
    </row>
    <row r="9" spans="1:10" ht="15.75" customHeight="1" x14ac:dyDescent="0.25">
      <c r="A9" s="307"/>
      <c r="B9" s="310"/>
      <c r="C9" s="291"/>
      <c r="D9" s="291"/>
      <c r="E9" s="291"/>
      <c r="F9" s="291"/>
      <c r="G9" s="295" t="s">
        <v>183</v>
      </c>
      <c r="H9" s="296"/>
      <c r="I9" s="296"/>
      <c r="J9" s="297"/>
    </row>
    <row r="10" spans="1:10" x14ac:dyDescent="0.25">
      <c r="A10" s="307"/>
      <c r="B10" s="308" t="s">
        <v>184</v>
      </c>
      <c r="C10" s="305"/>
      <c r="D10" s="289" t="s">
        <v>174</v>
      </c>
      <c r="E10" s="289" t="s">
        <v>174</v>
      </c>
      <c r="F10" s="289" t="s">
        <v>174</v>
      </c>
      <c r="G10" s="292" t="s">
        <v>185</v>
      </c>
      <c r="H10" s="294"/>
      <c r="I10" s="294"/>
      <c r="J10" s="293"/>
    </row>
    <row r="11" spans="1:10" x14ac:dyDescent="0.25">
      <c r="A11" s="307"/>
      <c r="B11" s="309"/>
      <c r="C11" s="307"/>
      <c r="D11" s="290"/>
      <c r="E11" s="290"/>
      <c r="F11" s="290"/>
      <c r="G11" s="287" t="s">
        <v>186</v>
      </c>
      <c r="H11" s="298"/>
      <c r="I11" s="298"/>
      <c r="J11" s="288"/>
    </row>
    <row r="12" spans="1:10" ht="15.75" customHeight="1" x14ac:dyDescent="0.25">
      <c r="A12" s="306"/>
      <c r="B12" s="310"/>
      <c r="C12" s="306"/>
      <c r="D12" s="291"/>
      <c r="E12" s="291"/>
      <c r="F12" s="291"/>
      <c r="G12" s="295" t="s">
        <v>187</v>
      </c>
      <c r="H12" s="296"/>
      <c r="I12" s="296"/>
      <c r="J12" s="297"/>
    </row>
    <row r="13" spans="1:10" ht="27" customHeight="1" x14ac:dyDescent="0.25">
      <c r="A13" s="58"/>
      <c r="B13" s="60" t="s">
        <v>188</v>
      </c>
      <c r="C13" s="15"/>
      <c r="D13" s="15"/>
      <c r="E13" s="16" t="s">
        <v>174</v>
      </c>
      <c r="F13" s="16" t="s">
        <v>174</v>
      </c>
      <c r="G13" s="311" t="s">
        <v>189</v>
      </c>
      <c r="H13" s="312"/>
      <c r="I13" s="312"/>
      <c r="J13" s="313"/>
    </row>
    <row r="14" spans="1:10" ht="26.25" x14ac:dyDescent="0.25">
      <c r="A14" s="58" t="s">
        <v>190</v>
      </c>
      <c r="B14" s="308" t="s">
        <v>191</v>
      </c>
      <c r="C14" s="289"/>
      <c r="D14" s="289"/>
      <c r="E14" s="289" t="s">
        <v>174</v>
      </c>
      <c r="F14" s="289" t="s">
        <v>174</v>
      </c>
      <c r="G14" s="314" t="s">
        <v>192</v>
      </c>
      <c r="H14" s="292" t="s">
        <v>193</v>
      </c>
      <c r="I14" s="294"/>
      <c r="J14" s="59" t="s">
        <v>194</v>
      </c>
    </row>
    <row r="15" spans="1:10" x14ac:dyDescent="0.25">
      <c r="A15" s="58"/>
      <c r="B15" s="309"/>
      <c r="C15" s="290"/>
      <c r="D15" s="290"/>
      <c r="E15" s="290"/>
      <c r="F15" s="290"/>
      <c r="G15" s="315"/>
      <c r="H15" s="287" t="s">
        <v>195</v>
      </c>
      <c r="I15" s="298"/>
      <c r="J15" s="59" t="s">
        <v>196</v>
      </c>
    </row>
    <row r="16" spans="1:10" x14ac:dyDescent="0.25">
      <c r="A16" s="17"/>
      <c r="B16" s="309"/>
      <c r="C16" s="290"/>
      <c r="D16" s="290"/>
      <c r="E16" s="290"/>
      <c r="F16" s="290"/>
      <c r="G16" s="315"/>
      <c r="H16" s="287" t="s">
        <v>197</v>
      </c>
      <c r="I16" s="298"/>
      <c r="J16" s="59" t="s">
        <v>198</v>
      </c>
    </row>
    <row r="17" spans="1:10" x14ac:dyDescent="0.25">
      <c r="A17" s="17"/>
      <c r="B17" s="309"/>
      <c r="C17" s="290"/>
      <c r="D17" s="290"/>
      <c r="E17" s="290"/>
      <c r="F17" s="290"/>
      <c r="G17" s="315"/>
      <c r="H17" s="287" t="s">
        <v>199</v>
      </c>
      <c r="I17" s="298"/>
      <c r="J17" s="59" t="s">
        <v>200</v>
      </c>
    </row>
    <row r="18" spans="1:10" x14ac:dyDescent="0.25">
      <c r="A18" s="17"/>
      <c r="B18" s="309"/>
      <c r="C18" s="290"/>
      <c r="D18" s="290"/>
      <c r="E18" s="290"/>
      <c r="F18" s="290"/>
      <c r="G18" s="315"/>
      <c r="H18" s="287" t="s">
        <v>201</v>
      </c>
      <c r="I18" s="298"/>
      <c r="J18" s="59" t="s">
        <v>202</v>
      </c>
    </row>
    <row r="19" spans="1:10" x14ac:dyDescent="0.25">
      <c r="A19" s="17"/>
      <c r="B19" s="309"/>
      <c r="C19" s="290"/>
      <c r="D19" s="290"/>
      <c r="E19" s="290"/>
      <c r="F19" s="290"/>
      <c r="G19" s="315"/>
      <c r="H19" s="287" t="s">
        <v>203</v>
      </c>
      <c r="I19" s="298"/>
      <c r="J19" s="59" t="s">
        <v>204</v>
      </c>
    </row>
    <row r="20" spans="1:10" x14ac:dyDescent="0.25">
      <c r="A20" s="17"/>
      <c r="B20" s="309"/>
      <c r="C20" s="290"/>
      <c r="D20" s="290"/>
      <c r="E20" s="290"/>
      <c r="F20" s="290"/>
      <c r="G20" s="315"/>
      <c r="H20" s="287" t="s">
        <v>205</v>
      </c>
      <c r="I20" s="298"/>
      <c r="J20" s="59" t="s">
        <v>206</v>
      </c>
    </row>
    <row r="21" spans="1:10" ht="39" x14ac:dyDescent="0.25">
      <c r="A21" s="17"/>
      <c r="B21" s="309"/>
      <c r="C21" s="290"/>
      <c r="D21" s="290"/>
      <c r="E21" s="290"/>
      <c r="F21" s="290"/>
      <c r="G21" s="315"/>
      <c r="H21" s="287" t="s">
        <v>207</v>
      </c>
      <c r="I21" s="298"/>
      <c r="J21" s="59" t="s">
        <v>208</v>
      </c>
    </row>
    <row r="22" spans="1:10" x14ac:dyDescent="0.25">
      <c r="A22" s="17"/>
      <c r="B22" s="309"/>
      <c r="C22" s="291"/>
      <c r="D22" s="291"/>
      <c r="E22" s="291"/>
      <c r="F22" s="291"/>
      <c r="G22" s="316"/>
      <c r="H22" s="295" t="s">
        <v>209</v>
      </c>
      <c r="I22" s="296"/>
      <c r="J22" s="18"/>
    </row>
    <row r="23" spans="1:10" x14ac:dyDescent="0.25">
      <c r="A23" s="17"/>
      <c r="B23" s="309"/>
      <c r="C23" s="289"/>
      <c r="D23" s="289"/>
      <c r="E23" s="289" t="s">
        <v>174</v>
      </c>
      <c r="F23" s="289" t="s">
        <v>174</v>
      </c>
      <c r="G23" s="314" t="s">
        <v>210</v>
      </c>
      <c r="H23" s="292" t="s">
        <v>211</v>
      </c>
      <c r="I23" s="294"/>
      <c r="J23" s="59" t="s">
        <v>212</v>
      </c>
    </row>
    <row r="24" spans="1:10" x14ac:dyDescent="0.25">
      <c r="A24" s="17"/>
      <c r="B24" s="309"/>
      <c r="C24" s="290"/>
      <c r="D24" s="290"/>
      <c r="E24" s="290"/>
      <c r="F24" s="290"/>
      <c r="G24" s="315"/>
      <c r="H24" s="287" t="s">
        <v>201</v>
      </c>
      <c r="I24" s="298"/>
      <c r="J24" s="59" t="s">
        <v>213</v>
      </c>
    </row>
    <row r="25" spans="1:10" x14ac:dyDescent="0.25">
      <c r="A25" s="17"/>
      <c r="B25" s="309"/>
      <c r="C25" s="290"/>
      <c r="D25" s="290"/>
      <c r="E25" s="290"/>
      <c r="F25" s="290"/>
      <c r="G25" s="315"/>
      <c r="H25" s="287" t="s">
        <v>214</v>
      </c>
      <c r="I25" s="298"/>
      <c r="J25" s="59" t="s">
        <v>215</v>
      </c>
    </row>
    <row r="26" spans="1:10" ht="15.75" customHeight="1" x14ac:dyDescent="0.25">
      <c r="A26" s="19"/>
      <c r="B26" s="310"/>
      <c r="C26" s="291"/>
      <c r="D26" s="291"/>
      <c r="E26" s="291"/>
      <c r="F26" s="291"/>
      <c r="G26" s="316"/>
      <c r="H26" s="295" t="s">
        <v>216</v>
      </c>
      <c r="I26" s="296"/>
      <c r="J26" s="18"/>
    </row>
    <row r="27" spans="1:10" x14ac:dyDescent="0.25">
      <c r="A27" s="305" t="s">
        <v>217</v>
      </c>
      <c r="B27" s="308" t="s">
        <v>218</v>
      </c>
      <c r="C27" s="289"/>
      <c r="D27" s="289"/>
      <c r="E27" s="289"/>
      <c r="F27" s="289" t="s">
        <v>174</v>
      </c>
      <c r="G27" s="292" t="s">
        <v>219</v>
      </c>
      <c r="H27" s="294"/>
      <c r="I27" s="294"/>
      <c r="J27" s="293"/>
    </row>
    <row r="28" spans="1:10" x14ac:dyDescent="0.25">
      <c r="A28" s="307"/>
      <c r="B28" s="310"/>
      <c r="C28" s="291"/>
      <c r="D28" s="291"/>
      <c r="E28" s="291"/>
      <c r="F28" s="291"/>
      <c r="G28" s="295" t="s">
        <v>220</v>
      </c>
      <c r="H28" s="296"/>
      <c r="I28" s="296"/>
      <c r="J28" s="297"/>
    </row>
    <row r="29" spans="1:10" x14ac:dyDescent="0.25">
      <c r="A29" s="307"/>
      <c r="B29" s="289" t="s">
        <v>221</v>
      </c>
      <c r="C29" s="289"/>
      <c r="D29" s="289"/>
      <c r="E29" s="289"/>
      <c r="F29" s="289" t="s">
        <v>174</v>
      </c>
      <c r="G29" s="292" t="s">
        <v>222</v>
      </c>
      <c r="H29" s="294"/>
      <c r="I29" s="294"/>
      <c r="J29" s="293"/>
    </row>
    <row r="30" spans="1:10" ht="25.5" customHeight="1" x14ac:dyDescent="0.25">
      <c r="A30" s="307"/>
      <c r="B30" s="290"/>
      <c r="C30" s="290"/>
      <c r="D30" s="290"/>
      <c r="E30" s="290"/>
      <c r="F30" s="290"/>
      <c r="G30" s="287" t="s">
        <v>223</v>
      </c>
      <c r="H30" s="298"/>
      <c r="I30" s="298"/>
      <c r="J30" s="288"/>
    </row>
    <row r="31" spans="1:10" ht="30" customHeight="1" x14ac:dyDescent="0.25">
      <c r="A31" s="307"/>
      <c r="B31" s="290"/>
      <c r="C31" s="290"/>
      <c r="D31" s="290"/>
      <c r="E31" s="290"/>
      <c r="F31" s="290"/>
      <c r="G31" s="287" t="s">
        <v>224</v>
      </c>
      <c r="H31" s="298"/>
      <c r="I31" s="298"/>
      <c r="J31" s="288"/>
    </row>
    <row r="32" spans="1:10" x14ac:dyDescent="0.25">
      <c r="A32" s="307"/>
      <c r="B32" s="291"/>
      <c r="C32" s="291"/>
      <c r="D32" s="291"/>
      <c r="E32" s="291"/>
      <c r="F32" s="291"/>
      <c r="G32" s="295" t="s">
        <v>225</v>
      </c>
      <c r="H32" s="296"/>
      <c r="I32" s="296"/>
      <c r="J32" s="297"/>
    </row>
    <row r="33" spans="1:10" ht="15.75" customHeight="1" x14ac:dyDescent="0.25">
      <c r="A33" s="307"/>
      <c r="B33" s="289" t="s">
        <v>226</v>
      </c>
      <c r="C33" s="289"/>
      <c r="D33" s="289"/>
      <c r="E33" s="289"/>
      <c r="F33" s="289" t="s">
        <v>174</v>
      </c>
      <c r="G33" s="292" t="s">
        <v>227</v>
      </c>
      <c r="H33" s="293"/>
      <c r="I33" s="292" t="s">
        <v>228</v>
      </c>
      <c r="J33" s="293"/>
    </row>
    <row r="34" spans="1:10" x14ac:dyDescent="0.25">
      <c r="A34" s="307"/>
      <c r="B34" s="290"/>
      <c r="C34" s="290"/>
      <c r="D34" s="290"/>
      <c r="E34" s="290"/>
      <c r="F34" s="290"/>
      <c r="G34" s="287" t="s">
        <v>229</v>
      </c>
      <c r="H34" s="288"/>
      <c r="I34" s="287" t="s">
        <v>230</v>
      </c>
      <c r="J34" s="288"/>
    </row>
    <row r="35" spans="1:10" x14ac:dyDescent="0.25">
      <c r="A35" s="306"/>
      <c r="B35" s="291"/>
      <c r="C35" s="291"/>
      <c r="D35" s="291"/>
      <c r="E35" s="291"/>
      <c r="F35" s="291"/>
      <c r="G35" s="295" t="s">
        <v>231</v>
      </c>
      <c r="H35" s="297"/>
      <c r="I35" s="295" t="s">
        <v>232</v>
      </c>
      <c r="J35" s="297"/>
    </row>
    <row r="36" spans="1:10" ht="15.75" customHeight="1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</row>
    <row r="37" spans="1:10" ht="36" customHeight="1" x14ac:dyDescent="0.25">
      <c r="A37" s="317" t="s">
        <v>233</v>
      </c>
      <c r="B37" s="317"/>
      <c r="C37" s="317"/>
      <c r="D37" s="317"/>
      <c r="E37" s="317"/>
      <c r="F37" s="317"/>
      <c r="G37" s="317"/>
      <c r="H37" s="317"/>
      <c r="I37" s="317"/>
      <c r="J37" s="317"/>
    </row>
    <row r="38" spans="1:10" x14ac:dyDescent="0.25">
      <c r="A38" s="317" t="s">
        <v>234</v>
      </c>
      <c r="B38" s="317"/>
      <c r="C38" s="317"/>
      <c r="D38" s="317"/>
      <c r="E38" s="317"/>
      <c r="F38" s="317"/>
      <c r="G38" s="317"/>
      <c r="H38" s="317"/>
      <c r="I38" s="317"/>
      <c r="J38" s="317"/>
    </row>
  </sheetData>
  <mergeCells count="84">
    <mergeCell ref="A38:J38"/>
    <mergeCell ref="I34:J34"/>
    <mergeCell ref="G35:H35"/>
    <mergeCell ref="I35:J35"/>
    <mergeCell ref="A37:J37"/>
    <mergeCell ref="A27:A35"/>
    <mergeCell ref="B27:B28"/>
    <mergeCell ref="C27:C28"/>
    <mergeCell ref="D27:D28"/>
    <mergeCell ref="E27:E28"/>
    <mergeCell ref="B33:B35"/>
    <mergeCell ref="C33:C35"/>
    <mergeCell ref="D33:D35"/>
    <mergeCell ref="E33:E35"/>
    <mergeCell ref="I33:J33"/>
    <mergeCell ref="F27:F28"/>
    <mergeCell ref="G23:G26"/>
    <mergeCell ref="G29:J29"/>
    <mergeCell ref="B14:B26"/>
    <mergeCell ref="H22:I22"/>
    <mergeCell ref="H23:I23"/>
    <mergeCell ref="H24:I24"/>
    <mergeCell ref="H25:I25"/>
    <mergeCell ref="H26:I26"/>
    <mergeCell ref="C14:C22"/>
    <mergeCell ref="D14:D22"/>
    <mergeCell ref="E14:E22"/>
    <mergeCell ref="F14:F22"/>
    <mergeCell ref="C23:C26"/>
    <mergeCell ref="D23:D26"/>
    <mergeCell ref="E23:E26"/>
    <mergeCell ref="F23:F26"/>
    <mergeCell ref="H21:I21"/>
    <mergeCell ref="H19:I19"/>
    <mergeCell ref="G14:G22"/>
    <mergeCell ref="G5:J5"/>
    <mergeCell ref="G6:J6"/>
    <mergeCell ref="G7:J7"/>
    <mergeCell ref="G8:J8"/>
    <mergeCell ref="G9:J9"/>
    <mergeCell ref="H15:I15"/>
    <mergeCell ref="H16:I16"/>
    <mergeCell ref="H17:I17"/>
    <mergeCell ref="H18:I18"/>
    <mergeCell ref="H20:I20"/>
    <mergeCell ref="G10:J10"/>
    <mergeCell ref="G11:J11"/>
    <mergeCell ref="G12:J12"/>
    <mergeCell ref="G13:J13"/>
    <mergeCell ref="H14:I14"/>
    <mergeCell ref="B10:B12"/>
    <mergeCell ref="C10:C12"/>
    <mergeCell ref="D10:D12"/>
    <mergeCell ref="E10:E12"/>
    <mergeCell ref="F10:F12"/>
    <mergeCell ref="F5:F9"/>
    <mergeCell ref="A1:J1"/>
    <mergeCell ref="G2:J2"/>
    <mergeCell ref="A3:A4"/>
    <mergeCell ref="B3:B4"/>
    <mergeCell ref="C3:C4"/>
    <mergeCell ref="D3:D4"/>
    <mergeCell ref="E3:E4"/>
    <mergeCell ref="F3:F4"/>
    <mergeCell ref="G3:J3"/>
    <mergeCell ref="G4:J4"/>
    <mergeCell ref="A5:A12"/>
    <mergeCell ref="B5:B9"/>
    <mergeCell ref="C5:C9"/>
    <mergeCell ref="D5:D9"/>
    <mergeCell ref="E5:E9"/>
    <mergeCell ref="B29:B32"/>
    <mergeCell ref="C29:C32"/>
    <mergeCell ref="D29:D32"/>
    <mergeCell ref="E29:E32"/>
    <mergeCell ref="F29:F32"/>
    <mergeCell ref="G34:H34"/>
    <mergeCell ref="F33:F35"/>
    <mergeCell ref="G33:H33"/>
    <mergeCell ref="G27:J27"/>
    <mergeCell ref="G28:J28"/>
    <mergeCell ref="G30:J30"/>
    <mergeCell ref="G31:J31"/>
    <mergeCell ref="G32:J32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95"/>
  <sheetViews>
    <sheetView workbookViewId="0"/>
  </sheetViews>
  <sheetFormatPr defaultRowHeight="15" x14ac:dyDescent="0.25"/>
  <sheetData>
    <row r="1" spans="1:3" x14ac:dyDescent="0.25">
      <c r="A1" s="146" t="s">
        <v>4571</v>
      </c>
      <c r="C1" s="146"/>
    </row>
    <row r="2" spans="1:3" x14ac:dyDescent="0.25">
      <c r="A2" s="146" t="s">
        <v>304</v>
      </c>
    </row>
    <row r="3" spans="1:3" x14ac:dyDescent="0.25">
      <c r="A3" s="146" t="s">
        <v>348</v>
      </c>
    </row>
    <row r="4" spans="1:3" x14ac:dyDescent="0.25">
      <c r="A4" s="146" t="s">
        <v>305</v>
      </c>
    </row>
    <row r="5" spans="1:3" x14ac:dyDescent="0.25">
      <c r="A5" s="146" t="s">
        <v>306</v>
      </c>
    </row>
    <row r="6" spans="1:3" x14ac:dyDescent="0.25">
      <c r="A6" s="146" t="s">
        <v>323</v>
      </c>
    </row>
    <row r="7" spans="1:3" x14ac:dyDescent="0.25">
      <c r="A7" s="146" t="s">
        <v>324</v>
      </c>
    </row>
    <row r="8" spans="1:3" x14ac:dyDescent="0.25">
      <c r="A8" s="146" t="s">
        <v>325</v>
      </c>
    </row>
    <row r="9" spans="1:3" x14ac:dyDescent="0.25">
      <c r="A9" s="146" t="s">
        <v>326</v>
      </c>
    </row>
    <row r="10" spans="1:3" x14ac:dyDescent="0.25">
      <c r="A10" s="146" t="s">
        <v>327</v>
      </c>
    </row>
    <row r="11" spans="1:3" x14ac:dyDescent="0.25">
      <c r="A11" s="146" t="s">
        <v>328</v>
      </c>
    </row>
    <row r="12" spans="1:3" x14ac:dyDescent="0.25">
      <c r="A12" s="146" t="s">
        <v>329</v>
      </c>
    </row>
    <row r="13" spans="1:3" x14ac:dyDescent="0.25">
      <c r="A13" s="146" t="s">
        <v>330</v>
      </c>
    </row>
    <row r="14" spans="1:3" x14ac:dyDescent="0.25">
      <c r="A14" s="146" t="s">
        <v>331</v>
      </c>
    </row>
    <row r="15" spans="1:3" x14ac:dyDescent="0.25">
      <c r="A15" s="146" t="s">
        <v>307</v>
      </c>
    </row>
    <row r="16" spans="1:3" x14ac:dyDescent="0.25">
      <c r="A16" s="146" t="s">
        <v>308</v>
      </c>
    </row>
    <row r="17" spans="1:1" x14ac:dyDescent="0.25">
      <c r="A17" s="146" t="s">
        <v>309</v>
      </c>
    </row>
    <row r="18" spans="1:1" x14ac:dyDescent="0.25">
      <c r="A18" s="146" t="s">
        <v>310</v>
      </c>
    </row>
    <row r="19" spans="1:1" x14ac:dyDescent="0.25">
      <c r="A19" s="146" t="s">
        <v>311</v>
      </c>
    </row>
    <row r="20" spans="1:1" x14ac:dyDescent="0.25">
      <c r="A20" s="146" t="s">
        <v>312</v>
      </c>
    </row>
    <row r="21" spans="1:1" x14ac:dyDescent="0.25">
      <c r="A21" s="146" t="s">
        <v>313</v>
      </c>
    </row>
    <row r="22" spans="1:1" x14ac:dyDescent="0.25">
      <c r="A22" s="146" t="s">
        <v>335</v>
      </c>
    </row>
    <row r="23" spans="1:1" x14ac:dyDescent="0.25">
      <c r="A23" s="146" t="s">
        <v>336</v>
      </c>
    </row>
    <row r="24" spans="1:1" x14ac:dyDescent="0.25">
      <c r="A24" s="146" t="s">
        <v>314</v>
      </c>
    </row>
    <row r="25" spans="1:1" x14ac:dyDescent="0.25">
      <c r="A25" s="146" t="s">
        <v>334</v>
      </c>
    </row>
    <row r="26" spans="1:1" x14ac:dyDescent="0.25">
      <c r="A26" s="146" t="s">
        <v>315</v>
      </c>
    </row>
    <row r="27" spans="1:1" x14ac:dyDescent="0.25">
      <c r="A27" s="146" t="s">
        <v>316</v>
      </c>
    </row>
    <row r="28" spans="1:1" x14ac:dyDescent="0.25">
      <c r="A28" s="146" t="s">
        <v>317</v>
      </c>
    </row>
    <row r="29" spans="1:1" x14ac:dyDescent="0.25">
      <c r="A29" s="146" t="s">
        <v>318</v>
      </c>
    </row>
    <row r="30" spans="1:1" x14ac:dyDescent="0.25">
      <c r="A30" s="146" t="s">
        <v>319</v>
      </c>
    </row>
    <row r="31" spans="1:1" x14ac:dyDescent="0.25">
      <c r="A31" s="146" t="s">
        <v>320</v>
      </c>
    </row>
    <row r="32" spans="1:1" x14ac:dyDescent="0.25">
      <c r="A32" s="146" t="s">
        <v>349</v>
      </c>
    </row>
    <row r="33" spans="1:1" x14ac:dyDescent="0.25">
      <c r="A33" s="146" t="s">
        <v>350</v>
      </c>
    </row>
    <row r="34" spans="1:1" x14ac:dyDescent="0.25">
      <c r="A34" s="146" t="s">
        <v>351</v>
      </c>
    </row>
    <row r="35" spans="1:1" x14ac:dyDescent="0.25">
      <c r="A35" s="146" t="s">
        <v>352</v>
      </c>
    </row>
    <row r="36" spans="1:1" x14ac:dyDescent="0.25">
      <c r="A36" s="146" t="s">
        <v>353</v>
      </c>
    </row>
    <row r="37" spans="1:1" x14ac:dyDescent="0.25">
      <c r="A37" s="146" t="s">
        <v>354</v>
      </c>
    </row>
    <row r="38" spans="1:1" x14ac:dyDescent="0.25">
      <c r="A38" s="146" t="s">
        <v>337</v>
      </c>
    </row>
    <row r="39" spans="1:1" x14ac:dyDescent="0.25">
      <c r="A39" s="146" t="s">
        <v>338</v>
      </c>
    </row>
    <row r="40" spans="1:1" x14ac:dyDescent="0.25">
      <c r="A40" s="146" t="s">
        <v>339</v>
      </c>
    </row>
    <row r="41" spans="1:1" x14ac:dyDescent="0.25">
      <c r="A41" s="146" t="s">
        <v>340</v>
      </c>
    </row>
    <row r="42" spans="1:1" x14ac:dyDescent="0.25">
      <c r="A42" s="146" t="s">
        <v>341</v>
      </c>
    </row>
    <row r="43" spans="1:1" x14ac:dyDescent="0.25">
      <c r="A43" s="146" t="s">
        <v>342</v>
      </c>
    </row>
    <row r="44" spans="1:1" x14ac:dyDescent="0.25">
      <c r="A44" s="146" t="s">
        <v>321</v>
      </c>
    </row>
    <row r="45" spans="1:1" x14ac:dyDescent="0.25">
      <c r="A45" s="146" t="s">
        <v>322</v>
      </c>
    </row>
    <row r="46" spans="1:1" x14ac:dyDescent="0.25">
      <c r="A46" s="146" t="s">
        <v>332</v>
      </c>
    </row>
    <row r="47" spans="1:1" x14ac:dyDescent="0.25">
      <c r="A47" s="146" t="s">
        <v>333</v>
      </c>
    </row>
    <row r="48" spans="1:1" x14ac:dyDescent="0.25">
      <c r="A48" s="146" t="s">
        <v>355</v>
      </c>
    </row>
    <row r="49" spans="1:1" x14ac:dyDescent="0.25">
      <c r="A49" s="146" t="s">
        <v>356</v>
      </c>
    </row>
    <row r="50" spans="1:1" x14ac:dyDescent="0.25">
      <c r="A50" s="146" t="s">
        <v>357</v>
      </c>
    </row>
    <row r="51" spans="1:1" x14ac:dyDescent="0.25">
      <c r="A51" s="146" t="s">
        <v>358</v>
      </c>
    </row>
    <row r="52" spans="1:1" x14ac:dyDescent="0.25">
      <c r="A52" s="146" t="s">
        <v>359</v>
      </c>
    </row>
    <row r="53" spans="1:1" x14ac:dyDescent="0.25">
      <c r="A53" s="146" t="s">
        <v>343</v>
      </c>
    </row>
    <row r="54" spans="1:1" x14ac:dyDescent="0.25">
      <c r="A54" s="146" t="s">
        <v>344</v>
      </c>
    </row>
    <row r="55" spans="1:1" x14ac:dyDescent="0.25">
      <c r="A55" s="146" t="s">
        <v>345</v>
      </c>
    </row>
    <row r="56" spans="1:1" x14ac:dyDescent="0.25">
      <c r="A56" s="146" t="s">
        <v>346</v>
      </c>
    </row>
    <row r="57" spans="1:1" x14ac:dyDescent="0.25">
      <c r="A57" s="146" t="s">
        <v>347</v>
      </c>
    </row>
    <row r="58" spans="1:1" x14ac:dyDescent="0.25">
      <c r="A58" s="146" t="s">
        <v>386</v>
      </c>
    </row>
    <row r="59" spans="1:1" x14ac:dyDescent="0.25">
      <c r="A59" s="146" t="s">
        <v>387</v>
      </c>
    </row>
    <row r="60" spans="1:1" x14ac:dyDescent="0.25">
      <c r="A60" s="146" t="s">
        <v>4561</v>
      </c>
    </row>
    <row r="61" spans="1:1" x14ac:dyDescent="0.25">
      <c r="A61" s="146"/>
    </row>
    <row r="62" spans="1:1" x14ac:dyDescent="0.25">
      <c r="A62" s="146" t="s">
        <v>236</v>
      </c>
    </row>
    <row r="63" spans="1:1" x14ac:dyDescent="0.25">
      <c r="A63" s="146" t="s">
        <v>237</v>
      </c>
    </row>
    <row r="64" spans="1:1" x14ac:dyDescent="0.25">
      <c r="A64" s="146" t="s">
        <v>371</v>
      </c>
    </row>
    <row r="65" spans="1:1" x14ac:dyDescent="0.25">
      <c r="A65" s="146" t="s">
        <v>238</v>
      </c>
    </row>
    <row r="66" spans="1:1" x14ac:dyDescent="0.25">
      <c r="A66" s="146" t="s">
        <v>239</v>
      </c>
    </row>
    <row r="67" spans="1:1" x14ac:dyDescent="0.25">
      <c r="A67" s="146" t="s">
        <v>240</v>
      </c>
    </row>
    <row r="68" spans="1:1" x14ac:dyDescent="0.25">
      <c r="A68" s="146" t="s">
        <v>241</v>
      </c>
    </row>
    <row r="69" spans="1:1" x14ac:dyDescent="0.25">
      <c r="A69" s="146" t="s">
        <v>242</v>
      </c>
    </row>
    <row r="70" spans="1:1" x14ac:dyDescent="0.25">
      <c r="A70" s="146" t="s">
        <v>243</v>
      </c>
    </row>
    <row r="71" spans="1:1" x14ac:dyDescent="0.25">
      <c r="A71" s="146" t="s">
        <v>244</v>
      </c>
    </row>
    <row r="72" spans="1:1" x14ac:dyDescent="0.25">
      <c r="A72" s="146" t="s">
        <v>245</v>
      </c>
    </row>
    <row r="73" spans="1:1" x14ac:dyDescent="0.25">
      <c r="A73" s="146" t="s">
        <v>4562</v>
      </c>
    </row>
    <row r="74" spans="1:1" x14ac:dyDescent="0.25">
      <c r="A74" s="146" t="s">
        <v>4563</v>
      </c>
    </row>
    <row r="75" spans="1:1" x14ac:dyDescent="0.25">
      <c r="A75" s="146" t="s">
        <v>246</v>
      </c>
    </row>
    <row r="76" spans="1:1" x14ac:dyDescent="0.25">
      <c r="A76" s="146" t="s">
        <v>247</v>
      </c>
    </row>
    <row r="77" spans="1:1" x14ac:dyDescent="0.25">
      <c r="A77" s="146" t="s">
        <v>248</v>
      </c>
    </row>
    <row r="78" spans="1:1" x14ac:dyDescent="0.25">
      <c r="A78" s="146" t="s">
        <v>249</v>
      </c>
    </row>
    <row r="79" spans="1:1" x14ac:dyDescent="0.25">
      <c r="A79" s="146" t="s">
        <v>250</v>
      </c>
    </row>
    <row r="80" spans="1:1" x14ac:dyDescent="0.25">
      <c r="A80" s="146" t="s">
        <v>251</v>
      </c>
    </row>
    <row r="81" spans="1:1" x14ac:dyDescent="0.25">
      <c r="A81" s="146" t="s">
        <v>252</v>
      </c>
    </row>
    <row r="82" spans="1:1" x14ac:dyDescent="0.25">
      <c r="A82" s="146" t="s">
        <v>253</v>
      </c>
    </row>
    <row r="83" spans="1:1" x14ac:dyDescent="0.25">
      <c r="A83" s="146" t="s">
        <v>254</v>
      </c>
    </row>
    <row r="84" spans="1:1" x14ac:dyDescent="0.25">
      <c r="A84" s="146" t="s">
        <v>360</v>
      </c>
    </row>
    <row r="85" spans="1:1" x14ac:dyDescent="0.25">
      <c r="A85" s="146" t="s">
        <v>255</v>
      </c>
    </row>
    <row r="86" spans="1:1" x14ac:dyDescent="0.25">
      <c r="A86" s="146" t="s">
        <v>256</v>
      </c>
    </row>
    <row r="87" spans="1:1" x14ac:dyDescent="0.25">
      <c r="A87" s="146" t="s">
        <v>257</v>
      </c>
    </row>
    <row r="88" spans="1:1" x14ac:dyDescent="0.25">
      <c r="A88" s="146" t="s">
        <v>254</v>
      </c>
    </row>
    <row r="89" spans="1:1" x14ac:dyDescent="0.25">
      <c r="A89" s="146" t="s">
        <v>258</v>
      </c>
    </row>
    <row r="90" spans="1:1" x14ac:dyDescent="0.25">
      <c r="A90" s="146" t="s">
        <v>259</v>
      </c>
    </row>
    <row r="91" spans="1:1" x14ac:dyDescent="0.25">
      <c r="A91" s="146" t="s">
        <v>260</v>
      </c>
    </row>
    <row r="92" spans="1:1" x14ac:dyDescent="0.25">
      <c r="A92" s="146" t="s">
        <v>261</v>
      </c>
    </row>
    <row r="93" spans="1:1" x14ac:dyDescent="0.25">
      <c r="A93" s="146" t="s">
        <v>262</v>
      </c>
    </row>
    <row r="94" spans="1:1" x14ac:dyDescent="0.25">
      <c r="A94" s="146" t="s">
        <v>263</v>
      </c>
    </row>
    <row r="95" spans="1:1" x14ac:dyDescent="0.25">
      <c r="A95" s="146" t="s">
        <v>264</v>
      </c>
    </row>
    <row r="96" spans="1:1" x14ac:dyDescent="0.25">
      <c r="A96" s="146" t="s">
        <v>265</v>
      </c>
    </row>
    <row r="97" spans="1:1" x14ac:dyDescent="0.25">
      <c r="A97" s="146" t="s">
        <v>266</v>
      </c>
    </row>
    <row r="98" spans="1:1" x14ac:dyDescent="0.25">
      <c r="A98" s="146" t="s">
        <v>267</v>
      </c>
    </row>
    <row r="99" spans="1:1" x14ac:dyDescent="0.25">
      <c r="A99" s="146" t="s">
        <v>268</v>
      </c>
    </row>
    <row r="100" spans="1:1" x14ac:dyDescent="0.25">
      <c r="A100" s="146" t="s">
        <v>269</v>
      </c>
    </row>
    <row r="101" spans="1:1" x14ac:dyDescent="0.25">
      <c r="A101" s="146" t="s">
        <v>270</v>
      </c>
    </row>
    <row r="102" spans="1:1" x14ac:dyDescent="0.25">
      <c r="A102" s="146" t="s">
        <v>388</v>
      </c>
    </row>
    <row r="103" spans="1:1" x14ac:dyDescent="0.25">
      <c r="A103" s="146" t="s">
        <v>372</v>
      </c>
    </row>
    <row r="104" spans="1:1" x14ac:dyDescent="0.25">
      <c r="A104" s="146" t="s">
        <v>373</v>
      </c>
    </row>
    <row r="105" spans="1:1" x14ac:dyDescent="0.25">
      <c r="A105" s="146" t="s">
        <v>374</v>
      </c>
    </row>
    <row r="106" spans="1:1" x14ac:dyDescent="0.25">
      <c r="A106" s="146" t="s">
        <v>375</v>
      </c>
    </row>
    <row r="107" spans="1:1" x14ac:dyDescent="0.25">
      <c r="A107" s="146" t="s">
        <v>376</v>
      </c>
    </row>
    <row r="108" spans="1:1" x14ac:dyDescent="0.25">
      <c r="A108" s="146" t="s">
        <v>377</v>
      </c>
    </row>
    <row r="109" spans="1:1" x14ac:dyDescent="0.25">
      <c r="A109" s="146" t="s">
        <v>361</v>
      </c>
    </row>
    <row r="110" spans="1:1" x14ac:dyDescent="0.25">
      <c r="A110" s="146" t="s">
        <v>362</v>
      </c>
    </row>
    <row r="111" spans="1:1" x14ac:dyDescent="0.25">
      <c r="A111" s="146" t="s">
        <v>363</v>
      </c>
    </row>
    <row r="112" spans="1:1" x14ac:dyDescent="0.25">
      <c r="A112" s="146" t="s">
        <v>364</v>
      </c>
    </row>
    <row r="113" spans="1:1" x14ac:dyDescent="0.25">
      <c r="A113" s="146" t="s">
        <v>365</v>
      </c>
    </row>
    <row r="114" spans="1:1" x14ac:dyDescent="0.25">
      <c r="A114" s="146" t="s">
        <v>366</v>
      </c>
    </row>
    <row r="115" spans="1:1" x14ac:dyDescent="0.25">
      <c r="A115" s="146" t="s">
        <v>271</v>
      </c>
    </row>
    <row r="116" spans="1:1" x14ac:dyDescent="0.25">
      <c r="A116" s="146" t="s">
        <v>272</v>
      </c>
    </row>
    <row r="117" spans="1:1" x14ac:dyDescent="0.25">
      <c r="A117" s="146" t="s">
        <v>273</v>
      </c>
    </row>
    <row r="118" spans="1:1" x14ac:dyDescent="0.25">
      <c r="A118" s="146" t="s">
        <v>274</v>
      </c>
    </row>
    <row r="119" spans="1:1" x14ac:dyDescent="0.25">
      <c r="A119" s="146"/>
    </row>
    <row r="120" spans="1:1" x14ac:dyDescent="0.25">
      <c r="A120" s="146" t="s">
        <v>4564</v>
      </c>
    </row>
    <row r="121" spans="1:1" x14ac:dyDescent="0.25">
      <c r="A121" s="146" t="s">
        <v>4565</v>
      </c>
    </row>
    <row r="122" spans="1:1" x14ac:dyDescent="0.25">
      <c r="A122" s="146" t="s">
        <v>4566</v>
      </c>
    </row>
    <row r="123" spans="1:1" x14ac:dyDescent="0.25">
      <c r="A123" s="146" t="s">
        <v>4567</v>
      </c>
    </row>
    <row r="124" spans="1:1" x14ac:dyDescent="0.25">
      <c r="A124" s="146"/>
    </row>
    <row r="125" spans="1:1" x14ac:dyDescent="0.25">
      <c r="A125" s="146" t="s">
        <v>367</v>
      </c>
    </row>
    <row r="126" spans="1:1" x14ac:dyDescent="0.25">
      <c r="A126" s="146" t="s">
        <v>275</v>
      </c>
    </row>
    <row r="127" spans="1:1" x14ac:dyDescent="0.25">
      <c r="A127" s="146"/>
    </row>
    <row r="128" spans="1:1" x14ac:dyDescent="0.25">
      <c r="A128" s="146" t="s">
        <v>378</v>
      </c>
    </row>
    <row r="129" spans="1:1" x14ac:dyDescent="0.25">
      <c r="A129" s="146" t="s">
        <v>276</v>
      </c>
    </row>
    <row r="130" spans="1:1" x14ac:dyDescent="0.25">
      <c r="A130" s="146" t="s">
        <v>4568</v>
      </c>
    </row>
    <row r="131" spans="1:1" x14ac:dyDescent="0.25">
      <c r="A131" s="146" t="s">
        <v>4569</v>
      </c>
    </row>
    <row r="132" spans="1:1" x14ac:dyDescent="0.25">
      <c r="A132" s="146" t="s">
        <v>368</v>
      </c>
    </row>
    <row r="133" spans="1:1" x14ac:dyDescent="0.25">
      <c r="A133" s="146" t="s">
        <v>369</v>
      </c>
    </row>
    <row r="134" spans="1:1" x14ac:dyDescent="0.25">
      <c r="A134" s="146" t="s">
        <v>277</v>
      </c>
    </row>
    <row r="135" spans="1:1" x14ac:dyDescent="0.25">
      <c r="A135" s="146" t="s">
        <v>389</v>
      </c>
    </row>
    <row r="136" spans="1:1" x14ac:dyDescent="0.25">
      <c r="A136" s="146" t="s">
        <v>379</v>
      </c>
    </row>
    <row r="137" spans="1:1" x14ac:dyDescent="0.25">
      <c r="A137" s="146" t="s">
        <v>380</v>
      </c>
    </row>
    <row r="138" spans="1:1" x14ac:dyDescent="0.25">
      <c r="A138" s="146" t="s">
        <v>381</v>
      </c>
    </row>
    <row r="139" spans="1:1" x14ac:dyDescent="0.25">
      <c r="A139" s="146" t="s">
        <v>382</v>
      </c>
    </row>
    <row r="140" spans="1:1" x14ac:dyDescent="0.25">
      <c r="A140" s="146" t="s">
        <v>383</v>
      </c>
    </row>
    <row r="141" spans="1:1" x14ac:dyDescent="0.25">
      <c r="A141" s="146" t="s">
        <v>278</v>
      </c>
    </row>
    <row r="142" spans="1:1" x14ac:dyDescent="0.25">
      <c r="A142" s="146"/>
    </row>
    <row r="143" spans="1:1" x14ac:dyDescent="0.25">
      <c r="A143" s="146" t="s">
        <v>279</v>
      </c>
    </row>
    <row r="144" spans="1:1" x14ac:dyDescent="0.25">
      <c r="A144" s="146" t="s">
        <v>404</v>
      </c>
    </row>
    <row r="145" spans="1:1" x14ac:dyDescent="0.25">
      <c r="A145" s="146" t="s">
        <v>405</v>
      </c>
    </row>
    <row r="146" spans="1:1" x14ac:dyDescent="0.25">
      <c r="A146" s="146" t="s">
        <v>406</v>
      </c>
    </row>
    <row r="147" spans="1:1" x14ac:dyDescent="0.25">
      <c r="A147" s="146" t="s">
        <v>407</v>
      </c>
    </row>
    <row r="148" spans="1:1" x14ac:dyDescent="0.25">
      <c r="A148" s="146" t="s">
        <v>408</v>
      </c>
    </row>
    <row r="149" spans="1:1" x14ac:dyDescent="0.25">
      <c r="A149" s="146" t="s">
        <v>409</v>
      </c>
    </row>
    <row r="150" spans="1:1" x14ac:dyDescent="0.25">
      <c r="A150" s="146" t="s">
        <v>410</v>
      </c>
    </row>
    <row r="151" spans="1:1" x14ac:dyDescent="0.25">
      <c r="A151" s="146" t="s">
        <v>411</v>
      </c>
    </row>
    <row r="152" spans="1:1" x14ac:dyDescent="0.25">
      <c r="A152" s="146" t="s">
        <v>412</v>
      </c>
    </row>
    <row r="153" spans="1:1" x14ac:dyDescent="0.25">
      <c r="A153" s="146" t="s">
        <v>413</v>
      </c>
    </row>
    <row r="154" spans="1:1" x14ac:dyDescent="0.25">
      <c r="A154" s="146" t="s">
        <v>414</v>
      </c>
    </row>
    <row r="155" spans="1:1" x14ac:dyDescent="0.25">
      <c r="A155" s="146" t="s">
        <v>415</v>
      </c>
    </row>
    <row r="156" spans="1:1" x14ac:dyDescent="0.25">
      <c r="A156" s="146" t="s">
        <v>416</v>
      </c>
    </row>
    <row r="157" spans="1:1" x14ac:dyDescent="0.25">
      <c r="A157" s="146" t="s">
        <v>417</v>
      </c>
    </row>
    <row r="158" spans="1:1" x14ac:dyDescent="0.25">
      <c r="A158" s="146" t="s">
        <v>418</v>
      </c>
    </row>
    <row r="159" spans="1:1" x14ac:dyDescent="0.25">
      <c r="A159" s="146" t="s">
        <v>419</v>
      </c>
    </row>
    <row r="160" spans="1:1" x14ac:dyDescent="0.25">
      <c r="A160" s="146" t="s">
        <v>420</v>
      </c>
    </row>
    <row r="161" spans="1:1" x14ac:dyDescent="0.25">
      <c r="A161" s="146" t="s">
        <v>421</v>
      </c>
    </row>
    <row r="162" spans="1:1" x14ac:dyDescent="0.25">
      <c r="A162" s="146" t="s">
        <v>422</v>
      </c>
    </row>
    <row r="163" spans="1:1" x14ac:dyDescent="0.25">
      <c r="A163" s="146" t="s">
        <v>423</v>
      </c>
    </row>
    <row r="164" spans="1:1" x14ac:dyDescent="0.25">
      <c r="A164" s="146" t="s">
        <v>4570</v>
      </c>
    </row>
    <row r="165" spans="1:1" x14ac:dyDescent="0.25">
      <c r="A165" s="146" t="s">
        <v>384</v>
      </c>
    </row>
    <row r="166" spans="1:1" x14ac:dyDescent="0.25">
      <c r="A166" s="146"/>
    </row>
    <row r="167" spans="1:1" x14ac:dyDescent="0.25">
      <c r="A167" s="146" t="s">
        <v>279</v>
      </c>
    </row>
    <row r="168" spans="1:1" x14ac:dyDescent="0.25">
      <c r="A168" s="146" t="s">
        <v>404</v>
      </c>
    </row>
    <row r="169" spans="1:1" x14ac:dyDescent="0.25">
      <c r="A169" s="146" t="s">
        <v>405</v>
      </c>
    </row>
    <row r="170" spans="1:1" x14ac:dyDescent="0.25">
      <c r="A170" s="146" t="s">
        <v>406</v>
      </c>
    </row>
    <row r="171" spans="1:1" x14ac:dyDescent="0.25">
      <c r="A171" s="146" t="s">
        <v>424</v>
      </c>
    </row>
    <row r="172" spans="1:1" x14ac:dyDescent="0.25">
      <c r="A172" s="146" t="s">
        <v>408</v>
      </c>
    </row>
    <row r="173" spans="1:1" x14ac:dyDescent="0.25">
      <c r="A173" s="146" t="s">
        <v>409</v>
      </c>
    </row>
    <row r="174" spans="1:1" x14ac:dyDescent="0.25">
      <c r="A174" s="146" t="s">
        <v>410</v>
      </c>
    </row>
    <row r="175" spans="1:1" x14ac:dyDescent="0.25">
      <c r="A175" s="146" t="s">
        <v>425</v>
      </c>
    </row>
    <row r="176" spans="1:1" x14ac:dyDescent="0.25">
      <c r="A176" s="146" t="s">
        <v>412</v>
      </c>
    </row>
    <row r="177" spans="1:1" x14ac:dyDescent="0.25">
      <c r="A177" s="146" t="s">
        <v>413</v>
      </c>
    </row>
    <row r="178" spans="1:1" x14ac:dyDescent="0.25">
      <c r="A178" s="146" t="s">
        <v>414</v>
      </c>
    </row>
    <row r="179" spans="1:1" x14ac:dyDescent="0.25">
      <c r="A179" s="146" t="s">
        <v>426</v>
      </c>
    </row>
    <row r="180" spans="1:1" x14ac:dyDescent="0.25">
      <c r="A180" s="146" t="s">
        <v>416</v>
      </c>
    </row>
    <row r="181" spans="1:1" x14ac:dyDescent="0.25">
      <c r="A181" s="146" t="s">
        <v>417</v>
      </c>
    </row>
    <row r="182" spans="1:1" x14ac:dyDescent="0.25">
      <c r="A182" s="146" t="s">
        <v>418</v>
      </c>
    </row>
    <row r="183" spans="1:1" x14ac:dyDescent="0.25">
      <c r="A183" s="146" t="s">
        <v>427</v>
      </c>
    </row>
    <row r="184" spans="1:1" x14ac:dyDescent="0.25">
      <c r="A184" s="146" t="s">
        <v>420</v>
      </c>
    </row>
    <row r="185" spans="1:1" x14ac:dyDescent="0.25">
      <c r="A185" s="146" t="s">
        <v>421</v>
      </c>
    </row>
    <row r="186" spans="1:1" x14ac:dyDescent="0.25">
      <c r="A186" s="146" t="s">
        <v>422</v>
      </c>
    </row>
    <row r="187" spans="1:1" x14ac:dyDescent="0.25">
      <c r="A187" s="146" t="s">
        <v>428</v>
      </c>
    </row>
    <row r="188" spans="1:1" x14ac:dyDescent="0.25">
      <c r="A188" s="146" t="s">
        <v>4570</v>
      </c>
    </row>
    <row r="189" spans="1:1" x14ac:dyDescent="0.25">
      <c r="A189" s="146" t="s">
        <v>370</v>
      </c>
    </row>
    <row r="190" spans="1:1" x14ac:dyDescent="0.25">
      <c r="A190" s="146"/>
    </row>
    <row r="191" spans="1:1" x14ac:dyDescent="0.25">
      <c r="A191" s="146" t="s">
        <v>280</v>
      </c>
    </row>
    <row r="192" spans="1:1" x14ac:dyDescent="0.25">
      <c r="A192" s="146" t="s">
        <v>281</v>
      </c>
    </row>
    <row r="193" spans="1:1" x14ac:dyDescent="0.25">
      <c r="A193" s="146"/>
    </row>
    <row r="194" spans="1:1" x14ac:dyDescent="0.25">
      <c r="A194" s="250" t="s">
        <v>4594</v>
      </c>
    </row>
    <row r="195" spans="1:1" x14ac:dyDescent="0.25">
      <c r="A195" s="146" t="s">
        <v>282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311"/>
  <sheetViews>
    <sheetView workbookViewId="0">
      <selection activeCell="B1" sqref="B1"/>
    </sheetView>
  </sheetViews>
  <sheetFormatPr defaultRowHeight="15" x14ac:dyDescent="0.25"/>
  <cols>
    <col min="1" max="1" width="45.7109375" style="188" bestFit="1" customWidth="1"/>
    <col min="2" max="2" width="19" style="188" bestFit="1" customWidth="1"/>
    <col min="3" max="3" width="15.28515625" style="188" bestFit="1" customWidth="1"/>
    <col min="4" max="4" width="13.5703125" style="188" bestFit="1" customWidth="1"/>
    <col min="5" max="5" width="9.140625" style="188" bestFit="1" customWidth="1"/>
    <col min="6" max="6" width="10.5703125" style="188" bestFit="1" customWidth="1"/>
    <col min="7" max="16384" width="9.140625" style="146"/>
  </cols>
  <sheetData>
    <row r="1" spans="1:6" x14ac:dyDescent="0.25">
      <c r="A1" s="190" t="str">
        <f>B1&amp;C1&amp;D1&amp;F1</f>
        <v>FACILITYBEGIN_STATIONEND_STATIONDIRECTION</v>
      </c>
      <c r="B1" s="194" t="s">
        <v>65</v>
      </c>
      <c r="C1" s="194" t="s">
        <v>67</v>
      </c>
      <c r="D1" s="194" t="s">
        <v>68</v>
      </c>
      <c r="E1" s="194" t="s">
        <v>581</v>
      </c>
      <c r="F1" s="194" t="s">
        <v>69</v>
      </c>
    </row>
    <row r="2" spans="1:6" x14ac:dyDescent="0.25">
      <c r="A2" s="189" t="str">
        <f>B2&amp;C2&amp;D2&amp;F2</f>
        <v>AA-CO 14760.691.57E</v>
      </c>
      <c r="B2" s="195" t="s">
        <v>582</v>
      </c>
      <c r="C2" s="196">
        <v>0.69</v>
      </c>
      <c r="D2" s="196">
        <v>1.57</v>
      </c>
      <c r="E2" s="195" t="s">
        <v>583</v>
      </c>
      <c r="F2" s="195" t="s">
        <v>19</v>
      </c>
    </row>
    <row r="3" spans="1:6" x14ac:dyDescent="0.25">
      <c r="A3" s="189" t="str">
        <f t="shared" ref="A3:A66" si="0">B3&amp;C3&amp;D3&amp;F3</f>
        <v>AA-CO 14760.691.57W</v>
      </c>
      <c r="B3" s="195" t="s">
        <v>582</v>
      </c>
      <c r="C3" s="196">
        <v>0.69</v>
      </c>
      <c r="D3" s="196">
        <v>1.57</v>
      </c>
      <c r="E3" s="195" t="s">
        <v>583</v>
      </c>
      <c r="F3" s="195" t="s">
        <v>432</v>
      </c>
    </row>
    <row r="4" spans="1:6" x14ac:dyDescent="0.25">
      <c r="A4" s="189" t="str">
        <f t="shared" si="0"/>
        <v>AA-CO 220900.66N</v>
      </c>
      <c r="B4" s="195" t="s">
        <v>584</v>
      </c>
      <c r="C4" s="196">
        <v>0</v>
      </c>
      <c r="D4" s="196">
        <v>0.66</v>
      </c>
      <c r="E4" s="195" t="s">
        <v>583</v>
      </c>
      <c r="F4" s="195" t="s">
        <v>430</v>
      </c>
    </row>
    <row r="5" spans="1:6" x14ac:dyDescent="0.25">
      <c r="A5" s="189" t="str">
        <f t="shared" si="0"/>
        <v>AA-CO 220900.66S</v>
      </c>
      <c r="B5" s="195" t="s">
        <v>584</v>
      </c>
      <c r="C5" s="196">
        <v>0</v>
      </c>
      <c r="D5" s="196">
        <v>0.66</v>
      </c>
      <c r="E5" s="195" t="s">
        <v>583</v>
      </c>
      <c r="F5" s="195" t="s">
        <v>438</v>
      </c>
    </row>
    <row r="6" spans="1:6" x14ac:dyDescent="0.25">
      <c r="A6" s="189" t="str">
        <f t="shared" si="0"/>
        <v>AA-CO 464500.35E</v>
      </c>
      <c r="B6" s="195" t="s">
        <v>585</v>
      </c>
      <c r="C6" s="196">
        <v>0</v>
      </c>
      <c r="D6" s="196">
        <v>0.35</v>
      </c>
      <c r="E6" s="195" t="s">
        <v>583</v>
      </c>
      <c r="F6" s="195" t="s">
        <v>19</v>
      </c>
    </row>
    <row r="7" spans="1:6" x14ac:dyDescent="0.25">
      <c r="A7" s="189" t="str">
        <f t="shared" si="0"/>
        <v>AA-CO 464500.35W</v>
      </c>
      <c r="B7" s="195" t="s">
        <v>585</v>
      </c>
      <c r="C7" s="196">
        <v>0</v>
      </c>
      <c r="D7" s="196">
        <v>0.35</v>
      </c>
      <c r="E7" s="195" t="s">
        <v>583</v>
      </c>
      <c r="F7" s="195" t="s">
        <v>432</v>
      </c>
    </row>
    <row r="8" spans="1:6" x14ac:dyDescent="0.25">
      <c r="A8" s="189" t="str">
        <f t="shared" si="0"/>
        <v>AA-CO 517502.84E</v>
      </c>
      <c r="B8" s="195" t="s">
        <v>586</v>
      </c>
      <c r="C8" s="196">
        <v>0</v>
      </c>
      <c r="D8" s="196">
        <v>2.84</v>
      </c>
      <c r="E8" s="195" t="s">
        <v>583</v>
      </c>
      <c r="F8" s="195" t="s">
        <v>19</v>
      </c>
    </row>
    <row r="9" spans="1:6" x14ac:dyDescent="0.25">
      <c r="A9" s="189" t="str">
        <f t="shared" si="0"/>
        <v>AA-CO 517502.84W</v>
      </c>
      <c r="B9" s="195" t="s">
        <v>586</v>
      </c>
      <c r="C9" s="196">
        <v>0</v>
      </c>
      <c r="D9" s="196">
        <v>2.84</v>
      </c>
      <c r="E9" s="195" t="s">
        <v>583</v>
      </c>
      <c r="F9" s="195" t="s">
        <v>432</v>
      </c>
    </row>
    <row r="10" spans="1:6" x14ac:dyDescent="0.25">
      <c r="A10" s="189" t="str">
        <f t="shared" si="0"/>
        <v>AA-CO 546402.29N</v>
      </c>
      <c r="B10" s="195" t="s">
        <v>587</v>
      </c>
      <c r="C10" s="196">
        <v>0</v>
      </c>
      <c r="D10" s="196">
        <v>2.29</v>
      </c>
      <c r="E10" s="195" t="s">
        <v>583</v>
      </c>
      <c r="F10" s="195" t="s">
        <v>430</v>
      </c>
    </row>
    <row r="11" spans="1:6" x14ac:dyDescent="0.25">
      <c r="A11" s="189" t="str">
        <f t="shared" si="0"/>
        <v>AA-CO 546402.29S</v>
      </c>
      <c r="B11" s="195" t="s">
        <v>587</v>
      </c>
      <c r="C11" s="196">
        <v>0</v>
      </c>
      <c r="D11" s="196">
        <v>2.29</v>
      </c>
      <c r="E11" s="195" t="s">
        <v>583</v>
      </c>
      <c r="F11" s="195" t="s">
        <v>438</v>
      </c>
    </row>
    <row r="12" spans="1:6" x14ac:dyDescent="0.25">
      <c r="A12" s="189" t="str">
        <f t="shared" si="0"/>
        <v>AA-GV 714 RP2-1000.19N</v>
      </c>
      <c r="B12" s="195" t="s">
        <v>588</v>
      </c>
      <c r="C12" s="196">
        <v>0</v>
      </c>
      <c r="D12" s="196">
        <v>0.19</v>
      </c>
      <c r="E12" s="195" t="s">
        <v>589</v>
      </c>
      <c r="F12" s="195" t="s">
        <v>430</v>
      </c>
    </row>
    <row r="13" spans="1:6" x14ac:dyDescent="0.25">
      <c r="A13" s="189" t="str">
        <f t="shared" si="0"/>
        <v>AA-IS 195 RP1-100.04N</v>
      </c>
      <c r="B13" s="195" t="s">
        <v>590</v>
      </c>
      <c r="C13" s="196">
        <v>0</v>
      </c>
      <c r="D13" s="196">
        <v>0.04</v>
      </c>
      <c r="E13" s="195" t="s">
        <v>589</v>
      </c>
      <c r="F13" s="195" t="s">
        <v>430</v>
      </c>
    </row>
    <row r="14" spans="1:6" x14ac:dyDescent="0.25">
      <c r="A14" s="189" t="str">
        <f t="shared" si="0"/>
        <v>AA-IS 195 RP1-200.28N</v>
      </c>
      <c r="B14" s="195" t="s">
        <v>591</v>
      </c>
      <c r="C14" s="196">
        <v>0</v>
      </c>
      <c r="D14" s="196">
        <v>0.28000000000000003</v>
      </c>
      <c r="E14" s="195" t="s">
        <v>589</v>
      </c>
      <c r="F14" s="195" t="s">
        <v>430</v>
      </c>
    </row>
    <row r="15" spans="1:6" x14ac:dyDescent="0.25">
      <c r="A15" s="189" t="str">
        <f t="shared" si="0"/>
        <v>AA-IS 195 RP2-100.27W</v>
      </c>
      <c r="B15" s="195" t="s">
        <v>592</v>
      </c>
      <c r="C15" s="196">
        <v>0</v>
      </c>
      <c r="D15" s="196">
        <v>0.27</v>
      </c>
      <c r="E15" s="195" t="s">
        <v>593</v>
      </c>
      <c r="F15" s="195" t="s">
        <v>432</v>
      </c>
    </row>
    <row r="16" spans="1:6" x14ac:dyDescent="0.25">
      <c r="A16" s="189" t="str">
        <f t="shared" si="0"/>
        <v>AA-IS 195 RP2-200.43S</v>
      </c>
      <c r="B16" s="195" t="s">
        <v>594</v>
      </c>
      <c r="C16" s="196">
        <v>0</v>
      </c>
      <c r="D16" s="196">
        <v>0.43</v>
      </c>
      <c r="E16" s="195" t="s">
        <v>595</v>
      </c>
      <c r="F16" s="195" t="s">
        <v>438</v>
      </c>
    </row>
    <row r="17" spans="1:6" x14ac:dyDescent="0.25">
      <c r="A17" s="189" t="str">
        <f t="shared" si="0"/>
        <v>AA-IS 195 RP3-100.14N</v>
      </c>
      <c r="B17" s="195" t="s">
        <v>596</v>
      </c>
      <c r="C17" s="196">
        <v>0</v>
      </c>
      <c r="D17" s="196">
        <v>0.14000000000000001</v>
      </c>
      <c r="E17" s="195" t="s">
        <v>589</v>
      </c>
      <c r="F17" s="195" t="s">
        <v>430</v>
      </c>
    </row>
    <row r="18" spans="1:6" x14ac:dyDescent="0.25">
      <c r="A18" s="189" t="str">
        <f t="shared" si="0"/>
        <v>AA-IS 195 RP3-200.25E</v>
      </c>
      <c r="B18" s="195" t="s">
        <v>597</v>
      </c>
      <c r="C18" s="196">
        <v>0</v>
      </c>
      <c r="D18" s="196">
        <v>0.25</v>
      </c>
      <c r="E18" s="195" t="s">
        <v>598</v>
      </c>
      <c r="F18" s="195" t="s">
        <v>19</v>
      </c>
    </row>
    <row r="19" spans="1:6" x14ac:dyDescent="0.25">
      <c r="A19" s="189" t="str">
        <f t="shared" si="0"/>
        <v>AA-IS 195 RP4-100.18N</v>
      </c>
      <c r="B19" s="195" t="s">
        <v>599</v>
      </c>
      <c r="C19" s="196">
        <v>0</v>
      </c>
      <c r="D19" s="196">
        <v>0.18</v>
      </c>
      <c r="E19" s="195" t="s">
        <v>589</v>
      </c>
      <c r="F19" s="195" t="s">
        <v>430</v>
      </c>
    </row>
    <row r="20" spans="1:6" x14ac:dyDescent="0.25">
      <c r="A20" s="189" t="str">
        <f t="shared" si="0"/>
        <v>AA-IS 195 RP4-200.68N</v>
      </c>
      <c r="B20" s="195" t="s">
        <v>600</v>
      </c>
      <c r="C20" s="196">
        <v>0</v>
      </c>
      <c r="D20" s="196">
        <v>0.68</v>
      </c>
      <c r="E20" s="195" t="s">
        <v>589</v>
      </c>
      <c r="F20" s="195" t="s">
        <v>430</v>
      </c>
    </row>
    <row r="21" spans="1:6" x14ac:dyDescent="0.25">
      <c r="A21" s="189" t="str">
        <f t="shared" si="0"/>
        <v>AA-IS 195 RP5-100.16S</v>
      </c>
      <c r="B21" s="195" t="s">
        <v>601</v>
      </c>
      <c r="C21" s="196">
        <v>0</v>
      </c>
      <c r="D21" s="196">
        <v>0.16</v>
      </c>
      <c r="E21" s="195" t="s">
        <v>595</v>
      </c>
      <c r="F21" s="195" t="s">
        <v>438</v>
      </c>
    </row>
    <row r="22" spans="1:6" x14ac:dyDescent="0.25">
      <c r="A22" s="189" t="str">
        <f t="shared" si="0"/>
        <v>AA-IS 195 RP5-200.36S</v>
      </c>
      <c r="B22" s="195" t="s">
        <v>602</v>
      </c>
      <c r="C22" s="196">
        <v>0</v>
      </c>
      <c r="D22" s="196">
        <v>0.36</v>
      </c>
      <c r="E22" s="195" t="s">
        <v>595</v>
      </c>
      <c r="F22" s="195" t="s">
        <v>438</v>
      </c>
    </row>
    <row r="23" spans="1:6" x14ac:dyDescent="0.25">
      <c r="A23" s="189" t="str">
        <f t="shared" si="0"/>
        <v>AA-IS 195 RP6-100.24E</v>
      </c>
      <c r="B23" s="195" t="s">
        <v>603</v>
      </c>
      <c r="C23" s="196">
        <v>0</v>
      </c>
      <c r="D23" s="196">
        <v>0.24</v>
      </c>
      <c r="E23" s="195" t="s">
        <v>598</v>
      </c>
      <c r="F23" s="195" t="s">
        <v>19</v>
      </c>
    </row>
    <row r="24" spans="1:6" x14ac:dyDescent="0.25">
      <c r="A24" s="189" t="str">
        <f t="shared" si="0"/>
        <v>AA-IS 195 RP6-200.55E</v>
      </c>
      <c r="B24" s="195" t="s">
        <v>604</v>
      </c>
      <c r="C24" s="196">
        <v>0</v>
      </c>
      <c r="D24" s="196">
        <v>0.55000000000000004</v>
      </c>
      <c r="E24" s="195" t="s">
        <v>598</v>
      </c>
      <c r="F24" s="195" t="s">
        <v>19</v>
      </c>
    </row>
    <row r="25" spans="1:6" x14ac:dyDescent="0.25">
      <c r="A25" s="189" t="str">
        <f t="shared" si="0"/>
        <v>AA-IS 195 RP7-100.05S</v>
      </c>
      <c r="B25" s="195" t="s">
        <v>605</v>
      </c>
      <c r="C25" s="196">
        <v>0</v>
      </c>
      <c r="D25" s="196">
        <v>0.05</v>
      </c>
      <c r="E25" s="195" t="s">
        <v>595</v>
      </c>
      <c r="F25" s="195" t="s">
        <v>438</v>
      </c>
    </row>
    <row r="26" spans="1:6" x14ac:dyDescent="0.25">
      <c r="A26" s="189" t="str">
        <f t="shared" si="0"/>
        <v>AA-IS 195 RP7-200.87S</v>
      </c>
      <c r="B26" s="195" t="s">
        <v>606</v>
      </c>
      <c r="C26" s="196">
        <v>0</v>
      </c>
      <c r="D26" s="196">
        <v>0.87</v>
      </c>
      <c r="E26" s="195" t="s">
        <v>595</v>
      </c>
      <c r="F26" s="195" t="s">
        <v>438</v>
      </c>
    </row>
    <row r="27" spans="1:6" x14ac:dyDescent="0.25">
      <c r="A27" s="189" t="str">
        <f t="shared" si="0"/>
        <v>AA-IS 195 RP8-100.18S</v>
      </c>
      <c r="B27" s="195" t="s">
        <v>607</v>
      </c>
      <c r="C27" s="196">
        <v>0</v>
      </c>
      <c r="D27" s="196">
        <v>0.18</v>
      </c>
      <c r="E27" s="195" t="s">
        <v>595</v>
      </c>
      <c r="F27" s="195" t="s">
        <v>438</v>
      </c>
    </row>
    <row r="28" spans="1:6" x14ac:dyDescent="0.25">
      <c r="A28" s="189" t="str">
        <f t="shared" si="0"/>
        <v>AA-IS 195 RP8-200.51S</v>
      </c>
      <c r="B28" s="195" t="s">
        <v>608</v>
      </c>
      <c r="C28" s="196">
        <v>0</v>
      </c>
      <c r="D28" s="196">
        <v>0.51</v>
      </c>
      <c r="E28" s="195" t="s">
        <v>595</v>
      </c>
      <c r="F28" s="195" t="s">
        <v>438</v>
      </c>
    </row>
    <row r="29" spans="1:6" x14ac:dyDescent="0.25">
      <c r="A29" s="189" t="str">
        <f t="shared" si="0"/>
        <v>AA-IS 595 RP10-2100.9E</v>
      </c>
      <c r="B29" s="195" t="s">
        <v>609</v>
      </c>
      <c r="C29" s="196">
        <v>0</v>
      </c>
      <c r="D29" s="196">
        <v>0.9</v>
      </c>
      <c r="E29" s="195" t="s">
        <v>598</v>
      </c>
      <c r="F29" s="195" t="s">
        <v>19</v>
      </c>
    </row>
    <row r="30" spans="1:6" x14ac:dyDescent="0.25">
      <c r="A30" s="189" t="str">
        <f t="shared" si="0"/>
        <v>AA-IS 595 RP11-2101.31W</v>
      </c>
      <c r="B30" s="195" t="s">
        <v>610</v>
      </c>
      <c r="C30" s="196">
        <v>0</v>
      </c>
      <c r="D30" s="196">
        <v>1.31</v>
      </c>
      <c r="E30" s="195" t="s">
        <v>593</v>
      </c>
      <c r="F30" s="195" t="s">
        <v>432</v>
      </c>
    </row>
    <row r="31" spans="1:6" x14ac:dyDescent="0.25">
      <c r="A31" s="189" t="str">
        <f t="shared" si="0"/>
        <v>AA-IS 595 RP1-1600.07N</v>
      </c>
      <c r="B31" s="195" t="s">
        <v>611</v>
      </c>
      <c r="C31" s="196">
        <v>0</v>
      </c>
      <c r="D31" s="196">
        <v>7.0000000000000007E-2</v>
      </c>
      <c r="E31" s="195" t="s">
        <v>589</v>
      </c>
      <c r="F31" s="195" t="s">
        <v>430</v>
      </c>
    </row>
    <row r="32" spans="1:6" x14ac:dyDescent="0.25">
      <c r="A32" s="189" t="str">
        <f t="shared" si="0"/>
        <v>AA-IS 595 RP1-2200.02S</v>
      </c>
      <c r="B32" s="195" t="s">
        <v>612</v>
      </c>
      <c r="C32" s="196">
        <v>0</v>
      </c>
      <c r="D32" s="196">
        <v>0.02</v>
      </c>
      <c r="E32" s="195" t="s">
        <v>595</v>
      </c>
      <c r="F32" s="195" t="s">
        <v>438</v>
      </c>
    </row>
    <row r="33" spans="1:6" x14ac:dyDescent="0.25">
      <c r="A33" s="189" t="str">
        <f t="shared" si="0"/>
        <v>AA-IS 595 RP1-2300.29N</v>
      </c>
      <c r="B33" s="195" t="s">
        <v>613</v>
      </c>
      <c r="C33" s="196">
        <v>0</v>
      </c>
      <c r="D33" s="196">
        <v>0.28999999999999998</v>
      </c>
      <c r="E33" s="195" t="s">
        <v>589</v>
      </c>
      <c r="F33" s="195" t="s">
        <v>430</v>
      </c>
    </row>
    <row r="34" spans="1:6" x14ac:dyDescent="0.25">
      <c r="A34" s="189" t="str">
        <f t="shared" si="0"/>
        <v>AA-IS 595 RP1-2400.28N</v>
      </c>
      <c r="B34" s="195" t="s">
        <v>614</v>
      </c>
      <c r="C34" s="196">
        <v>0</v>
      </c>
      <c r="D34" s="196">
        <v>0.28000000000000003</v>
      </c>
      <c r="E34" s="195" t="s">
        <v>589</v>
      </c>
      <c r="F34" s="195" t="s">
        <v>430</v>
      </c>
    </row>
    <row r="35" spans="1:6" x14ac:dyDescent="0.25">
      <c r="A35" s="189" t="str">
        <f t="shared" si="0"/>
        <v>AA-IS 595 RP2-1600.53W</v>
      </c>
      <c r="B35" s="195" t="s">
        <v>615</v>
      </c>
      <c r="C35" s="196">
        <v>0</v>
      </c>
      <c r="D35" s="196">
        <v>0.53</v>
      </c>
      <c r="E35" s="195" t="s">
        <v>593</v>
      </c>
      <c r="F35" s="195" t="s">
        <v>432</v>
      </c>
    </row>
    <row r="36" spans="1:6" x14ac:dyDescent="0.25">
      <c r="A36" s="189" t="str">
        <f t="shared" si="0"/>
        <v>AA-IS 595 RP2-2200.03N</v>
      </c>
      <c r="B36" s="195" t="s">
        <v>616</v>
      </c>
      <c r="C36" s="196">
        <v>0</v>
      </c>
      <c r="D36" s="196">
        <v>0.03</v>
      </c>
      <c r="E36" s="195" t="s">
        <v>589</v>
      </c>
      <c r="F36" s="195" t="s">
        <v>430</v>
      </c>
    </row>
    <row r="37" spans="1:6" x14ac:dyDescent="0.25">
      <c r="A37" s="189" t="str">
        <f t="shared" si="0"/>
        <v>AA-IS 595 RP2-2400.2W</v>
      </c>
      <c r="B37" s="195" t="s">
        <v>617</v>
      </c>
      <c r="C37" s="196">
        <v>0</v>
      </c>
      <c r="D37" s="196">
        <v>0.2</v>
      </c>
      <c r="E37" s="195" t="s">
        <v>593</v>
      </c>
      <c r="F37" s="195" t="s">
        <v>432</v>
      </c>
    </row>
    <row r="38" spans="1:6" x14ac:dyDescent="0.25">
      <c r="A38" s="189" t="str">
        <f t="shared" si="0"/>
        <v>AA-IS 595 RP3-1600.08E</v>
      </c>
      <c r="B38" s="195" t="s">
        <v>618</v>
      </c>
      <c r="C38" s="196">
        <v>0</v>
      </c>
      <c r="D38" s="196">
        <v>0.08</v>
      </c>
      <c r="E38" s="195" t="s">
        <v>598</v>
      </c>
      <c r="F38" s="195" t="s">
        <v>19</v>
      </c>
    </row>
    <row r="39" spans="1:6" x14ac:dyDescent="0.25">
      <c r="A39" s="189" t="str">
        <f t="shared" si="0"/>
        <v>AA-IS 595 RP3-2200.2E</v>
      </c>
      <c r="B39" s="195" t="s">
        <v>619</v>
      </c>
      <c r="C39" s="196">
        <v>0</v>
      </c>
      <c r="D39" s="196">
        <v>0.2</v>
      </c>
      <c r="E39" s="195" t="s">
        <v>598</v>
      </c>
      <c r="F39" s="195" t="s">
        <v>19</v>
      </c>
    </row>
    <row r="40" spans="1:6" x14ac:dyDescent="0.25">
      <c r="A40" s="189" t="str">
        <f t="shared" si="0"/>
        <v>AA-IS 595 RP3-2400.28E</v>
      </c>
      <c r="B40" s="195" t="s">
        <v>620</v>
      </c>
      <c r="C40" s="196">
        <v>0</v>
      </c>
      <c r="D40" s="196">
        <v>0.28000000000000003</v>
      </c>
      <c r="E40" s="195" t="s">
        <v>598</v>
      </c>
      <c r="F40" s="195" t="s">
        <v>19</v>
      </c>
    </row>
    <row r="41" spans="1:6" x14ac:dyDescent="0.25">
      <c r="A41" s="189" t="str">
        <f t="shared" si="0"/>
        <v>AA-IS 595 RP4-1600.33S</v>
      </c>
      <c r="B41" s="195" t="s">
        <v>621</v>
      </c>
      <c r="C41" s="196">
        <v>0</v>
      </c>
      <c r="D41" s="196">
        <v>0.33</v>
      </c>
      <c r="E41" s="195" t="s">
        <v>595</v>
      </c>
      <c r="F41" s="195" t="s">
        <v>438</v>
      </c>
    </row>
    <row r="42" spans="1:6" x14ac:dyDescent="0.25">
      <c r="A42" s="189" t="str">
        <f t="shared" si="0"/>
        <v>AA-IS 595 RP4-2200.11N</v>
      </c>
      <c r="B42" s="195" t="s">
        <v>622</v>
      </c>
      <c r="C42" s="196">
        <v>0</v>
      </c>
      <c r="D42" s="196">
        <v>0.11</v>
      </c>
      <c r="E42" s="195" t="s">
        <v>589</v>
      </c>
      <c r="F42" s="195" t="s">
        <v>430</v>
      </c>
    </row>
    <row r="43" spans="1:6" x14ac:dyDescent="0.25">
      <c r="A43" s="189" t="str">
        <f t="shared" si="0"/>
        <v>AA-IS 595 RP4-2300.25N</v>
      </c>
      <c r="B43" s="195" t="s">
        <v>623</v>
      </c>
      <c r="C43" s="196">
        <v>0</v>
      </c>
      <c r="D43" s="196">
        <v>0.25</v>
      </c>
      <c r="E43" s="195" t="s">
        <v>589</v>
      </c>
      <c r="F43" s="195" t="s">
        <v>430</v>
      </c>
    </row>
    <row r="44" spans="1:6" x14ac:dyDescent="0.25">
      <c r="A44" s="189" t="str">
        <f t="shared" si="0"/>
        <v>AA-IS 595 RP4-2400.3N</v>
      </c>
      <c r="B44" s="195" t="s">
        <v>624</v>
      </c>
      <c r="C44" s="196">
        <v>0</v>
      </c>
      <c r="D44" s="196">
        <v>0.3</v>
      </c>
      <c r="E44" s="195" t="s">
        <v>589</v>
      </c>
      <c r="F44" s="195" t="s">
        <v>430</v>
      </c>
    </row>
    <row r="45" spans="1:6" x14ac:dyDescent="0.25">
      <c r="A45" s="189" t="str">
        <f t="shared" si="0"/>
        <v>AA-IS 595 RP5-1600.13S</v>
      </c>
      <c r="B45" s="195" t="s">
        <v>625</v>
      </c>
      <c r="C45" s="196">
        <v>0</v>
      </c>
      <c r="D45" s="196">
        <v>0.13</v>
      </c>
      <c r="E45" s="195" t="s">
        <v>595</v>
      </c>
      <c r="F45" s="195" t="s">
        <v>438</v>
      </c>
    </row>
    <row r="46" spans="1:6" x14ac:dyDescent="0.25">
      <c r="A46" s="189" t="str">
        <f t="shared" si="0"/>
        <v>AA-IS 595 RP5-2200.03N</v>
      </c>
      <c r="B46" s="195" t="s">
        <v>626</v>
      </c>
      <c r="C46" s="196">
        <v>0</v>
      </c>
      <c r="D46" s="196">
        <v>0.03</v>
      </c>
      <c r="E46" s="195" t="s">
        <v>589</v>
      </c>
      <c r="F46" s="195" t="s">
        <v>430</v>
      </c>
    </row>
    <row r="47" spans="1:6" x14ac:dyDescent="0.25">
      <c r="A47" s="189" t="str">
        <f t="shared" si="0"/>
        <v>AA-IS 595 RP5-2300.17S</v>
      </c>
      <c r="B47" s="195" t="s">
        <v>627</v>
      </c>
      <c r="C47" s="196">
        <v>0</v>
      </c>
      <c r="D47" s="196">
        <v>0.17</v>
      </c>
      <c r="E47" s="195" t="s">
        <v>595</v>
      </c>
      <c r="F47" s="195" t="s">
        <v>438</v>
      </c>
    </row>
    <row r="48" spans="1:6" x14ac:dyDescent="0.25">
      <c r="A48" s="189" t="str">
        <f t="shared" si="0"/>
        <v>AA-IS 595 RP5-2400.05N</v>
      </c>
      <c r="B48" s="195" t="s">
        <v>628</v>
      </c>
      <c r="C48" s="196">
        <v>0</v>
      </c>
      <c r="D48" s="196">
        <v>0.05</v>
      </c>
      <c r="E48" s="195" t="s">
        <v>589</v>
      </c>
      <c r="F48" s="195" t="s">
        <v>430</v>
      </c>
    </row>
    <row r="49" spans="1:6" x14ac:dyDescent="0.25">
      <c r="A49" s="189" t="str">
        <f t="shared" si="0"/>
        <v>AA-IS 595 RP6-1600.63E</v>
      </c>
      <c r="B49" s="195" t="s">
        <v>629</v>
      </c>
      <c r="C49" s="196">
        <v>0</v>
      </c>
      <c r="D49" s="196">
        <v>0.63</v>
      </c>
      <c r="E49" s="195" t="s">
        <v>598</v>
      </c>
      <c r="F49" s="195" t="s">
        <v>19</v>
      </c>
    </row>
    <row r="50" spans="1:6" x14ac:dyDescent="0.25">
      <c r="A50" s="189" t="str">
        <f t="shared" si="0"/>
        <v>AA-IS 595 RP6-2200.04S</v>
      </c>
      <c r="B50" s="195" t="s">
        <v>630</v>
      </c>
      <c r="C50" s="196">
        <v>0</v>
      </c>
      <c r="D50" s="196">
        <v>0.04</v>
      </c>
      <c r="E50" s="195" t="s">
        <v>595</v>
      </c>
      <c r="F50" s="195" t="s">
        <v>438</v>
      </c>
    </row>
    <row r="51" spans="1:6" x14ac:dyDescent="0.25">
      <c r="A51" s="189" t="str">
        <f t="shared" si="0"/>
        <v>AA-IS 595 RP6-2400.19S</v>
      </c>
      <c r="B51" s="195" t="s">
        <v>631</v>
      </c>
      <c r="C51" s="196">
        <v>0</v>
      </c>
      <c r="D51" s="196">
        <v>0.19</v>
      </c>
      <c r="E51" s="195" t="s">
        <v>595</v>
      </c>
      <c r="F51" s="195" t="s">
        <v>438</v>
      </c>
    </row>
    <row r="52" spans="1:6" x14ac:dyDescent="0.25">
      <c r="A52" s="189" t="str">
        <f t="shared" si="0"/>
        <v>AA-IS 595 RP7-1600.03S</v>
      </c>
      <c r="B52" s="195" t="s">
        <v>632</v>
      </c>
      <c r="C52" s="196">
        <v>0</v>
      </c>
      <c r="D52" s="196">
        <v>0.03</v>
      </c>
      <c r="E52" s="195" t="s">
        <v>595</v>
      </c>
      <c r="F52" s="195" t="s">
        <v>438</v>
      </c>
    </row>
    <row r="53" spans="1:6" x14ac:dyDescent="0.25">
      <c r="A53" s="189" t="str">
        <f t="shared" si="0"/>
        <v>AA-IS 595 RP7-2100.54N</v>
      </c>
      <c r="B53" s="195" t="s">
        <v>633</v>
      </c>
      <c r="C53" s="196">
        <v>0</v>
      </c>
      <c r="D53" s="196">
        <v>0.54</v>
      </c>
      <c r="E53" s="195" t="s">
        <v>589</v>
      </c>
      <c r="F53" s="195" t="s">
        <v>430</v>
      </c>
    </row>
    <row r="54" spans="1:6" x14ac:dyDescent="0.25">
      <c r="A54" s="189" t="str">
        <f t="shared" si="0"/>
        <v>AA-IS 595 RP7-2200.09W</v>
      </c>
      <c r="B54" s="195" t="s">
        <v>634</v>
      </c>
      <c r="C54" s="196">
        <v>0</v>
      </c>
      <c r="D54" s="196">
        <v>0.09</v>
      </c>
      <c r="E54" s="195" t="s">
        <v>593</v>
      </c>
      <c r="F54" s="195" t="s">
        <v>432</v>
      </c>
    </row>
    <row r="55" spans="1:6" x14ac:dyDescent="0.25">
      <c r="A55" s="189" t="str">
        <f t="shared" si="0"/>
        <v>AA-IS 595 RP7-2300.32W</v>
      </c>
      <c r="B55" s="195" t="s">
        <v>635</v>
      </c>
      <c r="C55" s="196">
        <v>0</v>
      </c>
      <c r="D55" s="196">
        <v>0.32</v>
      </c>
      <c r="E55" s="195" t="s">
        <v>593</v>
      </c>
      <c r="F55" s="195" t="s">
        <v>432</v>
      </c>
    </row>
    <row r="56" spans="1:6" x14ac:dyDescent="0.25">
      <c r="A56" s="189" t="str">
        <f t="shared" si="0"/>
        <v>AA-IS 595 RP7-2400.24W</v>
      </c>
      <c r="B56" s="195" t="s">
        <v>636</v>
      </c>
      <c r="C56" s="196">
        <v>0</v>
      </c>
      <c r="D56" s="196">
        <v>0.24</v>
      </c>
      <c r="E56" s="195" t="s">
        <v>593</v>
      </c>
      <c r="F56" s="195" t="s">
        <v>432</v>
      </c>
    </row>
    <row r="57" spans="1:6" x14ac:dyDescent="0.25">
      <c r="A57" s="189" t="str">
        <f t="shared" si="0"/>
        <v>AA-IS 595 RP8-1600.39N</v>
      </c>
      <c r="B57" s="195" t="s">
        <v>637</v>
      </c>
      <c r="C57" s="196">
        <v>0</v>
      </c>
      <c r="D57" s="196">
        <v>0.39</v>
      </c>
      <c r="E57" s="195" t="s">
        <v>589</v>
      </c>
      <c r="F57" s="195" t="s">
        <v>430</v>
      </c>
    </row>
    <row r="58" spans="1:6" x14ac:dyDescent="0.25">
      <c r="A58" s="189" t="str">
        <f t="shared" si="0"/>
        <v>AA-IS 595 RP8-2200.14S</v>
      </c>
      <c r="B58" s="195" t="s">
        <v>638</v>
      </c>
      <c r="C58" s="196">
        <v>0</v>
      </c>
      <c r="D58" s="196">
        <v>0.14000000000000001</v>
      </c>
      <c r="E58" s="195" t="s">
        <v>595</v>
      </c>
      <c r="F58" s="195" t="s">
        <v>438</v>
      </c>
    </row>
    <row r="59" spans="1:6" x14ac:dyDescent="0.25">
      <c r="A59" s="189" t="str">
        <f t="shared" si="0"/>
        <v>AA-IS 595 RP8-2300.26S</v>
      </c>
      <c r="B59" s="195" t="s">
        <v>639</v>
      </c>
      <c r="C59" s="196">
        <v>0</v>
      </c>
      <c r="D59" s="196">
        <v>0.26</v>
      </c>
      <c r="E59" s="195" t="s">
        <v>595</v>
      </c>
      <c r="F59" s="195" t="s">
        <v>438</v>
      </c>
    </row>
    <row r="60" spans="1:6" x14ac:dyDescent="0.25">
      <c r="A60" s="189" t="str">
        <f t="shared" si="0"/>
        <v>AA-IS 595 RP8-2400.14S</v>
      </c>
      <c r="B60" s="195" t="s">
        <v>640</v>
      </c>
      <c r="C60" s="196">
        <v>0</v>
      </c>
      <c r="D60" s="196">
        <v>0.14000000000000001</v>
      </c>
      <c r="E60" s="195" t="s">
        <v>595</v>
      </c>
      <c r="F60" s="195" t="s">
        <v>438</v>
      </c>
    </row>
    <row r="61" spans="1:6" x14ac:dyDescent="0.25">
      <c r="A61" s="189" t="str">
        <f t="shared" si="0"/>
        <v>AA-IS 595 RP9-2100.22E</v>
      </c>
      <c r="B61" s="195" t="s">
        <v>641</v>
      </c>
      <c r="C61" s="196">
        <v>0</v>
      </c>
      <c r="D61" s="196">
        <v>0.22</v>
      </c>
      <c r="E61" s="195" t="s">
        <v>598</v>
      </c>
      <c r="F61" s="195" t="s">
        <v>19</v>
      </c>
    </row>
    <row r="62" spans="1:6" x14ac:dyDescent="0.25">
      <c r="A62" s="189" t="str">
        <f t="shared" si="0"/>
        <v>AA-IS 595 RP9-2300.08N</v>
      </c>
      <c r="B62" s="195" t="s">
        <v>642</v>
      </c>
      <c r="C62" s="196">
        <v>0</v>
      </c>
      <c r="D62" s="196">
        <v>0.08</v>
      </c>
      <c r="E62" s="195" t="s">
        <v>589</v>
      </c>
      <c r="F62" s="195" t="s">
        <v>430</v>
      </c>
    </row>
    <row r="63" spans="1:6" x14ac:dyDescent="0.25">
      <c r="A63" s="189" t="str">
        <f t="shared" si="0"/>
        <v>AA-IS 695 RP1-500.28N</v>
      </c>
      <c r="B63" s="195" t="s">
        <v>643</v>
      </c>
      <c r="C63" s="196">
        <v>0</v>
      </c>
      <c r="D63" s="196">
        <v>0.28000000000000003</v>
      </c>
      <c r="E63" s="195" t="s">
        <v>589</v>
      </c>
      <c r="F63" s="195" t="s">
        <v>430</v>
      </c>
    </row>
    <row r="64" spans="1:6" x14ac:dyDescent="0.25">
      <c r="A64" s="189" t="str">
        <f t="shared" si="0"/>
        <v>AA-IS 695 RP1-600.25N</v>
      </c>
      <c r="B64" s="195" t="s">
        <v>644</v>
      </c>
      <c r="C64" s="196">
        <v>0</v>
      </c>
      <c r="D64" s="196">
        <v>0.25</v>
      </c>
      <c r="E64" s="195" t="s">
        <v>589</v>
      </c>
      <c r="F64" s="195" t="s">
        <v>430</v>
      </c>
    </row>
    <row r="65" spans="1:6" x14ac:dyDescent="0.25">
      <c r="A65" s="189" t="str">
        <f t="shared" si="0"/>
        <v>AA-IS 695 RP1-700.16N</v>
      </c>
      <c r="B65" s="195" t="s">
        <v>645</v>
      </c>
      <c r="C65" s="196">
        <v>0</v>
      </c>
      <c r="D65" s="196">
        <v>0.16</v>
      </c>
      <c r="E65" s="195" t="s">
        <v>589</v>
      </c>
      <c r="F65" s="195" t="s">
        <v>430</v>
      </c>
    </row>
    <row r="66" spans="1:6" x14ac:dyDescent="0.25">
      <c r="A66" s="189" t="str">
        <f t="shared" si="0"/>
        <v>AA-IS 695 RP1-800.11N</v>
      </c>
      <c r="B66" s="195" t="s">
        <v>646</v>
      </c>
      <c r="C66" s="196">
        <v>0</v>
      </c>
      <c r="D66" s="196">
        <v>0.11</v>
      </c>
      <c r="E66" s="195" t="s">
        <v>589</v>
      </c>
      <c r="F66" s="195" t="s">
        <v>430</v>
      </c>
    </row>
    <row r="67" spans="1:6" x14ac:dyDescent="0.25">
      <c r="A67" s="189" t="str">
        <f t="shared" ref="A67:A130" si="1">B67&amp;C67&amp;D67&amp;F67</f>
        <v>AA-IS 695 RP2-500.45W</v>
      </c>
      <c r="B67" s="195" t="s">
        <v>647</v>
      </c>
      <c r="C67" s="196">
        <v>0</v>
      </c>
      <c r="D67" s="196">
        <v>0.45</v>
      </c>
      <c r="E67" s="195" t="s">
        <v>593</v>
      </c>
      <c r="F67" s="195" t="s">
        <v>432</v>
      </c>
    </row>
    <row r="68" spans="1:6" x14ac:dyDescent="0.25">
      <c r="A68" s="189" t="str">
        <f t="shared" si="1"/>
        <v>AA-IS 695 RP2-700.27N</v>
      </c>
      <c r="B68" s="195" t="s">
        <v>648</v>
      </c>
      <c r="C68" s="196">
        <v>0</v>
      </c>
      <c r="D68" s="196">
        <v>0.27</v>
      </c>
      <c r="E68" s="195" t="s">
        <v>589</v>
      </c>
      <c r="F68" s="195" t="s">
        <v>430</v>
      </c>
    </row>
    <row r="69" spans="1:6" x14ac:dyDescent="0.25">
      <c r="A69" s="189" t="str">
        <f t="shared" si="1"/>
        <v>AA-IS 695 RP2-800.15W</v>
      </c>
      <c r="B69" s="195" t="s">
        <v>649</v>
      </c>
      <c r="C69" s="196">
        <v>0</v>
      </c>
      <c r="D69" s="196">
        <v>0.15</v>
      </c>
      <c r="E69" s="195" t="s">
        <v>593</v>
      </c>
      <c r="F69" s="195" t="s">
        <v>432</v>
      </c>
    </row>
    <row r="70" spans="1:6" x14ac:dyDescent="0.25">
      <c r="A70" s="189" t="str">
        <f t="shared" si="1"/>
        <v>AA-IS 695 RP3-500.03E</v>
      </c>
      <c r="B70" s="195" t="s">
        <v>650</v>
      </c>
      <c r="C70" s="196">
        <v>0</v>
      </c>
      <c r="D70" s="196">
        <v>0.03</v>
      </c>
      <c r="E70" s="195" t="s">
        <v>598</v>
      </c>
      <c r="F70" s="195" t="s">
        <v>19</v>
      </c>
    </row>
    <row r="71" spans="1:6" x14ac:dyDescent="0.25">
      <c r="A71" s="189" t="str">
        <f t="shared" si="1"/>
        <v>AA-IS 695 RP3-600.29S</v>
      </c>
      <c r="B71" s="195" t="s">
        <v>651</v>
      </c>
      <c r="C71" s="196">
        <v>0</v>
      </c>
      <c r="D71" s="196">
        <v>0.28999999999999998</v>
      </c>
      <c r="E71" s="195" t="s">
        <v>595</v>
      </c>
      <c r="F71" s="195" t="s">
        <v>438</v>
      </c>
    </row>
    <row r="72" spans="1:6" x14ac:dyDescent="0.25">
      <c r="A72" s="189" t="str">
        <f t="shared" si="1"/>
        <v>AA-IS 695 RP3-700.17S</v>
      </c>
      <c r="B72" s="195" t="s">
        <v>652</v>
      </c>
      <c r="C72" s="196">
        <v>0</v>
      </c>
      <c r="D72" s="196">
        <v>0.17</v>
      </c>
      <c r="E72" s="195" t="s">
        <v>595</v>
      </c>
      <c r="F72" s="195" t="s">
        <v>438</v>
      </c>
    </row>
    <row r="73" spans="1:6" x14ac:dyDescent="0.25">
      <c r="A73" s="189" t="str">
        <f t="shared" si="1"/>
        <v>AA-IS 695 RP4-500.14N</v>
      </c>
      <c r="B73" s="195" t="s">
        <v>653</v>
      </c>
      <c r="C73" s="196">
        <v>0</v>
      </c>
      <c r="D73" s="196">
        <v>0.14000000000000001</v>
      </c>
      <c r="E73" s="195" t="s">
        <v>589</v>
      </c>
      <c r="F73" s="195" t="s">
        <v>430</v>
      </c>
    </row>
    <row r="74" spans="1:6" x14ac:dyDescent="0.25">
      <c r="A74" s="189" t="str">
        <f t="shared" si="1"/>
        <v>AA-IS 695 RP4-700.22E</v>
      </c>
      <c r="B74" s="195" t="s">
        <v>654</v>
      </c>
      <c r="C74" s="196">
        <v>0</v>
      </c>
      <c r="D74" s="196">
        <v>0.22</v>
      </c>
      <c r="E74" s="195" t="s">
        <v>598</v>
      </c>
      <c r="F74" s="195" t="s">
        <v>19</v>
      </c>
    </row>
    <row r="75" spans="1:6" x14ac:dyDescent="0.25">
      <c r="A75" s="189" t="str">
        <f t="shared" si="1"/>
        <v>AA-IS 695 RP4-800.02E</v>
      </c>
      <c r="B75" s="195" t="s">
        <v>655</v>
      </c>
      <c r="C75" s="196">
        <v>0</v>
      </c>
      <c r="D75" s="196">
        <v>0.02</v>
      </c>
      <c r="E75" s="195" t="s">
        <v>598</v>
      </c>
      <c r="F75" s="195" t="s">
        <v>19</v>
      </c>
    </row>
    <row r="76" spans="1:6" x14ac:dyDescent="0.25">
      <c r="A76" s="189" t="str">
        <f t="shared" si="1"/>
        <v>AA-IS 695 RP5-500.04E</v>
      </c>
      <c r="B76" s="195" t="s">
        <v>656</v>
      </c>
      <c r="C76" s="196">
        <v>0</v>
      </c>
      <c r="D76" s="196">
        <v>0.04</v>
      </c>
      <c r="E76" s="195" t="s">
        <v>598</v>
      </c>
      <c r="F76" s="195" t="s">
        <v>19</v>
      </c>
    </row>
    <row r="77" spans="1:6" x14ac:dyDescent="0.25">
      <c r="A77" s="189" t="str">
        <f t="shared" si="1"/>
        <v>AA-IS 695 RP5-700.16S</v>
      </c>
      <c r="B77" s="195" t="s">
        <v>657</v>
      </c>
      <c r="C77" s="196">
        <v>0</v>
      </c>
      <c r="D77" s="196">
        <v>0.16</v>
      </c>
      <c r="E77" s="195" t="s">
        <v>595</v>
      </c>
      <c r="F77" s="195" t="s">
        <v>438</v>
      </c>
    </row>
    <row r="78" spans="1:6" x14ac:dyDescent="0.25">
      <c r="A78" s="189" t="str">
        <f t="shared" si="1"/>
        <v>AA-IS 695 RP6-500.18E</v>
      </c>
      <c r="B78" s="195" t="s">
        <v>658</v>
      </c>
      <c r="C78" s="196">
        <v>0</v>
      </c>
      <c r="D78" s="196">
        <v>0.18</v>
      </c>
      <c r="E78" s="195" t="s">
        <v>598</v>
      </c>
      <c r="F78" s="195" t="s">
        <v>19</v>
      </c>
    </row>
    <row r="79" spans="1:6" x14ac:dyDescent="0.25">
      <c r="A79" s="189" t="str">
        <f t="shared" si="1"/>
        <v>AA-IS 695 RP6-600.26S</v>
      </c>
      <c r="B79" s="195" t="s">
        <v>659</v>
      </c>
      <c r="C79" s="196">
        <v>0</v>
      </c>
      <c r="D79" s="196">
        <v>0.26</v>
      </c>
      <c r="E79" s="195" t="s">
        <v>595</v>
      </c>
      <c r="F79" s="195" t="s">
        <v>438</v>
      </c>
    </row>
    <row r="80" spans="1:6" x14ac:dyDescent="0.25">
      <c r="A80" s="189" t="str">
        <f t="shared" si="1"/>
        <v>AA-IS 695 RP6-700.21S</v>
      </c>
      <c r="B80" s="195" t="s">
        <v>660</v>
      </c>
      <c r="C80" s="196">
        <v>0</v>
      </c>
      <c r="D80" s="196">
        <v>0.21</v>
      </c>
      <c r="E80" s="195" t="s">
        <v>595</v>
      </c>
      <c r="F80" s="195" t="s">
        <v>438</v>
      </c>
    </row>
    <row r="81" spans="1:6" x14ac:dyDescent="0.25">
      <c r="A81" s="189" t="str">
        <f t="shared" si="1"/>
        <v>AA-IS 695 RP7-500.02W</v>
      </c>
      <c r="B81" s="195" t="s">
        <v>661</v>
      </c>
      <c r="C81" s="196">
        <v>0</v>
      </c>
      <c r="D81" s="196">
        <v>0.02</v>
      </c>
      <c r="E81" s="195" t="s">
        <v>593</v>
      </c>
      <c r="F81" s="195" t="s">
        <v>432</v>
      </c>
    </row>
    <row r="82" spans="1:6" x14ac:dyDescent="0.25">
      <c r="A82" s="189" t="str">
        <f t="shared" si="1"/>
        <v>AA-IS 695 RP7-700.16N</v>
      </c>
      <c r="B82" s="195" t="s">
        <v>662</v>
      </c>
      <c r="C82" s="196">
        <v>0</v>
      </c>
      <c r="D82" s="196">
        <v>0.16</v>
      </c>
      <c r="E82" s="195" t="s">
        <v>589</v>
      </c>
      <c r="F82" s="195" t="s">
        <v>430</v>
      </c>
    </row>
    <row r="83" spans="1:6" x14ac:dyDescent="0.25">
      <c r="A83" s="189" t="str">
        <f t="shared" si="1"/>
        <v>AA-IS 695 RP7-800.18E</v>
      </c>
      <c r="B83" s="195" t="s">
        <v>663</v>
      </c>
      <c r="C83" s="196">
        <v>0</v>
      </c>
      <c r="D83" s="196">
        <v>0.18</v>
      </c>
      <c r="E83" s="195" t="s">
        <v>598</v>
      </c>
      <c r="F83" s="195" t="s">
        <v>19</v>
      </c>
    </row>
    <row r="84" spans="1:6" x14ac:dyDescent="0.25">
      <c r="A84" s="189" t="str">
        <f t="shared" si="1"/>
        <v>AA-IS 695 RP8-500.02E</v>
      </c>
      <c r="B84" s="195" t="s">
        <v>664</v>
      </c>
      <c r="C84" s="196">
        <v>0</v>
      </c>
      <c r="D84" s="196">
        <v>0.02</v>
      </c>
      <c r="E84" s="195" t="s">
        <v>598</v>
      </c>
      <c r="F84" s="195" t="s">
        <v>19</v>
      </c>
    </row>
    <row r="85" spans="1:6" x14ac:dyDescent="0.25">
      <c r="A85" s="189" t="str">
        <f t="shared" si="1"/>
        <v>AA-IS 695 RP8-600.22S</v>
      </c>
      <c r="B85" s="195" t="s">
        <v>665</v>
      </c>
      <c r="C85" s="196">
        <v>0</v>
      </c>
      <c r="D85" s="196">
        <v>0.22</v>
      </c>
      <c r="E85" s="195" t="s">
        <v>595</v>
      </c>
      <c r="F85" s="195" t="s">
        <v>438</v>
      </c>
    </row>
    <row r="86" spans="1:6" x14ac:dyDescent="0.25">
      <c r="A86" s="189" t="str">
        <f t="shared" si="1"/>
        <v>AA-IS 695 RP8-700.21W</v>
      </c>
      <c r="B86" s="195" t="s">
        <v>666</v>
      </c>
      <c r="C86" s="196">
        <v>0</v>
      </c>
      <c r="D86" s="196">
        <v>0.21</v>
      </c>
      <c r="E86" s="195" t="s">
        <v>593</v>
      </c>
      <c r="F86" s="195" t="s">
        <v>432</v>
      </c>
    </row>
    <row r="87" spans="1:6" x14ac:dyDescent="0.25">
      <c r="A87" s="189" t="str">
        <f t="shared" si="1"/>
        <v>AA-IS 695 RP8-800.11S</v>
      </c>
      <c r="B87" s="195" t="s">
        <v>667</v>
      </c>
      <c r="C87" s="196">
        <v>0</v>
      </c>
      <c r="D87" s="196">
        <v>0.11</v>
      </c>
      <c r="E87" s="195" t="s">
        <v>595</v>
      </c>
      <c r="F87" s="195" t="s">
        <v>438</v>
      </c>
    </row>
    <row r="88" spans="1:6" x14ac:dyDescent="0.25">
      <c r="A88" s="189" t="str">
        <f t="shared" si="1"/>
        <v>AA-IS 895B RP1-3B00.34N</v>
      </c>
      <c r="B88" s="195" t="s">
        <v>668</v>
      </c>
      <c r="C88" s="196">
        <v>0</v>
      </c>
      <c r="D88" s="196">
        <v>0.34</v>
      </c>
      <c r="E88" s="195" t="s">
        <v>589</v>
      </c>
      <c r="F88" s="195" t="s">
        <v>430</v>
      </c>
    </row>
    <row r="89" spans="1:6" x14ac:dyDescent="0.25">
      <c r="A89" s="189" t="str">
        <f t="shared" si="1"/>
        <v>AA-IS 895B RP2-3B00.3E</v>
      </c>
      <c r="B89" s="195" t="s">
        <v>669</v>
      </c>
      <c r="C89" s="196">
        <v>0</v>
      </c>
      <c r="D89" s="196">
        <v>0.3</v>
      </c>
      <c r="E89" s="195" t="s">
        <v>598</v>
      </c>
      <c r="F89" s="195" t="s">
        <v>19</v>
      </c>
    </row>
    <row r="90" spans="1:6" x14ac:dyDescent="0.25">
      <c r="A90" s="189" t="str">
        <f t="shared" si="1"/>
        <v>AA-IS 895B RP6-3B00.35E</v>
      </c>
      <c r="B90" s="195" t="s">
        <v>670</v>
      </c>
      <c r="C90" s="196">
        <v>0</v>
      </c>
      <c r="D90" s="196">
        <v>0.35</v>
      </c>
      <c r="E90" s="195" t="s">
        <v>598</v>
      </c>
      <c r="F90" s="195" t="s">
        <v>19</v>
      </c>
    </row>
    <row r="91" spans="1:6" x14ac:dyDescent="0.25">
      <c r="A91" s="189" t="str">
        <f t="shared" si="1"/>
        <v>AA-IS 97 RP10-1500.03N</v>
      </c>
      <c r="B91" s="195" t="s">
        <v>671</v>
      </c>
      <c r="C91" s="196">
        <v>0</v>
      </c>
      <c r="D91" s="196">
        <v>0.03</v>
      </c>
      <c r="E91" s="195" t="s">
        <v>589</v>
      </c>
      <c r="F91" s="195" t="s">
        <v>430</v>
      </c>
    </row>
    <row r="92" spans="1:6" x14ac:dyDescent="0.25">
      <c r="A92" s="189" t="str">
        <f t="shared" si="1"/>
        <v>AA-IS 97 RP1-1000.03S</v>
      </c>
      <c r="B92" s="195" t="s">
        <v>672</v>
      </c>
      <c r="C92" s="196">
        <v>0</v>
      </c>
      <c r="D92" s="196">
        <v>0.03</v>
      </c>
      <c r="E92" s="195" t="s">
        <v>595</v>
      </c>
      <c r="F92" s="195" t="s">
        <v>438</v>
      </c>
    </row>
    <row r="93" spans="1:6" x14ac:dyDescent="0.25">
      <c r="A93" s="189" t="str">
        <f t="shared" si="1"/>
        <v>AA-IS 97 RP1-1200.04E</v>
      </c>
      <c r="B93" s="195" t="s">
        <v>673</v>
      </c>
      <c r="C93" s="196">
        <v>0</v>
      </c>
      <c r="D93" s="196">
        <v>0.04</v>
      </c>
      <c r="E93" s="195" t="s">
        <v>598</v>
      </c>
      <c r="F93" s="195" t="s">
        <v>19</v>
      </c>
    </row>
    <row r="94" spans="1:6" x14ac:dyDescent="0.25">
      <c r="A94" s="189" t="str">
        <f t="shared" si="1"/>
        <v>AA-IS 97 RP1-1300.03N</v>
      </c>
      <c r="B94" s="195" t="s">
        <v>674</v>
      </c>
      <c r="C94" s="196">
        <v>0</v>
      </c>
      <c r="D94" s="196">
        <v>0.03</v>
      </c>
      <c r="E94" s="195" t="s">
        <v>589</v>
      </c>
      <c r="F94" s="195" t="s">
        <v>430</v>
      </c>
    </row>
    <row r="95" spans="1:6" x14ac:dyDescent="0.25">
      <c r="A95" s="189" t="str">
        <f t="shared" si="1"/>
        <v>AA-IS 97 RP1-1400.98N</v>
      </c>
      <c r="B95" s="195" t="s">
        <v>675</v>
      </c>
      <c r="C95" s="196">
        <v>0</v>
      </c>
      <c r="D95" s="196">
        <v>0.98</v>
      </c>
      <c r="E95" s="195" t="s">
        <v>589</v>
      </c>
      <c r="F95" s="195" t="s">
        <v>430</v>
      </c>
    </row>
    <row r="96" spans="1:6" x14ac:dyDescent="0.25">
      <c r="A96" s="189" t="str">
        <f t="shared" si="1"/>
        <v>AA-IS 97 RP1-1500.19N</v>
      </c>
      <c r="B96" s="195" t="s">
        <v>676</v>
      </c>
      <c r="C96" s="196">
        <v>0</v>
      </c>
      <c r="D96" s="196">
        <v>0.19</v>
      </c>
      <c r="E96" s="195" t="s">
        <v>589</v>
      </c>
      <c r="F96" s="195" t="s">
        <v>430</v>
      </c>
    </row>
    <row r="97" spans="1:6" x14ac:dyDescent="0.25">
      <c r="A97" s="189" t="str">
        <f t="shared" si="1"/>
        <v>AA-IS 97 RP1-1600.15E</v>
      </c>
      <c r="B97" s="195" t="s">
        <v>677</v>
      </c>
      <c r="C97" s="196">
        <v>0</v>
      </c>
      <c r="D97" s="196">
        <v>0.15</v>
      </c>
      <c r="E97" s="195" t="s">
        <v>598</v>
      </c>
      <c r="F97" s="195" t="s">
        <v>19</v>
      </c>
    </row>
    <row r="98" spans="1:6" x14ac:dyDescent="0.25">
      <c r="A98" s="189" t="str">
        <f t="shared" si="1"/>
        <v>AA-IS 97 RP1-1700.79N</v>
      </c>
      <c r="B98" s="195" t="s">
        <v>678</v>
      </c>
      <c r="C98" s="196">
        <v>0</v>
      </c>
      <c r="D98" s="196">
        <v>0.79</v>
      </c>
      <c r="E98" s="195" t="s">
        <v>589</v>
      </c>
      <c r="F98" s="195" t="s">
        <v>430</v>
      </c>
    </row>
    <row r="99" spans="1:6" x14ac:dyDescent="0.25">
      <c r="A99" s="189" t="str">
        <f t="shared" si="1"/>
        <v>AA-IS 97 RP2-1000.31W</v>
      </c>
      <c r="B99" s="195" t="s">
        <v>679</v>
      </c>
      <c r="C99" s="196">
        <v>0</v>
      </c>
      <c r="D99" s="196">
        <v>0.31</v>
      </c>
      <c r="E99" s="195" t="s">
        <v>593</v>
      </c>
      <c r="F99" s="195" t="s">
        <v>432</v>
      </c>
    </row>
    <row r="100" spans="1:6" x14ac:dyDescent="0.25">
      <c r="A100" s="189" t="str">
        <f t="shared" si="1"/>
        <v>AA-IS 97 RP2-1200.25W</v>
      </c>
      <c r="B100" s="195" t="s">
        <v>680</v>
      </c>
      <c r="C100" s="196">
        <v>0</v>
      </c>
      <c r="D100" s="196">
        <v>0.25</v>
      </c>
      <c r="E100" s="195" t="s">
        <v>593</v>
      </c>
      <c r="F100" s="195" t="s">
        <v>432</v>
      </c>
    </row>
    <row r="101" spans="1:6" x14ac:dyDescent="0.25">
      <c r="A101" s="189" t="str">
        <f t="shared" si="1"/>
        <v>AA-IS 97 RP2-1300.02S</v>
      </c>
      <c r="B101" s="195" t="s">
        <v>681</v>
      </c>
      <c r="C101" s="196">
        <v>0</v>
      </c>
      <c r="D101" s="196">
        <v>0.02</v>
      </c>
      <c r="E101" s="195" t="s">
        <v>595</v>
      </c>
      <c r="F101" s="195" t="s">
        <v>438</v>
      </c>
    </row>
    <row r="102" spans="1:6" x14ac:dyDescent="0.25">
      <c r="A102" s="189" t="str">
        <f t="shared" si="1"/>
        <v>AA-IS 97 RP2-1400.33W</v>
      </c>
      <c r="B102" s="195" t="s">
        <v>682</v>
      </c>
      <c r="C102" s="196">
        <v>0</v>
      </c>
      <c r="D102" s="196">
        <v>0.33</v>
      </c>
      <c r="E102" s="195" t="s">
        <v>593</v>
      </c>
      <c r="F102" s="195" t="s">
        <v>432</v>
      </c>
    </row>
    <row r="103" spans="1:6" x14ac:dyDescent="0.25">
      <c r="A103" s="189" t="str">
        <f t="shared" si="1"/>
        <v>AA-IS 97 RP2-1500.24W</v>
      </c>
      <c r="B103" s="195" t="s">
        <v>683</v>
      </c>
      <c r="C103" s="196">
        <v>0</v>
      </c>
      <c r="D103" s="196">
        <v>0.24</v>
      </c>
      <c r="E103" s="195" t="s">
        <v>593</v>
      </c>
      <c r="F103" s="195" t="s">
        <v>432</v>
      </c>
    </row>
    <row r="104" spans="1:6" x14ac:dyDescent="0.25">
      <c r="A104" s="189" t="str">
        <f t="shared" si="1"/>
        <v>AA-IS 97 RP2-1600.24N</v>
      </c>
      <c r="B104" s="195" t="s">
        <v>684</v>
      </c>
      <c r="C104" s="196">
        <v>0</v>
      </c>
      <c r="D104" s="196">
        <v>0.24</v>
      </c>
      <c r="E104" s="195" t="s">
        <v>589</v>
      </c>
      <c r="F104" s="195" t="s">
        <v>430</v>
      </c>
    </row>
    <row r="105" spans="1:6" x14ac:dyDescent="0.25">
      <c r="A105" s="189" t="str">
        <f t="shared" si="1"/>
        <v>AA-IS 97 RP2-500.89W</v>
      </c>
      <c r="B105" s="195" t="s">
        <v>685</v>
      </c>
      <c r="C105" s="196">
        <v>0</v>
      </c>
      <c r="D105" s="196">
        <v>0.89</v>
      </c>
      <c r="E105" s="195" t="s">
        <v>593</v>
      </c>
      <c r="F105" s="195" t="s">
        <v>432</v>
      </c>
    </row>
    <row r="106" spans="1:6" x14ac:dyDescent="0.25">
      <c r="A106" s="189" t="str">
        <f t="shared" si="1"/>
        <v>AA-IS 97 RP3-100.65E</v>
      </c>
      <c r="B106" s="195" t="s">
        <v>686</v>
      </c>
      <c r="C106" s="196">
        <v>0</v>
      </c>
      <c r="D106" s="196">
        <v>0.65</v>
      </c>
      <c r="E106" s="195" t="s">
        <v>598</v>
      </c>
      <c r="F106" s="195" t="s">
        <v>19</v>
      </c>
    </row>
    <row r="107" spans="1:6" x14ac:dyDescent="0.25">
      <c r="A107" s="189" t="str">
        <f t="shared" si="1"/>
        <v>AA-IS 97 RP3-1000.03N</v>
      </c>
      <c r="B107" s="195" t="s">
        <v>687</v>
      </c>
      <c r="C107" s="196">
        <v>0</v>
      </c>
      <c r="D107" s="196">
        <v>0.03</v>
      </c>
      <c r="E107" s="195" t="s">
        <v>589</v>
      </c>
      <c r="F107" s="195" t="s">
        <v>430</v>
      </c>
    </row>
    <row r="108" spans="1:6" x14ac:dyDescent="0.25">
      <c r="A108" s="189" t="str">
        <f t="shared" si="1"/>
        <v>AA-IS 97 RP3-1200.05N</v>
      </c>
      <c r="B108" s="195" t="s">
        <v>688</v>
      </c>
      <c r="C108" s="196">
        <v>0</v>
      </c>
      <c r="D108" s="196">
        <v>0.05</v>
      </c>
      <c r="E108" s="195" t="s">
        <v>589</v>
      </c>
      <c r="F108" s="195" t="s">
        <v>430</v>
      </c>
    </row>
    <row r="109" spans="1:6" x14ac:dyDescent="0.25">
      <c r="A109" s="189" t="str">
        <f t="shared" si="1"/>
        <v>AA-IS 97 RP3-1300.18E</v>
      </c>
      <c r="B109" s="195" t="s">
        <v>689</v>
      </c>
      <c r="C109" s="196">
        <v>0</v>
      </c>
      <c r="D109" s="196">
        <v>0.18</v>
      </c>
      <c r="E109" s="195" t="s">
        <v>598</v>
      </c>
      <c r="F109" s="195" t="s">
        <v>19</v>
      </c>
    </row>
    <row r="110" spans="1:6" x14ac:dyDescent="0.25">
      <c r="A110" s="189" t="str">
        <f t="shared" si="1"/>
        <v>AA-IS 97 RP3-1400.59S</v>
      </c>
      <c r="B110" s="195" t="s">
        <v>690</v>
      </c>
      <c r="C110" s="196">
        <v>0</v>
      </c>
      <c r="D110" s="196">
        <v>0.59</v>
      </c>
      <c r="E110" s="195" t="s">
        <v>595</v>
      </c>
      <c r="F110" s="195" t="s">
        <v>438</v>
      </c>
    </row>
    <row r="111" spans="1:6" x14ac:dyDescent="0.25">
      <c r="A111" s="189" t="str">
        <f t="shared" si="1"/>
        <v>AA-IS 97 RP3-1500.05N</v>
      </c>
      <c r="B111" s="195" t="s">
        <v>691</v>
      </c>
      <c r="C111" s="196">
        <v>0</v>
      </c>
      <c r="D111" s="196">
        <v>0.05</v>
      </c>
      <c r="E111" s="195" t="s">
        <v>589</v>
      </c>
      <c r="F111" s="195" t="s">
        <v>430</v>
      </c>
    </row>
    <row r="112" spans="1:6" x14ac:dyDescent="0.25">
      <c r="A112" s="189" t="str">
        <f t="shared" si="1"/>
        <v>AA-IS 97 RP3-1600.03N</v>
      </c>
      <c r="B112" s="195" t="s">
        <v>692</v>
      </c>
      <c r="C112" s="196">
        <v>0</v>
      </c>
      <c r="D112" s="196">
        <v>0.03</v>
      </c>
      <c r="E112" s="195" t="s">
        <v>589</v>
      </c>
      <c r="F112" s="195" t="s">
        <v>430</v>
      </c>
    </row>
    <row r="113" spans="1:6" x14ac:dyDescent="0.25">
      <c r="A113" s="189" t="str">
        <f t="shared" si="1"/>
        <v>AA-IS 97 RP4-1000.32N</v>
      </c>
      <c r="B113" s="195" t="s">
        <v>693</v>
      </c>
      <c r="C113" s="196">
        <v>0</v>
      </c>
      <c r="D113" s="196">
        <v>0.32</v>
      </c>
      <c r="E113" s="195" t="s">
        <v>589</v>
      </c>
      <c r="F113" s="195" t="s">
        <v>430</v>
      </c>
    </row>
    <row r="114" spans="1:6" x14ac:dyDescent="0.25">
      <c r="A114" s="189" t="str">
        <f t="shared" si="1"/>
        <v>AA-IS 97 RP4-1200.48N</v>
      </c>
      <c r="B114" s="195" t="s">
        <v>694</v>
      </c>
      <c r="C114" s="196">
        <v>0</v>
      </c>
      <c r="D114" s="196">
        <v>0.48</v>
      </c>
      <c r="E114" s="195" t="s">
        <v>589</v>
      </c>
      <c r="F114" s="195" t="s">
        <v>430</v>
      </c>
    </row>
    <row r="115" spans="1:6" x14ac:dyDescent="0.25">
      <c r="A115" s="189" t="str">
        <f t="shared" si="1"/>
        <v>AA-IS 97 RP4-1300.29N</v>
      </c>
      <c r="B115" s="195" t="s">
        <v>695</v>
      </c>
      <c r="C115" s="196">
        <v>0</v>
      </c>
      <c r="D115" s="196">
        <v>0.28999999999999998</v>
      </c>
      <c r="E115" s="195" t="s">
        <v>589</v>
      </c>
      <c r="F115" s="195" t="s">
        <v>430</v>
      </c>
    </row>
    <row r="116" spans="1:6" x14ac:dyDescent="0.25">
      <c r="A116" s="189" t="str">
        <f t="shared" si="1"/>
        <v>AA-IS 97 RP4-1400.3N</v>
      </c>
      <c r="B116" s="195" t="s">
        <v>696</v>
      </c>
      <c r="C116" s="196">
        <v>0</v>
      </c>
      <c r="D116" s="196">
        <v>0.3</v>
      </c>
      <c r="E116" s="195" t="s">
        <v>589</v>
      </c>
      <c r="F116" s="195" t="s">
        <v>430</v>
      </c>
    </row>
    <row r="117" spans="1:6" x14ac:dyDescent="0.25">
      <c r="A117" s="189" t="str">
        <f t="shared" si="1"/>
        <v>AA-IS 97 RP4-1500.2N</v>
      </c>
      <c r="B117" s="195" t="s">
        <v>697</v>
      </c>
      <c r="C117" s="196">
        <v>0</v>
      </c>
      <c r="D117" s="196">
        <v>0.2</v>
      </c>
      <c r="E117" s="195" t="s">
        <v>589</v>
      </c>
      <c r="F117" s="195" t="s">
        <v>430</v>
      </c>
    </row>
    <row r="118" spans="1:6" x14ac:dyDescent="0.25">
      <c r="A118" s="189" t="str">
        <f t="shared" si="1"/>
        <v>AA-IS 97 RP4-1600.04S</v>
      </c>
      <c r="B118" s="195" t="s">
        <v>698</v>
      </c>
      <c r="C118" s="196">
        <v>0</v>
      </c>
      <c r="D118" s="196">
        <v>0.04</v>
      </c>
      <c r="E118" s="195" t="s">
        <v>595</v>
      </c>
      <c r="F118" s="195" t="s">
        <v>438</v>
      </c>
    </row>
    <row r="119" spans="1:6" x14ac:dyDescent="0.25">
      <c r="A119" s="189" t="str">
        <f t="shared" si="1"/>
        <v>AA-IS 97 RP4-1700.23E</v>
      </c>
      <c r="B119" s="195" t="s">
        <v>699</v>
      </c>
      <c r="C119" s="196">
        <v>0</v>
      </c>
      <c r="D119" s="196">
        <v>0.23</v>
      </c>
      <c r="E119" s="195" t="s">
        <v>598</v>
      </c>
      <c r="F119" s="195" t="s">
        <v>19</v>
      </c>
    </row>
    <row r="120" spans="1:6" x14ac:dyDescent="0.25">
      <c r="A120" s="189" t="str">
        <f t="shared" si="1"/>
        <v>AA-IS 97 RP5-1000.27S</v>
      </c>
      <c r="B120" s="195" t="s">
        <v>700</v>
      </c>
      <c r="C120" s="196">
        <v>0</v>
      </c>
      <c r="D120" s="196">
        <v>0.27</v>
      </c>
      <c r="E120" s="195" t="s">
        <v>595</v>
      </c>
      <c r="F120" s="195" t="s">
        <v>438</v>
      </c>
    </row>
    <row r="121" spans="1:6" x14ac:dyDescent="0.25">
      <c r="A121" s="189" t="str">
        <f t="shared" si="1"/>
        <v>AA-IS 97 RP5-1200.04E</v>
      </c>
      <c r="B121" s="195" t="s">
        <v>701</v>
      </c>
      <c r="C121" s="196">
        <v>0</v>
      </c>
      <c r="D121" s="196">
        <v>0.04</v>
      </c>
      <c r="E121" s="195" t="s">
        <v>598</v>
      </c>
      <c r="F121" s="195" t="s">
        <v>19</v>
      </c>
    </row>
    <row r="122" spans="1:6" x14ac:dyDescent="0.25">
      <c r="A122" s="189" t="str">
        <f t="shared" si="1"/>
        <v>AA-IS 97 RP5-1300.18S</v>
      </c>
      <c r="B122" s="195" t="s">
        <v>702</v>
      </c>
      <c r="C122" s="196">
        <v>0</v>
      </c>
      <c r="D122" s="196">
        <v>0.18</v>
      </c>
      <c r="E122" s="195" t="s">
        <v>595</v>
      </c>
      <c r="F122" s="195" t="s">
        <v>438</v>
      </c>
    </row>
    <row r="123" spans="1:6" x14ac:dyDescent="0.25">
      <c r="A123" s="189" t="str">
        <f t="shared" si="1"/>
        <v>AA-IS 97 RP5-1400.91S</v>
      </c>
      <c r="B123" s="195" t="s">
        <v>703</v>
      </c>
      <c r="C123" s="196">
        <v>0</v>
      </c>
      <c r="D123" s="196">
        <v>0.91</v>
      </c>
      <c r="E123" s="195" t="s">
        <v>595</v>
      </c>
      <c r="F123" s="195" t="s">
        <v>438</v>
      </c>
    </row>
    <row r="124" spans="1:6" x14ac:dyDescent="0.25">
      <c r="A124" s="189" t="str">
        <f t="shared" si="1"/>
        <v>AA-IS 97 RP5-1500.01N</v>
      </c>
      <c r="B124" s="195" t="s">
        <v>704</v>
      </c>
      <c r="C124" s="196">
        <v>0</v>
      </c>
      <c r="D124" s="196">
        <v>0.01</v>
      </c>
      <c r="E124" s="195" t="s">
        <v>589</v>
      </c>
      <c r="F124" s="195" t="s">
        <v>430</v>
      </c>
    </row>
    <row r="125" spans="1:6" x14ac:dyDescent="0.25">
      <c r="A125" s="189" t="str">
        <f t="shared" si="1"/>
        <v>AA-IS 97 RP5-1600.04S</v>
      </c>
      <c r="B125" s="195" t="s">
        <v>705</v>
      </c>
      <c r="C125" s="196">
        <v>0</v>
      </c>
      <c r="D125" s="196">
        <v>0.04</v>
      </c>
      <c r="E125" s="195" t="s">
        <v>595</v>
      </c>
      <c r="F125" s="195" t="s">
        <v>438</v>
      </c>
    </row>
    <row r="126" spans="1:6" x14ac:dyDescent="0.25">
      <c r="A126" s="189" t="str">
        <f t="shared" si="1"/>
        <v>AA-IS 97 RP5-500.8S</v>
      </c>
      <c r="B126" s="195" t="s">
        <v>706</v>
      </c>
      <c r="C126" s="196">
        <v>0</v>
      </c>
      <c r="D126" s="196">
        <v>0.8</v>
      </c>
      <c r="E126" s="195" t="s">
        <v>595</v>
      </c>
      <c r="F126" s="195" t="s">
        <v>438</v>
      </c>
    </row>
    <row r="127" spans="1:6" x14ac:dyDescent="0.25">
      <c r="A127" s="189" t="str">
        <f t="shared" si="1"/>
        <v>AA-IS 97 RP6-1000.49S</v>
      </c>
      <c r="B127" s="195" t="s">
        <v>707</v>
      </c>
      <c r="C127" s="196">
        <v>0</v>
      </c>
      <c r="D127" s="196">
        <v>0.49</v>
      </c>
      <c r="E127" s="195" t="s">
        <v>595</v>
      </c>
      <c r="F127" s="195" t="s">
        <v>438</v>
      </c>
    </row>
    <row r="128" spans="1:6" x14ac:dyDescent="0.25">
      <c r="A128" s="189" t="str">
        <f t="shared" si="1"/>
        <v>AA-IS 97 RP6-1200.4E</v>
      </c>
      <c r="B128" s="195" t="s">
        <v>708</v>
      </c>
      <c r="C128" s="196">
        <v>0</v>
      </c>
      <c r="D128" s="196">
        <v>0.4</v>
      </c>
      <c r="E128" s="195" t="s">
        <v>598</v>
      </c>
      <c r="F128" s="195" t="s">
        <v>19</v>
      </c>
    </row>
    <row r="129" spans="1:6" x14ac:dyDescent="0.25">
      <c r="A129" s="189" t="str">
        <f t="shared" si="1"/>
        <v>AA-IS 97 RP6-1300.26E</v>
      </c>
      <c r="B129" s="195" t="s">
        <v>709</v>
      </c>
      <c r="C129" s="196">
        <v>0</v>
      </c>
      <c r="D129" s="196">
        <v>0.26</v>
      </c>
      <c r="E129" s="195" t="s">
        <v>598</v>
      </c>
      <c r="F129" s="195" t="s">
        <v>19</v>
      </c>
    </row>
    <row r="130" spans="1:6" x14ac:dyDescent="0.25">
      <c r="A130" s="189" t="str">
        <f t="shared" si="1"/>
        <v>AA-IS 97 RP6-1400.67S</v>
      </c>
      <c r="B130" s="195" t="s">
        <v>710</v>
      </c>
      <c r="C130" s="196">
        <v>0</v>
      </c>
      <c r="D130" s="196">
        <v>0.67</v>
      </c>
      <c r="E130" s="195" t="s">
        <v>595</v>
      </c>
      <c r="F130" s="195" t="s">
        <v>438</v>
      </c>
    </row>
    <row r="131" spans="1:6" x14ac:dyDescent="0.25">
      <c r="A131" s="189" t="str">
        <f t="shared" ref="A131:A194" si="2">B131&amp;C131&amp;D131&amp;F131</f>
        <v>AA-IS 97 RP6-1500.14E</v>
      </c>
      <c r="B131" s="195" t="s">
        <v>711</v>
      </c>
      <c r="C131" s="196">
        <v>0</v>
      </c>
      <c r="D131" s="196">
        <v>0.14000000000000001</v>
      </c>
      <c r="E131" s="195" t="s">
        <v>598</v>
      </c>
      <c r="F131" s="195" t="s">
        <v>19</v>
      </c>
    </row>
    <row r="132" spans="1:6" x14ac:dyDescent="0.25">
      <c r="A132" s="189" t="str">
        <f t="shared" si="2"/>
        <v>AA-IS 97 RP6-1600.03N</v>
      </c>
      <c r="B132" s="195" t="s">
        <v>712</v>
      </c>
      <c r="C132" s="196">
        <v>0</v>
      </c>
      <c r="D132" s="196">
        <v>0.03</v>
      </c>
      <c r="E132" s="195" t="s">
        <v>589</v>
      </c>
      <c r="F132" s="195" t="s">
        <v>430</v>
      </c>
    </row>
    <row r="133" spans="1:6" x14ac:dyDescent="0.25">
      <c r="A133" s="189" t="str">
        <f t="shared" si="2"/>
        <v>AA-IS 97 RP6-1700.75S</v>
      </c>
      <c r="B133" s="195" t="s">
        <v>713</v>
      </c>
      <c r="C133" s="196">
        <v>0</v>
      </c>
      <c r="D133" s="196">
        <v>0.75</v>
      </c>
      <c r="E133" s="195" t="s">
        <v>595</v>
      </c>
      <c r="F133" s="195" t="s">
        <v>438</v>
      </c>
    </row>
    <row r="134" spans="1:6" x14ac:dyDescent="0.25">
      <c r="A134" s="189" t="str">
        <f t="shared" si="2"/>
        <v>AA-IS 97 RP7-1200.21W</v>
      </c>
      <c r="B134" s="195" t="s">
        <v>714</v>
      </c>
      <c r="C134" s="196">
        <v>0</v>
      </c>
      <c r="D134" s="196">
        <v>0.21</v>
      </c>
      <c r="E134" s="195" t="s">
        <v>593</v>
      </c>
      <c r="F134" s="195" t="s">
        <v>432</v>
      </c>
    </row>
    <row r="135" spans="1:6" x14ac:dyDescent="0.25">
      <c r="A135" s="189" t="str">
        <f t="shared" si="2"/>
        <v>AA-IS 97 RP7-1300.02S</v>
      </c>
      <c r="B135" s="195" t="s">
        <v>715</v>
      </c>
      <c r="C135" s="196">
        <v>0</v>
      </c>
      <c r="D135" s="196">
        <v>0.02</v>
      </c>
      <c r="E135" s="195" t="s">
        <v>595</v>
      </c>
      <c r="F135" s="195" t="s">
        <v>438</v>
      </c>
    </row>
    <row r="136" spans="1:6" x14ac:dyDescent="0.25">
      <c r="A136" s="189" t="str">
        <f t="shared" si="2"/>
        <v>AA-IS 97 RP7-1400.25N</v>
      </c>
      <c r="B136" s="195" t="s">
        <v>716</v>
      </c>
      <c r="C136" s="196">
        <v>0</v>
      </c>
      <c r="D136" s="196">
        <v>0.25</v>
      </c>
      <c r="E136" s="195" t="s">
        <v>589</v>
      </c>
      <c r="F136" s="195" t="s">
        <v>430</v>
      </c>
    </row>
    <row r="137" spans="1:6" x14ac:dyDescent="0.25">
      <c r="A137" s="189" t="str">
        <f t="shared" si="2"/>
        <v>AA-IS 97 RP7-1500.04S</v>
      </c>
      <c r="B137" s="195" t="s">
        <v>717</v>
      </c>
      <c r="C137" s="196">
        <v>0</v>
      </c>
      <c r="D137" s="196">
        <v>0.04</v>
      </c>
      <c r="E137" s="195" t="s">
        <v>595</v>
      </c>
      <c r="F137" s="195" t="s">
        <v>438</v>
      </c>
    </row>
    <row r="138" spans="1:6" x14ac:dyDescent="0.25">
      <c r="A138" s="189" t="str">
        <f t="shared" si="2"/>
        <v>AA-IS 97 RP7-1600.15N</v>
      </c>
      <c r="B138" s="195" t="s">
        <v>718</v>
      </c>
      <c r="C138" s="196">
        <v>0</v>
      </c>
      <c r="D138" s="196">
        <v>0.15</v>
      </c>
      <c r="E138" s="195" t="s">
        <v>589</v>
      </c>
      <c r="F138" s="195" t="s">
        <v>430</v>
      </c>
    </row>
    <row r="139" spans="1:6" x14ac:dyDescent="0.25">
      <c r="A139" s="189" t="str">
        <f t="shared" si="2"/>
        <v>AA-IS 97 RP7-1700.52S</v>
      </c>
      <c r="B139" s="195" t="s">
        <v>719</v>
      </c>
      <c r="C139" s="196">
        <v>0</v>
      </c>
      <c r="D139" s="196">
        <v>0.52</v>
      </c>
      <c r="E139" s="195" t="s">
        <v>595</v>
      </c>
      <c r="F139" s="195" t="s">
        <v>438</v>
      </c>
    </row>
    <row r="140" spans="1:6" x14ac:dyDescent="0.25">
      <c r="A140" s="189" t="str">
        <f t="shared" si="2"/>
        <v>AA-IS 97 RP8-100.32S</v>
      </c>
      <c r="B140" s="195" t="s">
        <v>720</v>
      </c>
      <c r="C140" s="196">
        <v>0</v>
      </c>
      <c r="D140" s="196">
        <v>0.32</v>
      </c>
      <c r="E140" s="195" t="s">
        <v>595</v>
      </c>
      <c r="F140" s="195" t="s">
        <v>438</v>
      </c>
    </row>
    <row r="141" spans="1:6" x14ac:dyDescent="0.25">
      <c r="A141" s="189" t="str">
        <f t="shared" si="2"/>
        <v>AA-IS 97 RP8-1000.28S</v>
      </c>
      <c r="B141" s="195" t="s">
        <v>721</v>
      </c>
      <c r="C141" s="196">
        <v>0</v>
      </c>
      <c r="D141" s="196">
        <v>0.28000000000000003</v>
      </c>
      <c r="E141" s="195" t="s">
        <v>595</v>
      </c>
      <c r="F141" s="195" t="s">
        <v>438</v>
      </c>
    </row>
    <row r="142" spans="1:6" x14ac:dyDescent="0.25">
      <c r="A142" s="189" t="str">
        <f t="shared" si="2"/>
        <v>AA-IS 97 RP8-1200.36S</v>
      </c>
      <c r="B142" s="195" t="s">
        <v>722</v>
      </c>
      <c r="C142" s="196">
        <v>0</v>
      </c>
      <c r="D142" s="196">
        <v>0.36</v>
      </c>
      <c r="E142" s="195" t="s">
        <v>595</v>
      </c>
      <c r="F142" s="195" t="s">
        <v>438</v>
      </c>
    </row>
    <row r="143" spans="1:6" x14ac:dyDescent="0.25">
      <c r="A143" s="189" t="str">
        <f t="shared" si="2"/>
        <v>AA-IS 97 RP8-1300.02N</v>
      </c>
      <c r="B143" s="195" t="s">
        <v>723</v>
      </c>
      <c r="C143" s="196">
        <v>0</v>
      </c>
      <c r="D143" s="196">
        <v>0.02</v>
      </c>
      <c r="E143" s="195" t="s">
        <v>589</v>
      </c>
      <c r="F143" s="195" t="s">
        <v>430</v>
      </c>
    </row>
    <row r="144" spans="1:6" x14ac:dyDescent="0.25">
      <c r="A144" s="189" t="str">
        <f t="shared" si="2"/>
        <v>AA-IS 97 RP8-1400.2W</v>
      </c>
      <c r="B144" s="195" t="s">
        <v>724</v>
      </c>
      <c r="C144" s="196">
        <v>0</v>
      </c>
      <c r="D144" s="196">
        <v>0.2</v>
      </c>
      <c r="E144" s="195" t="s">
        <v>593</v>
      </c>
      <c r="F144" s="195" t="s">
        <v>432</v>
      </c>
    </row>
    <row r="145" spans="1:6" x14ac:dyDescent="0.25">
      <c r="A145" s="189" t="str">
        <f t="shared" si="2"/>
        <v>AA-IS 97 RP8-1500.33N</v>
      </c>
      <c r="B145" s="195" t="s">
        <v>725</v>
      </c>
      <c r="C145" s="196">
        <v>0</v>
      </c>
      <c r="D145" s="196">
        <v>0.33</v>
      </c>
      <c r="E145" s="195" t="s">
        <v>589</v>
      </c>
      <c r="F145" s="195" t="s">
        <v>430</v>
      </c>
    </row>
    <row r="146" spans="1:6" x14ac:dyDescent="0.25">
      <c r="A146" s="189" t="str">
        <f t="shared" si="2"/>
        <v>AA-IS 97 RP8-1600.2S</v>
      </c>
      <c r="B146" s="195" t="s">
        <v>726</v>
      </c>
      <c r="C146" s="196">
        <v>0</v>
      </c>
      <c r="D146" s="196">
        <v>0.2</v>
      </c>
      <c r="E146" s="195" t="s">
        <v>595</v>
      </c>
      <c r="F146" s="195" t="s">
        <v>438</v>
      </c>
    </row>
    <row r="147" spans="1:6" x14ac:dyDescent="0.25">
      <c r="A147" s="189" t="str">
        <f t="shared" si="2"/>
        <v>AA-IS 97 RP9-1500.22N</v>
      </c>
      <c r="B147" s="195" t="s">
        <v>727</v>
      </c>
      <c r="C147" s="196">
        <v>0</v>
      </c>
      <c r="D147" s="196">
        <v>0.22</v>
      </c>
      <c r="E147" s="195" t="s">
        <v>589</v>
      </c>
      <c r="F147" s="195" t="s">
        <v>430</v>
      </c>
    </row>
    <row r="148" spans="1:6" x14ac:dyDescent="0.25">
      <c r="A148" s="189" t="str">
        <f t="shared" si="2"/>
        <v>AA-MD 10 RP1-400.33N</v>
      </c>
      <c r="B148" s="195" t="s">
        <v>728</v>
      </c>
      <c r="C148" s="196">
        <v>0</v>
      </c>
      <c r="D148" s="196">
        <v>0.33</v>
      </c>
      <c r="E148" s="195" t="s">
        <v>589</v>
      </c>
      <c r="F148" s="195" t="s">
        <v>430</v>
      </c>
    </row>
    <row r="149" spans="1:6" x14ac:dyDescent="0.25">
      <c r="A149" s="189" t="str">
        <f t="shared" si="2"/>
        <v>AA-MD 10 RP1-600.04N</v>
      </c>
      <c r="B149" s="195" t="s">
        <v>729</v>
      </c>
      <c r="C149" s="196">
        <v>0</v>
      </c>
      <c r="D149" s="196">
        <v>0.04</v>
      </c>
      <c r="E149" s="195" t="s">
        <v>589</v>
      </c>
      <c r="F149" s="195" t="s">
        <v>430</v>
      </c>
    </row>
    <row r="150" spans="1:6" x14ac:dyDescent="0.25">
      <c r="A150" s="189" t="str">
        <f t="shared" si="2"/>
        <v>AA-MD 10 RP1-700.84N</v>
      </c>
      <c r="B150" s="195" t="s">
        <v>730</v>
      </c>
      <c r="C150" s="196">
        <v>0</v>
      </c>
      <c r="D150" s="196">
        <v>0.84</v>
      </c>
      <c r="E150" s="195" t="s">
        <v>589</v>
      </c>
      <c r="F150" s="195" t="s">
        <v>430</v>
      </c>
    </row>
    <row r="151" spans="1:6" x14ac:dyDescent="0.25">
      <c r="A151" s="189" t="str">
        <f t="shared" si="2"/>
        <v>AA-MD 10 RP2-200.55N</v>
      </c>
      <c r="B151" s="195" t="s">
        <v>731</v>
      </c>
      <c r="C151" s="196">
        <v>0</v>
      </c>
      <c r="D151" s="196">
        <v>0.55000000000000004</v>
      </c>
      <c r="E151" s="195" t="s">
        <v>589</v>
      </c>
      <c r="F151" s="195" t="s">
        <v>430</v>
      </c>
    </row>
    <row r="152" spans="1:6" x14ac:dyDescent="0.25">
      <c r="A152" s="189" t="str">
        <f t="shared" si="2"/>
        <v>AA-MD 10 RP2-400.41N</v>
      </c>
      <c r="B152" s="195" t="s">
        <v>732</v>
      </c>
      <c r="C152" s="196">
        <v>0</v>
      </c>
      <c r="D152" s="196">
        <v>0.41</v>
      </c>
      <c r="E152" s="195" t="s">
        <v>589</v>
      </c>
      <c r="F152" s="195" t="s">
        <v>430</v>
      </c>
    </row>
    <row r="153" spans="1:6" x14ac:dyDescent="0.25">
      <c r="A153" s="189" t="str">
        <f t="shared" si="2"/>
        <v>AA-MD 10 RP2-500.46N</v>
      </c>
      <c r="B153" s="195" t="s">
        <v>733</v>
      </c>
      <c r="C153" s="196">
        <v>0</v>
      </c>
      <c r="D153" s="196">
        <v>0.46</v>
      </c>
      <c r="E153" s="195" t="s">
        <v>589</v>
      </c>
      <c r="F153" s="195" t="s">
        <v>430</v>
      </c>
    </row>
    <row r="154" spans="1:6" x14ac:dyDescent="0.25">
      <c r="A154" s="189" t="str">
        <f t="shared" si="2"/>
        <v>AA-MD 10 RP2-600.3W</v>
      </c>
      <c r="B154" s="195" t="s">
        <v>734</v>
      </c>
      <c r="C154" s="196">
        <v>0</v>
      </c>
      <c r="D154" s="196">
        <v>0.3</v>
      </c>
      <c r="E154" s="195" t="s">
        <v>593</v>
      </c>
      <c r="F154" s="195" t="s">
        <v>432</v>
      </c>
    </row>
    <row r="155" spans="1:6" x14ac:dyDescent="0.25">
      <c r="A155" s="189" t="str">
        <f t="shared" si="2"/>
        <v>AA-MD 10 RP2-700.45W</v>
      </c>
      <c r="B155" s="195" t="s">
        <v>735</v>
      </c>
      <c r="C155" s="196">
        <v>0</v>
      </c>
      <c r="D155" s="196">
        <v>0.45</v>
      </c>
      <c r="E155" s="195" t="s">
        <v>593</v>
      </c>
      <c r="F155" s="195" t="s">
        <v>432</v>
      </c>
    </row>
    <row r="156" spans="1:6" x14ac:dyDescent="0.25">
      <c r="A156" s="189" t="str">
        <f t="shared" si="2"/>
        <v>AA-MD 10 RP3-200.02N</v>
      </c>
      <c r="B156" s="195" t="s">
        <v>736</v>
      </c>
      <c r="C156" s="196">
        <v>0</v>
      </c>
      <c r="D156" s="196">
        <v>0.02</v>
      </c>
      <c r="E156" s="195" t="s">
        <v>589</v>
      </c>
      <c r="F156" s="195" t="s">
        <v>430</v>
      </c>
    </row>
    <row r="157" spans="1:6" x14ac:dyDescent="0.25">
      <c r="A157" s="189" t="str">
        <f t="shared" si="2"/>
        <v>AA-MD 10 RP3-400.06N</v>
      </c>
      <c r="B157" s="195" t="s">
        <v>737</v>
      </c>
      <c r="C157" s="196">
        <v>0</v>
      </c>
      <c r="D157" s="196">
        <v>0.06</v>
      </c>
      <c r="E157" s="195" t="s">
        <v>589</v>
      </c>
      <c r="F157" s="195" t="s">
        <v>430</v>
      </c>
    </row>
    <row r="158" spans="1:6" x14ac:dyDescent="0.25">
      <c r="A158" s="189" t="str">
        <f t="shared" si="2"/>
        <v>AA-MD 10 RP3-500.31S</v>
      </c>
      <c r="B158" s="195" t="s">
        <v>738</v>
      </c>
      <c r="C158" s="196">
        <v>0</v>
      </c>
      <c r="D158" s="196">
        <v>0.31</v>
      </c>
      <c r="E158" s="195" t="s">
        <v>595</v>
      </c>
      <c r="F158" s="195" t="s">
        <v>438</v>
      </c>
    </row>
    <row r="159" spans="1:6" x14ac:dyDescent="0.25">
      <c r="A159" s="189" t="str">
        <f t="shared" si="2"/>
        <v>AA-MD 10 RP3-600.32E</v>
      </c>
      <c r="B159" s="195" t="s">
        <v>739</v>
      </c>
      <c r="C159" s="196">
        <v>0</v>
      </c>
      <c r="D159" s="196">
        <v>0.32</v>
      </c>
      <c r="E159" s="195" t="s">
        <v>598</v>
      </c>
      <c r="F159" s="195" t="s">
        <v>19</v>
      </c>
    </row>
    <row r="160" spans="1:6" x14ac:dyDescent="0.25">
      <c r="A160" s="189" t="str">
        <f t="shared" si="2"/>
        <v>AA-MD 10 RP4-400.28N</v>
      </c>
      <c r="B160" s="195" t="s">
        <v>740</v>
      </c>
      <c r="C160" s="196">
        <v>0</v>
      </c>
      <c r="D160" s="196">
        <v>0.28000000000000003</v>
      </c>
      <c r="E160" s="195" t="s">
        <v>589</v>
      </c>
      <c r="F160" s="195" t="s">
        <v>430</v>
      </c>
    </row>
    <row r="161" spans="1:6" x14ac:dyDescent="0.25">
      <c r="A161" s="189" t="str">
        <f t="shared" si="2"/>
        <v>AA-MD 10 RP4-500.21N</v>
      </c>
      <c r="B161" s="195" t="s">
        <v>741</v>
      </c>
      <c r="C161" s="196">
        <v>0</v>
      </c>
      <c r="D161" s="196">
        <v>0.21</v>
      </c>
      <c r="E161" s="195" t="s">
        <v>589</v>
      </c>
      <c r="F161" s="195" t="s">
        <v>430</v>
      </c>
    </row>
    <row r="162" spans="1:6" x14ac:dyDescent="0.25">
      <c r="A162" s="189" t="str">
        <f t="shared" si="2"/>
        <v>AA-MD 10 RP4-600.43N</v>
      </c>
      <c r="B162" s="195" t="s">
        <v>742</v>
      </c>
      <c r="C162" s="196">
        <v>0</v>
      </c>
      <c r="D162" s="196">
        <v>0.43</v>
      </c>
      <c r="E162" s="195" t="s">
        <v>589</v>
      </c>
      <c r="F162" s="195" t="s">
        <v>430</v>
      </c>
    </row>
    <row r="163" spans="1:6" x14ac:dyDescent="0.25">
      <c r="A163" s="189" t="str">
        <f t="shared" si="2"/>
        <v>AA-MD 10 RP4-700.48N</v>
      </c>
      <c r="B163" s="195" t="s">
        <v>743</v>
      </c>
      <c r="C163" s="196">
        <v>0</v>
      </c>
      <c r="D163" s="196">
        <v>0.48</v>
      </c>
      <c r="E163" s="195" t="s">
        <v>589</v>
      </c>
      <c r="F163" s="195" t="s">
        <v>430</v>
      </c>
    </row>
    <row r="164" spans="1:6" x14ac:dyDescent="0.25">
      <c r="A164" s="189" t="str">
        <f t="shared" si="2"/>
        <v>AA-MD 10 RP5-200.04S</v>
      </c>
      <c r="B164" s="195" t="s">
        <v>744</v>
      </c>
      <c r="C164" s="196">
        <v>0</v>
      </c>
      <c r="D164" s="196">
        <v>0.04</v>
      </c>
      <c r="E164" s="195" t="s">
        <v>595</v>
      </c>
      <c r="F164" s="195" t="s">
        <v>438</v>
      </c>
    </row>
    <row r="165" spans="1:6" x14ac:dyDescent="0.25">
      <c r="A165" s="189" t="str">
        <f t="shared" si="2"/>
        <v>AA-MD 10 RP5-400.24S</v>
      </c>
      <c r="B165" s="195" t="s">
        <v>745</v>
      </c>
      <c r="C165" s="196">
        <v>0</v>
      </c>
      <c r="D165" s="196">
        <v>0.24</v>
      </c>
      <c r="E165" s="195" t="s">
        <v>595</v>
      </c>
      <c r="F165" s="195" t="s">
        <v>438</v>
      </c>
    </row>
    <row r="166" spans="1:6" x14ac:dyDescent="0.25">
      <c r="A166" s="189" t="str">
        <f t="shared" si="2"/>
        <v>AA-MD 10 RP5-500.08S</v>
      </c>
      <c r="B166" s="195" t="s">
        <v>746</v>
      </c>
      <c r="C166" s="196">
        <v>0</v>
      </c>
      <c r="D166" s="196">
        <v>0.08</v>
      </c>
      <c r="E166" s="195" t="s">
        <v>595</v>
      </c>
      <c r="F166" s="195" t="s">
        <v>438</v>
      </c>
    </row>
    <row r="167" spans="1:6" x14ac:dyDescent="0.25">
      <c r="A167" s="189" t="str">
        <f t="shared" si="2"/>
        <v>AA-MD 10 RP5-600.32S</v>
      </c>
      <c r="B167" s="195" t="s">
        <v>747</v>
      </c>
      <c r="C167" s="196">
        <v>0</v>
      </c>
      <c r="D167" s="196">
        <v>0.32</v>
      </c>
      <c r="E167" s="195" t="s">
        <v>595</v>
      </c>
      <c r="F167" s="195" t="s">
        <v>438</v>
      </c>
    </row>
    <row r="168" spans="1:6" x14ac:dyDescent="0.25">
      <c r="A168" s="189" t="str">
        <f t="shared" si="2"/>
        <v>AA-MD 10 RP6-400.3E</v>
      </c>
      <c r="B168" s="195" t="s">
        <v>748</v>
      </c>
      <c r="C168" s="196">
        <v>0</v>
      </c>
      <c r="D168" s="196">
        <v>0.3</v>
      </c>
      <c r="E168" s="195" t="s">
        <v>598</v>
      </c>
      <c r="F168" s="195" t="s">
        <v>19</v>
      </c>
    </row>
    <row r="169" spans="1:6" x14ac:dyDescent="0.25">
      <c r="A169" s="189" t="str">
        <f t="shared" si="2"/>
        <v>AA-MD 10 RP6-500.31S</v>
      </c>
      <c r="B169" s="195" t="s">
        <v>749</v>
      </c>
      <c r="C169" s="196">
        <v>0</v>
      </c>
      <c r="D169" s="196">
        <v>0.31</v>
      </c>
      <c r="E169" s="195" t="s">
        <v>595</v>
      </c>
      <c r="F169" s="195" t="s">
        <v>438</v>
      </c>
    </row>
    <row r="170" spans="1:6" x14ac:dyDescent="0.25">
      <c r="A170" s="189" t="str">
        <f t="shared" si="2"/>
        <v>AA-MD 10 RP6-600.4E</v>
      </c>
      <c r="B170" s="195" t="s">
        <v>750</v>
      </c>
      <c r="C170" s="196">
        <v>0</v>
      </c>
      <c r="D170" s="196">
        <v>0.4</v>
      </c>
      <c r="E170" s="195" t="s">
        <v>598</v>
      </c>
      <c r="F170" s="195" t="s">
        <v>19</v>
      </c>
    </row>
    <row r="171" spans="1:6" x14ac:dyDescent="0.25">
      <c r="A171" s="189" t="str">
        <f t="shared" si="2"/>
        <v>AA-MD 10 RP6-700.53E</v>
      </c>
      <c r="B171" s="195" t="s">
        <v>751</v>
      </c>
      <c r="C171" s="196">
        <v>0</v>
      </c>
      <c r="D171" s="196">
        <v>0.53</v>
      </c>
      <c r="E171" s="195" t="s">
        <v>598</v>
      </c>
      <c r="F171" s="195" t="s">
        <v>19</v>
      </c>
    </row>
    <row r="172" spans="1:6" x14ac:dyDescent="0.25">
      <c r="A172" s="189" t="str">
        <f t="shared" si="2"/>
        <v>AA-MD 10 RP7-400.04S</v>
      </c>
      <c r="B172" s="195" t="s">
        <v>752</v>
      </c>
      <c r="C172" s="196">
        <v>0</v>
      </c>
      <c r="D172" s="196">
        <v>0.04</v>
      </c>
      <c r="E172" s="195" t="s">
        <v>595</v>
      </c>
      <c r="F172" s="195" t="s">
        <v>438</v>
      </c>
    </row>
    <row r="173" spans="1:6" x14ac:dyDescent="0.25">
      <c r="A173" s="189" t="str">
        <f t="shared" si="2"/>
        <v>AA-MD 10 RP7-500.02S</v>
      </c>
      <c r="B173" s="195" t="s">
        <v>753</v>
      </c>
      <c r="C173" s="196">
        <v>0</v>
      </c>
      <c r="D173" s="196">
        <v>0.02</v>
      </c>
      <c r="E173" s="195" t="s">
        <v>595</v>
      </c>
      <c r="F173" s="195" t="s">
        <v>438</v>
      </c>
    </row>
    <row r="174" spans="1:6" x14ac:dyDescent="0.25">
      <c r="A174" s="189" t="str">
        <f t="shared" si="2"/>
        <v>AA-MD 10 RP7-600.07S</v>
      </c>
      <c r="B174" s="195" t="s">
        <v>754</v>
      </c>
      <c r="C174" s="196">
        <v>0</v>
      </c>
      <c r="D174" s="196">
        <v>7.0000000000000007E-2</v>
      </c>
      <c r="E174" s="195" t="s">
        <v>595</v>
      </c>
      <c r="F174" s="195" t="s">
        <v>438</v>
      </c>
    </row>
    <row r="175" spans="1:6" x14ac:dyDescent="0.25">
      <c r="A175" s="189" t="str">
        <f t="shared" si="2"/>
        <v>AA-MD 10 RP7-700.39W</v>
      </c>
      <c r="B175" s="195" t="s">
        <v>755</v>
      </c>
      <c r="C175" s="196">
        <v>0</v>
      </c>
      <c r="D175" s="196">
        <v>0.39</v>
      </c>
      <c r="E175" s="195" t="s">
        <v>593</v>
      </c>
      <c r="F175" s="195" t="s">
        <v>432</v>
      </c>
    </row>
    <row r="176" spans="1:6" x14ac:dyDescent="0.25">
      <c r="A176" s="189" t="str">
        <f t="shared" si="2"/>
        <v>AA-MD 10 RP8-200.34S</v>
      </c>
      <c r="B176" s="195" t="s">
        <v>756</v>
      </c>
      <c r="C176" s="196">
        <v>0</v>
      </c>
      <c r="D176" s="196">
        <v>0.34</v>
      </c>
      <c r="E176" s="195" t="s">
        <v>595</v>
      </c>
      <c r="F176" s="195" t="s">
        <v>438</v>
      </c>
    </row>
    <row r="177" spans="1:6" x14ac:dyDescent="0.25">
      <c r="A177" s="189" t="str">
        <f t="shared" si="2"/>
        <v>AA-MD 10 RP8-400.3S</v>
      </c>
      <c r="B177" s="195" t="s">
        <v>757</v>
      </c>
      <c r="C177" s="196">
        <v>0</v>
      </c>
      <c r="D177" s="196">
        <v>0.3</v>
      </c>
      <c r="E177" s="195" t="s">
        <v>595</v>
      </c>
      <c r="F177" s="195" t="s">
        <v>438</v>
      </c>
    </row>
    <row r="178" spans="1:6" x14ac:dyDescent="0.25">
      <c r="A178" s="189" t="str">
        <f t="shared" si="2"/>
        <v>AA-MD 10 RP8-500.27S</v>
      </c>
      <c r="B178" s="195" t="s">
        <v>758</v>
      </c>
      <c r="C178" s="196">
        <v>0</v>
      </c>
      <c r="D178" s="196">
        <v>0.27</v>
      </c>
      <c r="E178" s="195" t="s">
        <v>595</v>
      </c>
      <c r="F178" s="195" t="s">
        <v>438</v>
      </c>
    </row>
    <row r="179" spans="1:6" x14ac:dyDescent="0.25">
      <c r="A179" s="189" t="str">
        <f t="shared" si="2"/>
        <v>AA-MD 10 RP8-600.37S</v>
      </c>
      <c r="B179" s="195" t="s">
        <v>759</v>
      </c>
      <c r="C179" s="196">
        <v>0</v>
      </c>
      <c r="D179" s="196">
        <v>0.37</v>
      </c>
      <c r="E179" s="195" t="s">
        <v>595</v>
      </c>
      <c r="F179" s="195" t="s">
        <v>438</v>
      </c>
    </row>
    <row r="180" spans="1:6" x14ac:dyDescent="0.25">
      <c r="A180" s="189" t="str">
        <f t="shared" si="2"/>
        <v>AA-MD 100 RP10-1600.03N</v>
      </c>
      <c r="B180" s="195" t="s">
        <v>760</v>
      </c>
      <c r="C180" s="196">
        <v>0</v>
      </c>
      <c r="D180" s="196">
        <v>0.03</v>
      </c>
      <c r="E180" s="195" t="s">
        <v>589</v>
      </c>
      <c r="F180" s="195" t="s">
        <v>430</v>
      </c>
    </row>
    <row r="181" spans="1:6" x14ac:dyDescent="0.25">
      <c r="A181" s="189" t="str">
        <f t="shared" si="2"/>
        <v>AA-MD 100 RP1-1000.28W</v>
      </c>
      <c r="B181" s="195" t="s">
        <v>761</v>
      </c>
      <c r="C181" s="196">
        <v>0</v>
      </c>
      <c r="D181" s="196">
        <v>0.28000000000000003</v>
      </c>
      <c r="E181" s="195" t="s">
        <v>593</v>
      </c>
      <c r="F181" s="195" t="s">
        <v>432</v>
      </c>
    </row>
    <row r="182" spans="1:6" x14ac:dyDescent="0.25">
      <c r="A182" s="189" t="str">
        <f t="shared" si="2"/>
        <v>AA-MD 100 RP1-1100.27W</v>
      </c>
      <c r="B182" s="195" t="s">
        <v>762</v>
      </c>
      <c r="C182" s="196">
        <v>0</v>
      </c>
      <c r="D182" s="196">
        <v>0.27</v>
      </c>
      <c r="E182" s="195" t="s">
        <v>593</v>
      </c>
      <c r="F182" s="195" t="s">
        <v>432</v>
      </c>
    </row>
    <row r="183" spans="1:6" x14ac:dyDescent="0.25">
      <c r="A183" s="189" t="str">
        <f t="shared" si="2"/>
        <v>AA-MD 100 RP11-1600.19W</v>
      </c>
      <c r="B183" s="195" t="s">
        <v>763</v>
      </c>
      <c r="C183" s="196">
        <v>0</v>
      </c>
      <c r="D183" s="196">
        <v>0.19</v>
      </c>
      <c r="E183" s="195" t="s">
        <v>593</v>
      </c>
      <c r="F183" s="195" t="s">
        <v>432</v>
      </c>
    </row>
    <row r="184" spans="1:6" x14ac:dyDescent="0.25">
      <c r="A184" s="189" t="str">
        <f t="shared" si="2"/>
        <v>AA-MD 100 RP1-1600.24N</v>
      </c>
      <c r="B184" s="195" t="s">
        <v>764</v>
      </c>
      <c r="C184" s="196">
        <v>0</v>
      </c>
      <c r="D184" s="196">
        <v>0.24</v>
      </c>
      <c r="E184" s="195" t="s">
        <v>589</v>
      </c>
      <c r="F184" s="195" t="s">
        <v>430</v>
      </c>
    </row>
    <row r="185" spans="1:6" x14ac:dyDescent="0.25">
      <c r="A185" s="189" t="str">
        <f t="shared" si="2"/>
        <v>AA-MD 100 RP1-1900.02W</v>
      </c>
      <c r="B185" s="195" t="s">
        <v>765</v>
      </c>
      <c r="C185" s="196">
        <v>0</v>
      </c>
      <c r="D185" s="196">
        <v>0.02</v>
      </c>
      <c r="E185" s="195" t="s">
        <v>593</v>
      </c>
      <c r="F185" s="195" t="s">
        <v>432</v>
      </c>
    </row>
    <row r="186" spans="1:6" x14ac:dyDescent="0.25">
      <c r="A186" s="189" t="str">
        <f t="shared" si="2"/>
        <v>AA-MD 100 RP1-2000.03W</v>
      </c>
      <c r="B186" s="195" t="s">
        <v>766</v>
      </c>
      <c r="C186" s="196">
        <v>0</v>
      </c>
      <c r="D186" s="196">
        <v>0.03</v>
      </c>
      <c r="E186" s="195" t="s">
        <v>593</v>
      </c>
      <c r="F186" s="195" t="s">
        <v>432</v>
      </c>
    </row>
    <row r="187" spans="1:6" x14ac:dyDescent="0.25">
      <c r="A187" s="189" t="str">
        <f t="shared" si="2"/>
        <v>AA-MD 100 RP12-1600.04E</v>
      </c>
      <c r="B187" s="195" t="s">
        <v>767</v>
      </c>
      <c r="C187" s="196">
        <v>0</v>
      </c>
      <c r="D187" s="196">
        <v>0.04</v>
      </c>
      <c r="E187" s="195" t="s">
        <v>598</v>
      </c>
      <c r="F187" s="195" t="s">
        <v>19</v>
      </c>
    </row>
    <row r="188" spans="1:6" x14ac:dyDescent="0.25">
      <c r="A188" s="189" t="str">
        <f t="shared" si="2"/>
        <v>AA-MD 100 RP1-800.12N</v>
      </c>
      <c r="B188" s="195" t="s">
        <v>768</v>
      </c>
      <c r="C188" s="196">
        <v>0</v>
      </c>
      <c r="D188" s="196">
        <v>0.12</v>
      </c>
      <c r="E188" s="195" t="s">
        <v>589</v>
      </c>
      <c r="F188" s="195" t="s">
        <v>430</v>
      </c>
    </row>
    <row r="189" spans="1:6" x14ac:dyDescent="0.25">
      <c r="A189" s="189" t="str">
        <f t="shared" si="2"/>
        <v>AA-MD 100 RP2-1000.04N</v>
      </c>
      <c r="B189" s="195" t="s">
        <v>769</v>
      </c>
      <c r="C189" s="196">
        <v>0</v>
      </c>
      <c r="D189" s="196">
        <v>0.04</v>
      </c>
      <c r="E189" s="195" t="s">
        <v>589</v>
      </c>
      <c r="F189" s="195" t="s">
        <v>430</v>
      </c>
    </row>
    <row r="190" spans="1:6" x14ac:dyDescent="0.25">
      <c r="A190" s="189" t="str">
        <f t="shared" si="2"/>
        <v>AA-MD 100 RP2-1100.09W</v>
      </c>
      <c r="B190" s="195" t="s">
        <v>770</v>
      </c>
      <c r="C190" s="196">
        <v>0</v>
      </c>
      <c r="D190" s="196">
        <v>0.09</v>
      </c>
      <c r="E190" s="195" t="s">
        <v>593</v>
      </c>
      <c r="F190" s="195" t="s">
        <v>432</v>
      </c>
    </row>
    <row r="191" spans="1:6" x14ac:dyDescent="0.25">
      <c r="A191" s="189" t="str">
        <f t="shared" si="2"/>
        <v>AA-MD 100 RP2-1500.15W</v>
      </c>
      <c r="B191" s="195" t="s">
        <v>771</v>
      </c>
      <c r="C191" s="196">
        <v>0</v>
      </c>
      <c r="D191" s="196">
        <v>0.15</v>
      </c>
      <c r="E191" s="195" t="s">
        <v>593</v>
      </c>
      <c r="F191" s="195" t="s">
        <v>432</v>
      </c>
    </row>
    <row r="192" spans="1:6" x14ac:dyDescent="0.25">
      <c r="A192" s="189" t="str">
        <f t="shared" si="2"/>
        <v>AA-MD 100 RP2-800.21N</v>
      </c>
      <c r="B192" s="195" t="s">
        <v>772</v>
      </c>
      <c r="C192" s="196">
        <v>0</v>
      </c>
      <c r="D192" s="196">
        <v>0.21</v>
      </c>
      <c r="E192" s="195" t="s">
        <v>589</v>
      </c>
      <c r="F192" s="195" t="s">
        <v>430</v>
      </c>
    </row>
    <row r="193" spans="1:6" x14ac:dyDescent="0.25">
      <c r="A193" s="189" t="str">
        <f t="shared" si="2"/>
        <v>AA-MD 100 RP3-1000.27E</v>
      </c>
      <c r="B193" s="195" t="s">
        <v>773</v>
      </c>
      <c r="C193" s="196">
        <v>0</v>
      </c>
      <c r="D193" s="196">
        <v>0.27</v>
      </c>
      <c r="E193" s="195" t="s">
        <v>598</v>
      </c>
      <c r="F193" s="195" t="s">
        <v>19</v>
      </c>
    </row>
    <row r="194" spans="1:6" x14ac:dyDescent="0.25">
      <c r="A194" s="189" t="str">
        <f t="shared" si="2"/>
        <v>AA-MD 100 RP3-1100.28E</v>
      </c>
      <c r="B194" s="195" t="s">
        <v>774</v>
      </c>
      <c r="C194" s="196">
        <v>0</v>
      </c>
      <c r="D194" s="196">
        <v>0.28000000000000003</v>
      </c>
      <c r="E194" s="195" t="s">
        <v>598</v>
      </c>
      <c r="F194" s="195" t="s">
        <v>19</v>
      </c>
    </row>
    <row r="195" spans="1:6" x14ac:dyDescent="0.25">
      <c r="A195" s="189" t="str">
        <f t="shared" ref="A195:A258" si="3">B195&amp;C195&amp;D195&amp;F195</f>
        <v>AA-MD 100 RP3-1600.11E</v>
      </c>
      <c r="B195" s="195" t="s">
        <v>775</v>
      </c>
      <c r="C195" s="196">
        <v>0</v>
      </c>
      <c r="D195" s="196">
        <v>0.11</v>
      </c>
      <c r="E195" s="195" t="s">
        <v>598</v>
      </c>
      <c r="F195" s="195" t="s">
        <v>19</v>
      </c>
    </row>
    <row r="196" spans="1:6" x14ac:dyDescent="0.25">
      <c r="A196" s="189" t="str">
        <f t="shared" si="3"/>
        <v>AA-MD 100 RP3-1900.03E</v>
      </c>
      <c r="B196" s="195" t="s">
        <v>776</v>
      </c>
      <c r="C196" s="196">
        <v>0</v>
      </c>
      <c r="D196" s="196">
        <v>0.03</v>
      </c>
      <c r="E196" s="195" t="s">
        <v>598</v>
      </c>
      <c r="F196" s="195" t="s">
        <v>19</v>
      </c>
    </row>
    <row r="197" spans="1:6" x14ac:dyDescent="0.25">
      <c r="A197" s="189" t="str">
        <f t="shared" si="3"/>
        <v>AA-MD 100 RP3-1900.03W</v>
      </c>
      <c r="B197" s="195" t="s">
        <v>776</v>
      </c>
      <c r="C197" s="196">
        <v>0</v>
      </c>
      <c r="D197" s="196">
        <v>0.03</v>
      </c>
      <c r="E197" s="195" t="s">
        <v>593</v>
      </c>
      <c r="F197" s="195" t="s">
        <v>432</v>
      </c>
    </row>
    <row r="198" spans="1:6" x14ac:dyDescent="0.25">
      <c r="A198" s="189" t="str">
        <f t="shared" si="3"/>
        <v>AA-MD 100 RP3-2000.26E</v>
      </c>
      <c r="B198" s="195" t="s">
        <v>777</v>
      </c>
      <c r="C198" s="196">
        <v>0</v>
      </c>
      <c r="D198" s="196">
        <v>0.26</v>
      </c>
      <c r="E198" s="195" t="s">
        <v>598</v>
      </c>
      <c r="F198" s="195" t="s">
        <v>19</v>
      </c>
    </row>
    <row r="199" spans="1:6" x14ac:dyDescent="0.25">
      <c r="A199" s="189" t="str">
        <f t="shared" si="3"/>
        <v>AA-MD 100 RP3-800.14S</v>
      </c>
      <c r="B199" s="195" t="s">
        <v>778</v>
      </c>
      <c r="C199" s="196">
        <v>0</v>
      </c>
      <c r="D199" s="196">
        <v>0.14000000000000001</v>
      </c>
      <c r="E199" s="195" t="s">
        <v>595</v>
      </c>
      <c r="F199" s="195" t="s">
        <v>438</v>
      </c>
    </row>
    <row r="200" spans="1:6" x14ac:dyDescent="0.25">
      <c r="A200" s="189" t="str">
        <f t="shared" si="3"/>
        <v>AA-MD 100 RP4-1000.03N</v>
      </c>
      <c r="B200" s="195" t="s">
        <v>779</v>
      </c>
      <c r="C200" s="196">
        <v>0</v>
      </c>
      <c r="D200" s="196">
        <v>0.03</v>
      </c>
      <c r="E200" s="195" t="s">
        <v>589</v>
      </c>
      <c r="F200" s="195" t="s">
        <v>430</v>
      </c>
    </row>
    <row r="201" spans="1:6" x14ac:dyDescent="0.25">
      <c r="A201" s="189" t="str">
        <f t="shared" si="3"/>
        <v>AA-MD 100 RP4-1100.13N</v>
      </c>
      <c r="B201" s="195" t="s">
        <v>780</v>
      </c>
      <c r="C201" s="196">
        <v>0</v>
      </c>
      <c r="D201" s="196">
        <v>0.13</v>
      </c>
      <c r="E201" s="195" t="s">
        <v>589</v>
      </c>
      <c r="F201" s="195" t="s">
        <v>430</v>
      </c>
    </row>
    <row r="202" spans="1:6" x14ac:dyDescent="0.25">
      <c r="A202" s="189" t="str">
        <f t="shared" si="3"/>
        <v>AA-MD 100 RP4-1400.18N</v>
      </c>
      <c r="B202" s="195" t="s">
        <v>781</v>
      </c>
      <c r="C202" s="196">
        <v>0</v>
      </c>
      <c r="D202" s="196">
        <v>0.18</v>
      </c>
      <c r="E202" s="195" t="s">
        <v>589</v>
      </c>
      <c r="F202" s="195" t="s">
        <v>430</v>
      </c>
    </row>
    <row r="203" spans="1:6" x14ac:dyDescent="0.25">
      <c r="A203" s="189" t="str">
        <f t="shared" si="3"/>
        <v>AA-MD 100 RP4-1500.16N</v>
      </c>
      <c r="B203" s="195" t="s">
        <v>782</v>
      </c>
      <c r="C203" s="196">
        <v>0</v>
      </c>
      <c r="D203" s="196">
        <v>0.16</v>
      </c>
      <c r="E203" s="195" t="s">
        <v>589</v>
      </c>
      <c r="F203" s="195" t="s">
        <v>430</v>
      </c>
    </row>
    <row r="204" spans="1:6" x14ac:dyDescent="0.25">
      <c r="A204" s="189" t="str">
        <f t="shared" si="3"/>
        <v>AA-MD 100 RP4-1600.16N</v>
      </c>
      <c r="B204" s="195" t="s">
        <v>783</v>
      </c>
      <c r="C204" s="196">
        <v>0</v>
      </c>
      <c r="D204" s="196">
        <v>0.16</v>
      </c>
      <c r="E204" s="195" t="s">
        <v>589</v>
      </c>
      <c r="F204" s="195" t="s">
        <v>430</v>
      </c>
    </row>
    <row r="205" spans="1:6" x14ac:dyDescent="0.25">
      <c r="A205" s="189" t="str">
        <f t="shared" si="3"/>
        <v>AA-MD 100 RP4-800.03E</v>
      </c>
      <c r="B205" s="195" t="s">
        <v>784</v>
      </c>
      <c r="C205" s="196">
        <v>0</v>
      </c>
      <c r="D205" s="196">
        <v>0.03</v>
      </c>
      <c r="E205" s="195" t="s">
        <v>598</v>
      </c>
      <c r="F205" s="195" t="s">
        <v>19</v>
      </c>
    </row>
    <row r="206" spans="1:6" x14ac:dyDescent="0.25">
      <c r="A206" s="189" t="str">
        <f t="shared" si="3"/>
        <v>AA-MD 100 RP5-1000.02E</v>
      </c>
      <c r="B206" s="195" t="s">
        <v>785</v>
      </c>
      <c r="C206" s="196">
        <v>0</v>
      </c>
      <c r="D206" s="196">
        <v>0.02</v>
      </c>
      <c r="E206" s="195" t="s">
        <v>598</v>
      </c>
      <c r="F206" s="195" t="s">
        <v>19</v>
      </c>
    </row>
    <row r="207" spans="1:6" x14ac:dyDescent="0.25">
      <c r="A207" s="189" t="str">
        <f t="shared" si="3"/>
        <v>AA-MD 100 RP5-100.020.34E</v>
      </c>
      <c r="B207" s="195" t="s">
        <v>785</v>
      </c>
      <c r="C207" s="196">
        <v>0.02</v>
      </c>
      <c r="D207" s="196">
        <v>0.34</v>
      </c>
      <c r="E207" s="195" t="s">
        <v>598</v>
      </c>
      <c r="F207" s="195" t="s">
        <v>19</v>
      </c>
    </row>
    <row r="208" spans="1:6" x14ac:dyDescent="0.25">
      <c r="A208" s="189" t="str">
        <f t="shared" si="3"/>
        <v>AA-MD 100 RP5-1100.33S</v>
      </c>
      <c r="B208" s="195" t="s">
        <v>786</v>
      </c>
      <c r="C208" s="196">
        <v>0</v>
      </c>
      <c r="D208" s="196">
        <v>0.33</v>
      </c>
      <c r="E208" s="195" t="s">
        <v>595</v>
      </c>
      <c r="F208" s="195" t="s">
        <v>438</v>
      </c>
    </row>
    <row r="209" spans="1:6" x14ac:dyDescent="0.25">
      <c r="A209" s="189" t="str">
        <f t="shared" si="3"/>
        <v>AA-MD 100 RP5-1500.01E</v>
      </c>
      <c r="B209" s="195" t="s">
        <v>787</v>
      </c>
      <c r="C209" s="196">
        <v>0</v>
      </c>
      <c r="D209" s="196">
        <v>0.01</v>
      </c>
      <c r="E209" s="195" t="s">
        <v>598</v>
      </c>
      <c r="F209" s="195" t="s">
        <v>19</v>
      </c>
    </row>
    <row r="210" spans="1:6" x14ac:dyDescent="0.25">
      <c r="A210" s="189" t="str">
        <f t="shared" si="3"/>
        <v>AA-MD 100 RP5-1600.27S</v>
      </c>
      <c r="B210" s="195" t="s">
        <v>788</v>
      </c>
      <c r="C210" s="196">
        <v>0</v>
      </c>
      <c r="D210" s="196">
        <v>0.27</v>
      </c>
      <c r="E210" s="195" t="s">
        <v>595</v>
      </c>
      <c r="F210" s="195" t="s">
        <v>438</v>
      </c>
    </row>
    <row r="211" spans="1:6" x14ac:dyDescent="0.25">
      <c r="A211" s="189" t="str">
        <f t="shared" si="3"/>
        <v>AA-MD 100 RP5-800.25S</v>
      </c>
      <c r="B211" s="195" t="s">
        <v>789</v>
      </c>
      <c r="C211" s="196">
        <v>0</v>
      </c>
      <c r="D211" s="196">
        <v>0.25</v>
      </c>
      <c r="E211" s="195" t="s">
        <v>595</v>
      </c>
      <c r="F211" s="195" t="s">
        <v>438</v>
      </c>
    </row>
    <row r="212" spans="1:6" x14ac:dyDescent="0.25">
      <c r="A212" s="189" t="str">
        <f t="shared" si="3"/>
        <v>AA-MD 100 RP6-1000.3S</v>
      </c>
      <c r="B212" s="195" t="s">
        <v>790</v>
      </c>
      <c r="C212" s="196">
        <v>0</v>
      </c>
      <c r="D212" s="196">
        <v>0.3</v>
      </c>
      <c r="E212" s="195" t="s">
        <v>595</v>
      </c>
      <c r="F212" s="195" t="s">
        <v>438</v>
      </c>
    </row>
    <row r="213" spans="1:6" x14ac:dyDescent="0.25">
      <c r="A213" s="189" t="str">
        <f t="shared" si="3"/>
        <v>AA-MD 100 RP6-1100.1E</v>
      </c>
      <c r="B213" s="195" t="s">
        <v>791</v>
      </c>
      <c r="C213" s="196">
        <v>0</v>
      </c>
      <c r="D213" s="196">
        <v>0.1</v>
      </c>
      <c r="E213" s="195" t="s">
        <v>598</v>
      </c>
      <c r="F213" s="195" t="s">
        <v>19</v>
      </c>
    </row>
    <row r="214" spans="1:6" x14ac:dyDescent="0.25">
      <c r="A214" s="189" t="str">
        <f t="shared" si="3"/>
        <v>AA-MD 100 RP6-1400.15S</v>
      </c>
      <c r="B214" s="195" t="s">
        <v>792</v>
      </c>
      <c r="C214" s="196">
        <v>0</v>
      </c>
      <c r="D214" s="196">
        <v>0.15</v>
      </c>
      <c r="E214" s="195" t="s">
        <v>595</v>
      </c>
      <c r="F214" s="195" t="s">
        <v>438</v>
      </c>
    </row>
    <row r="215" spans="1:6" x14ac:dyDescent="0.25">
      <c r="A215" s="189" t="str">
        <f t="shared" si="3"/>
        <v>AA-MD 100 RP6-1500.15E</v>
      </c>
      <c r="B215" s="195" t="s">
        <v>793</v>
      </c>
      <c r="C215" s="196">
        <v>0</v>
      </c>
      <c r="D215" s="196">
        <v>0.15</v>
      </c>
      <c r="E215" s="195" t="s">
        <v>598</v>
      </c>
      <c r="F215" s="195" t="s">
        <v>19</v>
      </c>
    </row>
    <row r="216" spans="1:6" x14ac:dyDescent="0.25">
      <c r="A216" s="189" t="str">
        <f t="shared" si="3"/>
        <v>AA-MD 100 RP6-1600.35E</v>
      </c>
      <c r="B216" s="195" t="s">
        <v>794</v>
      </c>
      <c r="C216" s="196">
        <v>0</v>
      </c>
      <c r="D216" s="196">
        <v>0.35</v>
      </c>
      <c r="E216" s="195" t="s">
        <v>598</v>
      </c>
      <c r="F216" s="195" t="s">
        <v>19</v>
      </c>
    </row>
    <row r="217" spans="1:6" x14ac:dyDescent="0.25">
      <c r="A217" s="189" t="str">
        <f t="shared" si="3"/>
        <v>AA-MD 100 RP6-1900.26E</v>
      </c>
      <c r="B217" s="195" t="s">
        <v>795</v>
      </c>
      <c r="C217" s="196">
        <v>0</v>
      </c>
      <c r="D217" s="196">
        <v>0.26</v>
      </c>
      <c r="E217" s="195" t="s">
        <v>598</v>
      </c>
      <c r="F217" s="195" t="s">
        <v>19</v>
      </c>
    </row>
    <row r="218" spans="1:6" x14ac:dyDescent="0.25">
      <c r="A218" s="189" t="str">
        <f t="shared" si="3"/>
        <v>AA-MD 100 RP6-190.120.22W</v>
      </c>
      <c r="B218" s="195" t="s">
        <v>795</v>
      </c>
      <c r="C218" s="196">
        <v>0.12</v>
      </c>
      <c r="D218" s="196">
        <v>0.22</v>
      </c>
      <c r="E218" s="195" t="s">
        <v>593</v>
      </c>
      <c r="F218" s="195" t="s">
        <v>432</v>
      </c>
    </row>
    <row r="219" spans="1:6" x14ac:dyDescent="0.25">
      <c r="A219" s="189" t="str">
        <f t="shared" si="3"/>
        <v>AA-MD 100 RP6-2000.01E</v>
      </c>
      <c r="B219" s="195" t="s">
        <v>796</v>
      </c>
      <c r="C219" s="196">
        <v>0</v>
      </c>
      <c r="D219" s="196">
        <v>0.01</v>
      </c>
      <c r="E219" s="195" t="s">
        <v>598</v>
      </c>
      <c r="F219" s="195" t="s">
        <v>19</v>
      </c>
    </row>
    <row r="220" spans="1:6" x14ac:dyDescent="0.25">
      <c r="A220" s="189" t="str">
        <f t="shared" si="3"/>
        <v>AA-MD 100 RP6-800.03S</v>
      </c>
      <c r="B220" s="195" t="s">
        <v>797</v>
      </c>
      <c r="C220" s="196">
        <v>0</v>
      </c>
      <c r="D220" s="196">
        <v>0.03</v>
      </c>
      <c r="E220" s="195" t="s">
        <v>595</v>
      </c>
      <c r="F220" s="195" t="s">
        <v>438</v>
      </c>
    </row>
    <row r="221" spans="1:6" x14ac:dyDescent="0.25">
      <c r="A221" s="189" t="str">
        <f t="shared" si="3"/>
        <v>AA-MD 100 RP7-1000.29W</v>
      </c>
      <c r="B221" s="195" t="s">
        <v>798</v>
      </c>
      <c r="C221" s="196">
        <v>0</v>
      </c>
      <c r="D221" s="196">
        <v>0.28999999999999998</v>
      </c>
      <c r="E221" s="195" t="s">
        <v>593</v>
      </c>
      <c r="F221" s="195" t="s">
        <v>432</v>
      </c>
    </row>
    <row r="222" spans="1:6" x14ac:dyDescent="0.25">
      <c r="A222" s="189" t="str">
        <f t="shared" si="3"/>
        <v>AA-MD 100 RP7-1100.4N</v>
      </c>
      <c r="B222" s="195" t="s">
        <v>799</v>
      </c>
      <c r="C222" s="196">
        <v>0</v>
      </c>
      <c r="D222" s="196">
        <v>0.4</v>
      </c>
      <c r="E222" s="195" t="s">
        <v>589</v>
      </c>
      <c r="F222" s="195" t="s">
        <v>430</v>
      </c>
    </row>
    <row r="223" spans="1:6" x14ac:dyDescent="0.25">
      <c r="A223" s="189" t="str">
        <f t="shared" si="3"/>
        <v>AA-MD 100 RP7-1600.23W</v>
      </c>
      <c r="B223" s="195" t="s">
        <v>800</v>
      </c>
      <c r="C223" s="196">
        <v>0</v>
      </c>
      <c r="D223" s="196">
        <v>0.23</v>
      </c>
      <c r="E223" s="195" t="s">
        <v>593</v>
      </c>
      <c r="F223" s="195" t="s">
        <v>432</v>
      </c>
    </row>
    <row r="224" spans="1:6" x14ac:dyDescent="0.25">
      <c r="A224" s="189" t="str">
        <f t="shared" si="3"/>
        <v>AA-MD 100 RP7-800.01W</v>
      </c>
      <c r="B224" s="195" t="s">
        <v>801</v>
      </c>
      <c r="C224" s="196">
        <v>0</v>
      </c>
      <c r="D224" s="196">
        <v>0.01</v>
      </c>
      <c r="E224" s="195" t="s">
        <v>593</v>
      </c>
      <c r="F224" s="195" t="s">
        <v>432</v>
      </c>
    </row>
    <row r="225" spans="1:6" x14ac:dyDescent="0.25">
      <c r="A225" s="189" t="str">
        <f t="shared" si="3"/>
        <v>AA-MD 100 RP8-1000.05W</v>
      </c>
      <c r="B225" s="195" t="s">
        <v>802</v>
      </c>
      <c r="C225" s="196">
        <v>0</v>
      </c>
      <c r="D225" s="196">
        <v>0.05</v>
      </c>
      <c r="E225" s="195" t="s">
        <v>593</v>
      </c>
      <c r="F225" s="195" t="s">
        <v>432</v>
      </c>
    </row>
    <row r="226" spans="1:6" x14ac:dyDescent="0.25">
      <c r="A226" s="189" t="str">
        <f t="shared" si="3"/>
        <v>AA-MD 100 RP8-1100.07S</v>
      </c>
      <c r="B226" s="195" t="s">
        <v>803</v>
      </c>
      <c r="C226" s="196">
        <v>0</v>
      </c>
      <c r="D226" s="196">
        <v>7.0000000000000007E-2</v>
      </c>
      <c r="E226" s="195" t="s">
        <v>595</v>
      </c>
      <c r="F226" s="195" t="s">
        <v>438</v>
      </c>
    </row>
    <row r="227" spans="1:6" x14ac:dyDescent="0.25">
      <c r="A227" s="189" t="str">
        <f t="shared" si="3"/>
        <v>AA-MD 100 RP8-1500.08E</v>
      </c>
      <c r="B227" s="195" t="s">
        <v>804</v>
      </c>
      <c r="C227" s="196">
        <v>0</v>
      </c>
      <c r="D227" s="196">
        <v>0.08</v>
      </c>
      <c r="E227" s="195" t="s">
        <v>598</v>
      </c>
      <c r="F227" s="195" t="s">
        <v>19</v>
      </c>
    </row>
    <row r="228" spans="1:6" x14ac:dyDescent="0.25">
      <c r="A228" s="189" t="str">
        <f t="shared" si="3"/>
        <v>AA-MD 100 RP8-1500.17W</v>
      </c>
      <c r="B228" s="195" t="s">
        <v>804</v>
      </c>
      <c r="C228" s="196">
        <v>0</v>
      </c>
      <c r="D228" s="196">
        <v>0.17</v>
      </c>
      <c r="E228" s="195" t="s">
        <v>593</v>
      </c>
      <c r="F228" s="195" t="s">
        <v>432</v>
      </c>
    </row>
    <row r="229" spans="1:6" x14ac:dyDescent="0.25">
      <c r="A229" s="189" t="str">
        <f t="shared" si="3"/>
        <v>AA-MD 100 RP8-1600.31S</v>
      </c>
      <c r="B229" s="195" t="s">
        <v>805</v>
      </c>
      <c r="C229" s="196">
        <v>0</v>
      </c>
      <c r="D229" s="196">
        <v>0.31</v>
      </c>
      <c r="E229" s="195" t="s">
        <v>595</v>
      </c>
      <c r="F229" s="195" t="s">
        <v>438</v>
      </c>
    </row>
    <row r="230" spans="1:6" x14ac:dyDescent="0.25">
      <c r="A230" s="189" t="str">
        <f t="shared" si="3"/>
        <v>AA-MD 100 RP8-1900.21S</v>
      </c>
      <c r="B230" s="195" t="s">
        <v>806</v>
      </c>
      <c r="C230" s="196">
        <v>0</v>
      </c>
      <c r="D230" s="196">
        <v>0.21</v>
      </c>
      <c r="E230" s="195" t="s">
        <v>595</v>
      </c>
      <c r="F230" s="195" t="s">
        <v>438</v>
      </c>
    </row>
    <row r="231" spans="1:6" x14ac:dyDescent="0.25">
      <c r="A231" s="189" t="str">
        <f t="shared" si="3"/>
        <v>AA-MD 100 RP8-2000.26S</v>
      </c>
      <c r="B231" s="195" t="s">
        <v>807</v>
      </c>
      <c r="C231" s="196">
        <v>0</v>
      </c>
      <c r="D231" s="196">
        <v>0.26</v>
      </c>
      <c r="E231" s="195" t="s">
        <v>595</v>
      </c>
      <c r="F231" s="195" t="s">
        <v>438</v>
      </c>
    </row>
    <row r="232" spans="1:6" x14ac:dyDescent="0.25">
      <c r="A232" s="189" t="str">
        <f t="shared" si="3"/>
        <v>AA-MD 100 RP8-800.02W</v>
      </c>
      <c r="B232" s="195" t="s">
        <v>808</v>
      </c>
      <c r="C232" s="196">
        <v>0</v>
      </c>
      <c r="D232" s="196">
        <v>0.02</v>
      </c>
      <c r="E232" s="195" t="s">
        <v>593</v>
      </c>
      <c r="F232" s="195" t="s">
        <v>432</v>
      </c>
    </row>
    <row r="233" spans="1:6" x14ac:dyDescent="0.25">
      <c r="A233" s="189" t="str">
        <f t="shared" si="3"/>
        <v>AA-MD 100 RP9-1600.12S</v>
      </c>
      <c r="B233" s="195" t="s">
        <v>809</v>
      </c>
      <c r="C233" s="196">
        <v>0</v>
      </c>
      <c r="D233" s="196">
        <v>0.12</v>
      </c>
      <c r="E233" s="195" t="s">
        <v>595</v>
      </c>
      <c r="F233" s="195" t="s">
        <v>438</v>
      </c>
    </row>
    <row r="234" spans="1:6" x14ac:dyDescent="0.25">
      <c r="A234" s="189" t="str">
        <f t="shared" si="3"/>
        <v>AA-MD 100M00.34N</v>
      </c>
      <c r="B234" s="195" t="s">
        <v>810</v>
      </c>
      <c r="C234" s="196">
        <v>0</v>
      </c>
      <c r="D234" s="196">
        <v>0.34</v>
      </c>
      <c r="E234" s="195" t="s">
        <v>583</v>
      </c>
      <c r="F234" s="195" t="s">
        <v>430</v>
      </c>
    </row>
    <row r="235" spans="1:6" x14ac:dyDescent="0.25">
      <c r="A235" s="189" t="str">
        <f t="shared" si="3"/>
        <v>AA-MD 100M00.34S</v>
      </c>
      <c r="B235" s="195" t="s">
        <v>810</v>
      </c>
      <c r="C235" s="196">
        <v>0</v>
      </c>
      <c r="D235" s="196">
        <v>0.34</v>
      </c>
      <c r="E235" s="195" t="s">
        <v>583</v>
      </c>
      <c r="F235" s="195" t="s">
        <v>438</v>
      </c>
    </row>
    <row r="236" spans="1:6" x14ac:dyDescent="0.25">
      <c r="A236" s="189" t="str">
        <f t="shared" si="3"/>
        <v>AA-MD 100N00.2N</v>
      </c>
      <c r="B236" s="195" t="s">
        <v>811</v>
      </c>
      <c r="C236" s="196">
        <v>0</v>
      </c>
      <c r="D236" s="196">
        <v>0.2</v>
      </c>
      <c r="E236" s="195" t="s">
        <v>589</v>
      </c>
      <c r="F236" s="195" t="s">
        <v>430</v>
      </c>
    </row>
    <row r="237" spans="1:6" x14ac:dyDescent="0.25">
      <c r="A237" s="189" t="str">
        <f t="shared" si="3"/>
        <v>AA-MD 100N00.2S</v>
      </c>
      <c r="B237" s="195" t="s">
        <v>811</v>
      </c>
      <c r="C237" s="196">
        <v>0</v>
      </c>
      <c r="D237" s="196">
        <v>0.2</v>
      </c>
      <c r="E237" s="195" t="s">
        <v>595</v>
      </c>
      <c r="F237" s="195" t="s">
        <v>438</v>
      </c>
    </row>
    <row r="238" spans="1:6" x14ac:dyDescent="0.25">
      <c r="A238" s="189" t="str">
        <f t="shared" si="3"/>
        <v>AA-MD 100O00.04N</v>
      </c>
      <c r="B238" s="195" t="s">
        <v>812</v>
      </c>
      <c r="C238" s="196">
        <v>0</v>
      </c>
      <c r="D238" s="196">
        <v>0.04</v>
      </c>
      <c r="E238" s="195" t="s">
        <v>589</v>
      </c>
      <c r="F238" s="195" t="s">
        <v>430</v>
      </c>
    </row>
    <row r="239" spans="1:6" x14ac:dyDescent="0.25">
      <c r="A239" s="189" t="str">
        <f t="shared" si="3"/>
        <v>AA-MD 100O00.04S</v>
      </c>
      <c r="B239" s="195" t="s">
        <v>812</v>
      </c>
      <c r="C239" s="196">
        <v>0</v>
      </c>
      <c r="D239" s="196">
        <v>0.04</v>
      </c>
      <c r="E239" s="195" t="s">
        <v>595</v>
      </c>
      <c r="F239" s="195" t="s">
        <v>438</v>
      </c>
    </row>
    <row r="240" spans="1:6" x14ac:dyDescent="0.25">
      <c r="A240" s="189" t="str">
        <f t="shared" si="3"/>
        <v>AA-MD 100P0.991.25N</v>
      </c>
      <c r="B240" s="195" t="s">
        <v>813</v>
      </c>
      <c r="C240" s="196">
        <v>0.99</v>
      </c>
      <c r="D240" s="196">
        <v>1.25</v>
      </c>
      <c r="E240" s="195" t="s">
        <v>589</v>
      </c>
      <c r="F240" s="195" t="s">
        <v>430</v>
      </c>
    </row>
    <row r="241" spans="1:6" x14ac:dyDescent="0.25">
      <c r="A241" s="189" t="str">
        <f t="shared" si="3"/>
        <v>AA-MD 100P0.991.25S</v>
      </c>
      <c r="B241" s="195" t="s">
        <v>813</v>
      </c>
      <c r="C241" s="196">
        <v>0.99</v>
      </c>
      <c r="D241" s="196">
        <v>1.25</v>
      </c>
      <c r="E241" s="195" t="s">
        <v>595</v>
      </c>
      <c r="F241" s="195" t="s">
        <v>438</v>
      </c>
    </row>
    <row r="242" spans="1:6" x14ac:dyDescent="0.25">
      <c r="A242" s="189" t="str">
        <f t="shared" si="3"/>
        <v>AA-MD 100Q0.290.55E</v>
      </c>
      <c r="B242" s="195" t="s">
        <v>814</v>
      </c>
      <c r="C242" s="196">
        <v>0.28999999999999998</v>
      </c>
      <c r="D242" s="196">
        <v>0.55000000000000004</v>
      </c>
      <c r="E242" s="195" t="s">
        <v>598</v>
      </c>
      <c r="F242" s="195" t="s">
        <v>19</v>
      </c>
    </row>
    <row r="243" spans="1:6" x14ac:dyDescent="0.25">
      <c r="A243" s="189" t="str">
        <f t="shared" si="3"/>
        <v>AA-MD 100Q0.290.55W</v>
      </c>
      <c r="B243" s="195" t="s">
        <v>814</v>
      </c>
      <c r="C243" s="196">
        <v>0.28999999999999998</v>
      </c>
      <c r="D243" s="196">
        <v>0.55000000000000004</v>
      </c>
      <c r="E243" s="195" t="s">
        <v>593</v>
      </c>
      <c r="F243" s="195" t="s">
        <v>432</v>
      </c>
    </row>
    <row r="244" spans="1:6" x14ac:dyDescent="0.25">
      <c r="A244" s="189" t="str">
        <f t="shared" si="3"/>
        <v>AA-MD 100R0.40.67N</v>
      </c>
      <c r="B244" s="195" t="s">
        <v>815</v>
      </c>
      <c r="C244" s="196">
        <v>0.4</v>
      </c>
      <c r="D244" s="196">
        <v>0.67</v>
      </c>
      <c r="E244" s="195" t="s">
        <v>589</v>
      </c>
      <c r="F244" s="195" t="s">
        <v>430</v>
      </c>
    </row>
    <row r="245" spans="1:6" x14ac:dyDescent="0.25">
      <c r="A245" s="189" t="str">
        <f t="shared" si="3"/>
        <v>AA-MD 100R0.40.67S</v>
      </c>
      <c r="B245" s="195" t="s">
        <v>815</v>
      </c>
      <c r="C245" s="196">
        <v>0.4</v>
      </c>
      <c r="D245" s="196">
        <v>0.67</v>
      </c>
      <c r="E245" s="195" t="s">
        <v>595</v>
      </c>
      <c r="F245" s="195" t="s">
        <v>438</v>
      </c>
    </row>
    <row r="246" spans="1:6" x14ac:dyDescent="0.25">
      <c r="A246" s="189" t="str">
        <f t="shared" si="3"/>
        <v>AA-MD 100S00.16E</v>
      </c>
      <c r="B246" s="195" t="s">
        <v>816</v>
      </c>
      <c r="C246" s="196">
        <v>0</v>
      </c>
      <c r="D246" s="196">
        <v>0.16</v>
      </c>
      <c r="E246" s="195" t="s">
        <v>598</v>
      </c>
      <c r="F246" s="195" t="s">
        <v>19</v>
      </c>
    </row>
    <row r="247" spans="1:6" x14ac:dyDescent="0.25">
      <c r="A247" s="189" t="str">
        <f t="shared" si="3"/>
        <v>AA-MD 100S00.16W</v>
      </c>
      <c r="B247" s="195" t="s">
        <v>816</v>
      </c>
      <c r="C247" s="196">
        <v>0</v>
      </c>
      <c r="D247" s="196">
        <v>0.16</v>
      </c>
      <c r="E247" s="195" t="s">
        <v>593</v>
      </c>
      <c r="F247" s="195" t="s">
        <v>432</v>
      </c>
    </row>
    <row r="248" spans="1:6" x14ac:dyDescent="0.25">
      <c r="A248" s="189" t="str">
        <f t="shared" si="3"/>
        <v>AA-MD 100T00.6N</v>
      </c>
      <c r="B248" s="195" t="s">
        <v>817</v>
      </c>
      <c r="C248" s="196">
        <v>0</v>
      </c>
      <c r="D248" s="196">
        <v>0.6</v>
      </c>
      <c r="E248" s="195" t="s">
        <v>583</v>
      </c>
      <c r="F248" s="195" t="s">
        <v>430</v>
      </c>
    </row>
    <row r="249" spans="1:6" x14ac:dyDescent="0.25">
      <c r="A249" s="189" t="str">
        <f t="shared" si="3"/>
        <v>AA-MD 100T00.6S</v>
      </c>
      <c r="B249" s="195" t="s">
        <v>817</v>
      </c>
      <c r="C249" s="196">
        <v>0</v>
      </c>
      <c r="D249" s="196">
        <v>0.6</v>
      </c>
      <c r="E249" s="195" t="s">
        <v>583</v>
      </c>
      <c r="F249" s="195" t="s">
        <v>438</v>
      </c>
    </row>
    <row r="250" spans="1:6" x14ac:dyDescent="0.25">
      <c r="A250" s="189" t="str">
        <f t="shared" si="3"/>
        <v>AA-MD 100U0.520.67N</v>
      </c>
      <c r="B250" s="195" t="s">
        <v>818</v>
      </c>
      <c r="C250" s="196">
        <v>0.52</v>
      </c>
      <c r="D250" s="196">
        <v>0.67</v>
      </c>
      <c r="E250" s="195" t="s">
        <v>589</v>
      </c>
      <c r="F250" s="195" t="s">
        <v>430</v>
      </c>
    </row>
    <row r="251" spans="1:6" x14ac:dyDescent="0.25">
      <c r="A251" s="189" t="str">
        <f t="shared" si="3"/>
        <v>AA-MD 100U0.520.67S</v>
      </c>
      <c r="B251" s="195" t="s">
        <v>818</v>
      </c>
      <c r="C251" s="196">
        <v>0.52</v>
      </c>
      <c r="D251" s="196">
        <v>0.67</v>
      </c>
      <c r="E251" s="195" t="s">
        <v>595</v>
      </c>
      <c r="F251" s="195" t="s">
        <v>438</v>
      </c>
    </row>
    <row r="252" spans="1:6" x14ac:dyDescent="0.25">
      <c r="A252" s="189" t="str">
        <f t="shared" si="3"/>
        <v>AA-MD 10300.32N</v>
      </c>
      <c r="B252" s="195" t="s">
        <v>819</v>
      </c>
      <c r="C252" s="196">
        <v>0</v>
      </c>
      <c r="D252" s="196">
        <v>0.32</v>
      </c>
      <c r="E252" s="195" t="s">
        <v>583</v>
      </c>
      <c r="F252" s="195" t="s">
        <v>430</v>
      </c>
    </row>
    <row r="253" spans="1:6" x14ac:dyDescent="0.25">
      <c r="A253" s="189" t="str">
        <f t="shared" si="3"/>
        <v>AA-MD 10300.32S</v>
      </c>
      <c r="B253" s="195" t="s">
        <v>819</v>
      </c>
      <c r="C253" s="196">
        <v>0</v>
      </c>
      <c r="D253" s="196">
        <v>0.32</v>
      </c>
      <c r="E253" s="195" t="s">
        <v>583</v>
      </c>
      <c r="F253" s="195" t="s">
        <v>438</v>
      </c>
    </row>
    <row r="254" spans="1:6" x14ac:dyDescent="0.25">
      <c r="A254" s="189" t="str">
        <f t="shared" si="3"/>
        <v>AA-MD 1030.320.6N</v>
      </c>
      <c r="B254" s="195" t="s">
        <v>819</v>
      </c>
      <c r="C254" s="196">
        <v>0.32</v>
      </c>
      <c r="D254" s="196">
        <v>0.6</v>
      </c>
      <c r="E254" s="195" t="s">
        <v>583</v>
      </c>
      <c r="F254" s="195" t="s">
        <v>430</v>
      </c>
    </row>
    <row r="255" spans="1:6" x14ac:dyDescent="0.25">
      <c r="A255" s="189" t="str">
        <f t="shared" si="3"/>
        <v>AA-MD 1030.320.6S</v>
      </c>
      <c r="B255" s="195" t="s">
        <v>819</v>
      </c>
      <c r="C255" s="196">
        <v>0.32</v>
      </c>
      <c r="D255" s="196">
        <v>0.6</v>
      </c>
      <c r="E255" s="195" t="s">
        <v>583</v>
      </c>
      <c r="F255" s="195" t="s">
        <v>438</v>
      </c>
    </row>
    <row r="256" spans="1:6" x14ac:dyDescent="0.25">
      <c r="A256" s="189" t="str">
        <f t="shared" si="3"/>
        <v>AA-MD 1030.60.83N</v>
      </c>
      <c r="B256" s="195" t="s">
        <v>819</v>
      </c>
      <c r="C256" s="196">
        <v>0.6</v>
      </c>
      <c r="D256" s="196">
        <v>0.83</v>
      </c>
      <c r="E256" s="195" t="s">
        <v>583</v>
      </c>
      <c r="F256" s="195" t="s">
        <v>430</v>
      </c>
    </row>
    <row r="257" spans="1:6" x14ac:dyDescent="0.25">
      <c r="A257" s="189" t="str">
        <f t="shared" si="3"/>
        <v>AA-MD 1030.60.83S</v>
      </c>
      <c r="B257" s="195" t="s">
        <v>819</v>
      </c>
      <c r="C257" s="196">
        <v>0.6</v>
      </c>
      <c r="D257" s="196">
        <v>0.83</v>
      </c>
      <c r="E257" s="195" t="s">
        <v>583</v>
      </c>
      <c r="F257" s="195" t="s">
        <v>438</v>
      </c>
    </row>
    <row r="258" spans="1:6" x14ac:dyDescent="0.25">
      <c r="A258" s="189" t="str">
        <f t="shared" si="3"/>
        <v>AA-MD 16800.6E</v>
      </c>
      <c r="B258" s="195" t="s">
        <v>820</v>
      </c>
      <c r="C258" s="196">
        <v>0</v>
      </c>
      <c r="D258" s="196">
        <v>0.6</v>
      </c>
      <c r="E258" s="195" t="s">
        <v>583</v>
      </c>
      <c r="F258" s="195" t="s">
        <v>19</v>
      </c>
    </row>
    <row r="259" spans="1:6" x14ac:dyDescent="0.25">
      <c r="A259" s="189" t="str">
        <f t="shared" ref="A259:A322" si="4">B259&amp;C259&amp;D259&amp;F259</f>
        <v>AA-MD 16800.6W</v>
      </c>
      <c r="B259" s="195" t="s">
        <v>820</v>
      </c>
      <c r="C259" s="196">
        <v>0</v>
      </c>
      <c r="D259" s="196">
        <v>0.6</v>
      </c>
      <c r="E259" s="195" t="s">
        <v>583</v>
      </c>
      <c r="F259" s="195" t="s">
        <v>432</v>
      </c>
    </row>
    <row r="260" spans="1:6" x14ac:dyDescent="0.25">
      <c r="A260" s="189" t="str">
        <f t="shared" si="4"/>
        <v>AA-MD 1680.60.66E</v>
      </c>
      <c r="B260" s="195" t="s">
        <v>820</v>
      </c>
      <c r="C260" s="196">
        <v>0.6</v>
      </c>
      <c r="D260" s="196">
        <v>0.66</v>
      </c>
      <c r="E260" s="195" t="s">
        <v>583</v>
      </c>
      <c r="F260" s="195" t="s">
        <v>19</v>
      </c>
    </row>
    <row r="261" spans="1:6" x14ac:dyDescent="0.25">
      <c r="A261" s="189" t="str">
        <f t="shared" si="4"/>
        <v>AA-MD 1680.60.66W</v>
      </c>
      <c r="B261" s="195" t="s">
        <v>820</v>
      </c>
      <c r="C261" s="196">
        <v>0.6</v>
      </c>
      <c r="D261" s="196">
        <v>0.66</v>
      </c>
      <c r="E261" s="195" t="s">
        <v>583</v>
      </c>
      <c r="F261" s="195" t="s">
        <v>432</v>
      </c>
    </row>
    <row r="262" spans="1:6" x14ac:dyDescent="0.25">
      <c r="A262" s="189" t="str">
        <f t="shared" si="4"/>
        <v>AA-MD 1680.660.8E</v>
      </c>
      <c r="B262" s="195" t="s">
        <v>820</v>
      </c>
      <c r="C262" s="196">
        <v>0.66</v>
      </c>
      <c r="D262" s="196">
        <v>0.8</v>
      </c>
      <c r="E262" s="195" t="s">
        <v>583</v>
      </c>
      <c r="F262" s="195" t="s">
        <v>19</v>
      </c>
    </row>
    <row r="263" spans="1:6" x14ac:dyDescent="0.25">
      <c r="A263" s="189" t="str">
        <f t="shared" si="4"/>
        <v>AA-MD 1680.660.8W</v>
      </c>
      <c r="B263" s="195" t="s">
        <v>820</v>
      </c>
      <c r="C263" s="196">
        <v>0.66</v>
      </c>
      <c r="D263" s="196">
        <v>0.8</v>
      </c>
      <c r="E263" s="195" t="s">
        <v>583</v>
      </c>
      <c r="F263" s="195" t="s">
        <v>432</v>
      </c>
    </row>
    <row r="264" spans="1:6" x14ac:dyDescent="0.25">
      <c r="A264" s="189" t="str">
        <f t="shared" si="4"/>
        <v>AA-MD 1680.81.28E</v>
      </c>
      <c r="B264" s="195" t="s">
        <v>820</v>
      </c>
      <c r="C264" s="196">
        <v>0.8</v>
      </c>
      <c r="D264" s="196">
        <v>1.28</v>
      </c>
      <c r="E264" s="195" t="s">
        <v>583</v>
      </c>
      <c r="F264" s="195" t="s">
        <v>19</v>
      </c>
    </row>
    <row r="265" spans="1:6" x14ac:dyDescent="0.25">
      <c r="A265" s="189" t="str">
        <f t="shared" si="4"/>
        <v>AA-MD 1680.81.28W</v>
      </c>
      <c r="B265" s="195" t="s">
        <v>820</v>
      </c>
      <c r="C265" s="196">
        <v>0.8</v>
      </c>
      <c r="D265" s="196">
        <v>1.28</v>
      </c>
      <c r="E265" s="195" t="s">
        <v>583</v>
      </c>
      <c r="F265" s="195" t="s">
        <v>432</v>
      </c>
    </row>
    <row r="266" spans="1:6" x14ac:dyDescent="0.25">
      <c r="A266" s="189" t="str">
        <f t="shared" si="4"/>
        <v>AA-MD 16900.97E</v>
      </c>
      <c r="B266" s="195" t="s">
        <v>518</v>
      </c>
      <c r="C266" s="196">
        <v>0</v>
      </c>
      <c r="D266" s="196">
        <v>0.97</v>
      </c>
      <c r="E266" s="195" t="s">
        <v>583</v>
      </c>
      <c r="F266" s="195" t="s">
        <v>19</v>
      </c>
    </row>
    <row r="267" spans="1:6" x14ac:dyDescent="0.25">
      <c r="A267" s="189" t="str">
        <f t="shared" si="4"/>
        <v>AA-MD 16900.97W</v>
      </c>
      <c r="B267" s="195" t="s">
        <v>518</v>
      </c>
      <c r="C267" s="196">
        <v>0</v>
      </c>
      <c r="D267" s="196">
        <v>0.97</v>
      </c>
      <c r="E267" s="195" t="s">
        <v>583</v>
      </c>
      <c r="F267" s="195" t="s">
        <v>432</v>
      </c>
    </row>
    <row r="268" spans="1:6" x14ac:dyDescent="0.25">
      <c r="A268" s="189" t="str">
        <f t="shared" si="4"/>
        <v>AA-MD 1701.22.61N</v>
      </c>
      <c r="B268" s="195" t="s">
        <v>519</v>
      </c>
      <c r="C268" s="196">
        <v>1.2</v>
      </c>
      <c r="D268" s="196">
        <v>2.61</v>
      </c>
      <c r="E268" s="195" t="s">
        <v>583</v>
      </c>
      <c r="F268" s="195" t="s">
        <v>430</v>
      </c>
    </row>
    <row r="269" spans="1:6" x14ac:dyDescent="0.25">
      <c r="A269" s="189" t="str">
        <f t="shared" si="4"/>
        <v>AA-MD 1701.22.61S</v>
      </c>
      <c r="B269" s="195" t="s">
        <v>519</v>
      </c>
      <c r="C269" s="196">
        <v>1.2</v>
      </c>
      <c r="D269" s="196">
        <v>2.61</v>
      </c>
      <c r="E269" s="195" t="s">
        <v>583</v>
      </c>
      <c r="F269" s="195" t="s">
        <v>438</v>
      </c>
    </row>
    <row r="270" spans="1:6" x14ac:dyDescent="0.25">
      <c r="A270" s="189" t="str">
        <f t="shared" si="4"/>
        <v>AA-MD 1702.612.95N</v>
      </c>
      <c r="B270" s="195" t="s">
        <v>519</v>
      </c>
      <c r="C270" s="196">
        <v>2.61</v>
      </c>
      <c r="D270" s="196">
        <v>2.95</v>
      </c>
      <c r="E270" s="195" t="s">
        <v>583</v>
      </c>
      <c r="F270" s="195" t="s">
        <v>430</v>
      </c>
    </row>
    <row r="271" spans="1:6" x14ac:dyDescent="0.25">
      <c r="A271" s="189" t="str">
        <f t="shared" si="4"/>
        <v>AA-MD 1702.612.95S</v>
      </c>
      <c r="B271" s="195" t="s">
        <v>519</v>
      </c>
      <c r="C271" s="196">
        <v>2.61</v>
      </c>
      <c r="D271" s="196">
        <v>2.95</v>
      </c>
      <c r="E271" s="195" t="s">
        <v>583</v>
      </c>
      <c r="F271" s="195" t="s">
        <v>438</v>
      </c>
    </row>
    <row r="272" spans="1:6" x14ac:dyDescent="0.25">
      <c r="A272" s="189" t="str">
        <f t="shared" si="4"/>
        <v>AA-MD 1702.953.4N</v>
      </c>
      <c r="B272" s="195" t="s">
        <v>519</v>
      </c>
      <c r="C272" s="196">
        <v>2.95</v>
      </c>
      <c r="D272" s="196">
        <v>3.4</v>
      </c>
      <c r="E272" s="195" t="s">
        <v>583</v>
      </c>
      <c r="F272" s="195" t="s">
        <v>430</v>
      </c>
    </row>
    <row r="273" spans="1:6" x14ac:dyDescent="0.25">
      <c r="A273" s="189" t="str">
        <f t="shared" si="4"/>
        <v>AA-MD 1702.953.4S</v>
      </c>
      <c r="B273" s="195" t="s">
        <v>519</v>
      </c>
      <c r="C273" s="196">
        <v>2.95</v>
      </c>
      <c r="D273" s="196">
        <v>3.4</v>
      </c>
      <c r="E273" s="195" t="s">
        <v>583</v>
      </c>
      <c r="F273" s="195" t="s">
        <v>438</v>
      </c>
    </row>
    <row r="274" spans="1:6" x14ac:dyDescent="0.25">
      <c r="A274" s="189" t="str">
        <f t="shared" si="4"/>
        <v>AA-MD 1703.43.95N</v>
      </c>
      <c r="B274" s="195" t="s">
        <v>519</v>
      </c>
      <c r="C274" s="196">
        <v>3.4</v>
      </c>
      <c r="D274" s="196">
        <v>3.95</v>
      </c>
      <c r="E274" s="195" t="s">
        <v>583</v>
      </c>
      <c r="F274" s="195" t="s">
        <v>430</v>
      </c>
    </row>
    <row r="275" spans="1:6" x14ac:dyDescent="0.25">
      <c r="A275" s="189" t="str">
        <f t="shared" si="4"/>
        <v>AA-MD 1703.43.95S</v>
      </c>
      <c r="B275" s="195" t="s">
        <v>519</v>
      </c>
      <c r="C275" s="196">
        <v>3.4</v>
      </c>
      <c r="D275" s="196">
        <v>3.95</v>
      </c>
      <c r="E275" s="195" t="s">
        <v>583</v>
      </c>
      <c r="F275" s="195" t="s">
        <v>438</v>
      </c>
    </row>
    <row r="276" spans="1:6" x14ac:dyDescent="0.25">
      <c r="A276" s="189" t="str">
        <f t="shared" si="4"/>
        <v>AA-MD 1706.37.05N</v>
      </c>
      <c r="B276" s="195" t="s">
        <v>519</v>
      </c>
      <c r="C276" s="196">
        <v>6.3</v>
      </c>
      <c r="D276" s="196">
        <v>7.05</v>
      </c>
      <c r="E276" s="195" t="s">
        <v>583</v>
      </c>
      <c r="F276" s="195" t="s">
        <v>430</v>
      </c>
    </row>
    <row r="277" spans="1:6" x14ac:dyDescent="0.25">
      <c r="A277" s="189" t="str">
        <f t="shared" si="4"/>
        <v>AA-MD 1706.37.05S</v>
      </c>
      <c r="B277" s="195" t="s">
        <v>519</v>
      </c>
      <c r="C277" s="196">
        <v>6.3</v>
      </c>
      <c r="D277" s="196">
        <v>7.05</v>
      </c>
      <c r="E277" s="195" t="s">
        <v>583</v>
      </c>
      <c r="F277" s="195" t="s">
        <v>438</v>
      </c>
    </row>
    <row r="278" spans="1:6" x14ac:dyDescent="0.25">
      <c r="A278" s="189" t="str">
        <f t="shared" si="4"/>
        <v>AA-MD 1708.89.09N</v>
      </c>
      <c r="B278" s="195" t="s">
        <v>519</v>
      </c>
      <c r="C278" s="196">
        <v>8.8000000000000007</v>
      </c>
      <c r="D278" s="196">
        <v>9.09</v>
      </c>
      <c r="E278" s="195" t="s">
        <v>583</v>
      </c>
      <c r="F278" s="195" t="s">
        <v>430</v>
      </c>
    </row>
    <row r="279" spans="1:6" x14ac:dyDescent="0.25">
      <c r="A279" s="189" t="str">
        <f t="shared" si="4"/>
        <v>AA-MD 1708.89.09S</v>
      </c>
      <c r="B279" s="195" t="s">
        <v>519</v>
      </c>
      <c r="C279" s="196">
        <v>8.8000000000000007</v>
      </c>
      <c r="D279" s="196">
        <v>9.09</v>
      </c>
      <c r="E279" s="195" t="s">
        <v>583</v>
      </c>
      <c r="F279" s="195" t="s">
        <v>438</v>
      </c>
    </row>
    <row r="280" spans="1:6" x14ac:dyDescent="0.25">
      <c r="A280" s="189" t="str">
        <f t="shared" si="4"/>
        <v>AA-MD 1709.099.15N</v>
      </c>
      <c r="B280" s="195" t="s">
        <v>519</v>
      </c>
      <c r="C280" s="196">
        <v>9.09</v>
      </c>
      <c r="D280" s="196">
        <v>9.15</v>
      </c>
      <c r="E280" s="195" t="s">
        <v>583</v>
      </c>
      <c r="F280" s="195" t="s">
        <v>430</v>
      </c>
    </row>
    <row r="281" spans="1:6" x14ac:dyDescent="0.25">
      <c r="A281" s="189" t="str">
        <f t="shared" si="4"/>
        <v>AA-MD 1709.099.15S</v>
      </c>
      <c r="B281" s="195" t="s">
        <v>519</v>
      </c>
      <c r="C281" s="196">
        <v>9.09</v>
      </c>
      <c r="D281" s="196">
        <v>9.15</v>
      </c>
      <c r="E281" s="195" t="s">
        <v>583</v>
      </c>
      <c r="F281" s="195" t="s">
        <v>438</v>
      </c>
    </row>
    <row r="282" spans="1:6" x14ac:dyDescent="0.25">
      <c r="A282" s="189" t="str">
        <f t="shared" si="4"/>
        <v>AA-MD 1709.159.9N</v>
      </c>
      <c r="B282" s="195" t="s">
        <v>519</v>
      </c>
      <c r="C282" s="196">
        <v>9.15</v>
      </c>
      <c r="D282" s="196">
        <v>9.9</v>
      </c>
      <c r="E282" s="195" t="s">
        <v>583</v>
      </c>
      <c r="F282" s="195" t="s">
        <v>430</v>
      </c>
    </row>
    <row r="283" spans="1:6" x14ac:dyDescent="0.25">
      <c r="A283" s="189" t="str">
        <f t="shared" si="4"/>
        <v>AA-MD 1709.159.9S</v>
      </c>
      <c r="B283" s="195" t="s">
        <v>519</v>
      </c>
      <c r="C283" s="196">
        <v>9.15</v>
      </c>
      <c r="D283" s="196">
        <v>9.9</v>
      </c>
      <c r="E283" s="195" t="s">
        <v>583</v>
      </c>
      <c r="F283" s="195" t="s">
        <v>438</v>
      </c>
    </row>
    <row r="284" spans="1:6" x14ac:dyDescent="0.25">
      <c r="A284" s="189" t="str">
        <f t="shared" si="4"/>
        <v>AA-MD 17010.2610.7N</v>
      </c>
      <c r="B284" s="195" t="s">
        <v>519</v>
      </c>
      <c r="C284" s="196">
        <v>10.26</v>
      </c>
      <c r="D284" s="196">
        <v>10.7</v>
      </c>
      <c r="E284" s="195" t="s">
        <v>583</v>
      </c>
      <c r="F284" s="195" t="s">
        <v>430</v>
      </c>
    </row>
    <row r="285" spans="1:6" x14ac:dyDescent="0.25">
      <c r="A285" s="189" t="str">
        <f t="shared" si="4"/>
        <v>AA-MD 17010.2610.7S</v>
      </c>
      <c r="B285" s="195" t="s">
        <v>519</v>
      </c>
      <c r="C285" s="196">
        <v>10.26</v>
      </c>
      <c r="D285" s="196">
        <v>10.7</v>
      </c>
      <c r="E285" s="195" t="s">
        <v>583</v>
      </c>
      <c r="F285" s="195" t="s">
        <v>438</v>
      </c>
    </row>
    <row r="286" spans="1:6" x14ac:dyDescent="0.25">
      <c r="A286" s="189" t="str">
        <f t="shared" si="4"/>
        <v>AA-MD 17010.712.98N</v>
      </c>
      <c r="B286" s="195" t="s">
        <v>519</v>
      </c>
      <c r="C286" s="196">
        <v>10.7</v>
      </c>
      <c r="D286" s="196">
        <v>12.98</v>
      </c>
      <c r="E286" s="195" t="s">
        <v>583</v>
      </c>
      <c r="F286" s="195" t="s">
        <v>430</v>
      </c>
    </row>
    <row r="287" spans="1:6" x14ac:dyDescent="0.25">
      <c r="A287" s="189" t="str">
        <f t="shared" si="4"/>
        <v>AA-MD 17010.712.98S</v>
      </c>
      <c r="B287" s="195" t="s">
        <v>519</v>
      </c>
      <c r="C287" s="196">
        <v>10.7</v>
      </c>
      <c r="D287" s="196">
        <v>12.98</v>
      </c>
      <c r="E287" s="195" t="s">
        <v>583</v>
      </c>
      <c r="F287" s="195" t="s">
        <v>438</v>
      </c>
    </row>
    <row r="288" spans="1:6" x14ac:dyDescent="0.25">
      <c r="A288" s="189" t="str">
        <f t="shared" si="4"/>
        <v>AA-MD 170A00.29N</v>
      </c>
      <c r="B288" s="195" t="s">
        <v>821</v>
      </c>
      <c r="C288" s="196">
        <v>0</v>
      </c>
      <c r="D288" s="196">
        <v>0.28999999999999998</v>
      </c>
      <c r="E288" s="195" t="s">
        <v>589</v>
      </c>
      <c r="F288" s="195" t="s">
        <v>430</v>
      </c>
    </row>
    <row r="289" spans="1:6" x14ac:dyDescent="0.25">
      <c r="A289" s="189" t="str">
        <f t="shared" si="4"/>
        <v>AA-MD 17100.93E</v>
      </c>
      <c r="B289" s="195" t="s">
        <v>520</v>
      </c>
      <c r="C289" s="196">
        <v>0</v>
      </c>
      <c r="D289" s="196">
        <v>0.93</v>
      </c>
      <c r="E289" s="195" t="s">
        <v>583</v>
      </c>
      <c r="F289" s="195" t="s">
        <v>19</v>
      </c>
    </row>
    <row r="290" spans="1:6" x14ac:dyDescent="0.25">
      <c r="A290" s="189" t="str">
        <f t="shared" si="4"/>
        <v>AA-MD 17100.93W</v>
      </c>
      <c r="B290" s="195" t="s">
        <v>520</v>
      </c>
      <c r="C290" s="196">
        <v>0</v>
      </c>
      <c r="D290" s="196">
        <v>0.93</v>
      </c>
      <c r="E290" s="195" t="s">
        <v>583</v>
      </c>
      <c r="F290" s="195" t="s">
        <v>432</v>
      </c>
    </row>
    <row r="291" spans="1:6" x14ac:dyDescent="0.25">
      <c r="A291" s="189" t="str">
        <f t="shared" si="4"/>
        <v>AA-MD 17200.05N</v>
      </c>
      <c r="B291" s="195" t="s">
        <v>822</v>
      </c>
      <c r="C291" s="196">
        <v>0</v>
      </c>
      <c r="D291" s="196">
        <v>0.05</v>
      </c>
      <c r="E291" s="195" t="s">
        <v>589</v>
      </c>
      <c r="F291" s="195" t="s">
        <v>430</v>
      </c>
    </row>
    <row r="292" spans="1:6" x14ac:dyDescent="0.25">
      <c r="A292" s="189" t="str">
        <f t="shared" si="4"/>
        <v>AA-MD 17200.05S</v>
      </c>
      <c r="B292" s="195" t="s">
        <v>822</v>
      </c>
      <c r="C292" s="196">
        <v>0</v>
      </c>
      <c r="D292" s="196">
        <v>0.05</v>
      </c>
      <c r="E292" s="195" t="s">
        <v>595</v>
      </c>
      <c r="F292" s="195" t="s">
        <v>438</v>
      </c>
    </row>
    <row r="293" spans="1:6" x14ac:dyDescent="0.25">
      <c r="A293" s="189" t="str">
        <f t="shared" si="4"/>
        <v>AA-MD 17301.32N</v>
      </c>
      <c r="B293" s="195" t="s">
        <v>823</v>
      </c>
      <c r="C293" s="196">
        <v>0</v>
      </c>
      <c r="D293" s="196">
        <v>1.32</v>
      </c>
      <c r="E293" s="195" t="s">
        <v>583</v>
      </c>
      <c r="F293" s="195" t="s">
        <v>430</v>
      </c>
    </row>
    <row r="294" spans="1:6" x14ac:dyDescent="0.25">
      <c r="A294" s="189" t="str">
        <f t="shared" si="4"/>
        <v>AA-MD 17301.32S</v>
      </c>
      <c r="B294" s="195" t="s">
        <v>823</v>
      </c>
      <c r="C294" s="196">
        <v>0</v>
      </c>
      <c r="D294" s="196">
        <v>1.32</v>
      </c>
      <c r="E294" s="195" t="s">
        <v>583</v>
      </c>
      <c r="F294" s="195" t="s">
        <v>438</v>
      </c>
    </row>
    <row r="295" spans="1:6" x14ac:dyDescent="0.25">
      <c r="A295" s="189" t="str">
        <f t="shared" si="4"/>
        <v>AA-MD 1731.323N</v>
      </c>
      <c r="B295" s="195" t="s">
        <v>823</v>
      </c>
      <c r="C295" s="196">
        <v>1.32</v>
      </c>
      <c r="D295" s="196">
        <v>3</v>
      </c>
      <c r="E295" s="195" t="s">
        <v>583</v>
      </c>
      <c r="F295" s="195" t="s">
        <v>430</v>
      </c>
    </row>
    <row r="296" spans="1:6" x14ac:dyDescent="0.25">
      <c r="A296" s="189" t="str">
        <f t="shared" si="4"/>
        <v>AA-MD 1731.323S</v>
      </c>
      <c r="B296" s="195" t="s">
        <v>823</v>
      </c>
      <c r="C296" s="196">
        <v>1.32</v>
      </c>
      <c r="D296" s="196">
        <v>3</v>
      </c>
      <c r="E296" s="195" t="s">
        <v>583</v>
      </c>
      <c r="F296" s="195" t="s">
        <v>438</v>
      </c>
    </row>
    <row r="297" spans="1:6" x14ac:dyDescent="0.25">
      <c r="A297" s="189" t="str">
        <f t="shared" si="4"/>
        <v>AA-MD 17333.8N</v>
      </c>
      <c r="B297" s="195" t="s">
        <v>823</v>
      </c>
      <c r="C297" s="196">
        <v>3</v>
      </c>
      <c r="D297" s="196">
        <v>3.8</v>
      </c>
      <c r="E297" s="195" t="s">
        <v>583</v>
      </c>
      <c r="F297" s="195" t="s">
        <v>430</v>
      </c>
    </row>
    <row r="298" spans="1:6" x14ac:dyDescent="0.25">
      <c r="A298" s="189" t="str">
        <f t="shared" si="4"/>
        <v>AA-MD 17333.8S</v>
      </c>
      <c r="B298" s="195" t="s">
        <v>823</v>
      </c>
      <c r="C298" s="196">
        <v>3</v>
      </c>
      <c r="D298" s="196">
        <v>3.8</v>
      </c>
      <c r="E298" s="195" t="s">
        <v>583</v>
      </c>
      <c r="F298" s="195" t="s">
        <v>438</v>
      </c>
    </row>
    <row r="299" spans="1:6" x14ac:dyDescent="0.25">
      <c r="A299" s="189" t="str">
        <f t="shared" si="4"/>
        <v>AA-MD 1733.84.18N</v>
      </c>
      <c r="B299" s="195" t="s">
        <v>823</v>
      </c>
      <c r="C299" s="196">
        <v>3.8</v>
      </c>
      <c r="D299" s="196">
        <v>4.18</v>
      </c>
      <c r="E299" s="195" t="s">
        <v>589</v>
      </c>
      <c r="F299" s="195" t="s">
        <v>430</v>
      </c>
    </row>
    <row r="300" spans="1:6" x14ac:dyDescent="0.25">
      <c r="A300" s="189" t="str">
        <f t="shared" si="4"/>
        <v>AA-MD 1733.84.24S</v>
      </c>
      <c r="B300" s="195" t="s">
        <v>823</v>
      </c>
      <c r="C300" s="196">
        <v>3.8</v>
      </c>
      <c r="D300" s="196">
        <v>4.24</v>
      </c>
      <c r="E300" s="195" t="s">
        <v>595</v>
      </c>
      <c r="F300" s="195" t="s">
        <v>438</v>
      </c>
    </row>
    <row r="301" spans="1:6" x14ac:dyDescent="0.25">
      <c r="A301" s="189" t="str">
        <f t="shared" si="4"/>
        <v>AA-MD 1734.185.5N</v>
      </c>
      <c r="B301" s="195" t="s">
        <v>823</v>
      </c>
      <c r="C301" s="196">
        <v>4.18</v>
      </c>
      <c r="D301" s="196">
        <v>5.5</v>
      </c>
      <c r="E301" s="195" t="s">
        <v>589</v>
      </c>
      <c r="F301" s="195" t="s">
        <v>430</v>
      </c>
    </row>
    <row r="302" spans="1:6" x14ac:dyDescent="0.25">
      <c r="A302" s="189" t="str">
        <f t="shared" si="4"/>
        <v>AA-MD 1734.245.5S</v>
      </c>
      <c r="B302" s="195" t="s">
        <v>823</v>
      </c>
      <c r="C302" s="196">
        <v>4.24</v>
      </c>
      <c r="D302" s="196">
        <v>5.5</v>
      </c>
      <c r="E302" s="195" t="s">
        <v>595</v>
      </c>
      <c r="F302" s="195" t="s">
        <v>438</v>
      </c>
    </row>
    <row r="303" spans="1:6" x14ac:dyDescent="0.25">
      <c r="A303" s="189" t="str">
        <f t="shared" si="4"/>
        <v>AA-MD 1735.55.71N</v>
      </c>
      <c r="B303" s="195" t="s">
        <v>823</v>
      </c>
      <c r="C303" s="196">
        <v>5.5</v>
      </c>
      <c r="D303" s="196">
        <v>5.71</v>
      </c>
      <c r="E303" s="195" t="s">
        <v>583</v>
      </c>
      <c r="F303" s="195" t="s">
        <v>430</v>
      </c>
    </row>
    <row r="304" spans="1:6" x14ac:dyDescent="0.25">
      <c r="A304" s="189" t="str">
        <f t="shared" si="4"/>
        <v>AA-MD 1735.55.71S</v>
      </c>
      <c r="B304" s="195" t="s">
        <v>823</v>
      </c>
      <c r="C304" s="196">
        <v>5.5</v>
      </c>
      <c r="D304" s="196">
        <v>5.71</v>
      </c>
      <c r="E304" s="195" t="s">
        <v>583</v>
      </c>
      <c r="F304" s="195" t="s">
        <v>438</v>
      </c>
    </row>
    <row r="305" spans="1:6" x14ac:dyDescent="0.25">
      <c r="A305" s="189" t="str">
        <f t="shared" si="4"/>
        <v>AA-MD 1735.715.71S</v>
      </c>
      <c r="B305" s="195" t="s">
        <v>823</v>
      </c>
      <c r="C305" s="196">
        <v>5.71</v>
      </c>
      <c r="D305" s="196">
        <v>5.71</v>
      </c>
      <c r="E305" s="195" t="s">
        <v>595</v>
      </c>
      <c r="F305" s="195" t="s">
        <v>438</v>
      </c>
    </row>
    <row r="306" spans="1:6" x14ac:dyDescent="0.25">
      <c r="A306" s="189" t="str">
        <f t="shared" si="4"/>
        <v>AA-MD 1735.715.89N</v>
      </c>
      <c r="B306" s="195" t="s">
        <v>823</v>
      </c>
      <c r="C306" s="196">
        <v>5.71</v>
      </c>
      <c r="D306" s="196">
        <v>5.89</v>
      </c>
      <c r="E306" s="195" t="s">
        <v>589</v>
      </c>
      <c r="F306" s="195" t="s">
        <v>430</v>
      </c>
    </row>
    <row r="307" spans="1:6" x14ac:dyDescent="0.25">
      <c r="A307" s="189" t="str">
        <f t="shared" si="4"/>
        <v>AA-MD 1735.715.9S</v>
      </c>
      <c r="B307" s="195" t="s">
        <v>823</v>
      </c>
      <c r="C307" s="196">
        <v>5.71</v>
      </c>
      <c r="D307" s="196">
        <v>5.9</v>
      </c>
      <c r="E307" s="195" t="s">
        <v>595</v>
      </c>
      <c r="F307" s="195" t="s">
        <v>438</v>
      </c>
    </row>
    <row r="308" spans="1:6" x14ac:dyDescent="0.25">
      <c r="A308" s="189" t="str">
        <f t="shared" si="4"/>
        <v>AA-MD 1735.96S</v>
      </c>
      <c r="B308" s="195" t="s">
        <v>823</v>
      </c>
      <c r="C308" s="196">
        <v>5.9</v>
      </c>
      <c r="D308" s="196">
        <v>6</v>
      </c>
      <c r="E308" s="195" t="s">
        <v>595</v>
      </c>
      <c r="F308" s="195" t="s">
        <v>438</v>
      </c>
    </row>
    <row r="309" spans="1:6" x14ac:dyDescent="0.25">
      <c r="A309" s="189" t="str">
        <f t="shared" si="4"/>
        <v>AA-MD 173A00.14N</v>
      </c>
      <c r="B309" s="195" t="s">
        <v>824</v>
      </c>
      <c r="C309" s="196">
        <v>0</v>
      </c>
      <c r="D309" s="196">
        <v>0.14000000000000001</v>
      </c>
      <c r="E309" s="195" t="s">
        <v>589</v>
      </c>
      <c r="F309" s="195" t="s">
        <v>430</v>
      </c>
    </row>
    <row r="310" spans="1:6" x14ac:dyDescent="0.25">
      <c r="A310" s="189" t="str">
        <f t="shared" si="4"/>
        <v>AA-MD 173A00.14S</v>
      </c>
      <c r="B310" s="195" t="s">
        <v>824</v>
      </c>
      <c r="C310" s="196">
        <v>0</v>
      </c>
      <c r="D310" s="196">
        <v>0.14000000000000001</v>
      </c>
      <c r="E310" s="195" t="s">
        <v>595</v>
      </c>
      <c r="F310" s="195" t="s">
        <v>438</v>
      </c>
    </row>
    <row r="311" spans="1:6" x14ac:dyDescent="0.25">
      <c r="A311" s="189" t="str">
        <f t="shared" si="4"/>
        <v>AA-MD 17400.15E</v>
      </c>
      <c r="B311" s="195" t="s">
        <v>825</v>
      </c>
      <c r="C311" s="196">
        <v>0</v>
      </c>
      <c r="D311" s="196">
        <v>0.15</v>
      </c>
      <c r="E311" s="195" t="s">
        <v>583</v>
      </c>
      <c r="F311" s="195" t="s">
        <v>19</v>
      </c>
    </row>
    <row r="312" spans="1:6" x14ac:dyDescent="0.25">
      <c r="A312" s="189" t="str">
        <f t="shared" si="4"/>
        <v>AA-MD 17400.15W</v>
      </c>
      <c r="B312" s="195" t="s">
        <v>825</v>
      </c>
      <c r="C312" s="196">
        <v>0</v>
      </c>
      <c r="D312" s="196">
        <v>0.15</v>
      </c>
      <c r="E312" s="195" t="s">
        <v>583</v>
      </c>
      <c r="F312" s="195" t="s">
        <v>432</v>
      </c>
    </row>
    <row r="313" spans="1:6" x14ac:dyDescent="0.25">
      <c r="A313" s="189" t="str">
        <f t="shared" si="4"/>
        <v>AA-MD 1740.151.4E</v>
      </c>
      <c r="B313" s="195" t="s">
        <v>825</v>
      </c>
      <c r="C313" s="196">
        <v>0.15</v>
      </c>
      <c r="D313" s="196">
        <v>1.4</v>
      </c>
      <c r="E313" s="195" t="s">
        <v>583</v>
      </c>
      <c r="F313" s="195" t="s">
        <v>19</v>
      </c>
    </row>
    <row r="314" spans="1:6" x14ac:dyDescent="0.25">
      <c r="A314" s="189" t="str">
        <f t="shared" si="4"/>
        <v>AA-MD 1740.151.4W</v>
      </c>
      <c r="B314" s="195" t="s">
        <v>825</v>
      </c>
      <c r="C314" s="196">
        <v>0.15</v>
      </c>
      <c r="D314" s="196">
        <v>1.4</v>
      </c>
      <c r="E314" s="195" t="s">
        <v>583</v>
      </c>
      <c r="F314" s="195" t="s">
        <v>432</v>
      </c>
    </row>
    <row r="315" spans="1:6" x14ac:dyDescent="0.25">
      <c r="A315" s="189" t="str">
        <f t="shared" si="4"/>
        <v>AA-MD 1741.41.7E</v>
      </c>
      <c r="B315" s="195" t="s">
        <v>825</v>
      </c>
      <c r="C315" s="196">
        <v>1.4</v>
      </c>
      <c r="D315" s="196">
        <v>1.7</v>
      </c>
      <c r="E315" s="195" t="s">
        <v>583</v>
      </c>
      <c r="F315" s="195" t="s">
        <v>19</v>
      </c>
    </row>
    <row r="316" spans="1:6" x14ac:dyDescent="0.25">
      <c r="A316" s="189" t="str">
        <f t="shared" si="4"/>
        <v>AA-MD 1741.41.7W</v>
      </c>
      <c r="B316" s="195" t="s">
        <v>825</v>
      </c>
      <c r="C316" s="196">
        <v>1.4</v>
      </c>
      <c r="D316" s="196">
        <v>1.7</v>
      </c>
      <c r="E316" s="195" t="s">
        <v>583</v>
      </c>
      <c r="F316" s="195" t="s">
        <v>432</v>
      </c>
    </row>
    <row r="317" spans="1:6" x14ac:dyDescent="0.25">
      <c r="A317" s="189" t="str">
        <f t="shared" si="4"/>
        <v>AA-MD 1741.72.41W</v>
      </c>
      <c r="B317" s="195" t="s">
        <v>825</v>
      </c>
      <c r="C317" s="196">
        <v>1.7</v>
      </c>
      <c r="D317" s="196">
        <v>2.41</v>
      </c>
      <c r="E317" s="195" t="s">
        <v>593</v>
      </c>
      <c r="F317" s="195" t="s">
        <v>432</v>
      </c>
    </row>
    <row r="318" spans="1:6" x14ac:dyDescent="0.25">
      <c r="A318" s="189" t="str">
        <f t="shared" si="4"/>
        <v>AA-MD 1741.72.43E</v>
      </c>
      <c r="B318" s="195" t="s">
        <v>825</v>
      </c>
      <c r="C318" s="196">
        <v>1.7</v>
      </c>
      <c r="D318" s="196">
        <v>2.4300000000000002</v>
      </c>
      <c r="E318" s="195" t="s">
        <v>598</v>
      </c>
      <c r="F318" s="195" t="s">
        <v>19</v>
      </c>
    </row>
    <row r="319" spans="1:6" x14ac:dyDescent="0.25">
      <c r="A319" s="189" t="str">
        <f t="shared" si="4"/>
        <v>AA-MD 1742.695.2E</v>
      </c>
      <c r="B319" s="195" t="s">
        <v>825</v>
      </c>
      <c r="C319" s="196">
        <v>2.69</v>
      </c>
      <c r="D319" s="196">
        <v>5.2</v>
      </c>
      <c r="E319" s="195" t="s">
        <v>598</v>
      </c>
      <c r="F319" s="195" t="s">
        <v>19</v>
      </c>
    </row>
    <row r="320" spans="1:6" x14ac:dyDescent="0.25">
      <c r="A320" s="189" t="str">
        <f t="shared" si="4"/>
        <v>AA-MD 1742.875.2W</v>
      </c>
      <c r="B320" s="195" t="s">
        <v>825</v>
      </c>
      <c r="C320" s="196">
        <v>2.87</v>
      </c>
      <c r="D320" s="196">
        <v>5.2</v>
      </c>
      <c r="E320" s="195" t="s">
        <v>593</v>
      </c>
      <c r="F320" s="195" t="s">
        <v>432</v>
      </c>
    </row>
    <row r="321" spans="1:6" x14ac:dyDescent="0.25">
      <c r="A321" s="189" t="str">
        <f t="shared" si="4"/>
        <v>AA-MD 1745.25.5E</v>
      </c>
      <c r="B321" s="195" t="s">
        <v>825</v>
      </c>
      <c r="C321" s="196">
        <v>5.2</v>
      </c>
      <c r="D321" s="196">
        <v>5.5</v>
      </c>
      <c r="E321" s="195" t="s">
        <v>583</v>
      </c>
      <c r="F321" s="195" t="s">
        <v>19</v>
      </c>
    </row>
    <row r="322" spans="1:6" x14ac:dyDescent="0.25">
      <c r="A322" s="189" t="str">
        <f t="shared" si="4"/>
        <v>AA-MD 1745.25.5W</v>
      </c>
      <c r="B322" s="195" t="s">
        <v>825</v>
      </c>
      <c r="C322" s="196">
        <v>5.2</v>
      </c>
      <c r="D322" s="196">
        <v>5.5</v>
      </c>
      <c r="E322" s="195" t="s">
        <v>583</v>
      </c>
      <c r="F322" s="195" t="s">
        <v>432</v>
      </c>
    </row>
    <row r="323" spans="1:6" x14ac:dyDescent="0.25">
      <c r="A323" s="189" t="str">
        <f t="shared" ref="A323:A386" si="5">B323&amp;C323&amp;D323&amp;F323</f>
        <v>AA-MD 1745.755.94E</v>
      </c>
      <c r="B323" s="195" t="s">
        <v>825</v>
      </c>
      <c r="C323" s="196">
        <v>5.75</v>
      </c>
      <c r="D323" s="196">
        <v>5.94</v>
      </c>
      <c r="E323" s="195" t="s">
        <v>583</v>
      </c>
      <c r="F323" s="195" t="s">
        <v>19</v>
      </c>
    </row>
    <row r="324" spans="1:6" x14ac:dyDescent="0.25">
      <c r="A324" s="189" t="str">
        <f t="shared" si="5"/>
        <v>AA-MD 1745.755.94W</v>
      </c>
      <c r="B324" s="195" t="s">
        <v>825</v>
      </c>
      <c r="C324" s="196">
        <v>5.75</v>
      </c>
      <c r="D324" s="196">
        <v>5.94</v>
      </c>
      <c r="E324" s="195" t="s">
        <v>583</v>
      </c>
      <c r="F324" s="195" t="s">
        <v>432</v>
      </c>
    </row>
    <row r="325" spans="1:6" x14ac:dyDescent="0.25">
      <c r="A325" s="189" t="str">
        <f t="shared" si="5"/>
        <v>AA-MD 17500.06N</v>
      </c>
      <c r="B325" s="195" t="s">
        <v>508</v>
      </c>
      <c r="C325" s="196">
        <v>0</v>
      </c>
      <c r="D325" s="196">
        <v>0.06</v>
      </c>
      <c r="E325" s="195" t="s">
        <v>589</v>
      </c>
      <c r="F325" s="195" t="s">
        <v>430</v>
      </c>
    </row>
    <row r="326" spans="1:6" x14ac:dyDescent="0.25">
      <c r="A326" s="189" t="str">
        <f t="shared" si="5"/>
        <v>AA-MD 17502.15S</v>
      </c>
      <c r="B326" s="195" t="s">
        <v>508</v>
      </c>
      <c r="C326" s="196">
        <v>0</v>
      </c>
      <c r="D326" s="196">
        <v>2.15</v>
      </c>
      <c r="E326" s="195" t="s">
        <v>595</v>
      </c>
      <c r="F326" s="195" t="s">
        <v>438</v>
      </c>
    </row>
    <row r="327" spans="1:6" x14ac:dyDescent="0.25">
      <c r="A327" s="189" t="str">
        <f t="shared" si="5"/>
        <v>AA-MD 1750.060.13N</v>
      </c>
      <c r="B327" s="195" t="s">
        <v>508</v>
      </c>
      <c r="C327" s="196">
        <v>0.06</v>
      </c>
      <c r="D327" s="196">
        <v>0.13</v>
      </c>
      <c r="E327" s="195" t="s">
        <v>589</v>
      </c>
      <c r="F327" s="195" t="s">
        <v>430</v>
      </c>
    </row>
    <row r="328" spans="1:6" x14ac:dyDescent="0.25">
      <c r="A328" s="189" t="str">
        <f t="shared" si="5"/>
        <v>AA-MD 1750.130.23N</v>
      </c>
      <c r="B328" s="195" t="s">
        <v>508</v>
      </c>
      <c r="C328" s="196">
        <v>0.13</v>
      </c>
      <c r="D328" s="196">
        <v>0.23</v>
      </c>
      <c r="E328" s="195" t="s">
        <v>589</v>
      </c>
      <c r="F328" s="195" t="s">
        <v>430</v>
      </c>
    </row>
    <row r="329" spans="1:6" x14ac:dyDescent="0.25">
      <c r="A329" s="189" t="str">
        <f t="shared" si="5"/>
        <v>AA-MD 1750.232.15N</v>
      </c>
      <c r="B329" s="195" t="s">
        <v>508</v>
      </c>
      <c r="C329" s="196">
        <v>0.23</v>
      </c>
      <c r="D329" s="196">
        <v>2.15</v>
      </c>
      <c r="E329" s="195" t="s">
        <v>589</v>
      </c>
      <c r="F329" s="195" t="s">
        <v>430</v>
      </c>
    </row>
    <row r="330" spans="1:6" x14ac:dyDescent="0.25">
      <c r="A330" s="189" t="str">
        <f t="shared" si="5"/>
        <v>AA-MD 1752.224.94N</v>
      </c>
      <c r="B330" s="195" t="s">
        <v>508</v>
      </c>
      <c r="C330" s="196">
        <v>2.2200000000000002</v>
      </c>
      <c r="D330" s="196">
        <v>4.9400000000000004</v>
      </c>
      <c r="E330" s="195" t="s">
        <v>589</v>
      </c>
      <c r="F330" s="195" t="s">
        <v>430</v>
      </c>
    </row>
    <row r="331" spans="1:6" x14ac:dyDescent="0.25">
      <c r="A331" s="189" t="str">
        <f t="shared" si="5"/>
        <v>AA-MD 1752.225.09S</v>
      </c>
      <c r="B331" s="195" t="s">
        <v>508</v>
      </c>
      <c r="C331" s="196">
        <v>2.2200000000000002</v>
      </c>
      <c r="D331" s="196">
        <v>5.09</v>
      </c>
      <c r="E331" s="195" t="s">
        <v>595</v>
      </c>
      <c r="F331" s="195" t="s">
        <v>438</v>
      </c>
    </row>
    <row r="332" spans="1:6" x14ac:dyDescent="0.25">
      <c r="A332" s="189" t="str">
        <f t="shared" si="5"/>
        <v>AA-MD 1754.945.09N</v>
      </c>
      <c r="B332" s="195" t="s">
        <v>508</v>
      </c>
      <c r="C332" s="196">
        <v>4.9400000000000004</v>
      </c>
      <c r="D332" s="196">
        <v>5.09</v>
      </c>
      <c r="E332" s="195" t="s">
        <v>589</v>
      </c>
      <c r="F332" s="195" t="s">
        <v>430</v>
      </c>
    </row>
    <row r="333" spans="1:6" x14ac:dyDescent="0.25">
      <c r="A333" s="189" t="str">
        <f t="shared" si="5"/>
        <v>AA-MD 1755.095.98N</v>
      </c>
      <c r="B333" s="195" t="s">
        <v>508</v>
      </c>
      <c r="C333" s="196">
        <v>5.09</v>
      </c>
      <c r="D333" s="196">
        <v>5.98</v>
      </c>
      <c r="E333" s="195" t="s">
        <v>583</v>
      </c>
      <c r="F333" s="195" t="s">
        <v>430</v>
      </c>
    </row>
    <row r="334" spans="1:6" x14ac:dyDescent="0.25">
      <c r="A334" s="189" t="str">
        <f t="shared" si="5"/>
        <v>AA-MD 1755.095.98S</v>
      </c>
      <c r="B334" s="195" t="s">
        <v>508</v>
      </c>
      <c r="C334" s="196">
        <v>5.09</v>
      </c>
      <c r="D334" s="196">
        <v>5.98</v>
      </c>
      <c r="E334" s="195" t="s">
        <v>583</v>
      </c>
      <c r="F334" s="195" t="s">
        <v>438</v>
      </c>
    </row>
    <row r="335" spans="1:6" x14ac:dyDescent="0.25">
      <c r="A335" s="189" t="str">
        <f t="shared" si="5"/>
        <v>AA-MD 1755.986.05N</v>
      </c>
      <c r="B335" s="195" t="s">
        <v>508</v>
      </c>
      <c r="C335" s="196">
        <v>5.98</v>
      </c>
      <c r="D335" s="196">
        <v>6.05</v>
      </c>
      <c r="E335" s="195" t="s">
        <v>583</v>
      </c>
      <c r="F335" s="195" t="s">
        <v>430</v>
      </c>
    </row>
    <row r="336" spans="1:6" x14ac:dyDescent="0.25">
      <c r="A336" s="189" t="str">
        <f t="shared" si="5"/>
        <v>AA-MD 1755.986.05S</v>
      </c>
      <c r="B336" s="195" t="s">
        <v>508</v>
      </c>
      <c r="C336" s="196">
        <v>5.98</v>
      </c>
      <c r="D336" s="196">
        <v>6.05</v>
      </c>
      <c r="E336" s="195" t="s">
        <v>583</v>
      </c>
      <c r="F336" s="195" t="s">
        <v>438</v>
      </c>
    </row>
    <row r="337" spans="1:6" x14ac:dyDescent="0.25">
      <c r="A337" s="189" t="str">
        <f t="shared" si="5"/>
        <v>AA-MD 1756.057S</v>
      </c>
      <c r="B337" s="195" t="s">
        <v>508</v>
      </c>
      <c r="C337" s="196">
        <v>6.05</v>
      </c>
      <c r="D337" s="196">
        <v>7</v>
      </c>
      <c r="E337" s="195" t="s">
        <v>595</v>
      </c>
      <c r="F337" s="195" t="s">
        <v>438</v>
      </c>
    </row>
    <row r="338" spans="1:6" x14ac:dyDescent="0.25">
      <c r="A338" s="189" t="str">
        <f t="shared" si="5"/>
        <v>AA-MD 1756.057.01N</v>
      </c>
      <c r="B338" s="195" t="s">
        <v>508</v>
      </c>
      <c r="C338" s="196">
        <v>6.05</v>
      </c>
      <c r="D338" s="196">
        <v>7.01</v>
      </c>
      <c r="E338" s="195" t="s">
        <v>589</v>
      </c>
      <c r="F338" s="195" t="s">
        <v>430</v>
      </c>
    </row>
    <row r="339" spans="1:6" x14ac:dyDescent="0.25">
      <c r="A339" s="189" t="str">
        <f t="shared" si="5"/>
        <v>AA-MD 1757.457.6N</v>
      </c>
      <c r="B339" s="195" t="s">
        <v>508</v>
      </c>
      <c r="C339" s="196">
        <v>7.45</v>
      </c>
      <c r="D339" s="196">
        <v>7.6</v>
      </c>
      <c r="E339" s="195" t="s">
        <v>589</v>
      </c>
      <c r="F339" s="195" t="s">
        <v>430</v>
      </c>
    </row>
    <row r="340" spans="1:6" x14ac:dyDescent="0.25">
      <c r="A340" s="189" t="str">
        <f t="shared" si="5"/>
        <v>AA-MD 1757.57.56S</v>
      </c>
      <c r="B340" s="195" t="s">
        <v>508</v>
      </c>
      <c r="C340" s="196">
        <v>7.5</v>
      </c>
      <c r="D340" s="196">
        <v>7.56</v>
      </c>
      <c r="E340" s="195" t="s">
        <v>595</v>
      </c>
      <c r="F340" s="195" t="s">
        <v>438</v>
      </c>
    </row>
    <row r="341" spans="1:6" x14ac:dyDescent="0.25">
      <c r="A341" s="189" t="str">
        <f t="shared" si="5"/>
        <v>AA-MD 1757.567.6S</v>
      </c>
      <c r="B341" s="195" t="s">
        <v>508</v>
      </c>
      <c r="C341" s="196">
        <v>7.56</v>
      </c>
      <c r="D341" s="196">
        <v>7.6</v>
      </c>
      <c r="E341" s="195" t="s">
        <v>595</v>
      </c>
      <c r="F341" s="195" t="s">
        <v>438</v>
      </c>
    </row>
    <row r="342" spans="1:6" x14ac:dyDescent="0.25">
      <c r="A342" s="189" t="str">
        <f t="shared" si="5"/>
        <v>AA-MD 1757.67.89N</v>
      </c>
      <c r="B342" s="195" t="s">
        <v>508</v>
      </c>
      <c r="C342" s="196">
        <v>7.6</v>
      </c>
      <c r="D342" s="196">
        <v>7.89</v>
      </c>
      <c r="E342" s="195" t="s">
        <v>583</v>
      </c>
      <c r="F342" s="195" t="s">
        <v>430</v>
      </c>
    </row>
    <row r="343" spans="1:6" x14ac:dyDescent="0.25">
      <c r="A343" s="189" t="str">
        <f t="shared" si="5"/>
        <v>AA-MD 1757.67.89S</v>
      </c>
      <c r="B343" s="195" t="s">
        <v>508</v>
      </c>
      <c r="C343" s="196">
        <v>7.6</v>
      </c>
      <c r="D343" s="196">
        <v>7.89</v>
      </c>
      <c r="E343" s="195" t="s">
        <v>583</v>
      </c>
      <c r="F343" s="195" t="s">
        <v>438</v>
      </c>
    </row>
    <row r="344" spans="1:6" x14ac:dyDescent="0.25">
      <c r="A344" s="189" t="str">
        <f t="shared" si="5"/>
        <v>AA-MD 1757.898.05N</v>
      </c>
      <c r="B344" s="195" t="s">
        <v>508</v>
      </c>
      <c r="C344" s="196">
        <v>7.89</v>
      </c>
      <c r="D344" s="196">
        <v>8.0500000000000007</v>
      </c>
      <c r="E344" s="195" t="s">
        <v>589</v>
      </c>
      <c r="F344" s="195" t="s">
        <v>430</v>
      </c>
    </row>
    <row r="345" spans="1:6" x14ac:dyDescent="0.25">
      <c r="A345" s="189" t="str">
        <f t="shared" si="5"/>
        <v>AA-MD 1757.898.19S</v>
      </c>
      <c r="B345" s="195" t="s">
        <v>508</v>
      </c>
      <c r="C345" s="196">
        <v>7.89</v>
      </c>
      <c r="D345" s="196">
        <v>8.19</v>
      </c>
      <c r="E345" s="195" t="s">
        <v>595</v>
      </c>
      <c r="F345" s="195" t="s">
        <v>438</v>
      </c>
    </row>
    <row r="346" spans="1:6" x14ac:dyDescent="0.25">
      <c r="A346" s="189" t="str">
        <f t="shared" si="5"/>
        <v>AA-MD 1758.058.19N</v>
      </c>
      <c r="B346" s="195" t="s">
        <v>508</v>
      </c>
      <c r="C346" s="196">
        <v>8.0500000000000007</v>
      </c>
      <c r="D346" s="196">
        <v>8.19</v>
      </c>
      <c r="E346" s="195" t="s">
        <v>589</v>
      </c>
      <c r="F346" s="195" t="s">
        <v>430</v>
      </c>
    </row>
    <row r="347" spans="1:6" x14ac:dyDescent="0.25">
      <c r="A347" s="189" t="str">
        <f t="shared" si="5"/>
        <v>AA-MD 1758.198.65S</v>
      </c>
      <c r="B347" s="195" t="s">
        <v>508</v>
      </c>
      <c r="C347" s="196">
        <v>8.19</v>
      </c>
      <c r="D347" s="196">
        <v>8.65</v>
      </c>
      <c r="E347" s="195" t="s">
        <v>595</v>
      </c>
      <c r="F347" s="195" t="s">
        <v>438</v>
      </c>
    </row>
    <row r="348" spans="1:6" x14ac:dyDescent="0.25">
      <c r="A348" s="189" t="str">
        <f t="shared" si="5"/>
        <v>AA-MD 1758.198.7N</v>
      </c>
      <c r="B348" s="195" t="s">
        <v>508</v>
      </c>
      <c r="C348" s="196">
        <v>8.19</v>
      </c>
      <c r="D348" s="196">
        <v>8.6999999999999993</v>
      </c>
      <c r="E348" s="195" t="s">
        <v>589</v>
      </c>
      <c r="F348" s="195" t="s">
        <v>430</v>
      </c>
    </row>
    <row r="349" spans="1:6" x14ac:dyDescent="0.25">
      <c r="A349" s="189" t="str">
        <f t="shared" si="5"/>
        <v>AA-MD 1758.658.89S</v>
      </c>
      <c r="B349" s="195" t="s">
        <v>508</v>
      </c>
      <c r="C349" s="196">
        <v>8.65</v>
      </c>
      <c r="D349" s="196">
        <v>8.89</v>
      </c>
      <c r="E349" s="195" t="s">
        <v>595</v>
      </c>
      <c r="F349" s="195" t="s">
        <v>438</v>
      </c>
    </row>
    <row r="350" spans="1:6" x14ac:dyDescent="0.25">
      <c r="A350" s="189" t="str">
        <f t="shared" si="5"/>
        <v>AA-MD 1758.78.89N</v>
      </c>
      <c r="B350" s="195" t="s">
        <v>508</v>
      </c>
      <c r="C350" s="196">
        <v>8.6999999999999993</v>
      </c>
      <c r="D350" s="196">
        <v>8.89</v>
      </c>
      <c r="E350" s="195" t="s">
        <v>589</v>
      </c>
      <c r="F350" s="195" t="s">
        <v>430</v>
      </c>
    </row>
    <row r="351" spans="1:6" x14ac:dyDescent="0.25">
      <c r="A351" s="189" t="str">
        <f t="shared" si="5"/>
        <v>AA-MD 1758.899.09N</v>
      </c>
      <c r="B351" s="195" t="s">
        <v>508</v>
      </c>
      <c r="C351" s="196">
        <v>8.89</v>
      </c>
      <c r="D351" s="196">
        <v>9.09</v>
      </c>
      <c r="E351" s="195" t="s">
        <v>583</v>
      </c>
      <c r="F351" s="195" t="s">
        <v>430</v>
      </c>
    </row>
    <row r="352" spans="1:6" x14ac:dyDescent="0.25">
      <c r="A352" s="189" t="str">
        <f t="shared" si="5"/>
        <v>AA-MD 1758.899.09S</v>
      </c>
      <c r="B352" s="195" t="s">
        <v>508</v>
      </c>
      <c r="C352" s="196">
        <v>8.89</v>
      </c>
      <c r="D352" s="196">
        <v>9.09</v>
      </c>
      <c r="E352" s="195" t="s">
        <v>583</v>
      </c>
      <c r="F352" s="195" t="s">
        <v>438</v>
      </c>
    </row>
    <row r="353" spans="1:6" x14ac:dyDescent="0.25">
      <c r="A353" s="189" t="str">
        <f t="shared" si="5"/>
        <v>AA-MD 1759.099.82N</v>
      </c>
      <c r="B353" s="195" t="s">
        <v>508</v>
      </c>
      <c r="C353" s="196">
        <v>9.09</v>
      </c>
      <c r="D353" s="196">
        <v>9.82</v>
      </c>
      <c r="E353" s="195" t="s">
        <v>583</v>
      </c>
      <c r="F353" s="195" t="s">
        <v>430</v>
      </c>
    </row>
    <row r="354" spans="1:6" x14ac:dyDescent="0.25">
      <c r="A354" s="189" t="str">
        <f t="shared" si="5"/>
        <v>AA-MD 1759.099.82S</v>
      </c>
      <c r="B354" s="195" t="s">
        <v>508</v>
      </c>
      <c r="C354" s="196">
        <v>9.09</v>
      </c>
      <c r="D354" s="196">
        <v>9.82</v>
      </c>
      <c r="E354" s="195" t="s">
        <v>583</v>
      </c>
      <c r="F354" s="195" t="s">
        <v>438</v>
      </c>
    </row>
    <row r="355" spans="1:6" x14ac:dyDescent="0.25">
      <c r="A355" s="189" t="str">
        <f t="shared" si="5"/>
        <v>AA-MD 175AA00.02N</v>
      </c>
      <c r="B355" s="195" t="s">
        <v>826</v>
      </c>
      <c r="C355" s="196">
        <v>0</v>
      </c>
      <c r="D355" s="196">
        <v>0.02</v>
      </c>
      <c r="E355" s="195" t="s">
        <v>589</v>
      </c>
      <c r="F355" s="195" t="s">
        <v>430</v>
      </c>
    </row>
    <row r="356" spans="1:6" x14ac:dyDescent="0.25">
      <c r="A356" s="189" t="str">
        <f t="shared" si="5"/>
        <v>AA-MD 175AA00.02S</v>
      </c>
      <c r="B356" s="195" t="s">
        <v>826</v>
      </c>
      <c r="C356" s="196">
        <v>0</v>
      </c>
      <c r="D356" s="196">
        <v>0.02</v>
      </c>
      <c r="E356" s="195" t="s">
        <v>595</v>
      </c>
      <c r="F356" s="195" t="s">
        <v>438</v>
      </c>
    </row>
    <row r="357" spans="1:6" x14ac:dyDescent="0.25">
      <c r="A357" s="189" t="str">
        <f t="shared" si="5"/>
        <v>AA-MD 17600.09E</v>
      </c>
      <c r="B357" s="195" t="s">
        <v>827</v>
      </c>
      <c r="C357" s="196">
        <v>0</v>
      </c>
      <c r="D357" s="196">
        <v>0.09</v>
      </c>
      <c r="E357" s="195" t="s">
        <v>583</v>
      </c>
      <c r="F357" s="195" t="s">
        <v>19</v>
      </c>
    </row>
    <row r="358" spans="1:6" x14ac:dyDescent="0.25">
      <c r="A358" s="189" t="str">
        <f t="shared" si="5"/>
        <v>AA-MD 17600.09W</v>
      </c>
      <c r="B358" s="195" t="s">
        <v>827</v>
      </c>
      <c r="C358" s="196">
        <v>0</v>
      </c>
      <c r="D358" s="196">
        <v>0.09</v>
      </c>
      <c r="E358" s="195" t="s">
        <v>583</v>
      </c>
      <c r="F358" s="195" t="s">
        <v>432</v>
      </c>
    </row>
    <row r="359" spans="1:6" x14ac:dyDescent="0.25">
      <c r="A359" s="189" t="str">
        <f t="shared" si="5"/>
        <v>AA-MD 1760.090.25E</v>
      </c>
      <c r="B359" s="195" t="s">
        <v>827</v>
      </c>
      <c r="C359" s="196">
        <v>0.09</v>
      </c>
      <c r="D359" s="196">
        <v>0.25</v>
      </c>
      <c r="E359" s="195" t="s">
        <v>583</v>
      </c>
      <c r="F359" s="195" t="s">
        <v>19</v>
      </c>
    </row>
    <row r="360" spans="1:6" x14ac:dyDescent="0.25">
      <c r="A360" s="189" t="str">
        <f t="shared" si="5"/>
        <v>AA-MD 1760.090.25W</v>
      </c>
      <c r="B360" s="195" t="s">
        <v>827</v>
      </c>
      <c r="C360" s="196">
        <v>0.09</v>
      </c>
      <c r="D360" s="196">
        <v>0.25</v>
      </c>
      <c r="E360" s="195" t="s">
        <v>583</v>
      </c>
      <c r="F360" s="195" t="s">
        <v>432</v>
      </c>
    </row>
    <row r="361" spans="1:6" x14ac:dyDescent="0.25">
      <c r="A361" s="189" t="str">
        <f t="shared" si="5"/>
        <v>AA-MD 1760.250.7W</v>
      </c>
      <c r="B361" s="195" t="s">
        <v>827</v>
      </c>
      <c r="C361" s="196">
        <v>0.25</v>
      </c>
      <c r="D361" s="196">
        <v>0.7</v>
      </c>
      <c r="E361" s="195" t="s">
        <v>593</v>
      </c>
      <c r="F361" s="195" t="s">
        <v>432</v>
      </c>
    </row>
    <row r="362" spans="1:6" x14ac:dyDescent="0.25">
      <c r="A362" s="189" t="str">
        <f t="shared" si="5"/>
        <v>AA-MD 1760.250.78E</v>
      </c>
      <c r="B362" s="195" t="s">
        <v>827</v>
      </c>
      <c r="C362" s="196">
        <v>0.25</v>
      </c>
      <c r="D362" s="196">
        <v>0.78</v>
      </c>
      <c r="E362" s="195" t="s">
        <v>598</v>
      </c>
      <c r="F362" s="195" t="s">
        <v>19</v>
      </c>
    </row>
    <row r="363" spans="1:6" x14ac:dyDescent="0.25">
      <c r="A363" s="189" t="str">
        <f t="shared" si="5"/>
        <v>AA-MD 1760.70.79W</v>
      </c>
      <c r="B363" s="195" t="s">
        <v>827</v>
      </c>
      <c r="C363" s="196">
        <v>0.7</v>
      </c>
      <c r="D363" s="196">
        <v>0.79</v>
      </c>
      <c r="E363" s="195" t="s">
        <v>593</v>
      </c>
      <c r="F363" s="195" t="s">
        <v>432</v>
      </c>
    </row>
    <row r="364" spans="1:6" x14ac:dyDescent="0.25">
      <c r="A364" s="189" t="str">
        <f t="shared" si="5"/>
        <v>AA-MD 1760.780.79E</v>
      </c>
      <c r="B364" s="195" t="s">
        <v>827</v>
      </c>
      <c r="C364" s="196">
        <v>0.78</v>
      </c>
      <c r="D364" s="196">
        <v>0.79</v>
      </c>
      <c r="E364" s="195" t="s">
        <v>598</v>
      </c>
      <c r="F364" s="195" t="s">
        <v>19</v>
      </c>
    </row>
    <row r="365" spans="1:6" x14ac:dyDescent="0.25">
      <c r="A365" s="189" t="str">
        <f t="shared" si="5"/>
        <v>AA-MD 1760.790.86E</v>
      </c>
      <c r="B365" s="195" t="s">
        <v>827</v>
      </c>
      <c r="C365" s="196">
        <v>0.79</v>
      </c>
      <c r="D365" s="196">
        <v>0.86</v>
      </c>
      <c r="E365" s="195" t="s">
        <v>598</v>
      </c>
      <c r="F365" s="195" t="s">
        <v>19</v>
      </c>
    </row>
    <row r="366" spans="1:6" x14ac:dyDescent="0.25">
      <c r="A366" s="189" t="str">
        <f t="shared" si="5"/>
        <v>AA-MD 1760.790.95W</v>
      </c>
      <c r="B366" s="195" t="s">
        <v>827</v>
      </c>
      <c r="C366" s="196">
        <v>0.79</v>
      </c>
      <c r="D366" s="196">
        <v>0.95</v>
      </c>
      <c r="E366" s="195" t="s">
        <v>593</v>
      </c>
      <c r="F366" s="195" t="s">
        <v>432</v>
      </c>
    </row>
    <row r="367" spans="1:6" x14ac:dyDescent="0.25">
      <c r="A367" s="189" t="str">
        <f t="shared" si="5"/>
        <v>AA-MD 1760.862.07E</v>
      </c>
      <c r="B367" s="195" t="s">
        <v>827</v>
      </c>
      <c r="C367" s="196">
        <v>0.86</v>
      </c>
      <c r="D367" s="196">
        <v>2.0699999999999998</v>
      </c>
      <c r="E367" s="195" t="s">
        <v>598</v>
      </c>
      <c r="F367" s="195" t="s">
        <v>19</v>
      </c>
    </row>
    <row r="368" spans="1:6" x14ac:dyDescent="0.25">
      <c r="A368" s="189" t="str">
        <f t="shared" si="5"/>
        <v>AA-MD 1760.952.07W</v>
      </c>
      <c r="B368" s="195" t="s">
        <v>827</v>
      </c>
      <c r="C368" s="196">
        <v>0.95</v>
      </c>
      <c r="D368" s="196">
        <v>2.0699999999999998</v>
      </c>
      <c r="E368" s="195" t="s">
        <v>593</v>
      </c>
      <c r="F368" s="195" t="s">
        <v>432</v>
      </c>
    </row>
    <row r="369" spans="1:6" x14ac:dyDescent="0.25">
      <c r="A369" s="189" t="str">
        <f t="shared" si="5"/>
        <v>AA-MD 1762.072.1E</v>
      </c>
      <c r="B369" s="195" t="s">
        <v>827</v>
      </c>
      <c r="C369" s="196">
        <v>2.0699999999999998</v>
      </c>
      <c r="D369" s="196">
        <v>2.1</v>
      </c>
      <c r="E369" s="195" t="s">
        <v>598</v>
      </c>
      <c r="F369" s="195" t="s">
        <v>19</v>
      </c>
    </row>
    <row r="370" spans="1:6" x14ac:dyDescent="0.25">
      <c r="A370" s="189" t="str">
        <f t="shared" si="5"/>
        <v>AA-MD 1762.072.7W</v>
      </c>
      <c r="B370" s="195" t="s">
        <v>827</v>
      </c>
      <c r="C370" s="196">
        <v>2.0699999999999998</v>
      </c>
      <c r="D370" s="196">
        <v>2.7</v>
      </c>
      <c r="E370" s="195" t="s">
        <v>593</v>
      </c>
      <c r="F370" s="195" t="s">
        <v>432</v>
      </c>
    </row>
    <row r="371" spans="1:6" x14ac:dyDescent="0.25">
      <c r="A371" s="189" t="str">
        <f t="shared" si="5"/>
        <v>AA-MD 1762.12.7E</v>
      </c>
      <c r="B371" s="195" t="s">
        <v>827</v>
      </c>
      <c r="C371" s="196">
        <v>2.1</v>
      </c>
      <c r="D371" s="196">
        <v>2.7</v>
      </c>
      <c r="E371" s="195" t="s">
        <v>598</v>
      </c>
      <c r="F371" s="195" t="s">
        <v>19</v>
      </c>
    </row>
    <row r="372" spans="1:6" x14ac:dyDescent="0.25">
      <c r="A372" s="189" t="str">
        <f t="shared" si="5"/>
        <v>AA-MD 1762.73.59E</v>
      </c>
      <c r="B372" s="195" t="s">
        <v>827</v>
      </c>
      <c r="C372" s="196">
        <v>2.7</v>
      </c>
      <c r="D372" s="196">
        <v>3.59</v>
      </c>
      <c r="E372" s="195" t="s">
        <v>583</v>
      </c>
      <c r="F372" s="195" t="s">
        <v>19</v>
      </c>
    </row>
    <row r="373" spans="1:6" x14ac:dyDescent="0.25">
      <c r="A373" s="189" t="str">
        <f t="shared" si="5"/>
        <v>AA-MD 1762.73.59W</v>
      </c>
      <c r="B373" s="195" t="s">
        <v>827</v>
      </c>
      <c r="C373" s="196">
        <v>2.7</v>
      </c>
      <c r="D373" s="196">
        <v>3.59</v>
      </c>
      <c r="E373" s="195" t="s">
        <v>583</v>
      </c>
      <c r="F373" s="195" t="s">
        <v>432</v>
      </c>
    </row>
    <row r="374" spans="1:6" x14ac:dyDescent="0.25">
      <c r="A374" s="189" t="str">
        <f t="shared" si="5"/>
        <v>AA-MD 1765.55.68W</v>
      </c>
      <c r="B374" s="195" t="s">
        <v>827</v>
      </c>
      <c r="C374" s="196">
        <v>5.5</v>
      </c>
      <c r="D374" s="196">
        <v>5.68</v>
      </c>
      <c r="E374" s="195" t="s">
        <v>593</v>
      </c>
      <c r="F374" s="195" t="s">
        <v>432</v>
      </c>
    </row>
    <row r="375" spans="1:6" x14ac:dyDescent="0.25">
      <c r="A375" s="189" t="str">
        <f t="shared" si="5"/>
        <v>AA-MD 176B00.23E</v>
      </c>
      <c r="B375" s="195" t="s">
        <v>828</v>
      </c>
      <c r="C375" s="196">
        <v>0</v>
      </c>
      <c r="D375" s="196">
        <v>0.23</v>
      </c>
      <c r="E375" s="195" t="s">
        <v>598</v>
      </c>
      <c r="F375" s="195" t="s">
        <v>19</v>
      </c>
    </row>
    <row r="376" spans="1:6" x14ac:dyDescent="0.25">
      <c r="A376" s="189" t="str">
        <f t="shared" si="5"/>
        <v>AA-MD 176B00.23W</v>
      </c>
      <c r="B376" s="195" t="s">
        <v>828</v>
      </c>
      <c r="C376" s="196">
        <v>0</v>
      </c>
      <c r="D376" s="196">
        <v>0.23</v>
      </c>
      <c r="E376" s="195" t="s">
        <v>593</v>
      </c>
      <c r="F376" s="195" t="s">
        <v>432</v>
      </c>
    </row>
    <row r="377" spans="1:6" x14ac:dyDescent="0.25">
      <c r="A377" s="189" t="str">
        <f t="shared" si="5"/>
        <v>AA-MD 17705.07E</v>
      </c>
      <c r="B377" s="195" t="s">
        <v>829</v>
      </c>
      <c r="C377" s="196">
        <v>0</v>
      </c>
      <c r="D377" s="196">
        <v>5.07</v>
      </c>
      <c r="E377" s="195" t="s">
        <v>598</v>
      </c>
      <c r="F377" s="195" t="s">
        <v>19</v>
      </c>
    </row>
    <row r="378" spans="1:6" x14ac:dyDescent="0.25">
      <c r="A378" s="189" t="str">
        <f t="shared" si="5"/>
        <v>AA-MD 1770.95.07W</v>
      </c>
      <c r="B378" s="195" t="s">
        <v>829</v>
      </c>
      <c r="C378" s="196">
        <v>0.9</v>
      </c>
      <c r="D378" s="196">
        <v>5.07</v>
      </c>
      <c r="E378" s="195" t="s">
        <v>593</v>
      </c>
      <c r="F378" s="195" t="s">
        <v>432</v>
      </c>
    </row>
    <row r="379" spans="1:6" x14ac:dyDescent="0.25">
      <c r="A379" s="189" t="str">
        <f t="shared" si="5"/>
        <v>AA-MD 1775.078.89E</v>
      </c>
      <c r="B379" s="195" t="s">
        <v>829</v>
      </c>
      <c r="C379" s="196">
        <v>5.07</v>
      </c>
      <c r="D379" s="196">
        <v>8.89</v>
      </c>
      <c r="E379" s="195" t="s">
        <v>583</v>
      </c>
      <c r="F379" s="195" t="s">
        <v>19</v>
      </c>
    </row>
    <row r="380" spans="1:6" x14ac:dyDescent="0.25">
      <c r="A380" s="189" t="str">
        <f t="shared" si="5"/>
        <v>AA-MD 1775.078.89W</v>
      </c>
      <c r="B380" s="195" t="s">
        <v>829</v>
      </c>
      <c r="C380" s="196">
        <v>5.07</v>
      </c>
      <c r="D380" s="196">
        <v>8.89</v>
      </c>
      <c r="E380" s="195" t="s">
        <v>583</v>
      </c>
      <c r="F380" s="195" t="s">
        <v>432</v>
      </c>
    </row>
    <row r="381" spans="1:6" x14ac:dyDescent="0.25">
      <c r="A381" s="189" t="str">
        <f t="shared" si="5"/>
        <v>AA-MD 1778.898.9W</v>
      </c>
      <c r="B381" s="195" t="s">
        <v>829</v>
      </c>
      <c r="C381" s="196">
        <v>8.89</v>
      </c>
      <c r="D381" s="196">
        <v>8.9</v>
      </c>
      <c r="E381" s="195" t="s">
        <v>593</v>
      </c>
      <c r="F381" s="195" t="s">
        <v>432</v>
      </c>
    </row>
    <row r="382" spans="1:6" x14ac:dyDescent="0.25">
      <c r="A382" s="189" t="str">
        <f t="shared" si="5"/>
        <v>AA-MD 1778.8910.92E</v>
      </c>
      <c r="B382" s="195" t="s">
        <v>829</v>
      </c>
      <c r="C382" s="196">
        <v>8.89</v>
      </c>
      <c r="D382" s="196">
        <v>10.92</v>
      </c>
      <c r="E382" s="195" t="s">
        <v>598</v>
      </c>
      <c r="F382" s="195" t="s">
        <v>19</v>
      </c>
    </row>
    <row r="383" spans="1:6" x14ac:dyDescent="0.25">
      <c r="A383" s="189" t="str">
        <f t="shared" si="5"/>
        <v>AA-MD 1778.910.92W</v>
      </c>
      <c r="B383" s="195" t="s">
        <v>829</v>
      </c>
      <c r="C383" s="196">
        <v>8.9</v>
      </c>
      <c r="D383" s="196">
        <v>10.92</v>
      </c>
      <c r="E383" s="195" t="s">
        <v>593</v>
      </c>
      <c r="F383" s="195" t="s">
        <v>432</v>
      </c>
    </row>
    <row r="384" spans="1:6" x14ac:dyDescent="0.25">
      <c r="A384" s="189" t="str">
        <f t="shared" si="5"/>
        <v>AA-MD 17801N</v>
      </c>
      <c r="B384" s="195" t="s">
        <v>509</v>
      </c>
      <c r="C384" s="196">
        <v>0</v>
      </c>
      <c r="D384" s="196">
        <v>1</v>
      </c>
      <c r="E384" s="195" t="s">
        <v>583</v>
      </c>
      <c r="F384" s="195" t="s">
        <v>430</v>
      </c>
    </row>
    <row r="385" spans="1:6" x14ac:dyDescent="0.25">
      <c r="A385" s="189" t="str">
        <f t="shared" si="5"/>
        <v>AA-MD 17801S</v>
      </c>
      <c r="B385" s="195" t="s">
        <v>509</v>
      </c>
      <c r="C385" s="196">
        <v>0</v>
      </c>
      <c r="D385" s="196">
        <v>1</v>
      </c>
      <c r="E385" s="195" t="s">
        <v>583</v>
      </c>
      <c r="F385" s="195" t="s">
        <v>438</v>
      </c>
    </row>
    <row r="386" spans="1:6" x14ac:dyDescent="0.25">
      <c r="A386" s="189" t="str">
        <f t="shared" si="5"/>
        <v>AA-MD 17814.85N</v>
      </c>
      <c r="B386" s="195" t="s">
        <v>509</v>
      </c>
      <c r="C386" s="196">
        <v>1</v>
      </c>
      <c r="D386" s="196">
        <v>4.8499999999999996</v>
      </c>
      <c r="E386" s="195" t="s">
        <v>583</v>
      </c>
      <c r="F386" s="195" t="s">
        <v>430</v>
      </c>
    </row>
    <row r="387" spans="1:6" x14ac:dyDescent="0.25">
      <c r="A387" s="189" t="str">
        <f t="shared" ref="A387:A450" si="6">B387&amp;C387&amp;D387&amp;F387</f>
        <v>AA-MD 17814.85S</v>
      </c>
      <c r="B387" s="195" t="s">
        <v>509</v>
      </c>
      <c r="C387" s="196">
        <v>1</v>
      </c>
      <c r="D387" s="196">
        <v>4.8499999999999996</v>
      </c>
      <c r="E387" s="195" t="s">
        <v>583</v>
      </c>
      <c r="F387" s="195" t="s">
        <v>438</v>
      </c>
    </row>
    <row r="388" spans="1:6" x14ac:dyDescent="0.25">
      <c r="A388" s="189" t="str">
        <f t="shared" si="6"/>
        <v>AA-MD 1784.855.4N</v>
      </c>
      <c r="B388" s="195" t="s">
        <v>509</v>
      </c>
      <c r="C388" s="196">
        <v>4.8499999999999996</v>
      </c>
      <c r="D388" s="196">
        <v>5.4</v>
      </c>
      <c r="E388" s="195" t="s">
        <v>583</v>
      </c>
      <c r="F388" s="195" t="s">
        <v>430</v>
      </c>
    </row>
    <row r="389" spans="1:6" x14ac:dyDescent="0.25">
      <c r="A389" s="189" t="str">
        <f t="shared" si="6"/>
        <v>AA-MD 1784.855.4S</v>
      </c>
      <c r="B389" s="195" t="s">
        <v>509</v>
      </c>
      <c r="C389" s="196">
        <v>4.8499999999999996</v>
      </c>
      <c r="D389" s="196">
        <v>5.4</v>
      </c>
      <c r="E389" s="195" t="s">
        <v>583</v>
      </c>
      <c r="F389" s="195" t="s">
        <v>438</v>
      </c>
    </row>
    <row r="390" spans="1:6" x14ac:dyDescent="0.25">
      <c r="A390" s="189" t="str">
        <f t="shared" si="6"/>
        <v>AA-MD 1785.47.8N</v>
      </c>
      <c r="B390" s="195" t="s">
        <v>509</v>
      </c>
      <c r="C390" s="196">
        <v>5.4</v>
      </c>
      <c r="D390" s="196">
        <v>7.8</v>
      </c>
      <c r="E390" s="195" t="s">
        <v>583</v>
      </c>
      <c r="F390" s="195" t="s">
        <v>430</v>
      </c>
    </row>
    <row r="391" spans="1:6" x14ac:dyDescent="0.25">
      <c r="A391" s="189" t="str">
        <f t="shared" si="6"/>
        <v>AA-MD 1785.47.8S</v>
      </c>
      <c r="B391" s="195" t="s">
        <v>509</v>
      </c>
      <c r="C391" s="196">
        <v>5.4</v>
      </c>
      <c r="D391" s="196">
        <v>7.8</v>
      </c>
      <c r="E391" s="195" t="s">
        <v>583</v>
      </c>
      <c r="F391" s="195" t="s">
        <v>438</v>
      </c>
    </row>
    <row r="392" spans="1:6" x14ac:dyDescent="0.25">
      <c r="A392" s="189" t="str">
        <f t="shared" si="6"/>
        <v>AA-MD 1787.88.06N</v>
      </c>
      <c r="B392" s="195" t="s">
        <v>509</v>
      </c>
      <c r="C392" s="196">
        <v>7.8</v>
      </c>
      <c r="D392" s="196">
        <v>8.06</v>
      </c>
      <c r="E392" s="195" t="s">
        <v>583</v>
      </c>
      <c r="F392" s="195" t="s">
        <v>430</v>
      </c>
    </row>
    <row r="393" spans="1:6" x14ac:dyDescent="0.25">
      <c r="A393" s="189" t="str">
        <f t="shared" si="6"/>
        <v>AA-MD 1787.88.06S</v>
      </c>
      <c r="B393" s="195" t="s">
        <v>509</v>
      </c>
      <c r="C393" s="196">
        <v>7.8</v>
      </c>
      <c r="D393" s="196">
        <v>8.06</v>
      </c>
      <c r="E393" s="195" t="s">
        <v>583</v>
      </c>
      <c r="F393" s="195" t="s">
        <v>438</v>
      </c>
    </row>
    <row r="394" spans="1:6" x14ac:dyDescent="0.25">
      <c r="A394" s="189" t="str">
        <f t="shared" si="6"/>
        <v>AA-MD 178A00.28N</v>
      </c>
      <c r="B394" s="195" t="s">
        <v>830</v>
      </c>
      <c r="C394" s="196">
        <v>0</v>
      </c>
      <c r="D394" s="196">
        <v>0.28000000000000003</v>
      </c>
      <c r="E394" s="195" t="s">
        <v>589</v>
      </c>
      <c r="F394" s="195" t="s">
        <v>430</v>
      </c>
    </row>
    <row r="395" spans="1:6" x14ac:dyDescent="0.25">
      <c r="A395" s="189" t="str">
        <f t="shared" si="6"/>
        <v>AA-MD 178A0.030.22S</v>
      </c>
      <c r="B395" s="195" t="s">
        <v>830</v>
      </c>
      <c r="C395" s="196">
        <v>0.03</v>
      </c>
      <c r="D395" s="196">
        <v>0.22</v>
      </c>
      <c r="E395" s="195" t="s">
        <v>595</v>
      </c>
      <c r="F395" s="195" t="s">
        <v>438</v>
      </c>
    </row>
    <row r="396" spans="1:6" x14ac:dyDescent="0.25">
      <c r="A396" s="189" t="str">
        <f t="shared" si="6"/>
        <v>AA-MD 17902.25E</v>
      </c>
      <c r="B396" s="195" t="s">
        <v>831</v>
      </c>
      <c r="C396" s="196">
        <v>0</v>
      </c>
      <c r="D396" s="196">
        <v>2.25</v>
      </c>
      <c r="E396" s="195" t="s">
        <v>583</v>
      </c>
      <c r="F396" s="195" t="s">
        <v>19</v>
      </c>
    </row>
    <row r="397" spans="1:6" x14ac:dyDescent="0.25">
      <c r="A397" s="189" t="str">
        <f t="shared" si="6"/>
        <v>AA-MD 17902.25W</v>
      </c>
      <c r="B397" s="195" t="s">
        <v>831</v>
      </c>
      <c r="C397" s="196">
        <v>0</v>
      </c>
      <c r="D397" s="196">
        <v>2.25</v>
      </c>
      <c r="E397" s="195" t="s">
        <v>583</v>
      </c>
      <c r="F397" s="195" t="s">
        <v>432</v>
      </c>
    </row>
    <row r="398" spans="1:6" x14ac:dyDescent="0.25">
      <c r="A398" s="189" t="str">
        <f t="shared" si="6"/>
        <v>AA-MD 1792.252.4E</v>
      </c>
      <c r="B398" s="195" t="s">
        <v>831</v>
      </c>
      <c r="C398" s="196">
        <v>2.25</v>
      </c>
      <c r="D398" s="196">
        <v>2.4</v>
      </c>
      <c r="E398" s="195" t="s">
        <v>583</v>
      </c>
      <c r="F398" s="195" t="s">
        <v>19</v>
      </c>
    </row>
    <row r="399" spans="1:6" x14ac:dyDescent="0.25">
      <c r="A399" s="189" t="str">
        <f t="shared" si="6"/>
        <v>AA-MD 1792.252.4W</v>
      </c>
      <c r="B399" s="195" t="s">
        <v>831</v>
      </c>
      <c r="C399" s="196">
        <v>2.25</v>
      </c>
      <c r="D399" s="196">
        <v>2.4</v>
      </c>
      <c r="E399" s="195" t="s">
        <v>583</v>
      </c>
      <c r="F399" s="195" t="s">
        <v>432</v>
      </c>
    </row>
    <row r="400" spans="1:6" x14ac:dyDescent="0.25">
      <c r="A400" s="189" t="str">
        <f t="shared" si="6"/>
        <v>AA-MD 1792.583.16E</v>
      </c>
      <c r="B400" s="195" t="s">
        <v>831</v>
      </c>
      <c r="C400" s="196">
        <v>2.58</v>
      </c>
      <c r="D400" s="196">
        <v>3.16</v>
      </c>
      <c r="E400" s="195" t="s">
        <v>583</v>
      </c>
      <c r="F400" s="195" t="s">
        <v>19</v>
      </c>
    </row>
    <row r="401" spans="1:6" x14ac:dyDescent="0.25">
      <c r="A401" s="189" t="str">
        <f t="shared" si="6"/>
        <v>AA-MD 1792.583.16W</v>
      </c>
      <c r="B401" s="195" t="s">
        <v>831</v>
      </c>
      <c r="C401" s="196">
        <v>2.58</v>
      </c>
      <c r="D401" s="196">
        <v>3.16</v>
      </c>
      <c r="E401" s="195" t="s">
        <v>583</v>
      </c>
      <c r="F401" s="195" t="s">
        <v>432</v>
      </c>
    </row>
    <row r="402" spans="1:6" x14ac:dyDescent="0.25">
      <c r="A402" s="189" t="str">
        <f t="shared" si="6"/>
        <v>AA-MD 18100.16N</v>
      </c>
      <c r="B402" s="195" t="s">
        <v>832</v>
      </c>
      <c r="C402" s="196">
        <v>0</v>
      </c>
      <c r="D402" s="196">
        <v>0.16</v>
      </c>
      <c r="E402" s="195" t="s">
        <v>589</v>
      </c>
      <c r="F402" s="195" t="s">
        <v>430</v>
      </c>
    </row>
    <row r="403" spans="1:6" x14ac:dyDescent="0.25">
      <c r="A403" s="189" t="str">
        <f t="shared" si="6"/>
        <v>AA-MD 18100.16S</v>
      </c>
      <c r="B403" s="195" t="s">
        <v>832</v>
      </c>
      <c r="C403" s="196">
        <v>0</v>
      </c>
      <c r="D403" s="196">
        <v>0.16</v>
      </c>
      <c r="E403" s="195" t="s">
        <v>595</v>
      </c>
      <c r="F403" s="195" t="s">
        <v>438</v>
      </c>
    </row>
    <row r="404" spans="1:6" x14ac:dyDescent="0.25">
      <c r="A404" s="189" t="str">
        <f t="shared" si="6"/>
        <v>AA-MD 1981.954.68E</v>
      </c>
      <c r="B404" s="195" t="s">
        <v>833</v>
      </c>
      <c r="C404" s="196">
        <v>1.95</v>
      </c>
      <c r="D404" s="196">
        <v>4.68</v>
      </c>
      <c r="E404" s="195" t="s">
        <v>583</v>
      </c>
      <c r="F404" s="195" t="s">
        <v>19</v>
      </c>
    </row>
    <row r="405" spans="1:6" x14ac:dyDescent="0.25">
      <c r="A405" s="189" t="str">
        <f t="shared" si="6"/>
        <v>AA-MD 1981.954.68W</v>
      </c>
      <c r="B405" s="195" t="s">
        <v>833</v>
      </c>
      <c r="C405" s="196">
        <v>1.95</v>
      </c>
      <c r="D405" s="196">
        <v>4.68</v>
      </c>
      <c r="E405" s="195" t="s">
        <v>583</v>
      </c>
      <c r="F405" s="195" t="s">
        <v>432</v>
      </c>
    </row>
    <row r="406" spans="1:6" x14ac:dyDescent="0.25">
      <c r="A406" s="189" t="str">
        <f t="shared" si="6"/>
        <v>AA-MD 201.13N</v>
      </c>
      <c r="B406" s="195" t="s">
        <v>510</v>
      </c>
      <c r="C406" s="196">
        <v>0</v>
      </c>
      <c r="D406" s="196">
        <v>1.1299999999999999</v>
      </c>
      <c r="E406" s="195" t="s">
        <v>583</v>
      </c>
      <c r="F406" s="195" t="s">
        <v>430</v>
      </c>
    </row>
    <row r="407" spans="1:6" x14ac:dyDescent="0.25">
      <c r="A407" s="189" t="str">
        <f t="shared" si="6"/>
        <v>AA-MD 201.13S</v>
      </c>
      <c r="B407" s="195" t="s">
        <v>510</v>
      </c>
      <c r="C407" s="196">
        <v>0</v>
      </c>
      <c r="D407" s="196">
        <v>1.1299999999999999</v>
      </c>
      <c r="E407" s="195" t="s">
        <v>583</v>
      </c>
      <c r="F407" s="195" t="s">
        <v>438</v>
      </c>
    </row>
    <row r="408" spans="1:6" x14ac:dyDescent="0.25">
      <c r="A408" s="189" t="str">
        <f t="shared" si="6"/>
        <v>AA-MD 21.132.09N</v>
      </c>
      <c r="B408" s="195" t="s">
        <v>510</v>
      </c>
      <c r="C408" s="196">
        <v>1.1299999999999999</v>
      </c>
      <c r="D408" s="196">
        <v>2.09</v>
      </c>
      <c r="E408" s="195" t="s">
        <v>583</v>
      </c>
      <c r="F408" s="195" t="s">
        <v>430</v>
      </c>
    </row>
    <row r="409" spans="1:6" x14ac:dyDescent="0.25">
      <c r="A409" s="189" t="str">
        <f t="shared" si="6"/>
        <v>AA-MD 21.132.09S</v>
      </c>
      <c r="B409" s="195" t="s">
        <v>510</v>
      </c>
      <c r="C409" s="196">
        <v>1.1299999999999999</v>
      </c>
      <c r="D409" s="196">
        <v>2.09</v>
      </c>
      <c r="E409" s="195" t="s">
        <v>583</v>
      </c>
      <c r="F409" s="195" t="s">
        <v>438</v>
      </c>
    </row>
    <row r="410" spans="1:6" x14ac:dyDescent="0.25">
      <c r="A410" s="189" t="str">
        <f t="shared" si="6"/>
        <v>AA-MD 22.094.72N</v>
      </c>
      <c r="B410" s="195" t="s">
        <v>510</v>
      </c>
      <c r="C410" s="196">
        <v>2.09</v>
      </c>
      <c r="D410" s="196">
        <v>4.72</v>
      </c>
      <c r="E410" s="195" t="s">
        <v>583</v>
      </c>
      <c r="F410" s="195" t="s">
        <v>430</v>
      </c>
    </row>
    <row r="411" spans="1:6" x14ac:dyDescent="0.25">
      <c r="A411" s="189" t="str">
        <f t="shared" si="6"/>
        <v>AA-MD 22.094.72S</v>
      </c>
      <c r="B411" s="195" t="s">
        <v>510</v>
      </c>
      <c r="C411" s="196">
        <v>2.09</v>
      </c>
      <c r="D411" s="196">
        <v>4.72</v>
      </c>
      <c r="E411" s="195" t="s">
        <v>583</v>
      </c>
      <c r="F411" s="195" t="s">
        <v>438</v>
      </c>
    </row>
    <row r="412" spans="1:6" x14ac:dyDescent="0.25">
      <c r="A412" s="189" t="str">
        <f t="shared" si="6"/>
        <v>AA-MD 24.729.2N</v>
      </c>
      <c r="B412" s="195" t="s">
        <v>510</v>
      </c>
      <c r="C412" s="196">
        <v>4.72</v>
      </c>
      <c r="D412" s="196">
        <v>9.1999999999999993</v>
      </c>
      <c r="E412" s="195" t="s">
        <v>583</v>
      </c>
      <c r="F412" s="195" t="s">
        <v>430</v>
      </c>
    </row>
    <row r="413" spans="1:6" x14ac:dyDescent="0.25">
      <c r="A413" s="189" t="str">
        <f t="shared" si="6"/>
        <v>AA-MD 24.729.2S</v>
      </c>
      <c r="B413" s="195" t="s">
        <v>510</v>
      </c>
      <c r="C413" s="196">
        <v>4.72</v>
      </c>
      <c r="D413" s="196">
        <v>9.1999999999999993</v>
      </c>
      <c r="E413" s="195" t="s">
        <v>583</v>
      </c>
      <c r="F413" s="195" t="s">
        <v>438</v>
      </c>
    </row>
    <row r="414" spans="1:6" x14ac:dyDescent="0.25">
      <c r="A414" s="189" t="str">
        <f t="shared" si="6"/>
        <v>AA-MD 29.29.7N</v>
      </c>
      <c r="B414" s="195" t="s">
        <v>510</v>
      </c>
      <c r="C414" s="196">
        <v>9.1999999999999993</v>
      </c>
      <c r="D414" s="196">
        <v>9.6999999999999993</v>
      </c>
      <c r="E414" s="195" t="s">
        <v>583</v>
      </c>
      <c r="F414" s="195" t="s">
        <v>430</v>
      </c>
    </row>
    <row r="415" spans="1:6" x14ac:dyDescent="0.25">
      <c r="A415" s="189" t="str">
        <f t="shared" si="6"/>
        <v>AA-MD 29.29.7S</v>
      </c>
      <c r="B415" s="195" t="s">
        <v>510</v>
      </c>
      <c r="C415" s="196">
        <v>9.1999999999999993</v>
      </c>
      <c r="D415" s="196">
        <v>9.6999999999999993</v>
      </c>
      <c r="E415" s="195" t="s">
        <v>583</v>
      </c>
      <c r="F415" s="195" t="s">
        <v>438</v>
      </c>
    </row>
    <row r="416" spans="1:6" x14ac:dyDescent="0.25">
      <c r="A416" s="189" t="str">
        <f t="shared" si="6"/>
        <v>AA-MD 29.710.3N</v>
      </c>
      <c r="B416" s="195" t="s">
        <v>510</v>
      </c>
      <c r="C416" s="196">
        <v>9.6999999999999993</v>
      </c>
      <c r="D416" s="196">
        <v>10.3</v>
      </c>
      <c r="E416" s="195" t="s">
        <v>583</v>
      </c>
      <c r="F416" s="195" t="s">
        <v>430</v>
      </c>
    </row>
    <row r="417" spans="1:6" x14ac:dyDescent="0.25">
      <c r="A417" s="189" t="str">
        <f t="shared" si="6"/>
        <v>AA-MD 29.710.3S</v>
      </c>
      <c r="B417" s="195" t="s">
        <v>510</v>
      </c>
      <c r="C417" s="196">
        <v>9.6999999999999993</v>
      </c>
      <c r="D417" s="196">
        <v>10.3</v>
      </c>
      <c r="E417" s="195" t="s">
        <v>583</v>
      </c>
      <c r="F417" s="195" t="s">
        <v>438</v>
      </c>
    </row>
    <row r="418" spans="1:6" x14ac:dyDescent="0.25">
      <c r="A418" s="189" t="str">
        <f t="shared" si="6"/>
        <v>AA-MD 210.310.6N</v>
      </c>
      <c r="B418" s="195" t="s">
        <v>510</v>
      </c>
      <c r="C418" s="196">
        <v>10.3</v>
      </c>
      <c r="D418" s="196">
        <v>10.6</v>
      </c>
      <c r="E418" s="195" t="s">
        <v>583</v>
      </c>
      <c r="F418" s="195" t="s">
        <v>430</v>
      </c>
    </row>
    <row r="419" spans="1:6" x14ac:dyDescent="0.25">
      <c r="A419" s="189" t="str">
        <f t="shared" si="6"/>
        <v>AA-MD 210.310.6S</v>
      </c>
      <c r="B419" s="195" t="s">
        <v>510</v>
      </c>
      <c r="C419" s="196">
        <v>10.3</v>
      </c>
      <c r="D419" s="196">
        <v>10.6</v>
      </c>
      <c r="E419" s="195" t="s">
        <v>583</v>
      </c>
      <c r="F419" s="195" t="s">
        <v>438</v>
      </c>
    </row>
    <row r="420" spans="1:6" x14ac:dyDescent="0.25">
      <c r="A420" s="189" t="str">
        <f t="shared" si="6"/>
        <v>AA-MD 210.611.92N</v>
      </c>
      <c r="B420" s="195" t="s">
        <v>510</v>
      </c>
      <c r="C420" s="196">
        <v>10.6</v>
      </c>
      <c r="D420" s="196">
        <v>11.92</v>
      </c>
      <c r="E420" s="195" t="s">
        <v>583</v>
      </c>
      <c r="F420" s="195" t="s">
        <v>430</v>
      </c>
    </row>
    <row r="421" spans="1:6" x14ac:dyDescent="0.25">
      <c r="A421" s="189" t="str">
        <f t="shared" si="6"/>
        <v>AA-MD 210.611.92S</v>
      </c>
      <c r="B421" s="195" t="s">
        <v>510</v>
      </c>
      <c r="C421" s="196">
        <v>10.6</v>
      </c>
      <c r="D421" s="196">
        <v>11.92</v>
      </c>
      <c r="E421" s="195" t="s">
        <v>583</v>
      </c>
      <c r="F421" s="195" t="s">
        <v>438</v>
      </c>
    </row>
    <row r="422" spans="1:6" x14ac:dyDescent="0.25">
      <c r="A422" s="189" t="str">
        <f t="shared" si="6"/>
        <v>AA-MD 211.9212.22N</v>
      </c>
      <c r="B422" s="195" t="s">
        <v>510</v>
      </c>
      <c r="C422" s="196">
        <v>11.92</v>
      </c>
      <c r="D422" s="196">
        <v>12.22</v>
      </c>
      <c r="E422" s="195" t="s">
        <v>583</v>
      </c>
      <c r="F422" s="195" t="s">
        <v>430</v>
      </c>
    </row>
    <row r="423" spans="1:6" x14ac:dyDescent="0.25">
      <c r="A423" s="189" t="str">
        <f t="shared" si="6"/>
        <v>AA-MD 211.9212.22S</v>
      </c>
      <c r="B423" s="195" t="s">
        <v>510</v>
      </c>
      <c r="C423" s="196">
        <v>11.92</v>
      </c>
      <c r="D423" s="196">
        <v>12.22</v>
      </c>
      <c r="E423" s="195" t="s">
        <v>583</v>
      </c>
      <c r="F423" s="195" t="s">
        <v>438</v>
      </c>
    </row>
    <row r="424" spans="1:6" x14ac:dyDescent="0.25">
      <c r="A424" s="189" t="str">
        <f t="shared" si="6"/>
        <v>AA-MD 212.2212.95N</v>
      </c>
      <c r="B424" s="195" t="s">
        <v>510</v>
      </c>
      <c r="C424" s="196">
        <v>12.22</v>
      </c>
      <c r="D424" s="196">
        <v>12.95</v>
      </c>
      <c r="E424" s="195" t="s">
        <v>583</v>
      </c>
      <c r="F424" s="195" t="s">
        <v>430</v>
      </c>
    </row>
    <row r="425" spans="1:6" x14ac:dyDescent="0.25">
      <c r="A425" s="189" t="str">
        <f t="shared" si="6"/>
        <v>AA-MD 212.2212.95S</v>
      </c>
      <c r="B425" s="195" t="s">
        <v>510</v>
      </c>
      <c r="C425" s="196">
        <v>12.22</v>
      </c>
      <c r="D425" s="196">
        <v>12.95</v>
      </c>
      <c r="E425" s="195" t="s">
        <v>583</v>
      </c>
      <c r="F425" s="195" t="s">
        <v>438</v>
      </c>
    </row>
    <row r="426" spans="1:6" x14ac:dyDescent="0.25">
      <c r="A426" s="189" t="str">
        <f t="shared" si="6"/>
        <v>AA-MD 212.9514.28N</v>
      </c>
      <c r="B426" s="195" t="s">
        <v>510</v>
      </c>
      <c r="C426" s="196">
        <v>12.95</v>
      </c>
      <c r="D426" s="196">
        <v>14.28</v>
      </c>
      <c r="E426" s="195" t="s">
        <v>583</v>
      </c>
      <c r="F426" s="195" t="s">
        <v>430</v>
      </c>
    </row>
    <row r="427" spans="1:6" x14ac:dyDescent="0.25">
      <c r="A427" s="189" t="str">
        <f t="shared" si="6"/>
        <v>AA-MD 212.9514.28S</v>
      </c>
      <c r="B427" s="195" t="s">
        <v>510</v>
      </c>
      <c r="C427" s="196">
        <v>12.95</v>
      </c>
      <c r="D427" s="196">
        <v>14.28</v>
      </c>
      <c r="E427" s="195" t="s">
        <v>583</v>
      </c>
      <c r="F427" s="195" t="s">
        <v>438</v>
      </c>
    </row>
    <row r="428" spans="1:6" x14ac:dyDescent="0.25">
      <c r="A428" s="189" t="str">
        <f t="shared" si="6"/>
        <v>AA-MD 214.2816.19N</v>
      </c>
      <c r="B428" s="195" t="s">
        <v>510</v>
      </c>
      <c r="C428" s="196">
        <v>14.28</v>
      </c>
      <c r="D428" s="196">
        <v>16.190000000000001</v>
      </c>
      <c r="E428" s="195" t="s">
        <v>583</v>
      </c>
      <c r="F428" s="195" t="s">
        <v>430</v>
      </c>
    </row>
    <row r="429" spans="1:6" x14ac:dyDescent="0.25">
      <c r="A429" s="189" t="str">
        <f t="shared" si="6"/>
        <v>AA-MD 214.2816.19S</v>
      </c>
      <c r="B429" s="195" t="s">
        <v>510</v>
      </c>
      <c r="C429" s="196">
        <v>14.28</v>
      </c>
      <c r="D429" s="196">
        <v>16.190000000000001</v>
      </c>
      <c r="E429" s="195" t="s">
        <v>583</v>
      </c>
      <c r="F429" s="195" t="s">
        <v>438</v>
      </c>
    </row>
    <row r="430" spans="1:6" x14ac:dyDescent="0.25">
      <c r="A430" s="189" t="str">
        <f t="shared" si="6"/>
        <v>AA-MD 220.7723.87N</v>
      </c>
      <c r="B430" s="195" t="s">
        <v>510</v>
      </c>
      <c r="C430" s="196">
        <v>20.77</v>
      </c>
      <c r="D430" s="196">
        <v>23.87</v>
      </c>
      <c r="E430" s="195" t="s">
        <v>583</v>
      </c>
      <c r="F430" s="195" t="s">
        <v>430</v>
      </c>
    </row>
    <row r="431" spans="1:6" x14ac:dyDescent="0.25">
      <c r="A431" s="189" t="str">
        <f t="shared" si="6"/>
        <v>AA-MD 220.7723.87S</v>
      </c>
      <c r="B431" s="195" t="s">
        <v>510</v>
      </c>
      <c r="C431" s="196">
        <v>20.77</v>
      </c>
      <c r="D431" s="196">
        <v>23.87</v>
      </c>
      <c r="E431" s="195" t="s">
        <v>583</v>
      </c>
      <c r="F431" s="195" t="s">
        <v>438</v>
      </c>
    </row>
    <row r="432" spans="1:6" x14ac:dyDescent="0.25">
      <c r="A432" s="189" t="str">
        <f t="shared" si="6"/>
        <v>AA-MD 21403.37E</v>
      </c>
      <c r="B432" s="195" t="s">
        <v>834</v>
      </c>
      <c r="C432" s="196">
        <v>0</v>
      </c>
      <c r="D432" s="196">
        <v>3.37</v>
      </c>
      <c r="E432" s="195" t="s">
        <v>583</v>
      </c>
      <c r="F432" s="195" t="s">
        <v>19</v>
      </c>
    </row>
    <row r="433" spans="1:6" x14ac:dyDescent="0.25">
      <c r="A433" s="189" t="str">
        <f t="shared" si="6"/>
        <v>AA-MD 21403.37W</v>
      </c>
      <c r="B433" s="195" t="s">
        <v>834</v>
      </c>
      <c r="C433" s="196">
        <v>0</v>
      </c>
      <c r="D433" s="196">
        <v>3.37</v>
      </c>
      <c r="E433" s="195" t="s">
        <v>583</v>
      </c>
      <c r="F433" s="195" t="s">
        <v>432</v>
      </c>
    </row>
    <row r="434" spans="1:6" x14ac:dyDescent="0.25">
      <c r="A434" s="189" t="str">
        <f t="shared" si="6"/>
        <v>AA-MD 2143.375.58W</v>
      </c>
      <c r="B434" s="195" t="s">
        <v>834</v>
      </c>
      <c r="C434" s="196">
        <v>3.37</v>
      </c>
      <c r="D434" s="196">
        <v>5.58</v>
      </c>
      <c r="E434" s="195" t="s">
        <v>593</v>
      </c>
      <c r="F434" s="195" t="s">
        <v>432</v>
      </c>
    </row>
    <row r="435" spans="1:6" x14ac:dyDescent="0.25">
      <c r="A435" s="189" t="str">
        <f t="shared" si="6"/>
        <v>AA-MD 2143.375.6E</v>
      </c>
      <c r="B435" s="195" t="s">
        <v>834</v>
      </c>
      <c r="C435" s="196">
        <v>3.37</v>
      </c>
      <c r="D435" s="196">
        <v>5.6</v>
      </c>
      <c r="E435" s="195" t="s">
        <v>598</v>
      </c>
      <c r="F435" s="195" t="s">
        <v>19</v>
      </c>
    </row>
    <row r="436" spans="1:6" x14ac:dyDescent="0.25">
      <c r="A436" s="189" t="str">
        <f t="shared" si="6"/>
        <v>AA-MD 2147.1510.18E</v>
      </c>
      <c r="B436" s="195" t="s">
        <v>834</v>
      </c>
      <c r="C436" s="196">
        <v>7.15</v>
      </c>
      <c r="D436" s="196">
        <v>10.18</v>
      </c>
      <c r="E436" s="195" t="s">
        <v>583</v>
      </c>
      <c r="F436" s="195" t="s">
        <v>19</v>
      </c>
    </row>
    <row r="437" spans="1:6" x14ac:dyDescent="0.25">
      <c r="A437" s="189" t="str">
        <f t="shared" si="6"/>
        <v>AA-MD 2147.1510.18W</v>
      </c>
      <c r="B437" s="195" t="s">
        <v>834</v>
      </c>
      <c r="C437" s="196">
        <v>7.15</v>
      </c>
      <c r="D437" s="196">
        <v>10.18</v>
      </c>
      <c r="E437" s="195" t="s">
        <v>583</v>
      </c>
      <c r="F437" s="195" t="s">
        <v>432</v>
      </c>
    </row>
    <row r="438" spans="1:6" x14ac:dyDescent="0.25">
      <c r="A438" s="189" t="str">
        <f t="shared" si="6"/>
        <v>AA-MD 21410.1811.41E</v>
      </c>
      <c r="B438" s="195" t="s">
        <v>834</v>
      </c>
      <c r="C438" s="196">
        <v>10.18</v>
      </c>
      <c r="D438" s="196">
        <v>11.41</v>
      </c>
      <c r="E438" s="195" t="s">
        <v>583</v>
      </c>
      <c r="F438" s="195" t="s">
        <v>19</v>
      </c>
    </row>
    <row r="439" spans="1:6" x14ac:dyDescent="0.25">
      <c r="A439" s="189" t="str">
        <f t="shared" si="6"/>
        <v>AA-MD 21410.1811.41W</v>
      </c>
      <c r="B439" s="195" t="s">
        <v>834</v>
      </c>
      <c r="C439" s="196">
        <v>10.18</v>
      </c>
      <c r="D439" s="196">
        <v>11.41</v>
      </c>
      <c r="E439" s="195" t="s">
        <v>583</v>
      </c>
      <c r="F439" s="195" t="s">
        <v>432</v>
      </c>
    </row>
    <row r="440" spans="1:6" x14ac:dyDescent="0.25">
      <c r="A440" s="189" t="str">
        <f t="shared" si="6"/>
        <v>AA-MD 21411.4111.54E</v>
      </c>
      <c r="B440" s="195" t="s">
        <v>834</v>
      </c>
      <c r="C440" s="196">
        <v>11.41</v>
      </c>
      <c r="D440" s="196">
        <v>11.54</v>
      </c>
      <c r="E440" s="195" t="s">
        <v>583</v>
      </c>
      <c r="F440" s="195" t="s">
        <v>19</v>
      </c>
    </row>
    <row r="441" spans="1:6" x14ac:dyDescent="0.25">
      <c r="A441" s="189" t="str">
        <f t="shared" si="6"/>
        <v>AA-MD 21411.4111.54W</v>
      </c>
      <c r="B441" s="195" t="s">
        <v>834</v>
      </c>
      <c r="C441" s="196">
        <v>11.41</v>
      </c>
      <c r="D441" s="196">
        <v>11.54</v>
      </c>
      <c r="E441" s="195" t="s">
        <v>583</v>
      </c>
      <c r="F441" s="195" t="s">
        <v>432</v>
      </c>
    </row>
    <row r="442" spans="1:6" x14ac:dyDescent="0.25">
      <c r="A442" s="189" t="str">
        <f t="shared" si="6"/>
        <v>AA-MD 214A00.64E</v>
      </c>
      <c r="B442" s="195" t="s">
        <v>835</v>
      </c>
      <c r="C442" s="196">
        <v>0</v>
      </c>
      <c r="D442" s="196">
        <v>0.64</v>
      </c>
      <c r="E442" s="195" t="s">
        <v>598</v>
      </c>
      <c r="F442" s="195" t="s">
        <v>19</v>
      </c>
    </row>
    <row r="443" spans="1:6" x14ac:dyDescent="0.25">
      <c r="A443" s="189" t="str">
        <f t="shared" si="6"/>
        <v>AA-MD 214A00.64W</v>
      </c>
      <c r="B443" s="195" t="s">
        <v>835</v>
      </c>
      <c r="C443" s="196">
        <v>0</v>
      </c>
      <c r="D443" s="196">
        <v>0.64</v>
      </c>
      <c r="E443" s="195" t="s">
        <v>593</v>
      </c>
      <c r="F443" s="195" t="s">
        <v>432</v>
      </c>
    </row>
    <row r="444" spans="1:6" x14ac:dyDescent="0.25">
      <c r="A444" s="189" t="str">
        <f t="shared" si="6"/>
        <v>AA-MD 214B00.06E</v>
      </c>
      <c r="B444" s="195" t="s">
        <v>836</v>
      </c>
      <c r="C444" s="196">
        <v>0</v>
      </c>
      <c r="D444" s="196">
        <v>0.06</v>
      </c>
      <c r="E444" s="195" t="s">
        <v>598</v>
      </c>
      <c r="F444" s="195" t="s">
        <v>19</v>
      </c>
    </row>
    <row r="445" spans="1:6" x14ac:dyDescent="0.25">
      <c r="A445" s="189" t="str">
        <f t="shared" si="6"/>
        <v>AA-MD 214B00.06W</v>
      </c>
      <c r="B445" s="195" t="s">
        <v>836</v>
      </c>
      <c r="C445" s="196">
        <v>0</v>
      </c>
      <c r="D445" s="196">
        <v>0.06</v>
      </c>
      <c r="E445" s="195" t="s">
        <v>593</v>
      </c>
      <c r="F445" s="195" t="s">
        <v>432</v>
      </c>
    </row>
    <row r="446" spans="1:6" x14ac:dyDescent="0.25">
      <c r="A446" s="189" t="str">
        <f t="shared" si="6"/>
        <v>AA-MD 216A00.13E</v>
      </c>
      <c r="B446" s="195" t="s">
        <v>837</v>
      </c>
      <c r="C446" s="196">
        <v>0</v>
      </c>
      <c r="D446" s="196">
        <v>0.13</v>
      </c>
      <c r="E446" s="195" t="s">
        <v>598</v>
      </c>
      <c r="F446" s="195" t="s">
        <v>19</v>
      </c>
    </row>
    <row r="447" spans="1:6" x14ac:dyDescent="0.25">
      <c r="A447" s="189" t="str">
        <f t="shared" si="6"/>
        <v>AA-MD 216A00.13W</v>
      </c>
      <c r="B447" s="195" t="s">
        <v>837</v>
      </c>
      <c r="C447" s="196">
        <v>0</v>
      </c>
      <c r="D447" s="196">
        <v>0.13</v>
      </c>
      <c r="E447" s="195" t="s">
        <v>593</v>
      </c>
      <c r="F447" s="195" t="s">
        <v>432</v>
      </c>
    </row>
    <row r="448" spans="1:6" x14ac:dyDescent="0.25">
      <c r="A448" s="189" t="str">
        <f t="shared" si="6"/>
        <v>AA-MD 216B00.65E</v>
      </c>
      <c r="B448" s="195" t="s">
        <v>838</v>
      </c>
      <c r="C448" s="196">
        <v>0</v>
      </c>
      <c r="D448" s="196">
        <v>0.65</v>
      </c>
      <c r="E448" s="195" t="s">
        <v>598</v>
      </c>
      <c r="F448" s="195" t="s">
        <v>19</v>
      </c>
    </row>
    <row r="449" spans="1:6" x14ac:dyDescent="0.25">
      <c r="A449" s="189" t="str">
        <f t="shared" si="6"/>
        <v>AA-MD 216B00.65W</v>
      </c>
      <c r="B449" s="195" t="s">
        <v>838</v>
      </c>
      <c r="C449" s="196">
        <v>0</v>
      </c>
      <c r="D449" s="196">
        <v>0.65</v>
      </c>
      <c r="E449" s="195" t="s">
        <v>593</v>
      </c>
      <c r="F449" s="195" t="s">
        <v>432</v>
      </c>
    </row>
    <row r="450" spans="1:6" x14ac:dyDescent="0.25">
      <c r="A450" s="189" t="str">
        <f t="shared" si="6"/>
        <v>AA-MD 216I00.04N</v>
      </c>
      <c r="B450" s="195" t="s">
        <v>839</v>
      </c>
      <c r="C450" s="196">
        <v>0</v>
      </c>
      <c r="D450" s="196">
        <v>0.04</v>
      </c>
      <c r="E450" s="195" t="s">
        <v>589</v>
      </c>
      <c r="F450" s="195" t="s">
        <v>430</v>
      </c>
    </row>
    <row r="451" spans="1:6" x14ac:dyDescent="0.25">
      <c r="A451" s="189" t="str">
        <f t="shared" ref="A451:A514" si="7">B451&amp;C451&amp;D451&amp;F451</f>
        <v>AA-MD 216I00.04S</v>
      </c>
      <c r="B451" s="195" t="s">
        <v>839</v>
      </c>
      <c r="C451" s="196">
        <v>0</v>
      </c>
      <c r="D451" s="196">
        <v>0.04</v>
      </c>
      <c r="E451" s="195" t="s">
        <v>595</v>
      </c>
      <c r="F451" s="195" t="s">
        <v>438</v>
      </c>
    </row>
    <row r="452" spans="1:6" x14ac:dyDescent="0.25">
      <c r="A452" s="189" t="str">
        <f t="shared" si="7"/>
        <v>AA-MD 25301.34N</v>
      </c>
      <c r="B452" s="195" t="s">
        <v>511</v>
      </c>
      <c r="C452" s="196">
        <v>0</v>
      </c>
      <c r="D452" s="196">
        <v>1.34</v>
      </c>
      <c r="E452" s="195" t="s">
        <v>583</v>
      </c>
      <c r="F452" s="195" t="s">
        <v>430</v>
      </c>
    </row>
    <row r="453" spans="1:6" x14ac:dyDescent="0.25">
      <c r="A453" s="189" t="str">
        <f t="shared" si="7"/>
        <v>AA-MD 25301.34S</v>
      </c>
      <c r="B453" s="195" t="s">
        <v>511</v>
      </c>
      <c r="C453" s="196">
        <v>0</v>
      </c>
      <c r="D453" s="196">
        <v>1.34</v>
      </c>
      <c r="E453" s="195" t="s">
        <v>583</v>
      </c>
      <c r="F453" s="195" t="s">
        <v>438</v>
      </c>
    </row>
    <row r="454" spans="1:6" x14ac:dyDescent="0.25">
      <c r="A454" s="189" t="str">
        <f t="shared" si="7"/>
        <v>AA-MD 25503.15E</v>
      </c>
      <c r="B454" s="195" t="s">
        <v>840</v>
      </c>
      <c r="C454" s="196">
        <v>0</v>
      </c>
      <c r="D454" s="196">
        <v>3.15</v>
      </c>
      <c r="E454" s="195" t="s">
        <v>583</v>
      </c>
      <c r="F454" s="195" t="s">
        <v>19</v>
      </c>
    </row>
    <row r="455" spans="1:6" x14ac:dyDescent="0.25">
      <c r="A455" s="189" t="str">
        <f t="shared" si="7"/>
        <v>AA-MD 25503.15W</v>
      </c>
      <c r="B455" s="195" t="s">
        <v>840</v>
      </c>
      <c r="C455" s="196">
        <v>0</v>
      </c>
      <c r="D455" s="196">
        <v>3.15</v>
      </c>
      <c r="E455" s="195" t="s">
        <v>583</v>
      </c>
      <c r="F455" s="195" t="s">
        <v>432</v>
      </c>
    </row>
    <row r="456" spans="1:6" x14ac:dyDescent="0.25">
      <c r="A456" s="189" t="str">
        <f t="shared" si="7"/>
        <v>AA-MD 2553.154.21E</v>
      </c>
      <c r="B456" s="195" t="s">
        <v>840</v>
      </c>
      <c r="C456" s="196">
        <v>3.15</v>
      </c>
      <c r="D456" s="196">
        <v>4.21</v>
      </c>
      <c r="E456" s="195" t="s">
        <v>583</v>
      </c>
      <c r="F456" s="195" t="s">
        <v>19</v>
      </c>
    </row>
    <row r="457" spans="1:6" x14ac:dyDescent="0.25">
      <c r="A457" s="189" t="str">
        <f t="shared" si="7"/>
        <v>AA-MD 2553.154.21W</v>
      </c>
      <c r="B457" s="195" t="s">
        <v>840</v>
      </c>
      <c r="C457" s="196">
        <v>3.15</v>
      </c>
      <c r="D457" s="196">
        <v>4.21</v>
      </c>
      <c r="E457" s="195" t="s">
        <v>583</v>
      </c>
      <c r="F457" s="195" t="s">
        <v>432</v>
      </c>
    </row>
    <row r="458" spans="1:6" x14ac:dyDescent="0.25">
      <c r="A458" s="189" t="str">
        <f t="shared" si="7"/>
        <v>AA-MD 25601.76W</v>
      </c>
      <c r="B458" s="195" t="s">
        <v>512</v>
      </c>
      <c r="C458" s="196">
        <v>0</v>
      </c>
      <c r="D458" s="196">
        <v>1.76</v>
      </c>
      <c r="E458" s="195" t="s">
        <v>593</v>
      </c>
      <c r="F458" s="195" t="s">
        <v>432</v>
      </c>
    </row>
    <row r="459" spans="1:6" x14ac:dyDescent="0.25">
      <c r="A459" s="189" t="str">
        <f t="shared" si="7"/>
        <v>AA-MD 25601.86E</v>
      </c>
      <c r="B459" s="195" t="s">
        <v>512</v>
      </c>
      <c r="C459" s="196">
        <v>0</v>
      </c>
      <c r="D459" s="196">
        <v>1.86</v>
      </c>
      <c r="E459" s="195" t="s">
        <v>598</v>
      </c>
      <c r="F459" s="195" t="s">
        <v>19</v>
      </c>
    </row>
    <row r="460" spans="1:6" x14ac:dyDescent="0.25">
      <c r="A460" s="189" t="str">
        <f t="shared" si="7"/>
        <v>AA-MD 2561.761.86W</v>
      </c>
      <c r="B460" s="195" t="s">
        <v>512</v>
      </c>
      <c r="C460" s="196">
        <v>1.76</v>
      </c>
      <c r="D460" s="196">
        <v>1.86</v>
      </c>
      <c r="E460" s="195" t="s">
        <v>593</v>
      </c>
      <c r="F460" s="195" t="s">
        <v>432</v>
      </c>
    </row>
    <row r="461" spans="1:6" x14ac:dyDescent="0.25">
      <c r="A461" s="189" t="str">
        <f t="shared" si="7"/>
        <v>AA-MD 2561.861.86W</v>
      </c>
      <c r="B461" s="195" t="s">
        <v>512</v>
      </c>
      <c r="C461" s="196">
        <v>1.86</v>
      </c>
      <c r="D461" s="196">
        <v>1.86</v>
      </c>
      <c r="E461" s="195" t="s">
        <v>593</v>
      </c>
      <c r="F461" s="195" t="s">
        <v>432</v>
      </c>
    </row>
    <row r="462" spans="1:6" x14ac:dyDescent="0.25">
      <c r="A462" s="189" t="str">
        <f t="shared" si="7"/>
        <v>AA-MD 2561.862.58E</v>
      </c>
      <c r="B462" s="195" t="s">
        <v>512</v>
      </c>
      <c r="C462" s="196">
        <v>1.86</v>
      </c>
      <c r="D462" s="196">
        <v>2.58</v>
      </c>
      <c r="E462" s="195" t="s">
        <v>583</v>
      </c>
      <c r="F462" s="195" t="s">
        <v>19</v>
      </c>
    </row>
    <row r="463" spans="1:6" x14ac:dyDescent="0.25">
      <c r="A463" s="189" t="str">
        <f t="shared" si="7"/>
        <v>AA-MD 2561.862.58W</v>
      </c>
      <c r="B463" s="195" t="s">
        <v>512</v>
      </c>
      <c r="C463" s="196">
        <v>1.86</v>
      </c>
      <c r="D463" s="196">
        <v>2.58</v>
      </c>
      <c r="E463" s="195" t="s">
        <v>583</v>
      </c>
      <c r="F463" s="195" t="s">
        <v>432</v>
      </c>
    </row>
    <row r="464" spans="1:6" x14ac:dyDescent="0.25">
      <c r="A464" s="189" t="str">
        <f t="shared" si="7"/>
        <v>AA-MD 2562.583.31E</v>
      </c>
      <c r="B464" s="195" t="s">
        <v>512</v>
      </c>
      <c r="C464" s="196">
        <v>2.58</v>
      </c>
      <c r="D464" s="196">
        <v>3.31</v>
      </c>
      <c r="E464" s="195" t="s">
        <v>583</v>
      </c>
      <c r="F464" s="195" t="s">
        <v>19</v>
      </c>
    </row>
    <row r="465" spans="1:6" x14ac:dyDescent="0.25">
      <c r="A465" s="189" t="str">
        <f t="shared" si="7"/>
        <v>AA-MD 2562.583.31W</v>
      </c>
      <c r="B465" s="195" t="s">
        <v>512</v>
      </c>
      <c r="C465" s="196">
        <v>2.58</v>
      </c>
      <c r="D465" s="196">
        <v>3.31</v>
      </c>
      <c r="E465" s="195" t="s">
        <v>583</v>
      </c>
      <c r="F465" s="195" t="s">
        <v>432</v>
      </c>
    </row>
    <row r="466" spans="1:6" x14ac:dyDescent="0.25">
      <c r="A466" s="189" t="str">
        <f t="shared" si="7"/>
        <v>AA-MD 2563.313.51E</v>
      </c>
      <c r="B466" s="195" t="s">
        <v>512</v>
      </c>
      <c r="C466" s="196">
        <v>3.31</v>
      </c>
      <c r="D466" s="196">
        <v>3.51</v>
      </c>
      <c r="E466" s="195" t="s">
        <v>583</v>
      </c>
      <c r="F466" s="195" t="s">
        <v>19</v>
      </c>
    </row>
    <row r="467" spans="1:6" x14ac:dyDescent="0.25">
      <c r="A467" s="189" t="str">
        <f t="shared" si="7"/>
        <v>AA-MD 2563.313.51W</v>
      </c>
      <c r="B467" s="195" t="s">
        <v>512</v>
      </c>
      <c r="C467" s="196">
        <v>3.31</v>
      </c>
      <c r="D467" s="196">
        <v>3.51</v>
      </c>
      <c r="E467" s="195" t="s">
        <v>583</v>
      </c>
      <c r="F467" s="195" t="s">
        <v>432</v>
      </c>
    </row>
    <row r="468" spans="1:6" x14ac:dyDescent="0.25">
      <c r="A468" s="189" t="str">
        <f t="shared" si="7"/>
        <v>AA-MD 2563.515.28E</v>
      </c>
      <c r="B468" s="195" t="s">
        <v>512</v>
      </c>
      <c r="C468" s="196">
        <v>3.51</v>
      </c>
      <c r="D468" s="196">
        <v>5.28</v>
      </c>
      <c r="E468" s="195" t="s">
        <v>583</v>
      </c>
      <c r="F468" s="195" t="s">
        <v>19</v>
      </c>
    </row>
    <row r="469" spans="1:6" x14ac:dyDescent="0.25">
      <c r="A469" s="189" t="str">
        <f t="shared" si="7"/>
        <v>AA-MD 2563.515.28W</v>
      </c>
      <c r="B469" s="195" t="s">
        <v>512</v>
      </c>
      <c r="C469" s="196">
        <v>3.51</v>
      </c>
      <c r="D469" s="196">
        <v>5.28</v>
      </c>
      <c r="E469" s="195" t="s">
        <v>583</v>
      </c>
      <c r="F469" s="195" t="s">
        <v>432</v>
      </c>
    </row>
    <row r="470" spans="1:6" x14ac:dyDescent="0.25">
      <c r="A470" s="189" t="str">
        <f t="shared" si="7"/>
        <v>AA-MD 25800.21E</v>
      </c>
      <c r="B470" s="195" t="s">
        <v>513</v>
      </c>
      <c r="C470" s="196">
        <v>0</v>
      </c>
      <c r="D470" s="196">
        <v>0.21</v>
      </c>
      <c r="E470" s="195" t="s">
        <v>583</v>
      </c>
      <c r="F470" s="195" t="s">
        <v>19</v>
      </c>
    </row>
    <row r="471" spans="1:6" x14ac:dyDescent="0.25">
      <c r="A471" s="189" t="str">
        <f t="shared" si="7"/>
        <v>AA-MD 25800.21W</v>
      </c>
      <c r="B471" s="195" t="s">
        <v>513</v>
      </c>
      <c r="C471" s="196">
        <v>0</v>
      </c>
      <c r="D471" s="196">
        <v>0.21</v>
      </c>
      <c r="E471" s="195" t="s">
        <v>583</v>
      </c>
      <c r="F471" s="195" t="s">
        <v>432</v>
      </c>
    </row>
    <row r="472" spans="1:6" x14ac:dyDescent="0.25">
      <c r="A472" s="189" t="str">
        <f t="shared" si="7"/>
        <v>AA-MD 2580.214.18E</v>
      </c>
      <c r="B472" s="195" t="s">
        <v>513</v>
      </c>
      <c r="C472" s="196">
        <v>0.21</v>
      </c>
      <c r="D472" s="196">
        <v>4.18</v>
      </c>
      <c r="E472" s="195" t="s">
        <v>583</v>
      </c>
      <c r="F472" s="195" t="s">
        <v>19</v>
      </c>
    </row>
    <row r="473" spans="1:6" x14ac:dyDescent="0.25">
      <c r="A473" s="189" t="str">
        <f t="shared" si="7"/>
        <v>AA-MD 2580.214.18W</v>
      </c>
      <c r="B473" s="195" t="s">
        <v>513</v>
      </c>
      <c r="C473" s="196">
        <v>0.21</v>
      </c>
      <c r="D473" s="196">
        <v>4.18</v>
      </c>
      <c r="E473" s="195" t="s">
        <v>583</v>
      </c>
      <c r="F473" s="195" t="s">
        <v>432</v>
      </c>
    </row>
    <row r="474" spans="1:6" x14ac:dyDescent="0.25">
      <c r="A474" s="189" t="str">
        <f t="shared" si="7"/>
        <v>AA-MD 2584.186.43E</v>
      </c>
      <c r="B474" s="195" t="s">
        <v>513</v>
      </c>
      <c r="C474" s="196">
        <v>4.18</v>
      </c>
      <c r="D474" s="196">
        <v>6.43</v>
      </c>
      <c r="E474" s="195" t="s">
        <v>583</v>
      </c>
      <c r="F474" s="195" t="s">
        <v>19</v>
      </c>
    </row>
    <row r="475" spans="1:6" x14ac:dyDescent="0.25">
      <c r="A475" s="189" t="str">
        <f t="shared" si="7"/>
        <v>AA-MD 2584.186.43W</v>
      </c>
      <c r="B475" s="195" t="s">
        <v>513</v>
      </c>
      <c r="C475" s="196">
        <v>4.18</v>
      </c>
      <c r="D475" s="196">
        <v>6.43</v>
      </c>
      <c r="E475" s="195" t="s">
        <v>583</v>
      </c>
      <c r="F475" s="195" t="s">
        <v>432</v>
      </c>
    </row>
    <row r="476" spans="1:6" x14ac:dyDescent="0.25">
      <c r="A476" s="189" t="str">
        <f t="shared" si="7"/>
        <v>AA-MD 2586.437.13E</v>
      </c>
      <c r="B476" s="195" t="s">
        <v>513</v>
      </c>
      <c r="C476" s="196">
        <v>6.43</v>
      </c>
      <c r="D476" s="196">
        <v>7.13</v>
      </c>
      <c r="E476" s="195" t="s">
        <v>583</v>
      </c>
      <c r="F476" s="195" t="s">
        <v>19</v>
      </c>
    </row>
    <row r="477" spans="1:6" x14ac:dyDescent="0.25">
      <c r="A477" s="189" t="str">
        <f t="shared" si="7"/>
        <v>AA-MD 2586.437.13W</v>
      </c>
      <c r="B477" s="195" t="s">
        <v>513</v>
      </c>
      <c r="C477" s="196">
        <v>6.43</v>
      </c>
      <c r="D477" s="196">
        <v>7.13</v>
      </c>
      <c r="E477" s="195" t="s">
        <v>583</v>
      </c>
      <c r="F477" s="195" t="s">
        <v>432</v>
      </c>
    </row>
    <row r="478" spans="1:6" x14ac:dyDescent="0.25">
      <c r="A478" s="189" t="str">
        <f t="shared" si="7"/>
        <v>AA-MD 25902.67N</v>
      </c>
      <c r="B478" s="195" t="s">
        <v>841</v>
      </c>
      <c r="C478" s="196">
        <v>0</v>
      </c>
      <c r="D478" s="196">
        <v>2.67</v>
      </c>
      <c r="E478" s="195" t="s">
        <v>583</v>
      </c>
      <c r="F478" s="195" t="s">
        <v>430</v>
      </c>
    </row>
    <row r="479" spans="1:6" x14ac:dyDescent="0.25">
      <c r="A479" s="189" t="str">
        <f t="shared" si="7"/>
        <v>AA-MD 25902.67S</v>
      </c>
      <c r="B479" s="195" t="s">
        <v>841</v>
      </c>
      <c r="C479" s="196">
        <v>0</v>
      </c>
      <c r="D479" s="196">
        <v>2.67</v>
      </c>
      <c r="E479" s="195" t="s">
        <v>583</v>
      </c>
      <c r="F479" s="195" t="s">
        <v>438</v>
      </c>
    </row>
    <row r="480" spans="1:6" x14ac:dyDescent="0.25">
      <c r="A480" s="189" t="str">
        <f t="shared" si="7"/>
        <v>AA-MD 26001.38E</v>
      </c>
      <c r="B480" s="195" t="s">
        <v>842</v>
      </c>
      <c r="C480" s="196">
        <v>0</v>
      </c>
      <c r="D480" s="196">
        <v>1.38</v>
      </c>
      <c r="E480" s="195" t="s">
        <v>583</v>
      </c>
      <c r="F480" s="195" t="s">
        <v>19</v>
      </c>
    </row>
    <row r="481" spans="1:6" x14ac:dyDescent="0.25">
      <c r="A481" s="189" t="str">
        <f t="shared" si="7"/>
        <v>AA-MD 26001.38W</v>
      </c>
      <c r="B481" s="195" t="s">
        <v>842</v>
      </c>
      <c r="C481" s="196">
        <v>0</v>
      </c>
      <c r="D481" s="196">
        <v>1.38</v>
      </c>
      <c r="E481" s="195" t="s">
        <v>583</v>
      </c>
      <c r="F481" s="195" t="s">
        <v>432</v>
      </c>
    </row>
    <row r="482" spans="1:6" x14ac:dyDescent="0.25">
      <c r="A482" s="189" t="str">
        <f t="shared" si="7"/>
        <v>AA-MD 26101.93N</v>
      </c>
      <c r="B482" s="195" t="s">
        <v>843</v>
      </c>
      <c r="C482" s="196">
        <v>0</v>
      </c>
      <c r="D482" s="196">
        <v>1.93</v>
      </c>
      <c r="E482" s="195" t="s">
        <v>583</v>
      </c>
      <c r="F482" s="195" t="s">
        <v>430</v>
      </c>
    </row>
    <row r="483" spans="1:6" x14ac:dyDescent="0.25">
      <c r="A483" s="189" t="str">
        <f t="shared" si="7"/>
        <v>AA-MD 26101.93S</v>
      </c>
      <c r="B483" s="195" t="s">
        <v>843</v>
      </c>
      <c r="C483" s="196">
        <v>0</v>
      </c>
      <c r="D483" s="196">
        <v>1.93</v>
      </c>
      <c r="E483" s="195" t="s">
        <v>583</v>
      </c>
      <c r="F483" s="195" t="s">
        <v>438</v>
      </c>
    </row>
    <row r="484" spans="1:6" x14ac:dyDescent="0.25">
      <c r="A484" s="189" t="str">
        <f t="shared" si="7"/>
        <v>AA-MD 2611.935.41N</v>
      </c>
      <c r="B484" s="195" t="s">
        <v>843</v>
      </c>
      <c r="C484" s="196">
        <v>1.93</v>
      </c>
      <c r="D484" s="196">
        <v>5.41</v>
      </c>
      <c r="E484" s="195" t="s">
        <v>583</v>
      </c>
      <c r="F484" s="195" t="s">
        <v>430</v>
      </c>
    </row>
    <row r="485" spans="1:6" x14ac:dyDescent="0.25">
      <c r="A485" s="189" t="str">
        <f t="shared" si="7"/>
        <v>AA-MD 2611.935.41S</v>
      </c>
      <c r="B485" s="195" t="s">
        <v>843</v>
      </c>
      <c r="C485" s="196">
        <v>1.93</v>
      </c>
      <c r="D485" s="196">
        <v>5.41</v>
      </c>
      <c r="E485" s="195" t="s">
        <v>583</v>
      </c>
      <c r="F485" s="195" t="s">
        <v>438</v>
      </c>
    </row>
    <row r="486" spans="1:6" x14ac:dyDescent="0.25">
      <c r="A486" s="189" t="str">
        <f t="shared" si="7"/>
        <v>AA-MD 27000.3N</v>
      </c>
      <c r="B486" s="195" t="s">
        <v>844</v>
      </c>
      <c r="C486" s="196">
        <v>0</v>
      </c>
      <c r="D486" s="196">
        <v>0.3</v>
      </c>
      <c r="E486" s="195" t="s">
        <v>583</v>
      </c>
      <c r="F486" s="195" t="s">
        <v>430</v>
      </c>
    </row>
    <row r="487" spans="1:6" x14ac:dyDescent="0.25">
      <c r="A487" s="189" t="str">
        <f t="shared" si="7"/>
        <v>AA-MD 27000.3S</v>
      </c>
      <c r="B487" s="195" t="s">
        <v>844</v>
      </c>
      <c r="C487" s="196">
        <v>0</v>
      </c>
      <c r="D487" s="196">
        <v>0.3</v>
      </c>
      <c r="E487" s="195" t="s">
        <v>583</v>
      </c>
      <c r="F487" s="195" t="s">
        <v>438</v>
      </c>
    </row>
    <row r="488" spans="1:6" x14ac:dyDescent="0.25">
      <c r="A488" s="189" t="str">
        <f t="shared" si="7"/>
        <v>AA-MD 2700.30.54N</v>
      </c>
      <c r="B488" s="195" t="s">
        <v>844</v>
      </c>
      <c r="C488" s="196">
        <v>0.3</v>
      </c>
      <c r="D488" s="196">
        <v>0.54</v>
      </c>
      <c r="E488" s="195" t="s">
        <v>583</v>
      </c>
      <c r="F488" s="195" t="s">
        <v>430</v>
      </c>
    </row>
    <row r="489" spans="1:6" x14ac:dyDescent="0.25">
      <c r="A489" s="189" t="str">
        <f t="shared" si="7"/>
        <v>AA-MD 2700.30.54S</v>
      </c>
      <c r="B489" s="195" t="s">
        <v>844</v>
      </c>
      <c r="C489" s="196">
        <v>0.3</v>
      </c>
      <c r="D489" s="196">
        <v>0.54</v>
      </c>
      <c r="E489" s="195" t="s">
        <v>583</v>
      </c>
      <c r="F489" s="195" t="s">
        <v>438</v>
      </c>
    </row>
    <row r="490" spans="1:6" x14ac:dyDescent="0.25">
      <c r="A490" s="189" t="str">
        <f t="shared" si="7"/>
        <v>AA-MD 2700.541.1N</v>
      </c>
      <c r="B490" s="195" t="s">
        <v>844</v>
      </c>
      <c r="C490" s="196">
        <v>0.54</v>
      </c>
      <c r="D490" s="196">
        <v>1.1000000000000001</v>
      </c>
      <c r="E490" s="195" t="s">
        <v>583</v>
      </c>
      <c r="F490" s="195" t="s">
        <v>430</v>
      </c>
    </row>
    <row r="491" spans="1:6" x14ac:dyDescent="0.25">
      <c r="A491" s="189" t="str">
        <f t="shared" si="7"/>
        <v>AA-MD 2700.541.1S</v>
      </c>
      <c r="B491" s="195" t="s">
        <v>844</v>
      </c>
      <c r="C491" s="196">
        <v>0.54</v>
      </c>
      <c r="D491" s="196">
        <v>1.1000000000000001</v>
      </c>
      <c r="E491" s="195" t="s">
        <v>583</v>
      </c>
      <c r="F491" s="195" t="s">
        <v>438</v>
      </c>
    </row>
    <row r="492" spans="1:6" x14ac:dyDescent="0.25">
      <c r="A492" s="189" t="str">
        <f t="shared" si="7"/>
        <v>AA-MD 295 RP10-400.39E</v>
      </c>
      <c r="B492" s="195" t="s">
        <v>845</v>
      </c>
      <c r="C492" s="196">
        <v>0</v>
      </c>
      <c r="D492" s="196">
        <v>0.39</v>
      </c>
      <c r="E492" s="195" t="s">
        <v>598</v>
      </c>
      <c r="F492" s="195" t="s">
        <v>19</v>
      </c>
    </row>
    <row r="493" spans="1:6" x14ac:dyDescent="0.25">
      <c r="A493" s="189" t="str">
        <f t="shared" si="7"/>
        <v>AA-MD 295 RP1-200.23N</v>
      </c>
      <c r="B493" s="195" t="s">
        <v>846</v>
      </c>
      <c r="C493" s="196">
        <v>0</v>
      </c>
      <c r="D493" s="196">
        <v>0.23</v>
      </c>
      <c r="E493" s="195" t="s">
        <v>589</v>
      </c>
      <c r="F493" s="195" t="s">
        <v>430</v>
      </c>
    </row>
    <row r="494" spans="1:6" x14ac:dyDescent="0.25">
      <c r="A494" s="189" t="str">
        <f t="shared" si="7"/>
        <v>AA-MD 295 RP1-400.19N</v>
      </c>
      <c r="B494" s="195" t="s">
        <v>847</v>
      </c>
      <c r="C494" s="196">
        <v>0</v>
      </c>
      <c r="D494" s="196">
        <v>0.19</v>
      </c>
      <c r="E494" s="195" t="s">
        <v>589</v>
      </c>
      <c r="F494" s="195" t="s">
        <v>430</v>
      </c>
    </row>
    <row r="495" spans="1:6" x14ac:dyDescent="0.25">
      <c r="A495" s="189" t="str">
        <f t="shared" si="7"/>
        <v>AA-MD 295 RP1-600.19N</v>
      </c>
      <c r="B495" s="195" t="s">
        <v>848</v>
      </c>
      <c r="C495" s="196">
        <v>0</v>
      </c>
      <c r="D495" s="196">
        <v>0.19</v>
      </c>
      <c r="E495" s="195" t="s">
        <v>589</v>
      </c>
      <c r="F495" s="195" t="s">
        <v>430</v>
      </c>
    </row>
    <row r="496" spans="1:6" x14ac:dyDescent="0.25">
      <c r="A496" s="189" t="str">
        <f t="shared" si="7"/>
        <v>AA-MD 295 RP1-700.03N</v>
      </c>
      <c r="B496" s="195" t="s">
        <v>849</v>
      </c>
      <c r="C496" s="196">
        <v>0</v>
      </c>
      <c r="D496" s="196">
        <v>0.03</v>
      </c>
      <c r="E496" s="195" t="s">
        <v>589</v>
      </c>
      <c r="F496" s="195" t="s">
        <v>430</v>
      </c>
    </row>
    <row r="497" spans="1:6" x14ac:dyDescent="0.25">
      <c r="A497" s="189" t="str">
        <f t="shared" si="7"/>
        <v>AA-MD 295 RP1-900.24N</v>
      </c>
      <c r="B497" s="195" t="s">
        <v>850</v>
      </c>
      <c r="C497" s="196">
        <v>0</v>
      </c>
      <c r="D497" s="196">
        <v>0.24</v>
      </c>
      <c r="E497" s="195" t="s">
        <v>589</v>
      </c>
      <c r="F497" s="195" t="s">
        <v>430</v>
      </c>
    </row>
    <row r="498" spans="1:6" x14ac:dyDescent="0.25">
      <c r="A498" s="189" t="str">
        <f t="shared" si="7"/>
        <v>AA-MD 295 RP2-1300.23W</v>
      </c>
      <c r="B498" s="195" t="s">
        <v>851</v>
      </c>
      <c r="C498" s="196">
        <v>0</v>
      </c>
      <c r="D498" s="196">
        <v>0.23</v>
      </c>
      <c r="E498" s="195" t="s">
        <v>593</v>
      </c>
      <c r="F498" s="195" t="s">
        <v>432</v>
      </c>
    </row>
    <row r="499" spans="1:6" x14ac:dyDescent="0.25">
      <c r="A499" s="189" t="str">
        <f t="shared" si="7"/>
        <v>AA-MD 295 RP2-200.31N</v>
      </c>
      <c r="B499" s="195" t="s">
        <v>852</v>
      </c>
      <c r="C499" s="196">
        <v>0</v>
      </c>
      <c r="D499" s="196">
        <v>0.31</v>
      </c>
      <c r="E499" s="195" t="s">
        <v>589</v>
      </c>
      <c r="F499" s="195" t="s">
        <v>430</v>
      </c>
    </row>
    <row r="500" spans="1:6" x14ac:dyDescent="0.25">
      <c r="A500" s="189" t="str">
        <f t="shared" si="7"/>
        <v>AA-MD 295 RP2-400.28N</v>
      </c>
      <c r="B500" s="195" t="s">
        <v>853</v>
      </c>
      <c r="C500" s="196">
        <v>0</v>
      </c>
      <c r="D500" s="196">
        <v>0.28000000000000003</v>
      </c>
      <c r="E500" s="195" t="s">
        <v>589</v>
      </c>
      <c r="F500" s="195" t="s">
        <v>430</v>
      </c>
    </row>
    <row r="501" spans="1:6" x14ac:dyDescent="0.25">
      <c r="A501" s="189" t="str">
        <f t="shared" si="7"/>
        <v>AA-MD 295 RP2-500.47N</v>
      </c>
      <c r="B501" s="195" t="s">
        <v>854</v>
      </c>
      <c r="C501" s="196">
        <v>0</v>
      </c>
      <c r="D501" s="196">
        <v>0.47</v>
      </c>
      <c r="E501" s="195" t="s">
        <v>589</v>
      </c>
      <c r="F501" s="195" t="s">
        <v>430</v>
      </c>
    </row>
    <row r="502" spans="1:6" x14ac:dyDescent="0.25">
      <c r="A502" s="189" t="str">
        <f t="shared" si="7"/>
        <v>AA-MD 295 RP2-600.39N</v>
      </c>
      <c r="B502" s="195" t="s">
        <v>855</v>
      </c>
      <c r="C502" s="196">
        <v>0</v>
      </c>
      <c r="D502" s="196">
        <v>0.39</v>
      </c>
      <c r="E502" s="195" t="s">
        <v>589</v>
      </c>
      <c r="F502" s="195" t="s">
        <v>430</v>
      </c>
    </row>
    <row r="503" spans="1:6" x14ac:dyDescent="0.25">
      <c r="A503" s="189" t="str">
        <f t="shared" si="7"/>
        <v>AA-MD 295 RP2-700.24N</v>
      </c>
      <c r="B503" s="195" t="s">
        <v>856</v>
      </c>
      <c r="C503" s="196">
        <v>0</v>
      </c>
      <c r="D503" s="196">
        <v>0.24</v>
      </c>
      <c r="E503" s="195" t="s">
        <v>589</v>
      </c>
      <c r="F503" s="195" t="s">
        <v>430</v>
      </c>
    </row>
    <row r="504" spans="1:6" x14ac:dyDescent="0.25">
      <c r="A504" s="189" t="str">
        <f t="shared" si="7"/>
        <v>AA-MD 295 RP2-70.060.14S</v>
      </c>
      <c r="B504" s="195" t="s">
        <v>856</v>
      </c>
      <c r="C504" s="196">
        <v>0.06</v>
      </c>
      <c r="D504" s="196">
        <v>0.14000000000000001</v>
      </c>
      <c r="E504" s="195" t="s">
        <v>595</v>
      </c>
      <c r="F504" s="195" t="s">
        <v>438</v>
      </c>
    </row>
    <row r="505" spans="1:6" x14ac:dyDescent="0.25">
      <c r="A505" s="189" t="str">
        <f t="shared" si="7"/>
        <v>AA-MD 295 RP2-900.38N</v>
      </c>
      <c r="B505" s="195" t="s">
        <v>857</v>
      </c>
      <c r="C505" s="196">
        <v>0</v>
      </c>
      <c r="D505" s="196">
        <v>0.38</v>
      </c>
      <c r="E505" s="195" t="s">
        <v>589</v>
      </c>
      <c r="F505" s="195" t="s">
        <v>430</v>
      </c>
    </row>
    <row r="506" spans="1:6" x14ac:dyDescent="0.25">
      <c r="A506" s="189" t="str">
        <f t="shared" si="7"/>
        <v>AA-MD 295 RP3-1300.06N</v>
      </c>
      <c r="B506" s="195" t="s">
        <v>858</v>
      </c>
      <c r="C506" s="196">
        <v>0</v>
      </c>
      <c r="D506" s="196">
        <v>0.06</v>
      </c>
      <c r="E506" s="195" t="s">
        <v>589</v>
      </c>
      <c r="F506" s="195" t="s">
        <v>430</v>
      </c>
    </row>
    <row r="507" spans="1:6" x14ac:dyDescent="0.25">
      <c r="A507" s="189" t="str">
        <f t="shared" si="7"/>
        <v>AA-MD 295 RP3-200.37S</v>
      </c>
      <c r="B507" s="195" t="s">
        <v>859</v>
      </c>
      <c r="C507" s="196">
        <v>0</v>
      </c>
      <c r="D507" s="196">
        <v>0.37</v>
      </c>
      <c r="E507" s="195" t="s">
        <v>595</v>
      </c>
      <c r="F507" s="195" t="s">
        <v>438</v>
      </c>
    </row>
    <row r="508" spans="1:6" x14ac:dyDescent="0.25">
      <c r="A508" s="189" t="str">
        <f t="shared" si="7"/>
        <v>AA-MD 295 RP3-400.25S</v>
      </c>
      <c r="B508" s="195" t="s">
        <v>860</v>
      </c>
      <c r="C508" s="196">
        <v>0</v>
      </c>
      <c r="D508" s="196">
        <v>0.25</v>
      </c>
      <c r="E508" s="195" t="s">
        <v>595</v>
      </c>
      <c r="F508" s="195" t="s">
        <v>438</v>
      </c>
    </row>
    <row r="509" spans="1:6" x14ac:dyDescent="0.25">
      <c r="A509" s="189" t="str">
        <f t="shared" si="7"/>
        <v>AA-MD 295 RP3-600.18S</v>
      </c>
      <c r="B509" s="195" t="s">
        <v>861</v>
      </c>
      <c r="C509" s="196">
        <v>0</v>
      </c>
      <c r="D509" s="196">
        <v>0.18</v>
      </c>
      <c r="E509" s="195" t="s">
        <v>595</v>
      </c>
      <c r="F509" s="195" t="s">
        <v>438</v>
      </c>
    </row>
    <row r="510" spans="1:6" x14ac:dyDescent="0.25">
      <c r="A510" s="189" t="str">
        <f t="shared" si="7"/>
        <v>AA-MD 295 RP3-700.04N</v>
      </c>
      <c r="B510" s="195" t="s">
        <v>862</v>
      </c>
      <c r="C510" s="196">
        <v>0</v>
      </c>
      <c r="D510" s="196">
        <v>0.04</v>
      </c>
      <c r="E510" s="195" t="s">
        <v>589</v>
      </c>
      <c r="F510" s="195" t="s">
        <v>430</v>
      </c>
    </row>
    <row r="511" spans="1:6" x14ac:dyDescent="0.25">
      <c r="A511" s="189" t="str">
        <f t="shared" si="7"/>
        <v>AA-MD 295 RP3-900.24S</v>
      </c>
      <c r="B511" s="195" t="s">
        <v>863</v>
      </c>
      <c r="C511" s="196">
        <v>0</v>
      </c>
      <c r="D511" s="196">
        <v>0.24</v>
      </c>
      <c r="E511" s="195" t="s">
        <v>595</v>
      </c>
      <c r="F511" s="195" t="s">
        <v>438</v>
      </c>
    </row>
    <row r="512" spans="1:6" x14ac:dyDescent="0.25">
      <c r="A512" s="189" t="str">
        <f t="shared" si="7"/>
        <v>AA-MD 295 RP4-1300.25N</v>
      </c>
      <c r="B512" s="195" t="s">
        <v>864</v>
      </c>
      <c r="C512" s="196">
        <v>0</v>
      </c>
      <c r="D512" s="196">
        <v>0.25</v>
      </c>
      <c r="E512" s="195" t="s">
        <v>589</v>
      </c>
      <c r="F512" s="195" t="s">
        <v>430</v>
      </c>
    </row>
    <row r="513" spans="1:6" x14ac:dyDescent="0.25">
      <c r="A513" s="189" t="str">
        <f t="shared" si="7"/>
        <v>AA-MD 295 RP4-200.5N</v>
      </c>
      <c r="B513" s="195" t="s">
        <v>865</v>
      </c>
      <c r="C513" s="196">
        <v>0</v>
      </c>
      <c r="D513" s="196">
        <v>0.5</v>
      </c>
      <c r="E513" s="195" t="s">
        <v>589</v>
      </c>
      <c r="F513" s="195" t="s">
        <v>430</v>
      </c>
    </row>
    <row r="514" spans="1:6" x14ac:dyDescent="0.25">
      <c r="A514" s="189" t="str">
        <f t="shared" si="7"/>
        <v>AA-MD 295 RP4-400.55N</v>
      </c>
      <c r="B514" s="195" t="s">
        <v>866</v>
      </c>
      <c r="C514" s="196">
        <v>0</v>
      </c>
      <c r="D514" s="196">
        <v>0.55000000000000004</v>
      </c>
      <c r="E514" s="195" t="s">
        <v>589</v>
      </c>
      <c r="F514" s="195" t="s">
        <v>430</v>
      </c>
    </row>
    <row r="515" spans="1:6" x14ac:dyDescent="0.25">
      <c r="A515" s="189" t="str">
        <f t="shared" ref="A515:A578" si="8">B515&amp;C515&amp;D515&amp;F515</f>
        <v>AA-MD 295 RP4-40.480.52S</v>
      </c>
      <c r="B515" s="195" t="s">
        <v>866</v>
      </c>
      <c r="C515" s="196">
        <v>0.48</v>
      </c>
      <c r="D515" s="196">
        <v>0.52</v>
      </c>
      <c r="E515" s="195" t="s">
        <v>595</v>
      </c>
      <c r="F515" s="195" t="s">
        <v>438</v>
      </c>
    </row>
    <row r="516" spans="1:6" x14ac:dyDescent="0.25">
      <c r="A516" s="189" t="str">
        <f t="shared" si="8"/>
        <v>AA-MD 295 RP4-600.22N</v>
      </c>
      <c r="B516" s="195" t="s">
        <v>867</v>
      </c>
      <c r="C516" s="196">
        <v>0</v>
      </c>
      <c r="D516" s="196">
        <v>0.22</v>
      </c>
      <c r="E516" s="195" t="s">
        <v>589</v>
      </c>
      <c r="F516" s="195" t="s">
        <v>430</v>
      </c>
    </row>
    <row r="517" spans="1:6" x14ac:dyDescent="0.25">
      <c r="A517" s="189" t="str">
        <f t="shared" si="8"/>
        <v>AA-MD 295 RP4-700.23N</v>
      </c>
      <c r="B517" s="195" t="s">
        <v>868</v>
      </c>
      <c r="C517" s="196">
        <v>0</v>
      </c>
      <c r="D517" s="196">
        <v>0.23</v>
      </c>
      <c r="E517" s="195" t="s">
        <v>589</v>
      </c>
      <c r="F517" s="195" t="s">
        <v>430</v>
      </c>
    </row>
    <row r="518" spans="1:6" x14ac:dyDescent="0.25">
      <c r="A518" s="189" t="str">
        <f t="shared" si="8"/>
        <v>AA-MD 295 RP4-900.47N</v>
      </c>
      <c r="B518" s="195" t="s">
        <v>869</v>
      </c>
      <c r="C518" s="196">
        <v>0</v>
      </c>
      <c r="D518" s="196">
        <v>0.47</v>
      </c>
      <c r="E518" s="195" t="s">
        <v>589</v>
      </c>
      <c r="F518" s="195" t="s">
        <v>430</v>
      </c>
    </row>
    <row r="519" spans="1:6" x14ac:dyDescent="0.25">
      <c r="A519" s="189" t="str">
        <f t="shared" si="8"/>
        <v>AA-MD 295 RP5-1300.04N</v>
      </c>
      <c r="B519" s="195" t="s">
        <v>870</v>
      </c>
      <c r="C519" s="196">
        <v>0</v>
      </c>
      <c r="D519" s="196">
        <v>0.04</v>
      </c>
      <c r="E519" s="195" t="s">
        <v>589</v>
      </c>
      <c r="F519" s="195" t="s">
        <v>430</v>
      </c>
    </row>
    <row r="520" spans="1:6" x14ac:dyDescent="0.25">
      <c r="A520" s="189" t="str">
        <f t="shared" si="8"/>
        <v>AA-MD 295 RP5-200.02S</v>
      </c>
      <c r="B520" s="195" t="s">
        <v>871</v>
      </c>
      <c r="C520" s="196">
        <v>0</v>
      </c>
      <c r="D520" s="196">
        <v>0.02</v>
      </c>
      <c r="E520" s="195" t="s">
        <v>595</v>
      </c>
      <c r="F520" s="195" t="s">
        <v>438</v>
      </c>
    </row>
    <row r="521" spans="1:6" x14ac:dyDescent="0.25">
      <c r="A521" s="189" t="str">
        <f t="shared" si="8"/>
        <v>AA-MD 295 RP5-400.27S</v>
      </c>
      <c r="B521" s="195" t="s">
        <v>872</v>
      </c>
      <c r="C521" s="196">
        <v>0</v>
      </c>
      <c r="D521" s="196">
        <v>0.27</v>
      </c>
      <c r="E521" s="195" t="s">
        <v>595</v>
      </c>
      <c r="F521" s="195" t="s">
        <v>438</v>
      </c>
    </row>
    <row r="522" spans="1:6" x14ac:dyDescent="0.25">
      <c r="A522" s="189" t="str">
        <f t="shared" si="8"/>
        <v>AA-MD 295 RP5-500.57S</v>
      </c>
      <c r="B522" s="195" t="s">
        <v>873</v>
      </c>
      <c r="C522" s="196">
        <v>0</v>
      </c>
      <c r="D522" s="196">
        <v>0.56999999999999995</v>
      </c>
      <c r="E522" s="195" t="s">
        <v>595</v>
      </c>
      <c r="F522" s="195" t="s">
        <v>438</v>
      </c>
    </row>
    <row r="523" spans="1:6" x14ac:dyDescent="0.25">
      <c r="A523" s="189" t="str">
        <f t="shared" si="8"/>
        <v>AA-MD 295 RP5-600.17S</v>
      </c>
      <c r="B523" s="195" t="s">
        <v>874</v>
      </c>
      <c r="C523" s="196">
        <v>0</v>
      </c>
      <c r="D523" s="196">
        <v>0.17</v>
      </c>
      <c r="E523" s="195" t="s">
        <v>595</v>
      </c>
      <c r="F523" s="195" t="s">
        <v>438</v>
      </c>
    </row>
    <row r="524" spans="1:6" x14ac:dyDescent="0.25">
      <c r="A524" s="189" t="str">
        <f t="shared" si="8"/>
        <v>AA-MD 295 RP5-700.34S</v>
      </c>
      <c r="B524" s="195" t="s">
        <v>875</v>
      </c>
      <c r="C524" s="196">
        <v>0</v>
      </c>
      <c r="D524" s="196">
        <v>0.34</v>
      </c>
      <c r="E524" s="195" t="s">
        <v>595</v>
      </c>
      <c r="F524" s="195" t="s">
        <v>438</v>
      </c>
    </row>
    <row r="525" spans="1:6" x14ac:dyDescent="0.25">
      <c r="A525" s="189" t="str">
        <f t="shared" si="8"/>
        <v>AA-MD 295 RP5-900.22S</v>
      </c>
      <c r="B525" s="195" t="s">
        <v>876</v>
      </c>
      <c r="C525" s="196">
        <v>0</v>
      </c>
      <c r="D525" s="196">
        <v>0.22</v>
      </c>
      <c r="E525" s="195" t="s">
        <v>595</v>
      </c>
      <c r="F525" s="195" t="s">
        <v>438</v>
      </c>
    </row>
    <row r="526" spans="1:6" x14ac:dyDescent="0.25">
      <c r="A526" s="189" t="str">
        <f t="shared" si="8"/>
        <v>AA-MD 295 RP6-1300.06N</v>
      </c>
      <c r="B526" s="195" t="s">
        <v>877</v>
      </c>
      <c r="C526" s="196">
        <v>0</v>
      </c>
      <c r="D526" s="196">
        <v>0.06</v>
      </c>
      <c r="E526" s="195" t="s">
        <v>589</v>
      </c>
      <c r="F526" s="195" t="s">
        <v>430</v>
      </c>
    </row>
    <row r="527" spans="1:6" x14ac:dyDescent="0.25">
      <c r="A527" s="189" t="str">
        <f t="shared" si="8"/>
        <v>AA-MD 295 RP6-130.060.25N</v>
      </c>
      <c r="B527" s="195" t="s">
        <v>877</v>
      </c>
      <c r="C527" s="196">
        <v>0.06</v>
      </c>
      <c r="D527" s="196">
        <v>0.25</v>
      </c>
      <c r="E527" s="195" t="s">
        <v>589</v>
      </c>
      <c r="F527" s="195" t="s">
        <v>430</v>
      </c>
    </row>
    <row r="528" spans="1:6" x14ac:dyDescent="0.25">
      <c r="A528" s="189" t="str">
        <f t="shared" si="8"/>
        <v>AA-MD 295 RP6-200.22S</v>
      </c>
      <c r="B528" s="195" t="s">
        <v>878</v>
      </c>
      <c r="C528" s="196">
        <v>0</v>
      </c>
      <c r="D528" s="196">
        <v>0.22</v>
      </c>
      <c r="E528" s="195" t="s">
        <v>595</v>
      </c>
      <c r="F528" s="195" t="s">
        <v>438</v>
      </c>
    </row>
    <row r="529" spans="1:6" x14ac:dyDescent="0.25">
      <c r="A529" s="189" t="str">
        <f t="shared" si="8"/>
        <v>AA-MD 295 RP6-400.57S</v>
      </c>
      <c r="B529" s="195" t="s">
        <v>879</v>
      </c>
      <c r="C529" s="196">
        <v>0</v>
      </c>
      <c r="D529" s="196">
        <v>0.56999999999999995</v>
      </c>
      <c r="E529" s="195" t="s">
        <v>595</v>
      </c>
      <c r="F529" s="195" t="s">
        <v>438</v>
      </c>
    </row>
    <row r="530" spans="1:6" x14ac:dyDescent="0.25">
      <c r="A530" s="189" t="str">
        <f t="shared" si="8"/>
        <v>AA-MD 295 RP6-600.25S</v>
      </c>
      <c r="B530" s="195" t="s">
        <v>880</v>
      </c>
      <c r="C530" s="196">
        <v>0</v>
      </c>
      <c r="D530" s="196">
        <v>0.25</v>
      </c>
      <c r="E530" s="195" t="s">
        <v>595</v>
      </c>
      <c r="F530" s="195" t="s">
        <v>438</v>
      </c>
    </row>
    <row r="531" spans="1:6" x14ac:dyDescent="0.25">
      <c r="A531" s="189" t="str">
        <f t="shared" si="8"/>
        <v>AA-MD 295 RP6-900.47S</v>
      </c>
      <c r="B531" s="195" t="s">
        <v>881</v>
      </c>
      <c r="C531" s="196">
        <v>0</v>
      </c>
      <c r="D531" s="196">
        <v>0.47</v>
      </c>
      <c r="E531" s="195" t="s">
        <v>595</v>
      </c>
      <c r="F531" s="195" t="s">
        <v>438</v>
      </c>
    </row>
    <row r="532" spans="1:6" x14ac:dyDescent="0.25">
      <c r="A532" s="189" t="str">
        <f t="shared" si="8"/>
        <v>AA-MD 295 RP7-200.02S</v>
      </c>
      <c r="B532" s="195" t="s">
        <v>882</v>
      </c>
      <c r="C532" s="196">
        <v>0</v>
      </c>
      <c r="D532" s="196">
        <v>0.02</v>
      </c>
      <c r="E532" s="195" t="s">
        <v>595</v>
      </c>
      <c r="F532" s="195" t="s">
        <v>438</v>
      </c>
    </row>
    <row r="533" spans="1:6" x14ac:dyDescent="0.25">
      <c r="A533" s="189" t="str">
        <f t="shared" si="8"/>
        <v>AA-MD 295 RP7-400.24N</v>
      </c>
      <c r="B533" s="195" t="s">
        <v>883</v>
      </c>
      <c r="C533" s="196">
        <v>0</v>
      </c>
      <c r="D533" s="196">
        <v>0.24</v>
      </c>
      <c r="E533" s="195" t="s">
        <v>589</v>
      </c>
      <c r="F533" s="195" t="s">
        <v>430</v>
      </c>
    </row>
    <row r="534" spans="1:6" x14ac:dyDescent="0.25">
      <c r="A534" s="189" t="str">
        <f t="shared" si="8"/>
        <v>AA-MD 295 RP7-600.15N</v>
      </c>
      <c r="B534" s="195" t="s">
        <v>884</v>
      </c>
      <c r="C534" s="196">
        <v>0</v>
      </c>
      <c r="D534" s="196">
        <v>0.15</v>
      </c>
      <c r="E534" s="195" t="s">
        <v>589</v>
      </c>
      <c r="F534" s="195" t="s">
        <v>430</v>
      </c>
    </row>
    <row r="535" spans="1:6" x14ac:dyDescent="0.25">
      <c r="A535" s="189" t="str">
        <f t="shared" si="8"/>
        <v>AA-MD 295 RP7-700.33W</v>
      </c>
      <c r="B535" s="195" t="s">
        <v>885</v>
      </c>
      <c r="C535" s="196">
        <v>0</v>
      </c>
      <c r="D535" s="196">
        <v>0.33</v>
      </c>
      <c r="E535" s="195" t="s">
        <v>593</v>
      </c>
      <c r="F535" s="195" t="s">
        <v>432</v>
      </c>
    </row>
    <row r="536" spans="1:6" x14ac:dyDescent="0.25">
      <c r="A536" s="189" t="str">
        <f t="shared" si="8"/>
        <v>AA-MD 295 RP7-900.23N</v>
      </c>
      <c r="B536" s="195" t="s">
        <v>886</v>
      </c>
      <c r="C536" s="196">
        <v>0</v>
      </c>
      <c r="D536" s="196">
        <v>0.23</v>
      </c>
      <c r="E536" s="195" t="s">
        <v>589</v>
      </c>
      <c r="F536" s="195" t="s">
        <v>430</v>
      </c>
    </row>
    <row r="537" spans="1:6" x14ac:dyDescent="0.25">
      <c r="A537" s="189" t="str">
        <f t="shared" si="8"/>
        <v>AA-MD 295 RP8-1300.27W</v>
      </c>
      <c r="B537" s="195" t="s">
        <v>887</v>
      </c>
      <c r="C537" s="196">
        <v>0</v>
      </c>
      <c r="D537" s="196">
        <v>0.27</v>
      </c>
      <c r="E537" s="195" t="s">
        <v>593</v>
      </c>
      <c r="F537" s="195" t="s">
        <v>432</v>
      </c>
    </row>
    <row r="538" spans="1:6" x14ac:dyDescent="0.25">
      <c r="A538" s="189" t="str">
        <f t="shared" si="8"/>
        <v>AA-MD 295 RP8-200.2S</v>
      </c>
      <c r="B538" s="195" t="s">
        <v>888</v>
      </c>
      <c r="C538" s="196">
        <v>0</v>
      </c>
      <c r="D538" s="196">
        <v>0.2</v>
      </c>
      <c r="E538" s="195" t="s">
        <v>595</v>
      </c>
      <c r="F538" s="195" t="s">
        <v>438</v>
      </c>
    </row>
    <row r="539" spans="1:6" x14ac:dyDescent="0.25">
      <c r="A539" s="189" t="str">
        <f t="shared" si="8"/>
        <v>AA-MD 295 RP8-400.43W</v>
      </c>
      <c r="B539" s="195" t="s">
        <v>889</v>
      </c>
      <c r="C539" s="196">
        <v>0</v>
      </c>
      <c r="D539" s="196">
        <v>0.43</v>
      </c>
      <c r="E539" s="195" t="s">
        <v>593</v>
      </c>
      <c r="F539" s="195" t="s">
        <v>432</v>
      </c>
    </row>
    <row r="540" spans="1:6" x14ac:dyDescent="0.25">
      <c r="A540" s="189" t="str">
        <f t="shared" si="8"/>
        <v>AA-MD 295 RP8-600.33S</v>
      </c>
      <c r="B540" s="195" t="s">
        <v>890</v>
      </c>
      <c r="C540" s="196">
        <v>0</v>
      </c>
      <c r="D540" s="196">
        <v>0.33</v>
      </c>
      <c r="E540" s="195" t="s">
        <v>595</v>
      </c>
      <c r="F540" s="195" t="s">
        <v>438</v>
      </c>
    </row>
    <row r="541" spans="1:6" x14ac:dyDescent="0.25">
      <c r="A541" s="189" t="str">
        <f t="shared" si="8"/>
        <v>AA-MD 295 RP8-900.41S</v>
      </c>
      <c r="B541" s="195" t="s">
        <v>891</v>
      </c>
      <c r="C541" s="196">
        <v>0</v>
      </c>
      <c r="D541" s="196">
        <v>0.41</v>
      </c>
      <c r="E541" s="195" t="s">
        <v>595</v>
      </c>
      <c r="F541" s="195" t="s">
        <v>438</v>
      </c>
    </row>
    <row r="542" spans="1:6" x14ac:dyDescent="0.25">
      <c r="A542" s="189" t="str">
        <f t="shared" si="8"/>
        <v>AA-MD 295 RP9-400.41W</v>
      </c>
      <c r="B542" s="195" t="s">
        <v>892</v>
      </c>
      <c r="C542" s="196">
        <v>0</v>
      </c>
      <c r="D542" s="196">
        <v>0.41</v>
      </c>
      <c r="E542" s="195" t="s">
        <v>593</v>
      </c>
      <c r="F542" s="195" t="s">
        <v>432</v>
      </c>
    </row>
    <row r="543" spans="1:6" x14ac:dyDescent="0.25">
      <c r="A543" s="189" t="str">
        <f t="shared" si="8"/>
        <v>AA-MD 295 RP9-900.72E</v>
      </c>
      <c r="B543" s="195" t="s">
        <v>893</v>
      </c>
      <c r="C543" s="196">
        <v>0</v>
      </c>
      <c r="D543" s="196">
        <v>0.72</v>
      </c>
      <c r="E543" s="195" t="s">
        <v>598</v>
      </c>
      <c r="F543" s="195" t="s">
        <v>19</v>
      </c>
    </row>
    <row r="544" spans="1:6" x14ac:dyDescent="0.25">
      <c r="A544" s="189" t="str">
        <f t="shared" si="8"/>
        <v>AA-MD 2AB00.04E</v>
      </c>
      <c r="B544" s="195" t="s">
        <v>894</v>
      </c>
      <c r="C544" s="196">
        <v>0</v>
      </c>
      <c r="D544" s="196">
        <v>0.04</v>
      </c>
      <c r="E544" s="195" t="s">
        <v>598</v>
      </c>
      <c r="F544" s="195" t="s">
        <v>19</v>
      </c>
    </row>
    <row r="545" spans="1:6" x14ac:dyDescent="0.25">
      <c r="A545" s="189" t="str">
        <f t="shared" si="8"/>
        <v>AA-MD 2AB00.04W</v>
      </c>
      <c r="B545" s="195" t="s">
        <v>894</v>
      </c>
      <c r="C545" s="196">
        <v>0</v>
      </c>
      <c r="D545" s="196">
        <v>0.04</v>
      </c>
      <c r="E545" s="195" t="s">
        <v>593</v>
      </c>
      <c r="F545" s="195" t="s">
        <v>432</v>
      </c>
    </row>
    <row r="546" spans="1:6" x14ac:dyDescent="0.25">
      <c r="A546" s="189" t="str">
        <f t="shared" si="8"/>
        <v>AA-MD 3 RP1-700.28N</v>
      </c>
      <c r="B546" s="195" t="s">
        <v>895</v>
      </c>
      <c r="C546" s="196">
        <v>0</v>
      </c>
      <c r="D546" s="196">
        <v>0.28000000000000003</v>
      </c>
      <c r="E546" s="195" t="s">
        <v>589</v>
      </c>
      <c r="F546" s="195" t="s">
        <v>430</v>
      </c>
    </row>
    <row r="547" spans="1:6" x14ac:dyDescent="0.25">
      <c r="A547" s="189" t="str">
        <f t="shared" si="8"/>
        <v>AA-MD 3 RP2-700.23N</v>
      </c>
      <c r="B547" s="195" t="s">
        <v>896</v>
      </c>
      <c r="C547" s="196">
        <v>0</v>
      </c>
      <c r="D547" s="196">
        <v>0.23</v>
      </c>
      <c r="E547" s="195" t="s">
        <v>589</v>
      </c>
      <c r="F547" s="195" t="s">
        <v>430</v>
      </c>
    </row>
    <row r="548" spans="1:6" x14ac:dyDescent="0.25">
      <c r="A548" s="189" t="str">
        <f t="shared" si="8"/>
        <v>AA-MD 3 RP3-700.32S</v>
      </c>
      <c r="B548" s="195" t="s">
        <v>897</v>
      </c>
      <c r="C548" s="196">
        <v>0</v>
      </c>
      <c r="D548" s="196">
        <v>0.32</v>
      </c>
      <c r="E548" s="195" t="s">
        <v>595</v>
      </c>
      <c r="F548" s="195" t="s">
        <v>438</v>
      </c>
    </row>
    <row r="549" spans="1:6" x14ac:dyDescent="0.25">
      <c r="A549" s="189" t="str">
        <f t="shared" si="8"/>
        <v>AA-MD 3 RP4-700.65N</v>
      </c>
      <c r="B549" s="195" t="s">
        <v>898</v>
      </c>
      <c r="C549" s="196">
        <v>0</v>
      </c>
      <c r="D549" s="196">
        <v>0.65</v>
      </c>
      <c r="E549" s="195" t="s">
        <v>589</v>
      </c>
      <c r="F549" s="195" t="s">
        <v>430</v>
      </c>
    </row>
    <row r="550" spans="1:6" x14ac:dyDescent="0.25">
      <c r="A550" s="189" t="str">
        <f t="shared" si="8"/>
        <v>AA-MD 3 RP6-700.52S</v>
      </c>
      <c r="B550" s="195" t="s">
        <v>899</v>
      </c>
      <c r="C550" s="196">
        <v>0</v>
      </c>
      <c r="D550" s="196">
        <v>0.52</v>
      </c>
      <c r="E550" s="195" t="s">
        <v>595</v>
      </c>
      <c r="F550" s="195" t="s">
        <v>438</v>
      </c>
    </row>
    <row r="551" spans="1:6" x14ac:dyDescent="0.25">
      <c r="A551" s="189" t="str">
        <f t="shared" si="8"/>
        <v>AA-MD 3 RP7-700.28N</v>
      </c>
      <c r="B551" s="195" t="s">
        <v>900</v>
      </c>
      <c r="C551" s="196">
        <v>0</v>
      </c>
      <c r="D551" s="196">
        <v>0.28000000000000003</v>
      </c>
      <c r="E551" s="195" t="s">
        <v>589</v>
      </c>
      <c r="F551" s="195" t="s">
        <v>430</v>
      </c>
    </row>
    <row r="552" spans="1:6" x14ac:dyDescent="0.25">
      <c r="A552" s="189" t="str">
        <f t="shared" si="8"/>
        <v>AA-MD 3 RP8-700.61S</v>
      </c>
      <c r="B552" s="195" t="s">
        <v>901</v>
      </c>
      <c r="C552" s="196">
        <v>0</v>
      </c>
      <c r="D552" s="196">
        <v>0.61</v>
      </c>
      <c r="E552" s="195" t="s">
        <v>595</v>
      </c>
      <c r="F552" s="195" t="s">
        <v>438</v>
      </c>
    </row>
    <row r="553" spans="1:6" x14ac:dyDescent="0.25">
      <c r="A553" s="189" t="str">
        <f t="shared" si="8"/>
        <v>AA-MD 329.2110.07N</v>
      </c>
      <c r="B553" s="195" t="s">
        <v>514</v>
      </c>
      <c r="C553" s="196">
        <v>9.2100000000000009</v>
      </c>
      <c r="D553" s="196">
        <v>10.07</v>
      </c>
      <c r="E553" s="195" t="s">
        <v>583</v>
      </c>
      <c r="F553" s="195" t="s">
        <v>430</v>
      </c>
    </row>
    <row r="554" spans="1:6" x14ac:dyDescent="0.25">
      <c r="A554" s="189" t="str">
        <f t="shared" si="8"/>
        <v>AA-MD 329.2110.07S</v>
      </c>
      <c r="B554" s="195" t="s">
        <v>514</v>
      </c>
      <c r="C554" s="196">
        <v>9.2100000000000009</v>
      </c>
      <c r="D554" s="196">
        <v>10.07</v>
      </c>
      <c r="E554" s="195" t="s">
        <v>583</v>
      </c>
      <c r="F554" s="195" t="s">
        <v>438</v>
      </c>
    </row>
    <row r="555" spans="1:6" x14ac:dyDescent="0.25">
      <c r="A555" s="189" t="str">
        <f t="shared" si="8"/>
        <v>AA-MD 32 RP1-500.05W</v>
      </c>
      <c r="B555" s="195" t="s">
        <v>902</v>
      </c>
      <c r="C555" s="196">
        <v>0</v>
      </c>
      <c r="D555" s="196">
        <v>0.05</v>
      </c>
      <c r="E555" s="195" t="s">
        <v>593</v>
      </c>
      <c r="F555" s="195" t="s">
        <v>432</v>
      </c>
    </row>
    <row r="556" spans="1:6" x14ac:dyDescent="0.25">
      <c r="A556" s="189" t="str">
        <f t="shared" si="8"/>
        <v>AA-MD 32 RP1-600.26N</v>
      </c>
      <c r="B556" s="195" t="s">
        <v>903</v>
      </c>
      <c r="C556" s="196">
        <v>0</v>
      </c>
      <c r="D556" s="196">
        <v>0.26</v>
      </c>
      <c r="E556" s="195" t="s">
        <v>589</v>
      </c>
      <c r="F556" s="195" t="s">
        <v>430</v>
      </c>
    </row>
    <row r="557" spans="1:6" x14ac:dyDescent="0.25">
      <c r="A557" s="189" t="str">
        <f t="shared" si="8"/>
        <v>AA-MD 32 RP2-10B00.17W</v>
      </c>
      <c r="B557" s="195" t="s">
        <v>904</v>
      </c>
      <c r="C557" s="196">
        <v>0</v>
      </c>
      <c r="D557" s="196">
        <v>0.17</v>
      </c>
      <c r="E557" s="195" t="s">
        <v>593</v>
      </c>
      <c r="F557" s="195" t="s">
        <v>432</v>
      </c>
    </row>
    <row r="558" spans="1:6" x14ac:dyDescent="0.25">
      <c r="A558" s="189" t="str">
        <f t="shared" si="8"/>
        <v>AA-MD 32 RP2-1100.11N</v>
      </c>
      <c r="B558" s="195" t="s">
        <v>905</v>
      </c>
      <c r="C558" s="196">
        <v>0</v>
      </c>
      <c r="D558" s="196">
        <v>0.11</v>
      </c>
      <c r="E558" s="195" t="s">
        <v>589</v>
      </c>
      <c r="F558" s="195" t="s">
        <v>430</v>
      </c>
    </row>
    <row r="559" spans="1:6" x14ac:dyDescent="0.25">
      <c r="A559" s="189" t="str">
        <f t="shared" si="8"/>
        <v>AA-MD 32 RP2-500.45N</v>
      </c>
      <c r="B559" s="195" t="s">
        <v>906</v>
      </c>
      <c r="C559" s="196">
        <v>0</v>
      </c>
      <c r="D559" s="196">
        <v>0.45</v>
      </c>
      <c r="E559" s="195" t="s">
        <v>589</v>
      </c>
      <c r="F559" s="195" t="s">
        <v>430</v>
      </c>
    </row>
    <row r="560" spans="1:6" x14ac:dyDescent="0.25">
      <c r="A560" s="189" t="str">
        <f t="shared" si="8"/>
        <v>AA-MD 32 RP2-600.42W</v>
      </c>
      <c r="B560" s="195" t="s">
        <v>907</v>
      </c>
      <c r="C560" s="196">
        <v>0</v>
      </c>
      <c r="D560" s="196">
        <v>0.42</v>
      </c>
      <c r="E560" s="195" t="s">
        <v>593</v>
      </c>
      <c r="F560" s="195" t="s">
        <v>432</v>
      </c>
    </row>
    <row r="561" spans="1:6" x14ac:dyDescent="0.25">
      <c r="A561" s="189" t="str">
        <f t="shared" si="8"/>
        <v>AA-MD 32 RP2-900.19N</v>
      </c>
      <c r="B561" s="195" t="s">
        <v>908</v>
      </c>
      <c r="C561" s="196">
        <v>0</v>
      </c>
      <c r="D561" s="196">
        <v>0.19</v>
      </c>
      <c r="E561" s="195" t="s">
        <v>589</v>
      </c>
      <c r="F561" s="195" t="s">
        <v>430</v>
      </c>
    </row>
    <row r="562" spans="1:6" x14ac:dyDescent="0.25">
      <c r="A562" s="189" t="str">
        <f t="shared" si="8"/>
        <v>AA-MD 32 RP3-500.05E</v>
      </c>
      <c r="B562" s="195" t="s">
        <v>909</v>
      </c>
      <c r="C562" s="196">
        <v>0</v>
      </c>
      <c r="D562" s="196">
        <v>0.05</v>
      </c>
      <c r="E562" s="195" t="s">
        <v>598</v>
      </c>
      <c r="F562" s="195" t="s">
        <v>19</v>
      </c>
    </row>
    <row r="563" spans="1:6" x14ac:dyDescent="0.25">
      <c r="A563" s="189" t="str">
        <f t="shared" si="8"/>
        <v>AA-MD 32 RP3-600.03N</v>
      </c>
      <c r="B563" s="195" t="s">
        <v>910</v>
      </c>
      <c r="C563" s="196">
        <v>0</v>
      </c>
      <c r="D563" s="196">
        <v>0.03</v>
      </c>
      <c r="E563" s="195" t="s">
        <v>589</v>
      </c>
      <c r="F563" s="195" t="s">
        <v>430</v>
      </c>
    </row>
    <row r="564" spans="1:6" x14ac:dyDescent="0.25">
      <c r="A564" s="189" t="str">
        <f t="shared" si="8"/>
        <v>AA-MD 32 RP4-10A00.15E</v>
      </c>
      <c r="B564" s="195" t="s">
        <v>911</v>
      </c>
      <c r="C564" s="196">
        <v>0</v>
      </c>
      <c r="D564" s="196">
        <v>0.15</v>
      </c>
      <c r="E564" s="195" t="s">
        <v>598</v>
      </c>
      <c r="F564" s="195" t="s">
        <v>19</v>
      </c>
    </row>
    <row r="565" spans="1:6" x14ac:dyDescent="0.25">
      <c r="A565" s="189" t="str">
        <f t="shared" si="8"/>
        <v>AA-MD 32 RP4-10B00.15N</v>
      </c>
      <c r="B565" s="195" t="s">
        <v>912</v>
      </c>
      <c r="C565" s="196">
        <v>0</v>
      </c>
      <c r="D565" s="196">
        <v>0.15</v>
      </c>
      <c r="E565" s="195" t="s">
        <v>589</v>
      </c>
      <c r="F565" s="195" t="s">
        <v>430</v>
      </c>
    </row>
    <row r="566" spans="1:6" x14ac:dyDescent="0.25">
      <c r="A566" s="189" t="str">
        <f t="shared" si="8"/>
        <v>AA-MD 32 RP4-1100.11S</v>
      </c>
      <c r="B566" s="195" t="s">
        <v>913</v>
      </c>
      <c r="C566" s="196">
        <v>0</v>
      </c>
      <c r="D566" s="196">
        <v>0.11</v>
      </c>
      <c r="E566" s="195" t="s">
        <v>595</v>
      </c>
      <c r="F566" s="195" t="s">
        <v>438</v>
      </c>
    </row>
    <row r="567" spans="1:6" x14ac:dyDescent="0.25">
      <c r="A567" s="189" t="str">
        <f t="shared" si="8"/>
        <v>AA-MD 32 RP4-300.17N</v>
      </c>
      <c r="B567" s="195" t="s">
        <v>914</v>
      </c>
      <c r="C567" s="196">
        <v>0</v>
      </c>
      <c r="D567" s="196">
        <v>0.17</v>
      </c>
      <c r="E567" s="195" t="s">
        <v>589</v>
      </c>
      <c r="F567" s="195" t="s">
        <v>430</v>
      </c>
    </row>
    <row r="568" spans="1:6" x14ac:dyDescent="0.25">
      <c r="A568" s="189" t="str">
        <f t="shared" si="8"/>
        <v>AA-MD 32 RP4-500.19N</v>
      </c>
      <c r="B568" s="195" t="s">
        <v>915</v>
      </c>
      <c r="C568" s="196">
        <v>0</v>
      </c>
      <c r="D568" s="196">
        <v>0.19</v>
      </c>
      <c r="E568" s="195" t="s">
        <v>589</v>
      </c>
      <c r="F568" s="195" t="s">
        <v>430</v>
      </c>
    </row>
    <row r="569" spans="1:6" x14ac:dyDescent="0.25">
      <c r="A569" s="189" t="str">
        <f t="shared" si="8"/>
        <v>AA-MD 32 RP4-600.03S</v>
      </c>
      <c r="B569" s="195" t="s">
        <v>916</v>
      </c>
      <c r="C569" s="196">
        <v>0</v>
      </c>
      <c r="D569" s="196">
        <v>0.03</v>
      </c>
      <c r="E569" s="195" t="s">
        <v>595</v>
      </c>
      <c r="F569" s="195" t="s">
        <v>438</v>
      </c>
    </row>
    <row r="570" spans="1:6" x14ac:dyDescent="0.25">
      <c r="A570" s="189" t="str">
        <f t="shared" si="8"/>
        <v>AA-MD 32 RP4-900.23E</v>
      </c>
      <c r="B570" s="195" t="s">
        <v>917</v>
      </c>
      <c r="C570" s="196">
        <v>0</v>
      </c>
      <c r="D570" s="196">
        <v>0.23</v>
      </c>
      <c r="E570" s="195" t="s">
        <v>598</v>
      </c>
      <c r="F570" s="195" t="s">
        <v>19</v>
      </c>
    </row>
    <row r="571" spans="1:6" x14ac:dyDescent="0.25">
      <c r="A571" s="189" t="str">
        <f t="shared" si="8"/>
        <v>AA-MD 32 RP5-10B00.18S</v>
      </c>
      <c r="B571" s="195" t="s">
        <v>918</v>
      </c>
      <c r="C571" s="196">
        <v>0</v>
      </c>
      <c r="D571" s="196">
        <v>0.18</v>
      </c>
      <c r="E571" s="195" t="s">
        <v>595</v>
      </c>
      <c r="F571" s="195" t="s">
        <v>438</v>
      </c>
    </row>
    <row r="572" spans="1:6" x14ac:dyDescent="0.25">
      <c r="A572" s="189" t="str">
        <f t="shared" si="8"/>
        <v>AA-MD 32 RP5-500.05E</v>
      </c>
      <c r="B572" s="195" t="s">
        <v>919</v>
      </c>
      <c r="C572" s="196">
        <v>0</v>
      </c>
      <c r="D572" s="196">
        <v>0.05</v>
      </c>
      <c r="E572" s="195" t="s">
        <v>598</v>
      </c>
      <c r="F572" s="195" t="s">
        <v>19</v>
      </c>
    </row>
    <row r="573" spans="1:6" x14ac:dyDescent="0.25">
      <c r="A573" s="189" t="str">
        <f t="shared" si="8"/>
        <v>AA-MD 32 RP5-600.26S</v>
      </c>
      <c r="B573" s="195" t="s">
        <v>920</v>
      </c>
      <c r="C573" s="196">
        <v>0</v>
      </c>
      <c r="D573" s="196">
        <v>0.26</v>
      </c>
      <c r="E573" s="195" t="s">
        <v>595</v>
      </c>
      <c r="F573" s="195" t="s">
        <v>438</v>
      </c>
    </row>
    <row r="574" spans="1:6" x14ac:dyDescent="0.25">
      <c r="A574" s="189" t="str">
        <f t="shared" si="8"/>
        <v>AA-MD 32 RP6-300.12S</v>
      </c>
      <c r="B574" s="195" t="s">
        <v>921</v>
      </c>
      <c r="C574" s="196">
        <v>0</v>
      </c>
      <c r="D574" s="196">
        <v>0.12</v>
      </c>
      <c r="E574" s="195" t="s">
        <v>595</v>
      </c>
      <c r="F574" s="195" t="s">
        <v>438</v>
      </c>
    </row>
    <row r="575" spans="1:6" x14ac:dyDescent="0.25">
      <c r="A575" s="189" t="str">
        <f t="shared" si="8"/>
        <v>AA-MD 32 RP6-500.37E</v>
      </c>
      <c r="B575" s="195" t="s">
        <v>922</v>
      </c>
      <c r="C575" s="196">
        <v>0</v>
      </c>
      <c r="D575" s="196">
        <v>0.37</v>
      </c>
      <c r="E575" s="195" t="s">
        <v>598</v>
      </c>
      <c r="F575" s="195" t="s">
        <v>19</v>
      </c>
    </row>
    <row r="576" spans="1:6" x14ac:dyDescent="0.25">
      <c r="A576" s="189" t="str">
        <f t="shared" si="8"/>
        <v>AA-MD 32 RP6-600.44E</v>
      </c>
      <c r="B576" s="195" t="s">
        <v>923</v>
      </c>
      <c r="C576" s="196">
        <v>0</v>
      </c>
      <c r="D576" s="196">
        <v>0.44</v>
      </c>
      <c r="E576" s="195" t="s">
        <v>598</v>
      </c>
      <c r="F576" s="195" t="s">
        <v>19</v>
      </c>
    </row>
    <row r="577" spans="1:6" x14ac:dyDescent="0.25">
      <c r="A577" s="189" t="str">
        <f t="shared" si="8"/>
        <v>AA-MD 32 RP6-900.21E</v>
      </c>
      <c r="B577" s="195" t="s">
        <v>924</v>
      </c>
      <c r="C577" s="196">
        <v>0</v>
      </c>
      <c r="D577" s="196">
        <v>0.21</v>
      </c>
      <c r="E577" s="195" t="s">
        <v>598</v>
      </c>
      <c r="F577" s="195" t="s">
        <v>19</v>
      </c>
    </row>
    <row r="578" spans="1:6" x14ac:dyDescent="0.25">
      <c r="A578" s="189" t="str">
        <f t="shared" si="8"/>
        <v>AA-MD 32 RP7-10B00.16W</v>
      </c>
      <c r="B578" s="195" t="s">
        <v>925</v>
      </c>
      <c r="C578" s="196">
        <v>0</v>
      </c>
      <c r="D578" s="196">
        <v>0.16</v>
      </c>
      <c r="E578" s="195" t="s">
        <v>593</v>
      </c>
      <c r="F578" s="195" t="s">
        <v>432</v>
      </c>
    </row>
    <row r="579" spans="1:6" x14ac:dyDescent="0.25">
      <c r="A579" s="189" t="str">
        <f t="shared" ref="A579:A642" si="9">B579&amp;C579&amp;D579&amp;F579</f>
        <v>AA-MD 32 RP7-1100.04E</v>
      </c>
      <c r="B579" s="195" t="s">
        <v>926</v>
      </c>
      <c r="C579" s="196">
        <v>0</v>
      </c>
      <c r="D579" s="196">
        <v>0.04</v>
      </c>
      <c r="E579" s="195" t="s">
        <v>598</v>
      </c>
      <c r="F579" s="195" t="s">
        <v>19</v>
      </c>
    </row>
    <row r="580" spans="1:6" x14ac:dyDescent="0.25">
      <c r="A580" s="189" t="str">
        <f t="shared" si="9"/>
        <v>AA-MD 32 RP7-500.06W</v>
      </c>
      <c r="B580" s="195" t="s">
        <v>927</v>
      </c>
      <c r="C580" s="196">
        <v>0</v>
      </c>
      <c r="D580" s="196">
        <v>0.06</v>
      </c>
      <c r="E580" s="195" t="s">
        <v>593</v>
      </c>
      <c r="F580" s="195" t="s">
        <v>432</v>
      </c>
    </row>
    <row r="581" spans="1:6" x14ac:dyDescent="0.25">
      <c r="A581" s="189" t="str">
        <f t="shared" si="9"/>
        <v>AA-MD 32 RP7-600.07S</v>
      </c>
      <c r="B581" s="195" t="s">
        <v>928</v>
      </c>
      <c r="C581" s="196">
        <v>0</v>
      </c>
      <c r="D581" s="196">
        <v>7.0000000000000007E-2</v>
      </c>
      <c r="E581" s="195" t="s">
        <v>595</v>
      </c>
      <c r="F581" s="195" t="s">
        <v>438</v>
      </c>
    </row>
    <row r="582" spans="1:6" x14ac:dyDescent="0.25">
      <c r="A582" s="189" t="str">
        <f t="shared" si="9"/>
        <v>AA-MD 32 RP8-1100.04W</v>
      </c>
      <c r="B582" s="195" t="s">
        <v>929</v>
      </c>
      <c r="C582" s="196">
        <v>0</v>
      </c>
      <c r="D582" s="196">
        <v>0.04</v>
      </c>
      <c r="E582" s="195" t="s">
        <v>593</v>
      </c>
      <c r="F582" s="195" t="s">
        <v>432</v>
      </c>
    </row>
    <row r="583" spans="1:6" x14ac:dyDescent="0.25">
      <c r="A583" s="189" t="str">
        <f t="shared" si="9"/>
        <v>AA-MD 32 RP8-300.15S</v>
      </c>
      <c r="B583" s="195" t="s">
        <v>930</v>
      </c>
      <c r="C583" s="196">
        <v>0</v>
      </c>
      <c r="D583" s="196">
        <v>0.15</v>
      </c>
      <c r="E583" s="195" t="s">
        <v>595</v>
      </c>
      <c r="F583" s="195" t="s">
        <v>438</v>
      </c>
    </row>
    <row r="584" spans="1:6" x14ac:dyDescent="0.25">
      <c r="A584" s="189" t="str">
        <f t="shared" si="9"/>
        <v>AA-MD 32 RP8-500.32S</v>
      </c>
      <c r="B584" s="195" t="s">
        <v>931</v>
      </c>
      <c r="C584" s="196">
        <v>0</v>
      </c>
      <c r="D584" s="196">
        <v>0.32</v>
      </c>
      <c r="E584" s="195" t="s">
        <v>595</v>
      </c>
      <c r="F584" s="195" t="s">
        <v>438</v>
      </c>
    </row>
    <row r="585" spans="1:6" x14ac:dyDescent="0.25">
      <c r="A585" s="189" t="str">
        <f t="shared" si="9"/>
        <v>AA-MD 32 RP8-600.45S</v>
      </c>
      <c r="B585" s="195" t="s">
        <v>932</v>
      </c>
      <c r="C585" s="196">
        <v>0</v>
      </c>
      <c r="D585" s="196">
        <v>0.45</v>
      </c>
      <c r="E585" s="195" t="s">
        <v>595</v>
      </c>
      <c r="F585" s="195" t="s">
        <v>438</v>
      </c>
    </row>
    <row r="586" spans="1:6" x14ac:dyDescent="0.25">
      <c r="A586" s="189" t="str">
        <f t="shared" si="9"/>
        <v>AA-MD 32 RP8-900.13W</v>
      </c>
      <c r="B586" s="195" t="s">
        <v>933</v>
      </c>
      <c r="C586" s="196">
        <v>0</v>
      </c>
      <c r="D586" s="196">
        <v>0.13</v>
      </c>
      <c r="E586" s="195" t="s">
        <v>593</v>
      </c>
      <c r="F586" s="195" t="s">
        <v>432</v>
      </c>
    </row>
    <row r="587" spans="1:6" x14ac:dyDescent="0.25">
      <c r="A587" s="189" t="str">
        <f t="shared" si="9"/>
        <v>AA-MD 32AA00.44N</v>
      </c>
      <c r="B587" s="195" t="s">
        <v>934</v>
      </c>
      <c r="C587" s="196">
        <v>0</v>
      </c>
      <c r="D587" s="196">
        <v>0.44</v>
      </c>
      <c r="E587" s="195" t="s">
        <v>589</v>
      </c>
      <c r="F587" s="195" t="s">
        <v>430</v>
      </c>
    </row>
    <row r="588" spans="1:6" x14ac:dyDescent="0.25">
      <c r="A588" s="189" t="str">
        <f t="shared" si="9"/>
        <v>AA-MD 32AA0.441N</v>
      </c>
      <c r="B588" s="195" t="s">
        <v>934</v>
      </c>
      <c r="C588" s="196">
        <v>0.44</v>
      </c>
      <c r="D588" s="196">
        <v>1</v>
      </c>
      <c r="E588" s="195" t="s">
        <v>583</v>
      </c>
      <c r="F588" s="195" t="s">
        <v>430</v>
      </c>
    </row>
    <row r="589" spans="1:6" x14ac:dyDescent="0.25">
      <c r="A589" s="189" t="str">
        <f t="shared" si="9"/>
        <v>AA-MD 32AA0.441S</v>
      </c>
      <c r="B589" s="195" t="s">
        <v>934</v>
      </c>
      <c r="C589" s="196">
        <v>0.44</v>
      </c>
      <c r="D589" s="196">
        <v>1</v>
      </c>
      <c r="E589" s="195" t="s">
        <v>583</v>
      </c>
      <c r="F589" s="195" t="s">
        <v>438</v>
      </c>
    </row>
    <row r="590" spans="1:6" x14ac:dyDescent="0.25">
      <c r="A590" s="189" t="str">
        <f t="shared" si="9"/>
        <v>AA-MD 32AH00.04E</v>
      </c>
      <c r="B590" s="195" t="s">
        <v>935</v>
      </c>
      <c r="C590" s="196">
        <v>0</v>
      </c>
      <c r="D590" s="196">
        <v>0.04</v>
      </c>
      <c r="E590" s="195" t="s">
        <v>598</v>
      </c>
      <c r="F590" s="195" t="s">
        <v>19</v>
      </c>
    </row>
    <row r="591" spans="1:6" x14ac:dyDescent="0.25">
      <c r="A591" s="189" t="str">
        <f t="shared" si="9"/>
        <v>AA-MD 32AH00.04W</v>
      </c>
      <c r="B591" s="195" t="s">
        <v>935</v>
      </c>
      <c r="C591" s="196">
        <v>0</v>
      </c>
      <c r="D591" s="196">
        <v>0.04</v>
      </c>
      <c r="E591" s="195" t="s">
        <v>593</v>
      </c>
      <c r="F591" s="195" t="s">
        <v>432</v>
      </c>
    </row>
    <row r="592" spans="1:6" x14ac:dyDescent="0.25">
      <c r="A592" s="189" t="str">
        <f t="shared" si="9"/>
        <v>AA-MD 38700.57N</v>
      </c>
      <c r="B592" s="195" t="s">
        <v>936</v>
      </c>
      <c r="C592" s="196">
        <v>0</v>
      </c>
      <c r="D592" s="196">
        <v>0.56999999999999995</v>
      </c>
      <c r="E592" s="195" t="s">
        <v>583</v>
      </c>
      <c r="F592" s="195" t="s">
        <v>430</v>
      </c>
    </row>
    <row r="593" spans="1:6" x14ac:dyDescent="0.25">
      <c r="A593" s="189" t="str">
        <f t="shared" si="9"/>
        <v>AA-MD 38700.57S</v>
      </c>
      <c r="B593" s="195" t="s">
        <v>936</v>
      </c>
      <c r="C593" s="196">
        <v>0</v>
      </c>
      <c r="D593" s="196">
        <v>0.56999999999999995</v>
      </c>
      <c r="E593" s="195" t="s">
        <v>583</v>
      </c>
      <c r="F593" s="195" t="s">
        <v>438</v>
      </c>
    </row>
    <row r="594" spans="1:6" x14ac:dyDescent="0.25">
      <c r="A594" s="189" t="str">
        <f t="shared" si="9"/>
        <v>AA-MD 39300.26S</v>
      </c>
      <c r="B594" s="195" t="s">
        <v>937</v>
      </c>
      <c r="C594" s="196">
        <v>0</v>
      </c>
      <c r="D594" s="196">
        <v>0.26</v>
      </c>
      <c r="E594" s="195" t="s">
        <v>595</v>
      </c>
      <c r="F594" s="195" t="s">
        <v>438</v>
      </c>
    </row>
    <row r="595" spans="1:6" x14ac:dyDescent="0.25">
      <c r="A595" s="189" t="str">
        <f t="shared" si="9"/>
        <v>AA-MD 39300.63N</v>
      </c>
      <c r="B595" s="195" t="s">
        <v>937</v>
      </c>
      <c r="C595" s="196">
        <v>0</v>
      </c>
      <c r="D595" s="196">
        <v>0.63</v>
      </c>
      <c r="E595" s="195" t="s">
        <v>589</v>
      </c>
      <c r="F595" s="195" t="s">
        <v>430</v>
      </c>
    </row>
    <row r="596" spans="1:6" x14ac:dyDescent="0.25">
      <c r="A596" s="189" t="str">
        <f t="shared" si="9"/>
        <v>AA-MD 3930.260.45S</v>
      </c>
      <c r="B596" s="195" t="s">
        <v>937</v>
      </c>
      <c r="C596" s="196">
        <v>0.26</v>
      </c>
      <c r="D596" s="196">
        <v>0.45</v>
      </c>
      <c r="E596" s="195" t="s">
        <v>595</v>
      </c>
      <c r="F596" s="195" t="s">
        <v>438</v>
      </c>
    </row>
    <row r="597" spans="1:6" x14ac:dyDescent="0.25">
      <c r="A597" s="189" t="str">
        <f t="shared" si="9"/>
        <v>AA-MD 3930.450.63S</v>
      </c>
      <c r="B597" s="195" t="s">
        <v>937</v>
      </c>
      <c r="C597" s="196">
        <v>0.45</v>
      </c>
      <c r="D597" s="196">
        <v>0.63</v>
      </c>
      <c r="E597" s="195" t="s">
        <v>595</v>
      </c>
      <c r="F597" s="195" t="s">
        <v>438</v>
      </c>
    </row>
    <row r="598" spans="1:6" x14ac:dyDescent="0.25">
      <c r="A598" s="189" t="str">
        <f t="shared" si="9"/>
        <v>AA-MD 3AA00.03E</v>
      </c>
      <c r="B598" s="195" t="s">
        <v>938</v>
      </c>
      <c r="C598" s="196">
        <v>0</v>
      </c>
      <c r="D598" s="196">
        <v>0.03</v>
      </c>
      <c r="E598" s="195" t="s">
        <v>598</v>
      </c>
      <c r="F598" s="195" t="s">
        <v>19</v>
      </c>
    </row>
    <row r="599" spans="1:6" x14ac:dyDescent="0.25">
      <c r="A599" s="189" t="str">
        <f t="shared" si="9"/>
        <v>AA-MD 3AA00.03W</v>
      </c>
      <c r="B599" s="195" t="s">
        <v>938</v>
      </c>
      <c r="C599" s="196">
        <v>0</v>
      </c>
      <c r="D599" s="196">
        <v>0.03</v>
      </c>
      <c r="E599" s="195" t="s">
        <v>593</v>
      </c>
      <c r="F599" s="195" t="s">
        <v>432</v>
      </c>
    </row>
    <row r="600" spans="1:6" x14ac:dyDescent="0.25">
      <c r="A600" s="189" t="str">
        <f t="shared" si="9"/>
        <v>AA-MD 3AB00.19N</v>
      </c>
      <c r="B600" s="195" t="s">
        <v>939</v>
      </c>
      <c r="C600" s="196">
        <v>0</v>
      </c>
      <c r="D600" s="196">
        <v>0.19</v>
      </c>
      <c r="E600" s="195" t="s">
        <v>589</v>
      </c>
      <c r="F600" s="195" t="s">
        <v>430</v>
      </c>
    </row>
    <row r="601" spans="1:6" x14ac:dyDescent="0.25">
      <c r="A601" s="189" t="str">
        <f t="shared" si="9"/>
        <v>AA-MD 3AB00.19S</v>
      </c>
      <c r="B601" s="195" t="s">
        <v>939</v>
      </c>
      <c r="C601" s="196">
        <v>0</v>
      </c>
      <c r="D601" s="196">
        <v>0.19</v>
      </c>
      <c r="E601" s="195" t="s">
        <v>595</v>
      </c>
      <c r="F601" s="195" t="s">
        <v>438</v>
      </c>
    </row>
    <row r="602" spans="1:6" x14ac:dyDescent="0.25">
      <c r="A602" s="189" t="str">
        <f t="shared" si="9"/>
        <v>AA-MD 3BU00.55N</v>
      </c>
      <c r="B602" s="195" t="s">
        <v>521</v>
      </c>
      <c r="C602" s="196">
        <v>0</v>
      </c>
      <c r="D602" s="196">
        <v>0.55000000000000004</v>
      </c>
      <c r="E602" s="195" t="s">
        <v>583</v>
      </c>
      <c r="F602" s="195" t="s">
        <v>430</v>
      </c>
    </row>
    <row r="603" spans="1:6" x14ac:dyDescent="0.25">
      <c r="A603" s="189" t="str">
        <f t="shared" si="9"/>
        <v>AA-MD 3BU00.55S</v>
      </c>
      <c r="B603" s="195" t="s">
        <v>521</v>
      </c>
      <c r="C603" s="196">
        <v>0</v>
      </c>
      <c r="D603" s="196">
        <v>0.55000000000000004</v>
      </c>
      <c r="E603" s="195" t="s">
        <v>583</v>
      </c>
      <c r="F603" s="195" t="s">
        <v>438</v>
      </c>
    </row>
    <row r="604" spans="1:6" x14ac:dyDescent="0.25">
      <c r="A604" s="189" t="str">
        <f t="shared" si="9"/>
        <v>AA-MD 3BU1.82.8S</v>
      </c>
      <c r="B604" s="195" t="s">
        <v>521</v>
      </c>
      <c r="C604" s="196">
        <v>1.8</v>
      </c>
      <c r="D604" s="196">
        <v>2.8</v>
      </c>
      <c r="E604" s="195" t="s">
        <v>595</v>
      </c>
      <c r="F604" s="195" t="s">
        <v>438</v>
      </c>
    </row>
    <row r="605" spans="1:6" x14ac:dyDescent="0.25">
      <c r="A605" s="189" t="str">
        <f t="shared" si="9"/>
        <v>AA-MD 3BU2.742.8N</v>
      </c>
      <c r="B605" s="195" t="s">
        <v>521</v>
      </c>
      <c r="C605" s="196">
        <v>2.74</v>
      </c>
      <c r="D605" s="196">
        <v>2.8</v>
      </c>
      <c r="E605" s="195" t="s">
        <v>589</v>
      </c>
      <c r="F605" s="195" t="s">
        <v>430</v>
      </c>
    </row>
    <row r="606" spans="1:6" x14ac:dyDescent="0.25">
      <c r="A606" s="189" t="str">
        <f t="shared" si="9"/>
        <v>AA-MD 3BU2.83.34N</v>
      </c>
      <c r="B606" s="195" t="s">
        <v>521</v>
      </c>
      <c r="C606" s="196">
        <v>2.8</v>
      </c>
      <c r="D606" s="196">
        <v>3.34</v>
      </c>
      <c r="E606" s="195" t="s">
        <v>583</v>
      </c>
      <c r="F606" s="195" t="s">
        <v>430</v>
      </c>
    </row>
    <row r="607" spans="1:6" x14ac:dyDescent="0.25">
      <c r="A607" s="189" t="str">
        <f t="shared" si="9"/>
        <v>AA-MD 3BU2.83.34S</v>
      </c>
      <c r="B607" s="195" t="s">
        <v>521</v>
      </c>
      <c r="C607" s="196">
        <v>2.8</v>
      </c>
      <c r="D607" s="196">
        <v>3.34</v>
      </c>
      <c r="E607" s="195" t="s">
        <v>583</v>
      </c>
      <c r="F607" s="195" t="s">
        <v>438</v>
      </c>
    </row>
    <row r="608" spans="1:6" x14ac:dyDescent="0.25">
      <c r="A608" s="189" t="str">
        <f t="shared" si="9"/>
        <v>AA-MD 3BU3.343.57N</v>
      </c>
      <c r="B608" s="195" t="s">
        <v>521</v>
      </c>
      <c r="C608" s="196">
        <v>3.34</v>
      </c>
      <c r="D608" s="196">
        <v>3.57</v>
      </c>
      <c r="E608" s="195" t="s">
        <v>583</v>
      </c>
      <c r="F608" s="195" t="s">
        <v>430</v>
      </c>
    </row>
    <row r="609" spans="1:6" x14ac:dyDescent="0.25">
      <c r="A609" s="189" t="str">
        <f t="shared" si="9"/>
        <v>AA-MD 3BU3.343.57S</v>
      </c>
      <c r="B609" s="195" t="s">
        <v>521</v>
      </c>
      <c r="C609" s="196">
        <v>3.34</v>
      </c>
      <c r="D609" s="196">
        <v>3.57</v>
      </c>
      <c r="E609" s="195" t="s">
        <v>583</v>
      </c>
      <c r="F609" s="195" t="s">
        <v>438</v>
      </c>
    </row>
    <row r="610" spans="1:6" x14ac:dyDescent="0.25">
      <c r="A610" s="189" t="str">
        <f t="shared" si="9"/>
        <v>AA-MD 3BU3.574.4N</v>
      </c>
      <c r="B610" s="195" t="s">
        <v>521</v>
      </c>
      <c r="C610" s="196">
        <v>3.57</v>
      </c>
      <c r="D610" s="196">
        <v>4.4000000000000004</v>
      </c>
      <c r="E610" s="195" t="s">
        <v>583</v>
      </c>
      <c r="F610" s="195" t="s">
        <v>430</v>
      </c>
    </row>
    <row r="611" spans="1:6" x14ac:dyDescent="0.25">
      <c r="A611" s="189" t="str">
        <f t="shared" si="9"/>
        <v>AA-MD 3BU3.574.4S</v>
      </c>
      <c r="B611" s="195" t="s">
        <v>521</v>
      </c>
      <c r="C611" s="196">
        <v>3.57</v>
      </c>
      <c r="D611" s="196">
        <v>4.4000000000000004</v>
      </c>
      <c r="E611" s="195" t="s">
        <v>583</v>
      </c>
      <c r="F611" s="195" t="s">
        <v>438</v>
      </c>
    </row>
    <row r="612" spans="1:6" x14ac:dyDescent="0.25">
      <c r="A612" s="189" t="str">
        <f t="shared" si="9"/>
        <v>AA-MD 3BU4.45.05S</v>
      </c>
      <c r="B612" s="195" t="s">
        <v>521</v>
      </c>
      <c r="C612" s="196">
        <v>4.4000000000000004</v>
      </c>
      <c r="D612" s="196">
        <v>5.05</v>
      </c>
      <c r="E612" s="195" t="s">
        <v>595</v>
      </c>
      <c r="F612" s="195" t="s">
        <v>438</v>
      </c>
    </row>
    <row r="613" spans="1:6" x14ac:dyDescent="0.25">
      <c r="A613" s="189" t="str">
        <f t="shared" si="9"/>
        <v>AA-MD 3BU4.45.08N</v>
      </c>
      <c r="B613" s="195" t="s">
        <v>521</v>
      </c>
      <c r="C613" s="196">
        <v>4.4000000000000004</v>
      </c>
      <c r="D613" s="196">
        <v>5.08</v>
      </c>
      <c r="E613" s="195" t="s">
        <v>589</v>
      </c>
      <c r="F613" s="195" t="s">
        <v>430</v>
      </c>
    </row>
    <row r="614" spans="1:6" x14ac:dyDescent="0.25">
      <c r="A614" s="189" t="str">
        <f t="shared" si="9"/>
        <v>AA-MD 3D00.26E</v>
      </c>
      <c r="B614" s="195" t="s">
        <v>940</v>
      </c>
      <c r="C614" s="196">
        <v>0</v>
      </c>
      <c r="D614" s="196">
        <v>0.26</v>
      </c>
      <c r="E614" s="195" t="s">
        <v>583</v>
      </c>
      <c r="F614" s="195" t="s">
        <v>19</v>
      </c>
    </row>
    <row r="615" spans="1:6" x14ac:dyDescent="0.25">
      <c r="A615" s="189" t="str">
        <f t="shared" si="9"/>
        <v>AA-MD 3D00.26W</v>
      </c>
      <c r="B615" s="195" t="s">
        <v>940</v>
      </c>
      <c r="C615" s="196">
        <v>0</v>
      </c>
      <c r="D615" s="196">
        <v>0.26</v>
      </c>
      <c r="E615" s="195" t="s">
        <v>583</v>
      </c>
      <c r="F615" s="195" t="s">
        <v>432</v>
      </c>
    </row>
    <row r="616" spans="1:6" x14ac:dyDescent="0.25">
      <c r="A616" s="189" t="str">
        <f t="shared" si="9"/>
        <v>AA-MD 4 RP1-400.26W</v>
      </c>
      <c r="B616" s="195" t="s">
        <v>941</v>
      </c>
      <c r="C616" s="196">
        <v>0</v>
      </c>
      <c r="D616" s="196">
        <v>0.26</v>
      </c>
      <c r="E616" s="195" t="s">
        <v>593</v>
      </c>
      <c r="F616" s="195" t="s">
        <v>432</v>
      </c>
    </row>
    <row r="617" spans="1:6" x14ac:dyDescent="0.25">
      <c r="A617" s="189" t="str">
        <f t="shared" si="9"/>
        <v>AA-MD 4 RP2-200.14S</v>
      </c>
      <c r="B617" s="195" t="s">
        <v>942</v>
      </c>
      <c r="C617" s="196">
        <v>0</v>
      </c>
      <c r="D617" s="196">
        <v>0.14000000000000001</v>
      </c>
      <c r="E617" s="195" t="s">
        <v>595</v>
      </c>
      <c r="F617" s="195" t="s">
        <v>438</v>
      </c>
    </row>
    <row r="618" spans="1:6" x14ac:dyDescent="0.25">
      <c r="A618" s="189" t="str">
        <f t="shared" si="9"/>
        <v>AA-MD 4 RP4-400.21E</v>
      </c>
      <c r="B618" s="195" t="s">
        <v>943</v>
      </c>
      <c r="C618" s="196">
        <v>0</v>
      </c>
      <c r="D618" s="196">
        <v>0.21</v>
      </c>
      <c r="E618" s="195" t="s">
        <v>598</v>
      </c>
      <c r="F618" s="195" t="s">
        <v>19</v>
      </c>
    </row>
    <row r="619" spans="1:6" x14ac:dyDescent="0.25">
      <c r="A619" s="189" t="str">
        <f t="shared" si="9"/>
        <v>AA-MD 4 RP5-200.1S</v>
      </c>
      <c r="B619" s="195" t="s">
        <v>944</v>
      </c>
      <c r="C619" s="196">
        <v>0</v>
      </c>
      <c r="D619" s="196">
        <v>0.1</v>
      </c>
      <c r="E619" s="195" t="s">
        <v>595</v>
      </c>
      <c r="F619" s="195" t="s">
        <v>438</v>
      </c>
    </row>
    <row r="620" spans="1:6" x14ac:dyDescent="0.25">
      <c r="A620" s="189" t="str">
        <f t="shared" si="9"/>
        <v>AA-MD 4 RP5-3600.23S</v>
      </c>
      <c r="B620" s="195" t="s">
        <v>945</v>
      </c>
      <c r="C620" s="196">
        <v>0</v>
      </c>
      <c r="D620" s="196">
        <v>0.23</v>
      </c>
      <c r="E620" s="195" t="s">
        <v>595</v>
      </c>
      <c r="F620" s="195" t="s">
        <v>438</v>
      </c>
    </row>
    <row r="621" spans="1:6" x14ac:dyDescent="0.25">
      <c r="A621" s="189" t="str">
        <f t="shared" si="9"/>
        <v>AA-MD 4 RP6-200.18S</v>
      </c>
      <c r="B621" s="195" t="s">
        <v>946</v>
      </c>
      <c r="C621" s="196">
        <v>0</v>
      </c>
      <c r="D621" s="196">
        <v>0.18</v>
      </c>
      <c r="E621" s="195" t="s">
        <v>595</v>
      </c>
      <c r="F621" s="195" t="s">
        <v>438</v>
      </c>
    </row>
    <row r="622" spans="1:6" x14ac:dyDescent="0.25">
      <c r="A622" s="189" t="str">
        <f t="shared" si="9"/>
        <v>AA-MD 4 RP6-400.3E</v>
      </c>
      <c r="B622" s="195" t="s">
        <v>947</v>
      </c>
      <c r="C622" s="196">
        <v>0</v>
      </c>
      <c r="D622" s="196">
        <v>0.3</v>
      </c>
      <c r="E622" s="195" t="s">
        <v>598</v>
      </c>
      <c r="F622" s="195" t="s">
        <v>19</v>
      </c>
    </row>
    <row r="623" spans="1:6" x14ac:dyDescent="0.25">
      <c r="A623" s="189" t="str">
        <f t="shared" si="9"/>
        <v>AA-MD 4 RP8-400.06W</v>
      </c>
      <c r="B623" s="195" t="s">
        <v>948</v>
      </c>
      <c r="C623" s="196">
        <v>0</v>
      </c>
      <c r="D623" s="196">
        <v>0.06</v>
      </c>
      <c r="E623" s="195" t="s">
        <v>593</v>
      </c>
      <c r="F623" s="195" t="s">
        <v>432</v>
      </c>
    </row>
    <row r="624" spans="1:6" x14ac:dyDescent="0.25">
      <c r="A624" s="189" t="str">
        <f t="shared" si="9"/>
        <v>AA-MD 40801.68E</v>
      </c>
      <c r="B624" s="195" t="s">
        <v>949</v>
      </c>
      <c r="C624" s="196">
        <v>0</v>
      </c>
      <c r="D624" s="196">
        <v>1.68</v>
      </c>
      <c r="E624" s="195" t="s">
        <v>583</v>
      </c>
      <c r="F624" s="195" t="s">
        <v>19</v>
      </c>
    </row>
    <row r="625" spans="1:6" x14ac:dyDescent="0.25">
      <c r="A625" s="189" t="str">
        <f t="shared" si="9"/>
        <v>AA-MD 40801.68W</v>
      </c>
      <c r="B625" s="195" t="s">
        <v>949</v>
      </c>
      <c r="C625" s="196">
        <v>0</v>
      </c>
      <c r="D625" s="196">
        <v>1.68</v>
      </c>
      <c r="E625" s="195" t="s">
        <v>583</v>
      </c>
      <c r="F625" s="195" t="s">
        <v>432</v>
      </c>
    </row>
    <row r="626" spans="1:6" x14ac:dyDescent="0.25">
      <c r="A626" s="189" t="str">
        <f t="shared" si="9"/>
        <v>AA-MD 4081.685.62E</v>
      </c>
      <c r="B626" s="195" t="s">
        <v>949</v>
      </c>
      <c r="C626" s="196">
        <v>1.68</v>
      </c>
      <c r="D626" s="196">
        <v>5.62</v>
      </c>
      <c r="E626" s="195" t="s">
        <v>583</v>
      </c>
      <c r="F626" s="195" t="s">
        <v>19</v>
      </c>
    </row>
    <row r="627" spans="1:6" x14ac:dyDescent="0.25">
      <c r="A627" s="189" t="str">
        <f t="shared" si="9"/>
        <v>AA-MD 4081.685.62W</v>
      </c>
      <c r="B627" s="195" t="s">
        <v>949</v>
      </c>
      <c r="C627" s="196">
        <v>1.68</v>
      </c>
      <c r="D627" s="196">
        <v>5.62</v>
      </c>
      <c r="E627" s="195" t="s">
        <v>583</v>
      </c>
      <c r="F627" s="195" t="s">
        <v>432</v>
      </c>
    </row>
    <row r="628" spans="1:6" x14ac:dyDescent="0.25">
      <c r="A628" s="189" t="str">
        <f t="shared" si="9"/>
        <v>AA-MD 408A00.35E</v>
      </c>
      <c r="B628" s="195" t="s">
        <v>950</v>
      </c>
      <c r="C628" s="196">
        <v>0</v>
      </c>
      <c r="D628" s="196">
        <v>0.35</v>
      </c>
      <c r="E628" s="195" t="s">
        <v>598</v>
      </c>
      <c r="F628" s="195" t="s">
        <v>19</v>
      </c>
    </row>
    <row r="629" spans="1:6" x14ac:dyDescent="0.25">
      <c r="A629" s="189" t="str">
        <f t="shared" si="9"/>
        <v>AA-MD 408A00.35W</v>
      </c>
      <c r="B629" s="195" t="s">
        <v>950</v>
      </c>
      <c r="C629" s="196">
        <v>0</v>
      </c>
      <c r="D629" s="196">
        <v>0.35</v>
      </c>
      <c r="E629" s="195" t="s">
        <v>593</v>
      </c>
      <c r="F629" s="195" t="s">
        <v>432</v>
      </c>
    </row>
    <row r="630" spans="1:6" x14ac:dyDescent="0.25">
      <c r="A630" s="189" t="str">
        <f t="shared" si="9"/>
        <v>AA-MD 408A0.350.42E</v>
      </c>
      <c r="B630" s="195" t="s">
        <v>950</v>
      </c>
      <c r="C630" s="196">
        <v>0.35</v>
      </c>
      <c r="D630" s="196">
        <v>0.42</v>
      </c>
      <c r="E630" s="195" t="s">
        <v>598</v>
      </c>
      <c r="F630" s="195" t="s">
        <v>19</v>
      </c>
    </row>
    <row r="631" spans="1:6" x14ac:dyDescent="0.25">
      <c r="A631" s="189" t="str">
        <f t="shared" si="9"/>
        <v>AA-MD 408A0.350.42W</v>
      </c>
      <c r="B631" s="195" t="s">
        <v>950</v>
      </c>
      <c r="C631" s="196">
        <v>0.35</v>
      </c>
      <c r="D631" s="196">
        <v>0.42</v>
      </c>
      <c r="E631" s="195" t="s">
        <v>593</v>
      </c>
      <c r="F631" s="195" t="s">
        <v>432</v>
      </c>
    </row>
    <row r="632" spans="1:6" x14ac:dyDescent="0.25">
      <c r="A632" s="189" t="str">
        <f t="shared" si="9"/>
        <v>AA-MD 408B00.03N</v>
      </c>
      <c r="B632" s="195" t="s">
        <v>951</v>
      </c>
      <c r="C632" s="196">
        <v>0</v>
      </c>
      <c r="D632" s="196">
        <v>0.03</v>
      </c>
      <c r="E632" s="195" t="s">
        <v>589</v>
      </c>
      <c r="F632" s="195" t="s">
        <v>430</v>
      </c>
    </row>
    <row r="633" spans="1:6" x14ac:dyDescent="0.25">
      <c r="A633" s="189" t="str">
        <f t="shared" si="9"/>
        <v>AA-MD 408B00.03S</v>
      </c>
      <c r="B633" s="195" t="s">
        <v>951</v>
      </c>
      <c r="C633" s="196">
        <v>0</v>
      </c>
      <c r="D633" s="196">
        <v>0.03</v>
      </c>
      <c r="E633" s="195" t="s">
        <v>595</v>
      </c>
      <c r="F633" s="195" t="s">
        <v>438</v>
      </c>
    </row>
    <row r="634" spans="1:6" x14ac:dyDescent="0.25">
      <c r="A634" s="189" t="str">
        <f t="shared" si="9"/>
        <v>AA-MD 42203.04E</v>
      </c>
      <c r="B634" s="195" t="s">
        <v>952</v>
      </c>
      <c r="C634" s="196">
        <v>0</v>
      </c>
      <c r="D634" s="196">
        <v>3.04</v>
      </c>
      <c r="E634" s="195" t="s">
        <v>583</v>
      </c>
      <c r="F634" s="195" t="s">
        <v>19</v>
      </c>
    </row>
    <row r="635" spans="1:6" x14ac:dyDescent="0.25">
      <c r="A635" s="189" t="str">
        <f t="shared" si="9"/>
        <v>AA-MD 42203.04W</v>
      </c>
      <c r="B635" s="195" t="s">
        <v>952</v>
      </c>
      <c r="C635" s="196">
        <v>0</v>
      </c>
      <c r="D635" s="196">
        <v>3.04</v>
      </c>
      <c r="E635" s="195" t="s">
        <v>583</v>
      </c>
      <c r="F635" s="195" t="s">
        <v>432</v>
      </c>
    </row>
    <row r="636" spans="1:6" x14ac:dyDescent="0.25">
      <c r="A636" s="189" t="str">
        <f t="shared" si="9"/>
        <v>AA-MD 42302.79E</v>
      </c>
      <c r="B636" s="195" t="s">
        <v>953</v>
      </c>
      <c r="C636" s="196">
        <v>0</v>
      </c>
      <c r="D636" s="196">
        <v>2.79</v>
      </c>
      <c r="E636" s="195" t="s">
        <v>583</v>
      </c>
      <c r="F636" s="195" t="s">
        <v>19</v>
      </c>
    </row>
    <row r="637" spans="1:6" x14ac:dyDescent="0.25">
      <c r="A637" s="189" t="str">
        <f t="shared" si="9"/>
        <v>AA-MD 42302.79W</v>
      </c>
      <c r="B637" s="195" t="s">
        <v>953</v>
      </c>
      <c r="C637" s="196">
        <v>0</v>
      </c>
      <c r="D637" s="196">
        <v>2.79</v>
      </c>
      <c r="E637" s="195" t="s">
        <v>583</v>
      </c>
      <c r="F637" s="195" t="s">
        <v>432</v>
      </c>
    </row>
    <row r="638" spans="1:6" x14ac:dyDescent="0.25">
      <c r="A638" s="189" t="str">
        <f t="shared" si="9"/>
        <v>AA-MD 42401.88N</v>
      </c>
      <c r="B638" s="195" t="s">
        <v>515</v>
      </c>
      <c r="C638" s="196">
        <v>0</v>
      </c>
      <c r="D638" s="196">
        <v>1.88</v>
      </c>
      <c r="E638" s="195" t="s">
        <v>583</v>
      </c>
      <c r="F638" s="195" t="s">
        <v>430</v>
      </c>
    </row>
    <row r="639" spans="1:6" x14ac:dyDescent="0.25">
      <c r="A639" s="189" t="str">
        <f t="shared" si="9"/>
        <v>AA-MD 42401.88S</v>
      </c>
      <c r="B639" s="195" t="s">
        <v>515</v>
      </c>
      <c r="C639" s="196">
        <v>0</v>
      </c>
      <c r="D639" s="196">
        <v>1.88</v>
      </c>
      <c r="E639" s="195" t="s">
        <v>583</v>
      </c>
      <c r="F639" s="195" t="s">
        <v>438</v>
      </c>
    </row>
    <row r="640" spans="1:6" x14ac:dyDescent="0.25">
      <c r="A640" s="189" t="str">
        <f t="shared" si="9"/>
        <v>AA-MD 4241.883.27N</v>
      </c>
      <c r="B640" s="195" t="s">
        <v>515</v>
      </c>
      <c r="C640" s="196">
        <v>1.88</v>
      </c>
      <c r="D640" s="196">
        <v>3.27</v>
      </c>
      <c r="E640" s="195" t="s">
        <v>583</v>
      </c>
      <c r="F640" s="195" t="s">
        <v>430</v>
      </c>
    </row>
    <row r="641" spans="1:6" x14ac:dyDescent="0.25">
      <c r="A641" s="189" t="str">
        <f t="shared" si="9"/>
        <v>AA-MD 4241.883.27S</v>
      </c>
      <c r="B641" s="195" t="s">
        <v>515</v>
      </c>
      <c r="C641" s="196">
        <v>1.88</v>
      </c>
      <c r="D641" s="196">
        <v>3.27</v>
      </c>
      <c r="E641" s="195" t="s">
        <v>583</v>
      </c>
      <c r="F641" s="195" t="s">
        <v>438</v>
      </c>
    </row>
    <row r="642" spans="1:6" x14ac:dyDescent="0.25">
      <c r="A642" s="189" t="str">
        <f t="shared" si="9"/>
        <v>AA-MD 4243.275.85N</v>
      </c>
      <c r="B642" s="195" t="s">
        <v>515</v>
      </c>
      <c r="C642" s="196">
        <v>3.27</v>
      </c>
      <c r="D642" s="196">
        <v>5.85</v>
      </c>
      <c r="E642" s="195" t="s">
        <v>583</v>
      </c>
      <c r="F642" s="195" t="s">
        <v>430</v>
      </c>
    </row>
    <row r="643" spans="1:6" x14ac:dyDescent="0.25">
      <c r="A643" s="189" t="str">
        <f t="shared" ref="A643:A706" si="10">B643&amp;C643&amp;D643&amp;F643</f>
        <v>AA-MD 4243.275.85S</v>
      </c>
      <c r="B643" s="195" t="s">
        <v>515</v>
      </c>
      <c r="C643" s="196">
        <v>3.27</v>
      </c>
      <c r="D643" s="196">
        <v>5.85</v>
      </c>
      <c r="E643" s="195" t="s">
        <v>583</v>
      </c>
      <c r="F643" s="195" t="s">
        <v>438</v>
      </c>
    </row>
    <row r="644" spans="1:6" x14ac:dyDescent="0.25">
      <c r="A644" s="189" t="str">
        <f t="shared" si="10"/>
        <v>AA-MD 4245.855.87N</v>
      </c>
      <c r="B644" s="195" t="s">
        <v>515</v>
      </c>
      <c r="C644" s="196">
        <v>5.85</v>
      </c>
      <c r="D644" s="196">
        <v>5.87</v>
      </c>
      <c r="E644" s="195" t="s">
        <v>583</v>
      </c>
      <c r="F644" s="195" t="s">
        <v>430</v>
      </c>
    </row>
    <row r="645" spans="1:6" x14ac:dyDescent="0.25">
      <c r="A645" s="189" t="str">
        <f t="shared" si="10"/>
        <v>AA-MD 4245.855.87S</v>
      </c>
      <c r="B645" s="195" t="s">
        <v>515</v>
      </c>
      <c r="C645" s="196">
        <v>5.85</v>
      </c>
      <c r="D645" s="196">
        <v>5.87</v>
      </c>
      <c r="E645" s="195" t="s">
        <v>583</v>
      </c>
      <c r="F645" s="195" t="s">
        <v>438</v>
      </c>
    </row>
    <row r="646" spans="1:6" x14ac:dyDescent="0.25">
      <c r="A646" s="189" t="str">
        <f t="shared" si="10"/>
        <v>AA-MD 4245.878.24N</v>
      </c>
      <c r="B646" s="195" t="s">
        <v>515</v>
      </c>
      <c r="C646" s="196">
        <v>5.87</v>
      </c>
      <c r="D646" s="196">
        <v>8.24</v>
      </c>
      <c r="E646" s="195" t="s">
        <v>583</v>
      </c>
      <c r="F646" s="195" t="s">
        <v>430</v>
      </c>
    </row>
    <row r="647" spans="1:6" x14ac:dyDescent="0.25">
      <c r="A647" s="189" t="str">
        <f t="shared" si="10"/>
        <v>AA-MD 4245.878.24S</v>
      </c>
      <c r="B647" s="195" t="s">
        <v>515</v>
      </c>
      <c r="C647" s="196">
        <v>5.87</v>
      </c>
      <c r="D647" s="196">
        <v>8.24</v>
      </c>
      <c r="E647" s="195" t="s">
        <v>583</v>
      </c>
      <c r="F647" s="195" t="s">
        <v>438</v>
      </c>
    </row>
    <row r="648" spans="1:6" x14ac:dyDescent="0.25">
      <c r="A648" s="189" t="str">
        <f t="shared" si="10"/>
        <v>AA-MD 4350.311.16N</v>
      </c>
      <c r="B648" s="195" t="s">
        <v>954</v>
      </c>
      <c r="C648" s="196">
        <v>0.31</v>
      </c>
      <c r="D648" s="196">
        <v>1.1599999999999999</v>
      </c>
      <c r="E648" s="195" t="s">
        <v>583</v>
      </c>
      <c r="F648" s="195" t="s">
        <v>430</v>
      </c>
    </row>
    <row r="649" spans="1:6" x14ac:dyDescent="0.25">
      <c r="A649" s="189" t="str">
        <f t="shared" si="10"/>
        <v>AA-MD 4350.311.16S</v>
      </c>
      <c r="B649" s="195" t="s">
        <v>954</v>
      </c>
      <c r="C649" s="196">
        <v>0.31</v>
      </c>
      <c r="D649" s="196">
        <v>1.1599999999999999</v>
      </c>
      <c r="E649" s="195" t="s">
        <v>583</v>
      </c>
      <c r="F649" s="195" t="s">
        <v>438</v>
      </c>
    </row>
    <row r="650" spans="1:6" x14ac:dyDescent="0.25">
      <c r="A650" s="189" t="str">
        <f t="shared" si="10"/>
        <v>AA-MD 43600.75N</v>
      </c>
      <c r="B650" s="195" t="s">
        <v>955</v>
      </c>
      <c r="C650" s="196">
        <v>0</v>
      </c>
      <c r="D650" s="196">
        <v>0.75</v>
      </c>
      <c r="E650" s="195" t="s">
        <v>583</v>
      </c>
      <c r="F650" s="195" t="s">
        <v>430</v>
      </c>
    </row>
    <row r="651" spans="1:6" x14ac:dyDescent="0.25">
      <c r="A651" s="189" t="str">
        <f t="shared" si="10"/>
        <v>AA-MD 43600.75S</v>
      </c>
      <c r="B651" s="195" t="s">
        <v>955</v>
      </c>
      <c r="C651" s="196">
        <v>0</v>
      </c>
      <c r="D651" s="196">
        <v>0.75</v>
      </c>
      <c r="E651" s="195" t="s">
        <v>583</v>
      </c>
      <c r="F651" s="195" t="s">
        <v>438</v>
      </c>
    </row>
    <row r="652" spans="1:6" x14ac:dyDescent="0.25">
      <c r="A652" s="189" t="str">
        <f t="shared" si="10"/>
        <v>AA-MD 4360.750.9N</v>
      </c>
      <c r="B652" s="195" t="s">
        <v>955</v>
      </c>
      <c r="C652" s="196">
        <v>0.75</v>
      </c>
      <c r="D652" s="196">
        <v>0.9</v>
      </c>
      <c r="E652" s="195" t="s">
        <v>583</v>
      </c>
      <c r="F652" s="195" t="s">
        <v>430</v>
      </c>
    </row>
    <row r="653" spans="1:6" x14ac:dyDescent="0.25">
      <c r="A653" s="189" t="str">
        <f t="shared" si="10"/>
        <v>AA-MD 4360.750.9S</v>
      </c>
      <c r="B653" s="195" t="s">
        <v>955</v>
      </c>
      <c r="C653" s="196">
        <v>0.75</v>
      </c>
      <c r="D653" s="196">
        <v>0.9</v>
      </c>
      <c r="E653" s="195" t="s">
        <v>583</v>
      </c>
      <c r="F653" s="195" t="s">
        <v>438</v>
      </c>
    </row>
    <row r="654" spans="1:6" x14ac:dyDescent="0.25">
      <c r="A654" s="189" t="str">
        <f t="shared" si="10"/>
        <v>AA-MD 4360.91.14N</v>
      </c>
      <c r="B654" s="195" t="s">
        <v>955</v>
      </c>
      <c r="C654" s="196">
        <v>0.9</v>
      </c>
      <c r="D654" s="196">
        <v>1.1399999999999999</v>
      </c>
      <c r="E654" s="195" t="s">
        <v>583</v>
      </c>
      <c r="F654" s="195" t="s">
        <v>430</v>
      </c>
    </row>
    <row r="655" spans="1:6" x14ac:dyDescent="0.25">
      <c r="A655" s="189" t="str">
        <f t="shared" si="10"/>
        <v>AA-MD 4360.91.14S</v>
      </c>
      <c r="B655" s="195" t="s">
        <v>955</v>
      </c>
      <c r="C655" s="196">
        <v>0.9</v>
      </c>
      <c r="D655" s="196">
        <v>1.1399999999999999</v>
      </c>
      <c r="E655" s="195" t="s">
        <v>583</v>
      </c>
      <c r="F655" s="195" t="s">
        <v>438</v>
      </c>
    </row>
    <row r="656" spans="1:6" x14ac:dyDescent="0.25">
      <c r="A656" s="189" t="str">
        <f t="shared" si="10"/>
        <v>AA-MD 4500.222E</v>
      </c>
      <c r="B656" s="195" t="s">
        <v>516</v>
      </c>
      <c r="C656" s="196">
        <v>0.22</v>
      </c>
      <c r="D656" s="196">
        <v>2</v>
      </c>
      <c r="E656" s="195" t="s">
        <v>598</v>
      </c>
      <c r="F656" s="195" t="s">
        <v>19</v>
      </c>
    </row>
    <row r="657" spans="1:6" x14ac:dyDescent="0.25">
      <c r="A657" s="189" t="str">
        <f t="shared" si="10"/>
        <v>AA-MD 4500.32W</v>
      </c>
      <c r="B657" s="195" t="s">
        <v>516</v>
      </c>
      <c r="C657" s="196">
        <v>0.3</v>
      </c>
      <c r="D657" s="196">
        <v>2</v>
      </c>
      <c r="E657" s="195" t="s">
        <v>593</v>
      </c>
      <c r="F657" s="195" t="s">
        <v>432</v>
      </c>
    </row>
    <row r="658" spans="1:6" x14ac:dyDescent="0.25">
      <c r="A658" s="189" t="str">
        <f t="shared" si="10"/>
        <v>AA-MD 45023.85E</v>
      </c>
      <c r="B658" s="195" t="s">
        <v>516</v>
      </c>
      <c r="C658" s="196">
        <v>2</v>
      </c>
      <c r="D658" s="196">
        <v>3.85</v>
      </c>
      <c r="E658" s="195" t="s">
        <v>583</v>
      </c>
      <c r="F658" s="195" t="s">
        <v>19</v>
      </c>
    </row>
    <row r="659" spans="1:6" x14ac:dyDescent="0.25">
      <c r="A659" s="189" t="str">
        <f t="shared" si="10"/>
        <v>AA-MD 45023.85W</v>
      </c>
      <c r="B659" s="195" t="s">
        <v>516</v>
      </c>
      <c r="C659" s="196">
        <v>2</v>
      </c>
      <c r="D659" s="196">
        <v>3.85</v>
      </c>
      <c r="E659" s="195" t="s">
        <v>583</v>
      </c>
      <c r="F659" s="195" t="s">
        <v>432</v>
      </c>
    </row>
    <row r="660" spans="1:6" x14ac:dyDescent="0.25">
      <c r="A660" s="189" t="str">
        <f t="shared" si="10"/>
        <v>AA-MD 4503.853.98E</v>
      </c>
      <c r="B660" s="195" t="s">
        <v>516</v>
      </c>
      <c r="C660" s="196">
        <v>3.85</v>
      </c>
      <c r="D660" s="196">
        <v>3.98</v>
      </c>
      <c r="E660" s="195" t="s">
        <v>583</v>
      </c>
      <c r="F660" s="195" t="s">
        <v>19</v>
      </c>
    </row>
    <row r="661" spans="1:6" x14ac:dyDescent="0.25">
      <c r="A661" s="189" t="str">
        <f t="shared" si="10"/>
        <v>AA-MD 4503.853.98W</v>
      </c>
      <c r="B661" s="195" t="s">
        <v>516</v>
      </c>
      <c r="C661" s="196">
        <v>3.85</v>
      </c>
      <c r="D661" s="196">
        <v>3.98</v>
      </c>
      <c r="E661" s="195" t="s">
        <v>583</v>
      </c>
      <c r="F661" s="195" t="s">
        <v>432</v>
      </c>
    </row>
    <row r="662" spans="1:6" x14ac:dyDescent="0.25">
      <c r="A662" s="189" t="str">
        <f t="shared" si="10"/>
        <v>AA-MD 4503.985.68E</v>
      </c>
      <c r="B662" s="195" t="s">
        <v>516</v>
      </c>
      <c r="C662" s="196">
        <v>3.98</v>
      </c>
      <c r="D662" s="196">
        <v>5.68</v>
      </c>
      <c r="E662" s="195" t="s">
        <v>583</v>
      </c>
      <c r="F662" s="195" t="s">
        <v>19</v>
      </c>
    </row>
    <row r="663" spans="1:6" x14ac:dyDescent="0.25">
      <c r="A663" s="189" t="str">
        <f t="shared" si="10"/>
        <v>AA-MD 4503.985.68W</v>
      </c>
      <c r="B663" s="195" t="s">
        <v>516</v>
      </c>
      <c r="C663" s="196">
        <v>3.98</v>
      </c>
      <c r="D663" s="196">
        <v>5.68</v>
      </c>
      <c r="E663" s="195" t="s">
        <v>583</v>
      </c>
      <c r="F663" s="195" t="s">
        <v>432</v>
      </c>
    </row>
    <row r="664" spans="1:6" x14ac:dyDescent="0.25">
      <c r="A664" s="189" t="str">
        <f t="shared" si="10"/>
        <v>AA-MD 4505.685.77E</v>
      </c>
      <c r="B664" s="195" t="s">
        <v>516</v>
      </c>
      <c r="C664" s="196">
        <v>5.68</v>
      </c>
      <c r="D664" s="196">
        <v>5.77</v>
      </c>
      <c r="E664" s="195" t="s">
        <v>583</v>
      </c>
      <c r="F664" s="195" t="s">
        <v>19</v>
      </c>
    </row>
    <row r="665" spans="1:6" x14ac:dyDescent="0.25">
      <c r="A665" s="189" t="str">
        <f t="shared" si="10"/>
        <v>AA-MD 4505.685.77W</v>
      </c>
      <c r="B665" s="195" t="s">
        <v>516</v>
      </c>
      <c r="C665" s="196">
        <v>5.68</v>
      </c>
      <c r="D665" s="196">
        <v>5.77</v>
      </c>
      <c r="E665" s="195" t="s">
        <v>583</v>
      </c>
      <c r="F665" s="195" t="s">
        <v>432</v>
      </c>
    </row>
    <row r="666" spans="1:6" x14ac:dyDescent="0.25">
      <c r="A666" s="189" t="str">
        <f t="shared" si="10"/>
        <v>AA-MD 4505.775.94E</v>
      </c>
      <c r="B666" s="195" t="s">
        <v>516</v>
      </c>
      <c r="C666" s="196">
        <v>5.77</v>
      </c>
      <c r="D666" s="196">
        <v>5.94</v>
      </c>
      <c r="E666" s="195" t="s">
        <v>583</v>
      </c>
      <c r="F666" s="195" t="s">
        <v>19</v>
      </c>
    </row>
    <row r="667" spans="1:6" x14ac:dyDescent="0.25">
      <c r="A667" s="189" t="str">
        <f t="shared" si="10"/>
        <v>AA-MD 4505.775.94W</v>
      </c>
      <c r="B667" s="195" t="s">
        <v>516</v>
      </c>
      <c r="C667" s="196">
        <v>5.77</v>
      </c>
      <c r="D667" s="196">
        <v>5.94</v>
      </c>
      <c r="E667" s="195" t="s">
        <v>583</v>
      </c>
      <c r="F667" s="195" t="s">
        <v>432</v>
      </c>
    </row>
    <row r="668" spans="1:6" x14ac:dyDescent="0.25">
      <c r="A668" s="189" t="str">
        <f t="shared" si="10"/>
        <v>AA-MD 4505.946.45E</v>
      </c>
      <c r="B668" s="195" t="s">
        <v>516</v>
      </c>
      <c r="C668" s="196">
        <v>5.94</v>
      </c>
      <c r="D668" s="196">
        <v>6.45</v>
      </c>
      <c r="E668" s="195" t="s">
        <v>583</v>
      </c>
      <c r="F668" s="195" t="s">
        <v>19</v>
      </c>
    </row>
    <row r="669" spans="1:6" x14ac:dyDescent="0.25">
      <c r="A669" s="189" t="str">
        <f t="shared" si="10"/>
        <v>AA-MD 4505.946.45W</v>
      </c>
      <c r="B669" s="195" t="s">
        <v>516</v>
      </c>
      <c r="C669" s="196">
        <v>5.94</v>
      </c>
      <c r="D669" s="196">
        <v>6.45</v>
      </c>
      <c r="E669" s="195" t="s">
        <v>583</v>
      </c>
      <c r="F669" s="195" t="s">
        <v>432</v>
      </c>
    </row>
    <row r="670" spans="1:6" x14ac:dyDescent="0.25">
      <c r="A670" s="189" t="str">
        <f t="shared" si="10"/>
        <v>AA-MD 4506.457.53E</v>
      </c>
      <c r="B670" s="195" t="s">
        <v>516</v>
      </c>
      <c r="C670" s="196">
        <v>6.45</v>
      </c>
      <c r="D670" s="196">
        <v>7.53</v>
      </c>
      <c r="E670" s="195" t="s">
        <v>583</v>
      </c>
      <c r="F670" s="195" t="s">
        <v>19</v>
      </c>
    </row>
    <row r="671" spans="1:6" x14ac:dyDescent="0.25">
      <c r="A671" s="189" t="str">
        <f t="shared" si="10"/>
        <v>AA-MD 4506.457.53W</v>
      </c>
      <c r="B671" s="195" t="s">
        <v>516</v>
      </c>
      <c r="C671" s="196">
        <v>6.45</v>
      </c>
      <c r="D671" s="196">
        <v>7.53</v>
      </c>
      <c r="E671" s="195" t="s">
        <v>583</v>
      </c>
      <c r="F671" s="195" t="s">
        <v>432</v>
      </c>
    </row>
    <row r="672" spans="1:6" x14ac:dyDescent="0.25">
      <c r="A672" s="189" t="str">
        <f t="shared" si="10"/>
        <v>AA-MD 4507.538.78E</v>
      </c>
      <c r="B672" s="195" t="s">
        <v>516</v>
      </c>
      <c r="C672" s="196">
        <v>7.53</v>
      </c>
      <c r="D672" s="196">
        <v>8.7799999999999994</v>
      </c>
      <c r="E672" s="195" t="s">
        <v>598</v>
      </c>
      <c r="F672" s="195" t="s">
        <v>19</v>
      </c>
    </row>
    <row r="673" spans="1:6" x14ac:dyDescent="0.25">
      <c r="A673" s="189" t="str">
        <f t="shared" si="10"/>
        <v>AA-MD 4507.538.97W</v>
      </c>
      <c r="B673" s="195" t="s">
        <v>516</v>
      </c>
      <c r="C673" s="196">
        <v>7.53</v>
      </c>
      <c r="D673" s="196">
        <v>8.9700000000000006</v>
      </c>
      <c r="E673" s="195" t="s">
        <v>593</v>
      </c>
      <c r="F673" s="195" t="s">
        <v>432</v>
      </c>
    </row>
    <row r="674" spans="1:6" x14ac:dyDescent="0.25">
      <c r="A674" s="189" t="str">
        <f t="shared" si="10"/>
        <v>AA-MD 4508.789.16E</v>
      </c>
      <c r="B674" s="195" t="s">
        <v>516</v>
      </c>
      <c r="C674" s="196">
        <v>8.7799999999999994</v>
      </c>
      <c r="D674" s="196">
        <v>9.16</v>
      </c>
      <c r="E674" s="195" t="s">
        <v>598</v>
      </c>
      <c r="F674" s="195" t="s">
        <v>19</v>
      </c>
    </row>
    <row r="675" spans="1:6" x14ac:dyDescent="0.25">
      <c r="A675" s="189" t="str">
        <f t="shared" si="10"/>
        <v>AA-MD 4508.979.27W</v>
      </c>
      <c r="B675" s="195" t="s">
        <v>516</v>
      </c>
      <c r="C675" s="196">
        <v>8.9700000000000006</v>
      </c>
      <c r="D675" s="196">
        <v>9.27</v>
      </c>
      <c r="E675" s="195" t="s">
        <v>593</v>
      </c>
      <c r="F675" s="195" t="s">
        <v>432</v>
      </c>
    </row>
    <row r="676" spans="1:6" x14ac:dyDescent="0.25">
      <c r="A676" s="189" t="str">
        <f t="shared" si="10"/>
        <v>AA-MD 4509.169.25E</v>
      </c>
      <c r="B676" s="195" t="s">
        <v>516</v>
      </c>
      <c r="C676" s="196">
        <v>9.16</v>
      </c>
      <c r="D676" s="196">
        <v>9.25</v>
      </c>
      <c r="E676" s="195" t="s">
        <v>598</v>
      </c>
      <c r="F676" s="195" t="s">
        <v>19</v>
      </c>
    </row>
    <row r="677" spans="1:6" x14ac:dyDescent="0.25">
      <c r="A677" s="189" t="str">
        <f t="shared" si="10"/>
        <v>AA-MD 4509.259.27E</v>
      </c>
      <c r="B677" s="195" t="s">
        <v>516</v>
      </c>
      <c r="C677" s="196">
        <v>9.25</v>
      </c>
      <c r="D677" s="196">
        <v>9.27</v>
      </c>
      <c r="E677" s="195" t="s">
        <v>598</v>
      </c>
      <c r="F677" s="195" t="s">
        <v>19</v>
      </c>
    </row>
    <row r="678" spans="1:6" x14ac:dyDescent="0.25">
      <c r="A678" s="189" t="str">
        <f t="shared" si="10"/>
        <v>AA-MD 4509.449.85E</v>
      </c>
      <c r="B678" s="195" t="s">
        <v>516</v>
      </c>
      <c r="C678" s="196">
        <v>9.44</v>
      </c>
      <c r="D678" s="196">
        <v>9.85</v>
      </c>
      <c r="E678" s="195" t="s">
        <v>583</v>
      </c>
      <c r="F678" s="195" t="s">
        <v>19</v>
      </c>
    </row>
    <row r="679" spans="1:6" x14ac:dyDescent="0.25">
      <c r="A679" s="189" t="str">
        <f t="shared" si="10"/>
        <v>AA-MD 4509.449.85W</v>
      </c>
      <c r="B679" s="195" t="s">
        <v>516</v>
      </c>
      <c r="C679" s="196">
        <v>9.44</v>
      </c>
      <c r="D679" s="196">
        <v>9.85</v>
      </c>
      <c r="E679" s="195" t="s">
        <v>583</v>
      </c>
      <c r="F679" s="195" t="s">
        <v>432</v>
      </c>
    </row>
    <row r="680" spans="1:6" x14ac:dyDescent="0.25">
      <c r="A680" s="189" t="str">
        <f t="shared" si="10"/>
        <v>AA-MD 4509.8511.05E</v>
      </c>
      <c r="B680" s="195" t="s">
        <v>516</v>
      </c>
      <c r="C680" s="196">
        <v>9.85</v>
      </c>
      <c r="D680" s="196">
        <v>11.05</v>
      </c>
      <c r="E680" s="195" t="s">
        <v>583</v>
      </c>
      <c r="F680" s="195" t="s">
        <v>19</v>
      </c>
    </row>
    <row r="681" spans="1:6" x14ac:dyDescent="0.25">
      <c r="A681" s="189" t="str">
        <f t="shared" si="10"/>
        <v>AA-MD 4509.8511.05W</v>
      </c>
      <c r="B681" s="195" t="s">
        <v>516</v>
      </c>
      <c r="C681" s="196">
        <v>9.85</v>
      </c>
      <c r="D681" s="196">
        <v>11.05</v>
      </c>
      <c r="E681" s="195" t="s">
        <v>583</v>
      </c>
      <c r="F681" s="195" t="s">
        <v>432</v>
      </c>
    </row>
    <row r="682" spans="1:6" x14ac:dyDescent="0.25">
      <c r="A682" s="189" t="str">
        <f t="shared" si="10"/>
        <v>AA-MD 45011.0511.74E</v>
      </c>
      <c r="B682" s="195" t="s">
        <v>516</v>
      </c>
      <c r="C682" s="196">
        <v>11.05</v>
      </c>
      <c r="D682" s="196">
        <v>11.74</v>
      </c>
      <c r="E682" s="195" t="s">
        <v>583</v>
      </c>
      <c r="F682" s="195" t="s">
        <v>19</v>
      </c>
    </row>
    <row r="683" spans="1:6" x14ac:dyDescent="0.25">
      <c r="A683" s="189" t="str">
        <f t="shared" si="10"/>
        <v>AA-MD 45011.0511.74W</v>
      </c>
      <c r="B683" s="195" t="s">
        <v>516</v>
      </c>
      <c r="C683" s="196">
        <v>11.05</v>
      </c>
      <c r="D683" s="196">
        <v>11.74</v>
      </c>
      <c r="E683" s="195" t="s">
        <v>583</v>
      </c>
      <c r="F683" s="195" t="s">
        <v>432</v>
      </c>
    </row>
    <row r="684" spans="1:6" x14ac:dyDescent="0.25">
      <c r="A684" s="189" t="str">
        <f t="shared" si="10"/>
        <v>AA-MD 45011.7412.39W</v>
      </c>
      <c r="B684" s="195" t="s">
        <v>516</v>
      </c>
      <c r="C684" s="196">
        <v>11.74</v>
      </c>
      <c r="D684" s="196">
        <v>12.39</v>
      </c>
      <c r="E684" s="195" t="s">
        <v>593</v>
      </c>
      <c r="F684" s="195" t="s">
        <v>432</v>
      </c>
    </row>
    <row r="685" spans="1:6" x14ac:dyDescent="0.25">
      <c r="A685" s="189" t="str">
        <f t="shared" si="10"/>
        <v>AA-MD 45011.7413.06E</v>
      </c>
      <c r="B685" s="195" t="s">
        <v>516</v>
      </c>
      <c r="C685" s="196">
        <v>11.74</v>
      </c>
      <c r="D685" s="196">
        <v>13.06</v>
      </c>
      <c r="E685" s="195" t="s">
        <v>598</v>
      </c>
      <c r="F685" s="195" t="s">
        <v>19</v>
      </c>
    </row>
    <row r="686" spans="1:6" x14ac:dyDescent="0.25">
      <c r="A686" s="189" t="str">
        <f t="shared" si="10"/>
        <v>AA-MD 45012.3912.5W</v>
      </c>
      <c r="B686" s="195" t="s">
        <v>516</v>
      </c>
      <c r="C686" s="196">
        <v>12.39</v>
      </c>
      <c r="D686" s="196">
        <v>12.5</v>
      </c>
      <c r="E686" s="195" t="s">
        <v>593</v>
      </c>
      <c r="F686" s="195" t="s">
        <v>432</v>
      </c>
    </row>
    <row r="687" spans="1:6" x14ac:dyDescent="0.25">
      <c r="A687" s="189" t="str">
        <f t="shared" si="10"/>
        <v>AA-MD 45012.513.06W</v>
      </c>
      <c r="B687" s="195" t="s">
        <v>516</v>
      </c>
      <c r="C687" s="196">
        <v>12.5</v>
      </c>
      <c r="D687" s="196">
        <v>13.06</v>
      </c>
      <c r="E687" s="195" t="s">
        <v>593</v>
      </c>
      <c r="F687" s="195" t="s">
        <v>432</v>
      </c>
    </row>
    <row r="688" spans="1:6" x14ac:dyDescent="0.25">
      <c r="A688" s="189" t="str">
        <f t="shared" si="10"/>
        <v>AA-MD 45013.0613.65E</v>
      </c>
      <c r="B688" s="195" t="s">
        <v>516</v>
      </c>
      <c r="C688" s="196">
        <v>13.06</v>
      </c>
      <c r="D688" s="196">
        <v>13.65</v>
      </c>
      <c r="E688" s="195" t="s">
        <v>583</v>
      </c>
      <c r="F688" s="195" t="s">
        <v>19</v>
      </c>
    </row>
    <row r="689" spans="1:6" x14ac:dyDescent="0.25">
      <c r="A689" s="189" t="str">
        <f t="shared" si="10"/>
        <v>AA-MD 45013.0613.65W</v>
      </c>
      <c r="B689" s="195" t="s">
        <v>516</v>
      </c>
      <c r="C689" s="196">
        <v>13.06</v>
      </c>
      <c r="D689" s="196">
        <v>13.65</v>
      </c>
      <c r="E689" s="195" t="s">
        <v>583</v>
      </c>
      <c r="F689" s="195" t="s">
        <v>432</v>
      </c>
    </row>
    <row r="690" spans="1:6" x14ac:dyDescent="0.25">
      <c r="A690" s="189" t="str">
        <f t="shared" si="10"/>
        <v>AA-MD 45013.6513.78E</v>
      </c>
      <c r="B690" s="195" t="s">
        <v>516</v>
      </c>
      <c r="C690" s="196">
        <v>13.65</v>
      </c>
      <c r="D690" s="196">
        <v>13.78</v>
      </c>
      <c r="E690" s="195" t="s">
        <v>598</v>
      </c>
      <c r="F690" s="195" t="s">
        <v>19</v>
      </c>
    </row>
    <row r="691" spans="1:6" x14ac:dyDescent="0.25">
      <c r="A691" s="189" t="str">
        <f t="shared" si="10"/>
        <v>AA-MD 45013.6513.83W</v>
      </c>
      <c r="B691" s="195" t="s">
        <v>516</v>
      </c>
      <c r="C691" s="196">
        <v>13.65</v>
      </c>
      <c r="D691" s="196">
        <v>13.83</v>
      </c>
      <c r="E691" s="195" t="s">
        <v>593</v>
      </c>
      <c r="F691" s="195" t="s">
        <v>432</v>
      </c>
    </row>
    <row r="692" spans="1:6" x14ac:dyDescent="0.25">
      <c r="A692" s="189" t="str">
        <f t="shared" si="10"/>
        <v>AA-MD 45013.7814.32E</v>
      </c>
      <c r="B692" s="195" t="s">
        <v>516</v>
      </c>
      <c r="C692" s="196">
        <v>13.78</v>
      </c>
      <c r="D692" s="196">
        <v>14.32</v>
      </c>
      <c r="E692" s="195" t="s">
        <v>598</v>
      </c>
      <c r="F692" s="195" t="s">
        <v>19</v>
      </c>
    </row>
    <row r="693" spans="1:6" x14ac:dyDescent="0.25">
      <c r="A693" s="189" t="str">
        <f t="shared" si="10"/>
        <v>AA-MD 45013.8314.37W</v>
      </c>
      <c r="B693" s="195" t="s">
        <v>516</v>
      </c>
      <c r="C693" s="196">
        <v>13.83</v>
      </c>
      <c r="D693" s="196">
        <v>14.37</v>
      </c>
      <c r="E693" s="195" t="s">
        <v>593</v>
      </c>
      <c r="F693" s="195" t="s">
        <v>432</v>
      </c>
    </row>
    <row r="694" spans="1:6" x14ac:dyDescent="0.25">
      <c r="A694" s="189" t="str">
        <f t="shared" si="10"/>
        <v>AA-MD 45014.3214.38E</v>
      </c>
      <c r="B694" s="195" t="s">
        <v>516</v>
      </c>
      <c r="C694" s="196">
        <v>14.32</v>
      </c>
      <c r="D694" s="196">
        <v>14.38</v>
      </c>
      <c r="E694" s="195" t="s">
        <v>598</v>
      </c>
      <c r="F694" s="195" t="s">
        <v>19</v>
      </c>
    </row>
    <row r="695" spans="1:6" x14ac:dyDescent="0.25">
      <c r="A695" s="189" t="str">
        <f t="shared" si="10"/>
        <v>AA-MD 46800.09N</v>
      </c>
      <c r="B695" s="195" t="s">
        <v>956</v>
      </c>
      <c r="C695" s="196">
        <v>0</v>
      </c>
      <c r="D695" s="196">
        <v>0.09</v>
      </c>
      <c r="E695" s="195" t="s">
        <v>583</v>
      </c>
      <c r="F695" s="195" t="s">
        <v>430</v>
      </c>
    </row>
    <row r="696" spans="1:6" x14ac:dyDescent="0.25">
      <c r="A696" s="189" t="str">
        <f t="shared" si="10"/>
        <v>AA-MD 46800.09S</v>
      </c>
      <c r="B696" s="195" t="s">
        <v>956</v>
      </c>
      <c r="C696" s="196">
        <v>0</v>
      </c>
      <c r="D696" s="196">
        <v>0.09</v>
      </c>
      <c r="E696" s="195" t="s">
        <v>583</v>
      </c>
      <c r="F696" s="195" t="s">
        <v>438</v>
      </c>
    </row>
    <row r="697" spans="1:6" x14ac:dyDescent="0.25">
      <c r="A697" s="189" t="str">
        <f t="shared" si="10"/>
        <v>AA-MD 4680.092.8N</v>
      </c>
      <c r="B697" s="195" t="s">
        <v>956</v>
      </c>
      <c r="C697" s="196">
        <v>0.09</v>
      </c>
      <c r="D697" s="196">
        <v>2.8</v>
      </c>
      <c r="E697" s="195" t="s">
        <v>583</v>
      </c>
      <c r="F697" s="195" t="s">
        <v>430</v>
      </c>
    </row>
    <row r="698" spans="1:6" x14ac:dyDescent="0.25">
      <c r="A698" s="189" t="str">
        <f t="shared" si="10"/>
        <v>AA-MD 4680.092.8S</v>
      </c>
      <c r="B698" s="195" t="s">
        <v>956</v>
      </c>
      <c r="C698" s="196">
        <v>0.09</v>
      </c>
      <c r="D698" s="196">
        <v>2.8</v>
      </c>
      <c r="E698" s="195" t="s">
        <v>583</v>
      </c>
      <c r="F698" s="195" t="s">
        <v>438</v>
      </c>
    </row>
    <row r="699" spans="1:6" x14ac:dyDescent="0.25">
      <c r="A699" s="189" t="str">
        <f t="shared" si="10"/>
        <v>AA-MD 4682.82.83N</v>
      </c>
      <c r="B699" s="195" t="s">
        <v>956</v>
      </c>
      <c r="C699" s="196">
        <v>2.8</v>
      </c>
      <c r="D699" s="196">
        <v>2.83</v>
      </c>
      <c r="E699" s="195" t="s">
        <v>583</v>
      </c>
      <c r="F699" s="195" t="s">
        <v>430</v>
      </c>
    </row>
    <row r="700" spans="1:6" x14ac:dyDescent="0.25">
      <c r="A700" s="189" t="str">
        <f t="shared" si="10"/>
        <v>AA-MD 4682.82.83S</v>
      </c>
      <c r="B700" s="195" t="s">
        <v>956</v>
      </c>
      <c r="C700" s="196">
        <v>2.8</v>
      </c>
      <c r="D700" s="196">
        <v>2.83</v>
      </c>
      <c r="E700" s="195" t="s">
        <v>583</v>
      </c>
      <c r="F700" s="195" t="s">
        <v>438</v>
      </c>
    </row>
    <row r="701" spans="1:6" x14ac:dyDescent="0.25">
      <c r="A701" s="189" t="str">
        <f t="shared" si="10"/>
        <v>AA-MD 4682.833.4N</v>
      </c>
      <c r="B701" s="195" t="s">
        <v>956</v>
      </c>
      <c r="C701" s="196">
        <v>2.83</v>
      </c>
      <c r="D701" s="196">
        <v>3.4</v>
      </c>
      <c r="E701" s="195" t="s">
        <v>583</v>
      </c>
      <c r="F701" s="195" t="s">
        <v>430</v>
      </c>
    </row>
    <row r="702" spans="1:6" x14ac:dyDescent="0.25">
      <c r="A702" s="189" t="str">
        <f t="shared" si="10"/>
        <v>AA-MD 4682.833.4S</v>
      </c>
      <c r="B702" s="195" t="s">
        <v>956</v>
      </c>
      <c r="C702" s="196">
        <v>2.83</v>
      </c>
      <c r="D702" s="196">
        <v>3.4</v>
      </c>
      <c r="E702" s="195" t="s">
        <v>583</v>
      </c>
      <c r="F702" s="195" t="s">
        <v>438</v>
      </c>
    </row>
    <row r="703" spans="1:6" x14ac:dyDescent="0.25">
      <c r="A703" s="189" t="str">
        <f t="shared" si="10"/>
        <v>AA-MD 4683.46.23N</v>
      </c>
      <c r="B703" s="195" t="s">
        <v>956</v>
      </c>
      <c r="C703" s="196">
        <v>3.4</v>
      </c>
      <c r="D703" s="196">
        <v>6.23</v>
      </c>
      <c r="E703" s="195" t="s">
        <v>583</v>
      </c>
      <c r="F703" s="195" t="s">
        <v>430</v>
      </c>
    </row>
    <row r="704" spans="1:6" x14ac:dyDescent="0.25">
      <c r="A704" s="189" t="str">
        <f t="shared" si="10"/>
        <v>AA-MD 4683.46.23S</v>
      </c>
      <c r="B704" s="195" t="s">
        <v>956</v>
      </c>
      <c r="C704" s="196">
        <v>3.4</v>
      </c>
      <c r="D704" s="196">
        <v>6.23</v>
      </c>
      <c r="E704" s="195" t="s">
        <v>583</v>
      </c>
      <c r="F704" s="195" t="s">
        <v>438</v>
      </c>
    </row>
    <row r="705" spans="1:6" x14ac:dyDescent="0.25">
      <c r="A705" s="189" t="str">
        <f t="shared" si="10"/>
        <v>AA-MD 4686.2311.19N</v>
      </c>
      <c r="B705" s="195" t="s">
        <v>956</v>
      </c>
      <c r="C705" s="196">
        <v>6.23</v>
      </c>
      <c r="D705" s="196">
        <v>11.19</v>
      </c>
      <c r="E705" s="195" t="s">
        <v>583</v>
      </c>
      <c r="F705" s="195" t="s">
        <v>430</v>
      </c>
    </row>
    <row r="706" spans="1:6" x14ac:dyDescent="0.25">
      <c r="A706" s="189" t="str">
        <f t="shared" si="10"/>
        <v>AA-MD 4686.2311.19S</v>
      </c>
      <c r="B706" s="195" t="s">
        <v>956</v>
      </c>
      <c r="C706" s="196">
        <v>6.23</v>
      </c>
      <c r="D706" s="196">
        <v>11.19</v>
      </c>
      <c r="E706" s="195" t="s">
        <v>583</v>
      </c>
      <c r="F706" s="195" t="s">
        <v>438</v>
      </c>
    </row>
    <row r="707" spans="1:6" x14ac:dyDescent="0.25">
      <c r="A707" s="189" t="str">
        <f t="shared" ref="A707:A770" si="11">B707&amp;C707&amp;D707&amp;F707</f>
        <v>AA-MD 468B00.01E</v>
      </c>
      <c r="B707" s="195" t="s">
        <v>957</v>
      </c>
      <c r="C707" s="196">
        <v>0</v>
      </c>
      <c r="D707" s="196">
        <v>0.01</v>
      </c>
      <c r="E707" s="195" t="s">
        <v>598</v>
      </c>
      <c r="F707" s="195" t="s">
        <v>19</v>
      </c>
    </row>
    <row r="708" spans="1:6" x14ac:dyDescent="0.25">
      <c r="A708" s="189" t="str">
        <f t="shared" si="11"/>
        <v>AA-MD 468B00.01W</v>
      </c>
      <c r="B708" s="195" t="s">
        <v>957</v>
      </c>
      <c r="C708" s="196">
        <v>0</v>
      </c>
      <c r="D708" s="196">
        <v>0.01</v>
      </c>
      <c r="E708" s="195" t="s">
        <v>593</v>
      </c>
      <c r="F708" s="195" t="s">
        <v>432</v>
      </c>
    </row>
    <row r="709" spans="1:6" x14ac:dyDescent="0.25">
      <c r="A709" s="189" t="str">
        <f t="shared" si="11"/>
        <v>AA-MD 553A00.28N</v>
      </c>
      <c r="B709" s="195" t="s">
        <v>958</v>
      </c>
      <c r="C709" s="196">
        <v>0</v>
      </c>
      <c r="D709" s="196">
        <v>0.28000000000000003</v>
      </c>
      <c r="E709" s="195" t="s">
        <v>589</v>
      </c>
      <c r="F709" s="195" t="s">
        <v>430</v>
      </c>
    </row>
    <row r="710" spans="1:6" x14ac:dyDescent="0.25">
      <c r="A710" s="189" t="str">
        <f t="shared" si="11"/>
        <v>AA-MD 553A00.28S</v>
      </c>
      <c r="B710" s="195" t="s">
        <v>958</v>
      </c>
      <c r="C710" s="196">
        <v>0</v>
      </c>
      <c r="D710" s="196">
        <v>0.28000000000000003</v>
      </c>
      <c r="E710" s="195" t="s">
        <v>595</v>
      </c>
      <c r="F710" s="195" t="s">
        <v>438</v>
      </c>
    </row>
    <row r="711" spans="1:6" x14ac:dyDescent="0.25">
      <c r="A711" s="189" t="str">
        <f t="shared" si="11"/>
        <v>AA-MD 553B00.27N</v>
      </c>
      <c r="B711" s="195" t="s">
        <v>959</v>
      </c>
      <c r="C711" s="196">
        <v>0</v>
      </c>
      <c r="D711" s="196">
        <v>0.27</v>
      </c>
      <c r="E711" s="195" t="s">
        <v>589</v>
      </c>
      <c r="F711" s="195" t="s">
        <v>430</v>
      </c>
    </row>
    <row r="712" spans="1:6" x14ac:dyDescent="0.25">
      <c r="A712" s="189" t="str">
        <f t="shared" si="11"/>
        <v>AA-MD 553B00.27S</v>
      </c>
      <c r="B712" s="195" t="s">
        <v>959</v>
      </c>
      <c r="C712" s="196">
        <v>0</v>
      </c>
      <c r="D712" s="196">
        <v>0.27</v>
      </c>
      <c r="E712" s="195" t="s">
        <v>595</v>
      </c>
      <c r="F712" s="195" t="s">
        <v>438</v>
      </c>
    </row>
    <row r="713" spans="1:6" x14ac:dyDescent="0.25">
      <c r="A713" s="189" t="str">
        <f t="shared" si="11"/>
        <v>AA-MD 553C00.25N</v>
      </c>
      <c r="B713" s="195" t="s">
        <v>960</v>
      </c>
      <c r="C713" s="196">
        <v>0</v>
      </c>
      <c r="D713" s="196">
        <v>0.25</v>
      </c>
      <c r="E713" s="195" t="s">
        <v>589</v>
      </c>
      <c r="F713" s="195" t="s">
        <v>430</v>
      </c>
    </row>
    <row r="714" spans="1:6" x14ac:dyDescent="0.25">
      <c r="A714" s="189" t="str">
        <f t="shared" si="11"/>
        <v>AA-MD 553C00.25S</v>
      </c>
      <c r="B714" s="195" t="s">
        <v>960</v>
      </c>
      <c r="C714" s="196">
        <v>0</v>
      </c>
      <c r="D714" s="196">
        <v>0.25</v>
      </c>
      <c r="E714" s="195" t="s">
        <v>595</v>
      </c>
      <c r="F714" s="195" t="s">
        <v>438</v>
      </c>
    </row>
    <row r="715" spans="1:6" x14ac:dyDescent="0.25">
      <c r="A715" s="189" t="str">
        <f t="shared" si="11"/>
        <v>AA-MD 553D00.1E</v>
      </c>
      <c r="B715" s="195" t="s">
        <v>961</v>
      </c>
      <c r="C715" s="196">
        <v>0</v>
      </c>
      <c r="D715" s="196">
        <v>0.1</v>
      </c>
      <c r="E715" s="195" t="s">
        <v>598</v>
      </c>
      <c r="F715" s="195" t="s">
        <v>19</v>
      </c>
    </row>
    <row r="716" spans="1:6" x14ac:dyDescent="0.25">
      <c r="A716" s="189" t="str">
        <f t="shared" si="11"/>
        <v>AA-MD 553D00.1W</v>
      </c>
      <c r="B716" s="195" t="s">
        <v>961</v>
      </c>
      <c r="C716" s="196">
        <v>0</v>
      </c>
      <c r="D716" s="196">
        <v>0.1</v>
      </c>
      <c r="E716" s="195" t="s">
        <v>593</v>
      </c>
      <c r="F716" s="195" t="s">
        <v>432</v>
      </c>
    </row>
    <row r="717" spans="1:6" x14ac:dyDescent="0.25">
      <c r="A717" s="189" t="str">
        <f t="shared" si="11"/>
        <v>AA-MD 60700.44N</v>
      </c>
      <c r="B717" s="195" t="s">
        <v>522</v>
      </c>
      <c r="C717" s="196">
        <v>0</v>
      </c>
      <c r="D717" s="196">
        <v>0.44</v>
      </c>
      <c r="E717" s="195" t="s">
        <v>583</v>
      </c>
      <c r="F717" s="195" t="s">
        <v>430</v>
      </c>
    </row>
    <row r="718" spans="1:6" x14ac:dyDescent="0.25">
      <c r="A718" s="189" t="str">
        <f t="shared" si="11"/>
        <v>AA-MD 60700.44S</v>
      </c>
      <c r="B718" s="195" t="s">
        <v>522</v>
      </c>
      <c r="C718" s="196">
        <v>0</v>
      </c>
      <c r="D718" s="196">
        <v>0.44</v>
      </c>
      <c r="E718" s="195" t="s">
        <v>583</v>
      </c>
      <c r="F718" s="195" t="s">
        <v>438</v>
      </c>
    </row>
    <row r="719" spans="1:6" x14ac:dyDescent="0.25">
      <c r="A719" s="189" t="str">
        <f t="shared" si="11"/>
        <v>AA-MD 6070.440.78N</v>
      </c>
      <c r="B719" s="195" t="s">
        <v>522</v>
      </c>
      <c r="C719" s="196">
        <v>0.44</v>
      </c>
      <c r="D719" s="196">
        <v>0.78</v>
      </c>
      <c r="E719" s="195" t="s">
        <v>583</v>
      </c>
      <c r="F719" s="195" t="s">
        <v>430</v>
      </c>
    </row>
    <row r="720" spans="1:6" x14ac:dyDescent="0.25">
      <c r="A720" s="189" t="str">
        <f t="shared" si="11"/>
        <v>AA-MD 6070.440.78S</v>
      </c>
      <c r="B720" s="195" t="s">
        <v>522</v>
      </c>
      <c r="C720" s="196">
        <v>0.44</v>
      </c>
      <c r="D720" s="196">
        <v>0.78</v>
      </c>
      <c r="E720" s="195" t="s">
        <v>583</v>
      </c>
      <c r="F720" s="195" t="s">
        <v>438</v>
      </c>
    </row>
    <row r="721" spans="1:6" x14ac:dyDescent="0.25">
      <c r="A721" s="189" t="str">
        <f t="shared" si="11"/>
        <v>AA-MD 6070.781.54N</v>
      </c>
      <c r="B721" s="195" t="s">
        <v>522</v>
      </c>
      <c r="C721" s="196">
        <v>0.78</v>
      </c>
      <c r="D721" s="196">
        <v>1.54</v>
      </c>
      <c r="E721" s="195" t="s">
        <v>583</v>
      </c>
      <c r="F721" s="195" t="s">
        <v>430</v>
      </c>
    </row>
    <row r="722" spans="1:6" x14ac:dyDescent="0.25">
      <c r="A722" s="189" t="str">
        <f t="shared" si="11"/>
        <v>AA-MD 6070.781.54S</v>
      </c>
      <c r="B722" s="195" t="s">
        <v>522</v>
      </c>
      <c r="C722" s="196">
        <v>0.78</v>
      </c>
      <c r="D722" s="196">
        <v>1.54</v>
      </c>
      <c r="E722" s="195" t="s">
        <v>583</v>
      </c>
      <c r="F722" s="195" t="s">
        <v>438</v>
      </c>
    </row>
    <row r="723" spans="1:6" x14ac:dyDescent="0.25">
      <c r="A723" s="189" t="str">
        <f t="shared" si="11"/>
        <v>AA-MD 64200.08E</v>
      </c>
      <c r="B723" s="195" t="s">
        <v>962</v>
      </c>
      <c r="C723" s="196">
        <v>0</v>
      </c>
      <c r="D723" s="196">
        <v>0.08</v>
      </c>
      <c r="E723" s="195" t="s">
        <v>598</v>
      </c>
      <c r="F723" s="195" t="s">
        <v>19</v>
      </c>
    </row>
    <row r="724" spans="1:6" x14ac:dyDescent="0.25">
      <c r="A724" s="189" t="str">
        <f t="shared" si="11"/>
        <v>AA-MD 6420.030.08W</v>
      </c>
      <c r="B724" s="195" t="s">
        <v>962</v>
      </c>
      <c r="C724" s="196">
        <v>0.03</v>
      </c>
      <c r="D724" s="196">
        <v>0.08</v>
      </c>
      <c r="E724" s="195" t="s">
        <v>593</v>
      </c>
      <c r="F724" s="195" t="s">
        <v>432</v>
      </c>
    </row>
    <row r="725" spans="1:6" x14ac:dyDescent="0.25">
      <c r="A725" s="189" t="str">
        <f t="shared" si="11"/>
        <v>AA-MD 645B00.12E</v>
      </c>
      <c r="B725" s="195" t="s">
        <v>963</v>
      </c>
      <c r="C725" s="196">
        <v>0</v>
      </c>
      <c r="D725" s="196">
        <v>0.12</v>
      </c>
      <c r="E725" s="195" t="s">
        <v>598</v>
      </c>
      <c r="F725" s="195" t="s">
        <v>19</v>
      </c>
    </row>
    <row r="726" spans="1:6" x14ac:dyDescent="0.25">
      <c r="A726" s="189" t="str">
        <f t="shared" si="11"/>
        <v>AA-MD 645B00.12W</v>
      </c>
      <c r="B726" s="195" t="s">
        <v>963</v>
      </c>
      <c r="C726" s="196">
        <v>0</v>
      </c>
      <c r="D726" s="196">
        <v>0.12</v>
      </c>
      <c r="E726" s="195" t="s">
        <v>593</v>
      </c>
      <c r="F726" s="195" t="s">
        <v>432</v>
      </c>
    </row>
    <row r="727" spans="1:6" x14ac:dyDescent="0.25">
      <c r="A727" s="189" t="str">
        <f t="shared" si="11"/>
        <v>AA-MD 645D00.03N</v>
      </c>
      <c r="B727" s="195" t="s">
        <v>964</v>
      </c>
      <c r="C727" s="196">
        <v>0</v>
      </c>
      <c r="D727" s="196">
        <v>0.03</v>
      </c>
      <c r="E727" s="195" t="s">
        <v>589</v>
      </c>
      <c r="F727" s="195" t="s">
        <v>430</v>
      </c>
    </row>
    <row r="728" spans="1:6" x14ac:dyDescent="0.25">
      <c r="A728" s="189" t="str">
        <f t="shared" si="11"/>
        <v>AA-MD 645D00.03S</v>
      </c>
      <c r="B728" s="195" t="s">
        <v>964</v>
      </c>
      <c r="C728" s="196">
        <v>0</v>
      </c>
      <c r="D728" s="196">
        <v>0.03</v>
      </c>
      <c r="E728" s="195" t="s">
        <v>595</v>
      </c>
      <c r="F728" s="195" t="s">
        <v>438</v>
      </c>
    </row>
    <row r="729" spans="1:6" x14ac:dyDescent="0.25">
      <c r="A729" s="189" t="str">
        <f t="shared" si="11"/>
        <v>AA-MD 648A00.88N</v>
      </c>
      <c r="B729" s="195" t="s">
        <v>965</v>
      </c>
      <c r="C729" s="196">
        <v>0</v>
      </c>
      <c r="D729" s="196">
        <v>0.88</v>
      </c>
      <c r="E729" s="195" t="s">
        <v>583</v>
      </c>
      <c r="F729" s="195" t="s">
        <v>430</v>
      </c>
    </row>
    <row r="730" spans="1:6" x14ac:dyDescent="0.25">
      <c r="A730" s="189" t="str">
        <f t="shared" si="11"/>
        <v>AA-MD 648A00.88S</v>
      </c>
      <c r="B730" s="195" t="s">
        <v>965</v>
      </c>
      <c r="C730" s="196">
        <v>0</v>
      </c>
      <c r="D730" s="196">
        <v>0.88</v>
      </c>
      <c r="E730" s="195" t="s">
        <v>583</v>
      </c>
      <c r="F730" s="195" t="s">
        <v>438</v>
      </c>
    </row>
    <row r="731" spans="1:6" x14ac:dyDescent="0.25">
      <c r="A731" s="189" t="str">
        <f t="shared" si="11"/>
        <v>AA-MD 648A0.882.08N</v>
      </c>
      <c r="B731" s="195" t="s">
        <v>965</v>
      </c>
      <c r="C731" s="196">
        <v>0.88</v>
      </c>
      <c r="D731" s="196">
        <v>2.08</v>
      </c>
      <c r="E731" s="195" t="s">
        <v>583</v>
      </c>
      <c r="F731" s="195" t="s">
        <v>430</v>
      </c>
    </row>
    <row r="732" spans="1:6" x14ac:dyDescent="0.25">
      <c r="A732" s="189" t="str">
        <f t="shared" si="11"/>
        <v>AA-MD 648A0.882.08S</v>
      </c>
      <c r="B732" s="195" t="s">
        <v>965</v>
      </c>
      <c r="C732" s="196">
        <v>0.88</v>
      </c>
      <c r="D732" s="196">
        <v>2.08</v>
      </c>
      <c r="E732" s="195" t="s">
        <v>583</v>
      </c>
      <c r="F732" s="195" t="s">
        <v>438</v>
      </c>
    </row>
    <row r="733" spans="1:6" x14ac:dyDescent="0.25">
      <c r="A733" s="189" t="str">
        <f t="shared" si="11"/>
        <v>AA-MD 648A2.082.09N</v>
      </c>
      <c r="B733" s="195" t="s">
        <v>965</v>
      </c>
      <c r="C733" s="196">
        <v>2.08</v>
      </c>
      <c r="D733" s="196">
        <v>2.09</v>
      </c>
      <c r="E733" s="195" t="s">
        <v>583</v>
      </c>
      <c r="F733" s="195" t="s">
        <v>430</v>
      </c>
    </row>
    <row r="734" spans="1:6" x14ac:dyDescent="0.25">
      <c r="A734" s="189" t="str">
        <f t="shared" si="11"/>
        <v>AA-MD 648A2.082.09S</v>
      </c>
      <c r="B734" s="195" t="s">
        <v>965</v>
      </c>
      <c r="C734" s="196">
        <v>2.08</v>
      </c>
      <c r="D734" s="196">
        <v>2.09</v>
      </c>
      <c r="E734" s="195" t="s">
        <v>583</v>
      </c>
      <c r="F734" s="195" t="s">
        <v>438</v>
      </c>
    </row>
    <row r="735" spans="1:6" x14ac:dyDescent="0.25">
      <c r="A735" s="189" t="str">
        <f t="shared" si="11"/>
        <v>AA-MD 648AA00.38N</v>
      </c>
      <c r="B735" s="195" t="s">
        <v>966</v>
      </c>
      <c r="C735" s="196">
        <v>0</v>
      </c>
      <c r="D735" s="196">
        <v>0.38</v>
      </c>
      <c r="E735" s="195" t="s">
        <v>583</v>
      </c>
      <c r="F735" s="195" t="s">
        <v>430</v>
      </c>
    </row>
    <row r="736" spans="1:6" x14ac:dyDescent="0.25">
      <c r="A736" s="189" t="str">
        <f t="shared" si="11"/>
        <v>AA-MD 648AA00.38S</v>
      </c>
      <c r="B736" s="195" t="s">
        <v>966</v>
      </c>
      <c r="C736" s="196">
        <v>0</v>
      </c>
      <c r="D736" s="196">
        <v>0.38</v>
      </c>
      <c r="E736" s="195" t="s">
        <v>583</v>
      </c>
      <c r="F736" s="195" t="s">
        <v>438</v>
      </c>
    </row>
    <row r="737" spans="1:6" x14ac:dyDescent="0.25">
      <c r="A737" s="189" t="str">
        <f t="shared" si="11"/>
        <v>AA-MD 648AA0.380.43N</v>
      </c>
      <c r="B737" s="195" t="s">
        <v>966</v>
      </c>
      <c r="C737" s="196">
        <v>0.38</v>
      </c>
      <c r="D737" s="196">
        <v>0.43</v>
      </c>
      <c r="E737" s="195" t="s">
        <v>583</v>
      </c>
      <c r="F737" s="195" t="s">
        <v>430</v>
      </c>
    </row>
    <row r="738" spans="1:6" x14ac:dyDescent="0.25">
      <c r="A738" s="189" t="str">
        <f t="shared" si="11"/>
        <v>AA-MD 648AA0.380.43S</v>
      </c>
      <c r="B738" s="195" t="s">
        <v>966</v>
      </c>
      <c r="C738" s="196">
        <v>0.38</v>
      </c>
      <c r="D738" s="196">
        <v>0.43</v>
      </c>
      <c r="E738" s="195" t="s">
        <v>583</v>
      </c>
      <c r="F738" s="195" t="s">
        <v>438</v>
      </c>
    </row>
    <row r="739" spans="1:6" x14ac:dyDescent="0.25">
      <c r="A739" s="189" t="str">
        <f t="shared" si="11"/>
        <v>AA-MD 648AA0.430.48N</v>
      </c>
      <c r="B739" s="195" t="s">
        <v>966</v>
      </c>
      <c r="C739" s="196">
        <v>0.43</v>
      </c>
      <c r="D739" s="196">
        <v>0.48</v>
      </c>
      <c r="E739" s="195" t="s">
        <v>583</v>
      </c>
      <c r="F739" s="195" t="s">
        <v>430</v>
      </c>
    </row>
    <row r="740" spans="1:6" x14ac:dyDescent="0.25">
      <c r="A740" s="189" t="str">
        <f t="shared" si="11"/>
        <v>AA-MD 648AA0.430.48S</v>
      </c>
      <c r="B740" s="195" t="s">
        <v>966</v>
      </c>
      <c r="C740" s="196">
        <v>0.43</v>
      </c>
      <c r="D740" s="196">
        <v>0.48</v>
      </c>
      <c r="E740" s="195" t="s">
        <v>583</v>
      </c>
      <c r="F740" s="195" t="s">
        <v>438</v>
      </c>
    </row>
    <row r="741" spans="1:6" x14ac:dyDescent="0.25">
      <c r="A741" s="189" t="str">
        <f t="shared" si="11"/>
        <v>AA-MD 648AB00.1E</v>
      </c>
      <c r="B741" s="195" t="s">
        <v>967</v>
      </c>
      <c r="C741" s="196">
        <v>0</v>
      </c>
      <c r="D741" s="196">
        <v>0.1</v>
      </c>
      <c r="E741" s="195" t="s">
        <v>598</v>
      </c>
      <c r="F741" s="195" t="s">
        <v>19</v>
      </c>
    </row>
    <row r="742" spans="1:6" x14ac:dyDescent="0.25">
      <c r="A742" s="189" t="str">
        <f t="shared" si="11"/>
        <v>AA-MD 648AB00.1W</v>
      </c>
      <c r="B742" s="195" t="s">
        <v>967</v>
      </c>
      <c r="C742" s="196">
        <v>0</v>
      </c>
      <c r="D742" s="196">
        <v>0.1</v>
      </c>
      <c r="E742" s="195" t="s">
        <v>593</v>
      </c>
      <c r="F742" s="195" t="s">
        <v>432</v>
      </c>
    </row>
    <row r="743" spans="1:6" x14ac:dyDescent="0.25">
      <c r="A743" s="189" t="str">
        <f t="shared" si="11"/>
        <v>AA-MD 648D04.18N</v>
      </c>
      <c r="B743" s="195" t="s">
        <v>968</v>
      </c>
      <c r="C743" s="196">
        <v>0</v>
      </c>
      <c r="D743" s="196">
        <v>4.18</v>
      </c>
      <c r="E743" s="195" t="s">
        <v>583</v>
      </c>
      <c r="F743" s="195" t="s">
        <v>430</v>
      </c>
    </row>
    <row r="744" spans="1:6" x14ac:dyDescent="0.25">
      <c r="A744" s="189" t="str">
        <f t="shared" si="11"/>
        <v>AA-MD 648D04.18S</v>
      </c>
      <c r="B744" s="195" t="s">
        <v>968</v>
      </c>
      <c r="C744" s="196">
        <v>0</v>
      </c>
      <c r="D744" s="196">
        <v>4.18</v>
      </c>
      <c r="E744" s="195" t="s">
        <v>583</v>
      </c>
      <c r="F744" s="195" t="s">
        <v>438</v>
      </c>
    </row>
    <row r="745" spans="1:6" x14ac:dyDescent="0.25">
      <c r="A745" s="189" t="str">
        <f t="shared" si="11"/>
        <v>AA-MD 648E01.5N</v>
      </c>
      <c r="B745" s="195" t="s">
        <v>969</v>
      </c>
      <c r="C745" s="196">
        <v>0</v>
      </c>
      <c r="D745" s="196">
        <v>1.5</v>
      </c>
      <c r="E745" s="195" t="s">
        <v>583</v>
      </c>
      <c r="F745" s="195" t="s">
        <v>430</v>
      </c>
    </row>
    <row r="746" spans="1:6" x14ac:dyDescent="0.25">
      <c r="A746" s="189" t="str">
        <f t="shared" si="11"/>
        <v>AA-MD 648E01.5S</v>
      </c>
      <c r="B746" s="195" t="s">
        <v>969</v>
      </c>
      <c r="C746" s="196">
        <v>0</v>
      </c>
      <c r="D746" s="196">
        <v>1.5</v>
      </c>
      <c r="E746" s="195" t="s">
        <v>583</v>
      </c>
      <c r="F746" s="195" t="s">
        <v>438</v>
      </c>
    </row>
    <row r="747" spans="1:6" x14ac:dyDescent="0.25">
      <c r="A747" s="189" t="str">
        <f t="shared" si="11"/>
        <v>AA-MD 648E2.352.97N</v>
      </c>
      <c r="B747" s="195" t="s">
        <v>969</v>
      </c>
      <c r="C747" s="196">
        <v>2.35</v>
      </c>
      <c r="D747" s="196">
        <v>2.97</v>
      </c>
      <c r="E747" s="195" t="s">
        <v>583</v>
      </c>
      <c r="F747" s="195" t="s">
        <v>430</v>
      </c>
    </row>
    <row r="748" spans="1:6" x14ac:dyDescent="0.25">
      <c r="A748" s="189" t="str">
        <f t="shared" si="11"/>
        <v>AA-MD 648E2.352.97S</v>
      </c>
      <c r="B748" s="195" t="s">
        <v>969</v>
      </c>
      <c r="C748" s="196">
        <v>2.35</v>
      </c>
      <c r="D748" s="196">
        <v>2.97</v>
      </c>
      <c r="E748" s="195" t="s">
        <v>583</v>
      </c>
      <c r="F748" s="195" t="s">
        <v>438</v>
      </c>
    </row>
    <row r="749" spans="1:6" x14ac:dyDescent="0.25">
      <c r="A749" s="189" t="str">
        <f t="shared" si="11"/>
        <v>AA-MD 648E2.973.07N</v>
      </c>
      <c r="B749" s="195" t="s">
        <v>969</v>
      </c>
      <c r="C749" s="196">
        <v>2.97</v>
      </c>
      <c r="D749" s="196">
        <v>3.07</v>
      </c>
      <c r="E749" s="195" t="s">
        <v>583</v>
      </c>
      <c r="F749" s="195" t="s">
        <v>430</v>
      </c>
    </row>
    <row r="750" spans="1:6" x14ac:dyDescent="0.25">
      <c r="A750" s="189" t="str">
        <f t="shared" si="11"/>
        <v>AA-MD 648E2.973.07S</v>
      </c>
      <c r="B750" s="195" t="s">
        <v>969</v>
      </c>
      <c r="C750" s="196">
        <v>2.97</v>
      </c>
      <c r="D750" s="196">
        <v>3.07</v>
      </c>
      <c r="E750" s="195" t="s">
        <v>583</v>
      </c>
      <c r="F750" s="195" t="s">
        <v>438</v>
      </c>
    </row>
    <row r="751" spans="1:6" x14ac:dyDescent="0.25">
      <c r="A751" s="189" t="str">
        <f t="shared" si="11"/>
        <v>AA-MD 648E3.423.81N</v>
      </c>
      <c r="B751" s="195" t="s">
        <v>969</v>
      </c>
      <c r="C751" s="196">
        <v>3.42</v>
      </c>
      <c r="D751" s="196">
        <v>3.81</v>
      </c>
      <c r="E751" s="195" t="s">
        <v>583</v>
      </c>
      <c r="F751" s="195" t="s">
        <v>430</v>
      </c>
    </row>
    <row r="752" spans="1:6" x14ac:dyDescent="0.25">
      <c r="A752" s="189" t="str">
        <f t="shared" si="11"/>
        <v>AA-MD 648E3.423.81S</v>
      </c>
      <c r="B752" s="195" t="s">
        <v>969</v>
      </c>
      <c r="C752" s="196">
        <v>3.42</v>
      </c>
      <c r="D752" s="196">
        <v>3.81</v>
      </c>
      <c r="E752" s="195" t="s">
        <v>583</v>
      </c>
      <c r="F752" s="195" t="s">
        <v>438</v>
      </c>
    </row>
    <row r="753" spans="1:6" x14ac:dyDescent="0.25">
      <c r="A753" s="189" t="str">
        <f t="shared" si="11"/>
        <v>AA-MD 648E3.814.05N</v>
      </c>
      <c r="B753" s="195" t="s">
        <v>969</v>
      </c>
      <c r="C753" s="196">
        <v>3.81</v>
      </c>
      <c r="D753" s="196">
        <v>4.05</v>
      </c>
      <c r="E753" s="195" t="s">
        <v>589</v>
      </c>
      <c r="F753" s="195" t="s">
        <v>430</v>
      </c>
    </row>
    <row r="754" spans="1:6" x14ac:dyDescent="0.25">
      <c r="A754" s="189" t="str">
        <f t="shared" si="11"/>
        <v>AA-MD 648E3.816.25S</v>
      </c>
      <c r="B754" s="195" t="s">
        <v>969</v>
      </c>
      <c r="C754" s="196">
        <v>3.81</v>
      </c>
      <c r="D754" s="196">
        <v>6.25</v>
      </c>
      <c r="E754" s="195" t="s">
        <v>595</v>
      </c>
      <c r="F754" s="195" t="s">
        <v>438</v>
      </c>
    </row>
    <row r="755" spans="1:6" x14ac:dyDescent="0.25">
      <c r="A755" s="189" t="str">
        <f t="shared" si="11"/>
        <v>AA-MD 648E4.56.25N</v>
      </c>
      <c r="B755" s="195" t="s">
        <v>969</v>
      </c>
      <c r="C755" s="196">
        <v>4.5</v>
      </c>
      <c r="D755" s="196">
        <v>6.25</v>
      </c>
      <c r="E755" s="195" t="s">
        <v>589</v>
      </c>
      <c r="F755" s="195" t="s">
        <v>430</v>
      </c>
    </row>
    <row r="756" spans="1:6" x14ac:dyDescent="0.25">
      <c r="A756" s="189" t="str">
        <f t="shared" si="11"/>
        <v>AA-MD 648E6.76.73S</v>
      </c>
      <c r="B756" s="195" t="s">
        <v>969</v>
      </c>
      <c r="C756" s="196">
        <v>6.7</v>
      </c>
      <c r="D756" s="196">
        <v>6.73</v>
      </c>
      <c r="E756" s="195" t="s">
        <v>595</v>
      </c>
      <c r="F756" s="195" t="s">
        <v>438</v>
      </c>
    </row>
    <row r="757" spans="1:6" x14ac:dyDescent="0.25">
      <c r="A757" s="189" t="str">
        <f t="shared" si="11"/>
        <v>AA-MD 648E6.77.55N</v>
      </c>
      <c r="B757" s="195" t="s">
        <v>969</v>
      </c>
      <c r="C757" s="196">
        <v>6.7</v>
      </c>
      <c r="D757" s="196">
        <v>7.55</v>
      </c>
      <c r="E757" s="195" t="s">
        <v>589</v>
      </c>
      <c r="F757" s="195" t="s">
        <v>430</v>
      </c>
    </row>
    <row r="758" spans="1:6" x14ac:dyDescent="0.25">
      <c r="A758" s="189" t="str">
        <f t="shared" si="11"/>
        <v>AA-MD 648E6.736.95S</v>
      </c>
      <c r="B758" s="195" t="s">
        <v>969</v>
      </c>
      <c r="C758" s="196">
        <v>6.73</v>
      </c>
      <c r="D758" s="196">
        <v>6.95</v>
      </c>
      <c r="E758" s="195" t="s">
        <v>595</v>
      </c>
      <c r="F758" s="195" t="s">
        <v>438</v>
      </c>
    </row>
    <row r="759" spans="1:6" x14ac:dyDescent="0.25">
      <c r="A759" s="189" t="str">
        <f t="shared" si="11"/>
        <v>AA-MD 648E6.957S</v>
      </c>
      <c r="B759" s="195" t="s">
        <v>969</v>
      </c>
      <c r="C759" s="196">
        <v>6.95</v>
      </c>
      <c r="D759" s="196">
        <v>7</v>
      </c>
      <c r="E759" s="195" t="s">
        <v>595</v>
      </c>
      <c r="F759" s="195" t="s">
        <v>438</v>
      </c>
    </row>
    <row r="760" spans="1:6" x14ac:dyDescent="0.25">
      <c r="A760" s="189" t="str">
        <f t="shared" si="11"/>
        <v>AA-MD 648E77.55S</v>
      </c>
      <c r="B760" s="195" t="s">
        <v>969</v>
      </c>
      <c r="C760" s="196">
        <v>7</v>
      </c>
      <c r="D760" s="196">
        <v>7.55</v>
      </c>
      <c r="E760" s="195" t="s">
        <v>595</v>
      </c>
      <c r="F760" s="195" t="s">
        <v>438</v>
      </c>
    </row>
    <row r="761" spans="1:6" x14ac:dyDescent="0.25">
      <c r="A761" s="189" t="str">
        <f t="shared" si="11"/>
        <v>AA-MD 648E7.557.83N</v>
      </c>
      <c r="B761" s="195" t="s">
        <v>969</v>
      </c>
      <c r="C761" s="196">
        <v>7.55</v>
      </c>
      <c r="D761" s="196">
        <v>7.83</v>
      </c>
      <c r="E761" s="195" t="s">
        <v>583</v>
      </c>
      <c r="F761" s="195" t="s">
        <v>430</v>
      </c>
    </row>
    <row r="762" spans="1:6" x14ac:dyDescent="0.25">
      <c r="A762" s="189" t="str">
        <f t="shared" si="11"/>
        <v>AA-MD 648E7.557.83S</v>
      </c>
      <c r="B762" s="195" t="s">
        <v>969</v>
      </c>
      <c r="C762" s="196">
        <v>7.55</v>
      </c>
      <c r="D762" s="196">
        <v>7.83</v>
      </c>
      <c r="E762" s="195" t="s">
        <v>583</v>
      </c>
      <c r="F762" s="195" t="s">
        <v>438</v>
      </c>
    </row>
    <row r="763" spans="1:6" x14ac:dyDescent="0.25">
      <c r="A763" s="189" t="str">
        <f t="shared" si="11"/>
        <v>AA-MD 648F00.56S</v>
      </c>
      <c r="B763" s="195" t="s">
        <v>970</v>
      </c>
      <c r="C763" s="196">
        <v>0</v>
      </c>
      <c r="D763" s="196">
        <v>0.56000000000000005</v>
      </c>
      <c r="E763" s="195" t="s">
        <v>595</v>
      </c>
      <c r="F763" s="195" t="s">
        <v>438</v>
      </c>
    </row>
    <row r="764" spans="1:6" x14ac:dyDescent="0.25">
      <c r="A764" s="189" t="str">
        <f t="shared" si="11"/>
        <v>AA-MD 648F00.61N</v>
      </c>
      <c r="B764" s="195" t="s">
        <v>970</v>
      </c>
      <c r="C764" s="196">
        <v>0</v>
      </c>
      <c r="D764" s="196">
        <v>0.61</v>
      </c>
      <c r="E764" s="195" t="s">
        <v>589</v>
      </c>
      <c r="F764" s="195" t="s">
        <v>430</v>
      </c>
    </row>
    <row r="765" spans="1:6" x14ac:dyDescent="0.25">
      <c r="A765" s="189" t="str">
        <f t="shared" si="11"/>
        <v>AA-MD 648G00.13N</v>
      </c>
      <c r="B765" s="195" t="s">
        <v>971</v>
      </c>
      <c r="C765" s="196">
        <v>0</v>
      </c>
      <c r="D765" s="196">
        <v>0.13</v>
      </c>
      <c r="E765" s="195" t="s">
        <v>589</v>
      </c>
      <c r="F765" s="195" t="s">
        <v>430</v>
      </c>
    </row>
    <row r="766" spans="1:6" x14ac:dyDescent="0.25">
      <c r="A766" s="189" t="str">
        <f t="shared" si="11"/>
        <v>AA-MD 648G00.13S</v>
      </c>
      <c r="B766" s="195" t="s">
        <v>971</v>
      </c>
      <c r="C766" s="196">
        <v>0</v>
      </c>
      <c r="D766" s="196">
        <v>0.13</v>
      </c>
      <c r="E766" s="195" t="s">
        <v>595</v>
      </c>
      <c r="F766" s="195" t="s">
        <v>438</v>
      </c>
    </row>
    <row r="767" spans="1:6" x14ac:dyDescent="0.25">
      <c r="A767" s="189" t="str">
        <f t="shared" si="11"/>
        <v>AA-MD 648H02.95N</v>
      </c>
      <c r="B767" s="195" t="s">
        <v>523</v>
      </c>
      <c r="C767" s="196">
        <v>0</v>
      </c>
      <c r="D767" s="196">
        <v>2.95</v>
      </c>
      <c r="E767" s="195" t="s">
        <v>583</v>
      </c>
      <c r="F767" s="195" t="s">
        <v>430</v>
      </c>
    </row>
    <row r="768" spans="1:6" x14ac:dyDescent="0.25">
      <c r="A768" s="189" t="str">
        <f t="shared" si="11"/>
        <v>AA-MD 648H02.95S</v>
      </c>
      <c r="B768" s="195" t="s">
        <v>523</v>
      </c>
      <c r="C768" s="196">
        <v>0</v>
      </c>
      <c r="D768" s="196">
        <v>2.95</v>
      </c>
      <c r="E768" s="195" t="s">
        <v>583</v>
      </c>
      <c r="F768" s="195" t="s">
        <v>438</v>
      </c>
    </row>
    <row r="769" spans="1:6" x14ac:dyDescent="0.25">
      <c r="A769" s="189" t="str">
        <f t="shared" si="11"/>
        <v>AA-MD 648H2.953.49N</v>
      </c>
      <c r="B769" s="195" t="s">
        <v>523</v>
      </c>
      <c r="C769" s="196">
        <v>2.95</v>
      </c>
      <c r="D769" s="196">
        <v>3.49</v>
      </c>
      <c r="E769" s="195" t="s">
        <v>583</v>
      </c>
      <c r="F769" s="195" t="s">
        <v>430</v>
      </c>
    </row>
    <row r="770" spans="1:6" x14ac:dyDescent="0.25">
      <c r="A770" s="189" t="str">
        <f t="shared" si="11"/>
        <v>AA-MD 648H2.953.49S</v>
      </c>
      <c r="B770" s="195" t="s">
        <v>523</v>
      </c>
      <c r="C770" s="196">
        <v>2.95</v>
      </c>
      <c r="D770" s="196">
        <v>3.49</v>
      </c>
      <c r="E770" s="195" t="s">
        <v>583</v>
      </c>
      <c r="F770" s="195" t="s">
        <v>438</v>
      </c>
    </row>
    <row r="771" spans="1:6" x14ac:dyDescent="0.25">
      <c r="A771" s="189" t="str">
        <f t="shared" ref="A771:A834" si="12">B771&amp;C771&amp;D771&amp;F771</f>
        <v>AA-MD 648I00.13E</v>
      </c>
      <c r="B771" s="195" t="s">
        <v>972</v>
      </c>
      <c r="C771" s="196">
        <v>0</v>
      </c>
      <c r="D771" s="196">
        <v>0.13</v>
      </c>
      <c r="E771" s="195" t="s">
        <v>598</v>
      </c>
      <c r="F771" s="195" t="s">
        <v>19</v>
      </c>
    </row>
    <row r="772" spans="1:6" x14ac:dyDescent="0.25">
      <c r="A772" s="189" t="str">
        <f t="shared" si="12"/>
        <v>AA-MD 648I00.13W</v>
      </c>
      <c r="B772" s="195" t="s">
        <v>972</v>
      </c>
      <c r="C772" s="196">
        <v>0</v>
      </c>
      <c r="D772" s="196">
        <v>0.13</v>
      </c>
      <c r="E772" s="195" t="s">
        <v>593</v>
      </c>
      <c r="F772" s="195" t="s">
        <v>432</v>
      </c>
    </row>
    <row r="773" spans="1:6" x14ac:dyDescent="0.25">
      <c r="A773" s="189" t="str">
        <f t="shared" si="12"/>
        <v>AA-MD 65200.69N</v>
      </c>
      <c r="B773" s="195" t="s">
        <v>973</v>
      </c>
      <c r="C773" s="196">
        <v>0</v>
      </c>
      <c r="D773" s="196">
        <v>0.69</v>
      </c>
      <c r="E773" s="195" t="s">
        <v>583</v>
      </c>
      <c r="F773" s="195" t="s">
        <v>430</v>
      </c>
    </row>
    <row r="774" spans="1:6" x14ac:dyDescent="0.25">
      <c r="A774" s="189" t="str">
        <f t="shared" si="12"/>
        <v>AA-MD 65200.69S</v>
      </c>
      <c r="B774" s="195" t="s">
        <v>973</v>
      </c>
      <c r="C774" s="196">
        <v>0</v>
      </c>
      <c r="D774" s="196">
        <v>0.69</v>
      </c>
      <c r="E774" s="195" t="s">
        <v>583</v>
      </c>
      <c r="F774" s="195" t="s">
        <v>438</v>
      </c>
    </row>
    <row r="775" spans="1:6" x14ac:dyDescent="0.25">
      <c r="A775" s="189" t="str">
        <f t="shared" si="12"/>
        <v>AA-MD 665 RP1-100.02W</v>
      </c>
      <c r="B775" s="195" t="s">
        <v>974</v>
      </c>
      <c r="C775" s="196">
        <v>0</v>
      </c>
      <c r="D775" s="196">
        <v>0.02</v>
      </c>
      <c r="E775" s="195" t="s">
        <v>593</v>
      </c>
      <c r="F775" s="195" t="s">
        <v>432</v>
      </c>
    </row>
    <row r="776" spans="1:6" x14ac:dyDescent="0.25">
      <c r="A776" s="189" t="str">
        <f t="shared" si="12"/>
        <v>AA-MD 665 RP1-200.22N</v>
      </c>
      <c r="B776" s="195" t="s">
        <v>975</v>
      </c>
      <c r="C776" s="196">
        <v>0</v>
      </c>
      <c r="D776" s="196">
        <v>0.22</v>
      </c>
      <c r="E776" s="195" t="s">
        <v>589</v>
      </c>
      <c r="F776" s="195" t="s">
        <v>430</v>
      </c>
    </row>
    <row r="777" spans="1:6" x14ac:dyDescent="0.25">
      <c r="A777" s="189" t="str">
        <f t="shared" si="12"/>
        <v>AA-MD 665 RP2-100.03N</v>
      </c>
      <c r="B777" s="195" t="s">
        <v>976</v>
      </c>
      <c r="C777" s="196">
        <v>0</v>
      </c>
      <c r="D777" s="196">
        <v>0.03</v>
      </c>
      <c r="E777" s="195" t="s">
        <v>589</v>
      </c>
      <c r="F777" s="195" t="s">
        <v>430</v>
      </c>
    </row>
    <row r="778" spans="1:6" x14ac:dyDescent="0.25">
      <c r="A778" s="189" t="str">
        <f t="shared" si="12"/>
        <v>AA-MD 665 RP2-200.23W</v>
      </c>
      <c r="B778" s="195" t="s">
        <v>977</v>
      </c>
      <c r="C778" s="196">
        <v>0</v>
      </c>
      <c r="D778" s="196">
        <v>0.23</v>
      </c>
      <c r="E778" s="195" t="s">
        <v>593</v>
      </c>
      <c r="F778" s="195" t="s">
        <v>432</v>
      </c>
    </row>
    <row r="779" spans="1:6" x14ac:dyDescent="0.25">
      <c r="A779" s="189" t="str">
        <f t="shared" si="12"/>
        <v>AA-MD 665 RP2-20.20.21E</v>
      </c>
      <c r="B779" s="195" t="s">
        <v>977</v>
      </c>
      <c r="C779" s="196">
        <v>0.2</v>
      </c>
      <c r="D779" s="196">
        <v>0.21</v>
      </c>
      <c r="E779" s="195" t="s">
        <v>598</v>
      </c>
      <c r="F779" s="195" t="s">
        <v>19</v>
      </c>
    </row>
    <row r="780" spans="1:6" x14ac:dyDescent="0.25">
      <c r="A780" s="189" t="str">
        <f t="shared" si="12"/>
        <v>AA-MD 665 RP3-100.16N</v>
      </c>
      <c r="B780" s="195" t="s">
        <v>978</v>
      </c>
      <c r="C780" s="196">
        <v>0</v>
      </c>
      <c r="D780" s="196">
        <v>0.16</v>
      </c>
      <c r="E780" s="195" t="s">
        <v>589</v>
      </c>
      <c r="F780" s="195" t="s">
        <v>430</v>
      </c>
    </row>
    <row r="781" spans="1:6" x14ac:dyDescent="0.25">
      <c r="A781" s="189" t="str">
        <f t="shared" si="12"/>
        <v>AA-MD 665 RP3-200.31N</v>
      </c>
      <c r="B781" s="195" t="s">
        <v>979</v>
      </c>
      <c r="C781" s="196">
        <v>0</v>
      </c>
      <c r="D781" s="196">
        <v>0.31</v>
      </c>
      <c r="E781" s="195" t="s">
        <v>589</v>
      </c>
      <c r="F781" s="195" t="s">
        <v>430</v>
      </c>
    </row>
    <row r="782" spans="1:6" x14ac:dyDescent="0.25">
      <c r="A782" s="189" t="str">
        <f t="shared" si="12"/>
        <v>AA-MD 665 RP4-100.15E</v>
      </c>
      <c r="B782" s="195" t="s">
        <v>980</v>
      </c>
      <c r="C782" s="196">
        <v>0</v>
      </c>
      <c r="D782" s="196">
        <v>0.15</v>
      </c>
      <c r="E782" s="195" t="s">
        <v>598</v>
      </c>
      <c r="F782" s="195" t="s">
        <v>19</v>
      </c>
    </row>
    <row r="783" spans="1:6" x14ac:dyDescent="0.25">
      <c r="A783" s="189" t="str">
        <f t="shared" si="12"/>
        <v>AA-MD 665 RP4-200.14N</v>
      </c>
      <c r="B783" s="195" t="s">
        <v>981</v>
      </c>
      <c r="C783" s="196">
        <v>0</v>
      </c>
      <c r="D783" s="196">
        <v>0.14000000000000001</v>
      </c>
      <c r="E783" s="195" t="s">
        <v>589</v>
      </c>
      <c r="F783" s="195" t="s">
        <v>430</v>
      </c>
    </row>
    <row r="784" spans="1:6" x14ac:dyDescent="0.25">
      <c r="A784" s="189" t="str">
        <f t="shared" si="12"/>
        <v>AA-MD 665 RP5-100.01E</v>
      </c>
      <c r="B784" s="195" t="s">
        <v>982</v>
      </c>
      <c r="C784" s="196">
        <v>0</v>
      </c>
      <c r="D784" s="196">
        <v>0.01</v>
      </c>
      <c r="E784" s="195" t="s">
        <v>598</v>
      </c>
      <c r="F784" s="195" t="s">
        <v>19</v>
      </c>
    </row>
    <row r="785" spans="1:6" x14ac:dyDescent="0.25">
      <c r="A785" s="189" t="str">
        <f t="shared" si="12"/>
        <v>AA-MD 665 RP5-200.22S</v>
      </c>
      <c r="B785" s="195" t="s">
        <v>983</v>
      </c>
      <c r="C785" s="196">
        <v>0</v>
      </c>
      <c r="D785" s="196">
        <v>0.22</v>
      </c>
      <c r="E785" s="195" t="s">
        <v>595</v>
      </c>
      <c r="F785" s="195" t="s">
        <v>438</v>
      </c>
    </row>
    <row r="786" spans="1:6" x14ac:dyDescent="0.25">
      <c r="A786" s="189" t="str">
        <f t="shared" si="12"/>
        <v>AA-MD 665 RP6-100.02S</v>
      </c>
      <c r="B786" s="195" t="s">
        <v>984</v>
      </c>
      <c r="C786" s="196">
        <v>0</v>
      </c>
      <c r="D786" s="196">
        <v>0.02</v>
      </c>
      <c r="E786" s="195" t="s">
        <v>595</v>
      </c>
      <c r="F786" s="195" t="s">
        <v>438</v>
      </c>
    </row>
    <row r="787" spans="1:6" x14ac:dyDescent="0.25">
      <c r="A787" s="189" t="str">
        <f t="shared" si="12"/>
        <v>AA-MD 665 RP6-200.03S</v>
      </c>
      <c r="B787" s="195" t="s">
        <v>985</v>
      </c>
      <c r="C787" s="196">
        <v>0</v>
      </c>
      <c r="D787" s="196">
        <v>0.03</v>
      </c>
      <c r="E787" s="195" t="s">
        <v>595</v>
      </c>
      <c r="F787" s="195" t="s">
        <v>438</v>
      </c>
    </row>
    <row r="788" spans="1:6" x14ac:dyDescent="0.25">
      <c r="A788" s="189" t="str">
        <f t="shared" si="12"/>
        <v>AA-MD 665 RP7-100.17S</v>
      </c>
      <c r="B788" s="195" t="s">
        <v>986</v>
      </c>
      <c r="C788" s="196">
        <v>0</v>
      </c>
      <c r="D788" s="196">
        <v>0.17</v>
      </c>
      <c r="E788" s="195" t="s">
        <v>595</v>
      </c>
      <c r="F788" s="195" t="s">
        <v>438</v>
      </c>
    </row>
    <row r="789" spans="1:6" x14ac:dyDescent="0.25">
      <c r="A789" s="189" t="str">
        <f t="shared" si="12"/>
        <v>AA-MD 665 RP7-200.02E</v>
      </c>
      <c r="B789" s="195" t="s">
        <v>987</v>
      </c>
      <c r="C789" s="196">
        <v>0</v>
      </c>
      <c r="D789" s="196">
        <v>0.02</v>
      </c>
      <c r="E789" s="195" t="s">
        <v>598</v>
      </c>
      <c r="F789" s="195" t="s">
        <v>19</v>
      </c>
    </row>
    <row r="790" spans="1:6" x14ac:dyDescent="0.25">
      <c r="A790" s="189" t="str">
        <f t="shared" si="12"/>
        <v>AA-MD 665 RP7-200.02W</v>
      </c>
      <c r="B790" s="195" t="s">
        <v>987</v>
      </c>
      <c r="C790" s="196">
        <v>0</v>
      </c>
      <c r="D790" s="196">
        <v>0.02</v>
      </c>
      <c r="E790" s="195" t="s">
        <v>593</v>
      </c>
      <c r="F790" s="195" t="s">
        <v>432</v>
      </c>
    </row>
    <row r="791" spans="1:6" x14ac:dyDescent="0.25">
      <c r="A791" s="189" t="str">
        <f t="shared" si="12"/>
        <v>AA-MD 665 RP8-100.1W</v>
      </c>
      <c r="B791" s="195" t="s">
        <v>988</v>
      </c>
      <c r="C791" s="196">
        <v>0</v>
      </c>
      <c r="D791" s="196">
        <v>0.1</v>
      </c>
      <c r="E791" s="195" t="s">
        <v>593</v>
      </c>
      <c r="F791" s="195" t="s">
        <v>432</v>
      </c>
    </row>
    <row r="792" spans="1:6" x14ac:dyDescent="0.25">
      <c r="A792" s="189" t="str">
        <f t="shared" si="12"/>
        <v>AA-MD 665 RP8-200.13S</v>
      </c>
      <c r="B792" s="195" t="s">
        <v>989</v>
      </c>
      <c r="C792" s="196">
        <v>0</v>
      </c>
      <c r="D792" s="196">
        <v>0.13</v>
      </c>
      <c r="E792" s="195" t="s">
        <v>595</v>
      </c>
      <c r="F792" s="195" t="s">
        <v>438</v>
      </c>
    </row>
    <row r="793" spans="1:6" x14ac:dyDescent="0.25">
      <c r="A793" s="189" t="str">
        <f t="shared" si="12"/>
        <v>AA-MD 665A00.05N</v>
      </c>
      <c r="B793" s="195" t="s">
        <v>990</v>
      </c>
      <c r="C793" s="196">
        <v>0</v>
      </c>
      <c r="D793" s="196">
        <v>0.05</v>
      </c>
      <c r="E793" s="195" t="s">
        <v>589</v>
      </c>
      <c r="F793" s="195" t="s">
        <v>430</v>
      </c>
    </row>
    <row r="794" spans="1:6" x14ac:dyDescent="0.25">
      <c r="A794" s="189" t="str">
        <f t="shared" si="12"/>
        <v>AA-MD 665A00.05S</v>
      </c>
      <c r="B794" s="195" t="s">
        <v>990</v>
      </c>
      <c r="C794" s="196">
        <v>0</v>
      </c>
      <c r="D794" s="196">
        <v>0.05</v>
      </c>
      <c r="E794" s="195" t="s">
        <v>595</v>
      </c>
      <c r="F794" s="195" t="s">
        <v>438</v>
      </c>
    </row>
    <row r="795" spans="1:6" x14ac:dyDescent="0.25">
      <c r="A795" s="189" t="str">
        <f t="shared" si="12"/>
        <v>AA-MD 665B00.07N</v>
      </c>
      <c r="B795" s="195" t="s">
        <v>991</v>
      </c>
      <c r="C795" s="196">
        <v>0</v>
      </c>
      <c r="D795" s="196">
        <v>7.0000000000000007E-2</v>
      </c>
      <c r="E795" s="195" t="s">
        <v>589</v>
      </c>
      <c r="F795" s="195" t="s">
        <v>430</v>
      </c>
    </row>
    <row r="796" spans="1:6" x14ac:dyDescent="0.25">
      <c r="A796" s="189" t="str">
        <f t="shared" si="12"/>
        <v>AA-MD 665B00.07S</v>
      </c>
      <c r="B796" s="195" t="s">
        <v>991</v>
      </c>
      <c r="C796" s="196">
        <v>0</v>
      </c>
      <c r="D796" s="196">
        <v>7.0000000000000007E-2</v>
      </c>
      <c r="E796" s="195" t="s">
        <v>595</v>
      </c>
      <c r="F796" s="195" t="s">
        <v>438</v>
      </c>
    </row>
    <row r="797" spans="1:6" x14ac:dyDescent="0.25">
      <c r="A797" s="189" t="str">
        <f t="shared" si="12"/>
        <v>AA-MD 665E00.09N</v>
      </c>
      <c r="B797" s="195" t="s">
        <v>992</v>
      </c>
      <c r="C797" s="196">
        <v>0</v>
      </c>
      <c r="D797" s="196">
        <v>0.09</v>
      </c>
      <c r="E797" s="195" t="s">
        <v>589</v>
      </c>
      <c r="F797" s="195" t="s">
        <v>430</v>
      </c>
    </row>
    <row r="798" spans="1:6" x14ac:dyDescent="0.25">
      <c r="A798" s="189" t="str">
        <f t="shared" si="12"/>
        <v>AA-MD 665E00.09S</v>
      </c>
      <c r="B798" s="195" t="s">
        <v>992</v>
      </c>
      <c r="C798" s="196">
        <v>0</v>
      </c>
      <c r="D798" s="196">
        <v>0.09</v>
      </c>
      <c r="E798" s="195" t="s">
        <v>595</v>
      </c>
      <c r="F798" s="195" t="s">
        <v>438</v>
      </c>
    </row>
    <row r="799" spans="1:6" x14ac:dyDescent="0.25">
      <c r="A799" s="189" t="str">
        <f t="shared" si="12"/>
        <v>AA-MD 665F00.19N</v>
      </c>
      <c r="B799" s="195" t="s">
        <v>993</v>
      </c>
      <c r="C799" s="196">
        <v>0</v>
      </c>
      <c r="D799" s="196">
        <v>0.19</v>
      </c>
      <c r="E799" s="195" t="s">
        <v>589</v>
      </c>
      <c r="F799" s="195" t="s">
        <v>430</v>
      </c>
    </row>
    <row r="800" spans="1:6" x14ac:dyDescent="0.25">
      <c r="A800" s="189" t="str">
        <f t="shared" si="12"/>
        <v>AA-MD 665F00.19S</v>
      </c>
      <c r="B800" s="195" t="s">
        <v>993</v>
      </c>
      <c r="C800" s="196">
        <v>0</v>
      </c>
      <c r="D800" s="196">
        <v>0.19</v>
      </c>
      <c r="E800" s="195" t="s">
        <v>595</v>
      </c>
      <c r="F800" s="195" t="s">
        <v>438</v>
      </c>
    </row>
    <row r="801" spans="1:6" x14ac:dyDescent="0.25">
      <c r="A801" s="189" t="str">
        <f t="shared" si="12"/>
        <v>AA-MD 67200.19E</v>
      </c>
      <c r="B801" s="195" t="s">
        <v>994</v>
      </c>
      <c r="C801" s="196">
        <v>0</v>
      </c>
      <c r="D801" s="196">
        <v>0.19</v>
      </c>
      <c r="E801" s="195" t="s">
        <v>598</v>
      </c>
      <c r="F801" s="195" t="s">
        <v>19</v>
      </c>
    </row>
    <row r="802" spans="1:6" x14ac:dyDescent="0.25">
      <c r="A802" s="189" t="str">
        <f t="shared" si="12"/>
        <v>AA-MD 67200.19W</v>
      </c>
      <c r="B802" s="195" t="s">
        <v>994</v>
      </c>
      <c r="C802" s="196">
        <v>0</v>
      </c>
      <c r="D802" s="196">
        <v>0.19</v>
      </c>
      <c r="E802" s="195" t="s">
        <v>593</v>
      </c>
      <c r="F802" s="195" t="s">
        <v>432</v>
      </c>
    </row>
    <row r="803" spans="1:6" x14ac:dyDescent="0.25">
      <c r="A803" s="189" t="str">
        <f t="shared" si="12"/>
        <v>AA-MD 695 RP3-3A00.17S</v>
      </c>
      <c r="B803" s="195" t="s">
        <v>995</v>
      </c>
      <c r="C803" s="196">
        <v>0</v>
      </c>
      <c r="D803" s="196">
        <v>0.17</v>
      </c>
      <c r="E803" s="195" t="s">
        <v>595</v>
      </c>
      <c r="F803" s="195" t="s">
        <v>438</v>
      </c>
    </row>
    <row r="804" spans="1:6" x14ac:dyDescent="0.25">
      <c r="A804" s="189" t="str">
        <f t="shared" si="12"/>
        <v>AA-MD 695 RP5-3A00.64S</v>
      </c>
      <c r="B804" s="195" t="s">
        <v>996</v>
      </c>
      <c r="C804" s="196">
        <v>0</v>
      </c>
      <c r="D804" s="196">
        <v>0.64</v>
      </c>
      <c r="E804" s="195" t="s">
        <v>595</v>
      </c>
      <c r="F804" s="195" t="s">
        <v>438</v>
      </c>
    </row>
    <row r="805" spans="1:6" x14ac:dyDescent="0.25">
      <c r="A805" s="189" t="str">
        <f t="shared" si="12"/>
        <v>AA-MD 695 RP6-3A00.03S</v>
      </c>
      <c r="B805" s="195" t="s">
        <v>997</v>
      </c>
      <c r="C805" s="196">
        <v>0</v>
      </c>
      <c r="D805" s="196">
        <v>0.03</v>
      </c>
      <c r="E805" s="195" t="s">
        <v>595</v>
      </c>
      <c r="F805" s="195" t="s">
        <v>438</v>
      </c>
    </row>
    <row r="806" spans="1:6" x14ac:dyDescent="0.25">
      <c r="A806" s="189" t="str">
        <f t="shared" si="12"/>
        <v>AA-MD 695 RP8-3A00.21S</v>
      </c>
      <c r="B806" s="195" t="s">
        <v>998</v>
      </c>
      <c r="C806" s="196">
        <v>0</v>
      </c>
      <c r="D806" s="196">
        <v>0.21</v>
      </c>
      <c r="E806" s="195" t="s">
        <v>595</v>
      </c>
      <c r="F806" s="195" t="s">
        <v>438</v>
      </c>
    </row>
    <row r="807" spans="1:6" x14ac:dyDescent="0.25">
      <c r="A807" s="189" t="str">
        <f t="shared" si="12"/>
        <v>AA-MD 695 RP9-3A00.43W</v>
      </c>
      <c r="B807" s="195" t="s">
        <v>999</v>
      </c>
      <c r="C807" s="196">
        <v>0</v>
      </c>
      <c r="D807" s="196">
        <v>0.43</v>
      </c>
      <c r="E807" s="195" t="s">
        <v>593</v>
      </c>
      <c r="F807" s="195" t="s">
        <v>432</v>
      </c>
    </row>
    <row r="808" spans="1:6" x14ac:dyDescent="0.25">
      <c r="A808" s="189" t="str">
        <f t="shared" si="12"/>
        <v>AA-MD 70A00.15N</v>
      </c>
      <c r="B808" s="195" t="s">
        <v>1000</v>
      </c>
      <c r="C808" s="196">
        <v>0</v>
      </c>
      <c r="D808" s="196">
        <v>0.15</v>
      </c>
      <c r="E808" s="195" t="s">
        <v>589</v>
      </c>
      <c r="F808" s="195" t="s">
        <v>430</v>
      </c>
    </row>
    <row r="809" spans="1:6" x14ac:dyDescent="0.25">
      <c r="A809" s="189" t="str">
        <f t="shared" si="12"/>
        <v>AA-MD 70A00.15S</v>
      </c>
      <c r="B809" s="195" t="s">
        <v>1000</v>
      </c>
      <c r="C809" s="196">
        <v>0</v>
      </c>
      <c r="D809" s="196">
        <v>0.15</v>
      </c>
      <c r="E809" s="195" t="s">
        <v>595</v>
      </c>
      <c r="F809" s="195" t="s">
        <v>438</v>
      </c>
    </row>
    <row r="810" spans="1:6" x14ac:dyDescent="0.25">
      <c r="A810" s="189" t="str">
        <f t="shared" si="12"/>
        <v>AA-MD 70C00.08E</v>
      </c>
      <c r="B810" s="195" t="s">
        <v>1001</v>
      </c>
      <c r="C810" s="196">
        <v>0</v>
      </c>
      <c r="D810" s="196">
        <v>0.08</v>
      </c>
      <c r="E810" s="195" t="s">
        <v>598</v>
      </c>
      <c r="F810" s="195" t="s">
        <v>19</v>
      </c>
    </row>
    <row r="811" spans="1:6" x14ac:dyDescent="0.25">
      <c r="A811" s="189" t="str">
        <f t="shared" si="12"/>
        <v>AA-MD 70C00.08W</v>
      </c>
      <c r="B811" s="195" t="s">
        <v>1001</v>
      </c>
      <c r="C811" s="196">
        <v>0</v>
      </c>
      <c r="D811" s="196">
        <v>0.08</v>
      </c>
      <c r="E811" s="195" t="s">
        <v>593</v>
      </c>
      <c r="F811" s="195" t="s">
        <v>432</v>
      </c>
    </row>
    <row r="812" spans="1:6" x14ac:dyDescent="0.25">
      <c r="A812" s="189" t="str">
        <f t="shared" si="12"/>
        <v>AA-MD 7101.381.8E</v>
      </c>
      <c r="B812" s="195" t="s">
        <v>1002</v>
      </c>
      <c r="C812" s="196">
        <v>1.38</v>
      </c>
      <c r="D812" s="196">
        <v>1.8</v>
      </c>
      <c r="E812" s="195" t="s">
        <v>598</v>
      </c>
      <c r="F812" s="195" t="s">
        <v>19</v>
      </c>
    </row>
    <row r="813" spans="1:6" x14ac:dyDescent="0.25">
      <c r="A813" s="189" t="str">
        <f t="shared" si="12"/>
        <v>AA-MD 7101.382.05W</v>
      </c>
      <c r="B813" s="195" t="s">
        <v>1002</v>
      </c>
      <c r="C813" s="196">
        <v>1.38</v>
      </c>
      <c r="D813" s="196">
        <v>2.0499999999999998</v>
      </c>
      <c r="E813" s="195" t="s">
        <v>593</v>
      </c>
      <c r="F813" s="195" t="s">
        <v>432</v>
      </c>
    </row>
    <row r="814" spans="1:6" x14ac:dyDescent="0.25">
      <c r="A814" s="189" t="str">
        <f t="shared" si="12"/>
        <v>AA-MD 7101.81.99E</v>
      </c>
      <c r="B814" s="195" t="s">
        <v>1002</v>
      </c>
      <c r="C814" s="196">
        <v>1.8</v>
      </c>
      <c r="D814" s="196">
        <v>1.99</v>
      </c>
      <c r="E814" s="195" t="s">
        <v>598</v>
      </c>
      <c r="F814" s="195" t="s">
        <v>19</v>
      </c>
    </row>
    <row r="815" spans="1:6" x14ac:dyDescent="0.25">
      <c r="A815" s="189" t="str">
        <f t="shared" si="12"/>
        <v>AA-MD 7101.992.05E</v>
      </c>
      <c r="B815" s="195" t="s">
        <v>1002</v>
      </c>
      <c r="C815" s="196">
        <v>1.99</v>
      </c>
      <c r="D815" s="196">
        <v>2.0499999999999998</v>
      </c>
      <c r="E815" s="195" t="s">
        <v>598</v>
      </c>
      <c r="F815" s="195" t="s">
        <v>19</v>
      </c>
    </row>
    <row r="816" spans="1:6" x14ac:dyDescent="0.25">
      <c r="A816" s="189" t="str">
        <f t="shared" si="12"/>
        <v>AA-MD 7102.052.06E</v>
      </c>
      <c r="B816" s="195" t="s">
        <v>1002</v>
      </c>
      <c r="C816" s="196">
        <v>2.0499999999999998</v>
      </c>
      <c r="D816" s="196">
        <v>2.06</v>
      </c>
      <c r="E816" s="195" t="s">
        <v>583</v>
      </c>
      <c r="F816" s="195" t="s">
        <v>19</v>
      </c>
    </row>
    <row r="817" spans="1:6" x14ac:dyDescent="0.25">
      <c r="A817" s="189" t="str">
        <f t="shared" si="12"/>
        <v>AA-MD 7102.052.06W</v>
      </c>
      <c r="B817" s="195" t="s">
        <v>1002</v>
      </c>
      <c r="C817" s="196">
        <v>2.0499999999999998</v>
      </c>
      <c r="D817" s="196">
        <v>2.06</v>
      </c>
      <c r="E817" s="195" t="s">
        <v>583</v>
      </c>
      <c r="F817" s="195" t="s">
        <v>432</v>
      </c>
    </row>
    <row r="818" spans="1:6" x14ac:dyDescent="0.25">
      <c r="A818" s="189" t="str">
        <f t="shared" si="12"/>
        <v>AA-MD 7110.050.51E</v>
      </c>
      <c r="B818" s="195" t="s">
        <v>1003</v>
      </c>
      <c r="C818" s="196">
        <v>0.05</v>
      </c>
      <c r="D818" s="196">
        <v>0.51</v>
      </c>
      <c r="E818" s="195" t="s">
        <v>583</v>
      </c>
      <c r="F818" s="195" t="s">
        <v>19</v>
      </c>
    </row>
    <row r="819" spans="1:6" x14ac:dyDescent="0.25">
      <c r="A819" s="189" t="str">
        <f t="shared" si="12"/>
        <v>AA-MD 7110.050.51W</v>
      </c>
      <c r="B819" s="195" t="s">
        <v>1003</v>
      </c>
      <c r="C819" s="196">
        <v>0.05</v>
      </c>
      <c r="D819" s="196">
        <v>0.51</v>
      </c>
      <c r="E819" s="195" t="s">
        <v>583</v>
      </c>
      <c r="F819" s="195" t="s">
        <v>432</v>
      </c>
    </row>
    <row r="820" spans="1:6" x14ac:dyDescent="0.25">
      <c r="A820" s="189" t="str">
        <f t="shared" si="12"/>
        <v>AA-MD 7130.50.6N</v>
      </c>
      <c r="B820" s="195" t="s">
        <v>1004</v>
      </c>
      <c r="C820" s="196">
        <v>0.5</v>
      </c>
      <c r="D820" s="196">
        <v>0.6</v>
      </c>
      <c r="E820" s="195" t="s">
        <v>583</v>
      </c>
      <c r="F820" s="195" t="s">
        <v>430</v>
      </c>
    </row>
    <row r="821" spans="1:6" x14ac:dyDescent="0.25">
      <c r="A821" s="189" t="str">
        <f t="shared" si="12"/>
        <v>AA-MD 7130.50.6S</v>
      </c>
      <c r="B821" s="195" t="s">
        <v>1004</v>
      </c>
      <c r="C821" s="196">
        <v>0.5</v>
      </c>
      <c r="D821" s="196">
        <v>0.6</v>
      </c>
      <c r="E821" s="195" t="s">
        <v>583</v>
      </c>
      <c r="F821" s="195" t="s">
        <v>438</v>
      </c>
    </row>
    <row r="822" spans="1:6" x14ac:dyDescent="0.25">
      <c r="A822" s="189" t="str">
        <f t="shared" si="12"/>
        <v>AA-MD 7130.62.15N</v>
      </c>
      <c r="B822" s="195" t="s">
        <v>1004</v>
      </c>
      <c r="C822" s="196">
        <v>0.6</v>
      </c>
      <c r="D822" s="196">
        <v>2.15</v>
      </c>
      <c r="E822" s="195" t="s">
        <v>583</v>
      </c>
      <c r="F822" s="195" t="s">
        <v>430</v>
      </c>
    </row>
    <row r="823" spans="1:6" x14ac:dyDescent="0.25">
      <c r="A823" s="189" t="str">
        <f t="shared" si="12"/>
        <v>AA-MD 7130.62.15S</v>
      </c>
      <c r="B823" s="195" t="s">
        <v>1004</v>
      </c>
      <c r="C823" s="196">
        <v>0.6</v>
      </c>
      <c r="D823" s="196">
        <v>2.15</v>
      </c>
      <c r="E823" s="195" t="s">
        <v>583</v>
      </c>
      <c r="F823" s="195" t="s">
        <v>438</v>
      </c>
    </row>
    <row r="824" spans="1:6" x14ac:dyDescent="0.25">
      <c r="A824" s="189" t="str">
        <f t="shared" si="12"/>
        <v>AA-MD 7132.152.3N</v>
      </c>
      <c r="B824" s="195" t="s">
        <v>1004</v>
      </c>
      <c r="C824" s="196">
        <v>2.15</v>
      </c>
      <c r="D824" s="196">
        <v>2.2999999999999998</v>
      </c>
      <c r="E824" s="195" t="s">
        <v>589</v>
      </c>
      <c r="F824" s="195" t="s">
        <v>430</v>
      </c>
    </row>
    <row r="825" spans="1:6" x14ac:dyDescent="0.25">
      <c r="A825" s="189" t="str">
        <f t="shared" si="12"/>
        <v>AA-MD 713B00.05E</v>
      </c>
      <c r="B825" s="195" t="s">
        <v>524</v>
      </c>
      <c r="C825" s="196">
        <v>0</v>
      </c>
      <c r="D825" s="196">
        <v>0.05</v>
      </c>
      <c r="E825" s="195" t="s">
        <v>598</v>
      </c>
      <c r="F825" s="195" t="s">
        <v>19</v>
      </c>
    </row>
    <row r="826" spans="1:6" x14ac:dyDescent="0.25">
      <c r="A826" s="189" t="str">
        <f t="shared" si="12"/>
        <v>AA-MD 713B00.05W</v>
      </c>
      <c r="B826" s="195" t="s">
        <v>524</v>
      </c>
      <c r="C826" s="196">
        <v>0</v>
      </c>
      <c r="D826" s="196">
        <v>0.05</v>
      </c>
      <c r="E826" s="195" t="s">
        <v>593</v>
      </c>
      <c r="F826" s="195" t="s">
        <v>432</v>
      </c>
    </row>
    <row r="827" spans="1:6" x14ac:dyDescent="0.25">
      <c r="A827" s="189" t="str">
        <f t="shared" si="12"/>
        <v>AA-MD 713B0.050.26E</v>
      </c>
      <c r="B827" s="195" t="s">
        <v>524</v>
      </c>
      <c r="C827" s="196">
        <v>0.05</v>
      </c>
      <c r="D827" s="196">
        <v>0.26</v>
      </c>
      <c r="E827" s="195" t="s">
        <v>598</v>
      </c>
      <c r="F827" s="195" t="s">
        <v>19</v>
      </c>
    </row>
    <row r="828" spans="1:6" x14ac:dyDescent="0.25">
      <c r="A828" s="189" t="str">
        <f t="shared" si="12"/>
        <v>AA-MD 713B0.050.26W</v>
      </c>
      <c r="B828" s="195" t="s">
        <v>524</v>
      </c>
      <c r="C828" s="196">
        <v>0.05</v>
      </c>
      <c r="D828" s="196">
        <v>0.26</v>
      </c>
      <c r="E828" s="195" t="s">
        <v>593</v>
      </c>
      <c r="F828" s="195" t="s">
        <v>432</v>
      </c>
    </row>
    <row r="829" spans="1:6" x14ac:dyDescent="0.25">
      <c r="A829" s="189" t="str">
        <f t="shared" si="12"/>
        <v>AA-MD 713C00.27N</v>
      </c>
      <c r="B829" s="195" t="s">
        <v>1005</v>
      </c>
      <c r="C829" s="196">
        <v>0</v>
      </c>
      <c r="D829" s="196">
        <v>0.27</v>
      </c>
      <c r="E829" s="195" t="s">
        <v>589</v>
      </c>
      <c r="F829" s="195" t="s">
        <v>430</v>
      </c>
    </row>
    <row r="830" spans="1:6" x14ac:dyDescent="0.25">
      <c r="A830" s="189" t="str">
        <f t="shared" si="12"/>
        <v>AA-MD 713C00.27S</v>
      </c>
      <c r="B830" s="195" t="s">
        <v>1005</v>
      </c>
      <c r="C830" s="196">
        <v>0</v>
      </c>
      <c r="D830" s="196">
        <v>0.27</v>
      </c>
      <c r="E830" s="195" t="s">
        <v>595</v>
      </c>
      <c r="F830" s="195" t="s">
        <v>438</v>
      </c>
    </row>
    <row r="831" spans="1:6" x14ac:dyDescent="0.25">
      <c r="A831" s="189" t="str">
        <f t="shared" si="12"/>
        <v>AA-MD 713D00.15N</v>
      </c>
      <c r="B831" s="195" t="s">
        <v>1006</v>
      </c>
      <c r="C831" s="196">
        <v>0</v>
      </c>
      <c r="D831" s="196">
        <v>0.15</v>
      </c>
      <c r="E831" s="195" t="s">
        <v>589</v>
      </c>
      <c r="F831" s="195" t="s">
        <v>430</v>
      </c>
    </row>
    <row r="832" spans="1:6" x14ac:dyDescent="0.25">
      <c r="A832" s="189" t="str">
        <f t="shared" si="12"/>
        <v>AA-MD 713D00.15S</v>
      </c>
      <c r="B832" s="195" t="s">
        <v>1006</v>
      </c>
      <c r="C832" s="196">
        <v>0</v>
      </c>
      <c r="D832" s="196">
        <v>0.15</v>
      </c>
      <c r="E832" s="195" t="s">
        <v>595</v>
      </c>
      <c r="F832" s="195" t="s">
        <v>438</v>
      </c>
    </row>
    <row r="833" spans="1:6" x14ac:dyDescent="0.25">
      <c r="A833" s="189" t="str">
        <f t="shared" si="12"/>
        <v>AA-MD 713E0.160.25N</v>
      </c>
      <c r="B833" s="195" t="s">
        <v>1007</v>
      </c>
      <c r="C833" s="196">
        <v>0.16</v>
      </c>
      <c r="D833" s="196">
        <v>0.25</v>
      </c>
      <c r="E833" s="195" t="s">
        <v>589</v>
      </c>
      <c r="F833" s="195" t="s">
        <v>430</v>
      </c>
    </row>
    <row r="834" spans="1:6" x14ac:dyDescent="0.25">
      <c r="A834" s="189" t="str">
        <f t="shared" si="12"/>
        <v>AA-MD 713E0.160.25S</v>
      </c>
      <c r="B834" s="195" t="s">
        <v>1007</v>
      </c>
      <c r="C834" s="196">
        <v>0.16</v>
      </c>
      <c r="D834" s="196">
        <v>0.25</v>
      </c>
      <c r="E834" s="195" t="s">
        <v>595</v>
      </c>
      <c r="F834" s="195" t="s">
        <v>438</v>
      </c>
    </row>
    <row r="835" spans="1:6" x14ac:dyDescent="0.25">
      <c r="A835" s="189" t="str">
        <f t="shared" ref="A835:A898" si="13">B835&amp;C835&amp;D835&amp;F835</f>
        <v>AA-MD 713E0.250.33N</v>
      </c>
      <c r="B835" s="195" t="s">
        <v>1007</v>
      </c>
      <c r="C835" s="196">
        <v>0.25</v>
      </c>
      <c r="D835" s="196">
        <v>0.33</v>
      </c>
      <c r="E835" s="195" t="s">
        <v>589</v>
      </c>
      <c r="F835" s="195" t="s">
        <v>430</v>
      </c>
    </row>
    <row r="836" spans="1:6" x14ac:dyDescent="0.25">
      <c r="A836" s="189" t="str">
        <f t="shared" si="13"/>
        <v>AA-MD 713E0.250.33S</v>
      </c>
      <c r="B836" s="195" t="s">
        <v>1007</v>
      </c>
      <c r="C836" s="196">
        <v>0.25</v>
      </c>
      <c r="D836" s="196">
        <v>0.33</v>
      </c>
      <c r="E836" s="195" t="s">
        <v>595</v>
      </c>
      <c r="F836" s="195" t="s">
        <v>438</v>
      </c>
    </row>
    <row r="837" spans="1:6" x14ac:dyDescent="0.25">
      <c r="A837" s="189" t="str">
        <f t="shared" si="13"/>
        <v>AA-MD 72300.18E</v>
      </c>
      <c r="B837" s="195" t="s">
        <v>1008</v>
      </c>
      <c r="C837" s="196">
        <v>0</v>
      </c>
      <c r="D837" s="196">
        <v>0.18</v>
      </c>
      <c r="E837" s="195" t="s">
        <v>583</v>
      </c>
      <c r="F837" s="195" t="s">
        <v>19</v>
      </c>
    </row>
    <row r="838" spans="1:6" x14ac:dyDescent="0.25">
      <c r="A838" s="189" t="str">
        <f t="shared" si="13"/>
        <v>AA-MD 72300.18W</v>
      </c>
      <c r="B838" s="195" t="s">
        <v>1008</v>
      </c>
      <c r="C838" s="196">
        <v>0</v>
      </c>
      <c r="D838" s="196">
        <v>0.18</v>
      </c>
      <c r="E838" s="195" t="s">
        <v>583</v>
      </c>
      <c r="F838" s="195" t="s">
        <v>432</v>
      </c>
    </row>
    <row r="839" spans="1:6" x14ac:dyDescent="0.25">
      <c r="A839" s="189" t="str">
        <f t="shared" si="13"/>
        <v>AA-MD 732R00.36N</v>
      </c>
      <c r="B839" s="195" t="s">
        <v>517</v>
      </c>
      <c r="C839" s="196">
        <v>0</v>
      </c>
      <c r="D839" s="196">
        <v>0.36</v>
      </c>
      <c r="E839" s="195" t="s">
        <v>589</v>
      </c>
      <c r="F839" s="195" t="s">
        <v>430</v>
      </c>
    </row>
    <row r="840" spans="1:6" x14ac:dyDescent="0.25">
      <c r="A840" s="189" t="str">
        <f t="shared" si="13"/>
        <v>AA-MD 732R00.36S</v>
      </c>
      <c r="B840" s="195" t="s">
        <v>517</v>
      </c>
      <c r="C840" s="196">
        <v>0</v>
      </c>
      <c r="D840" s="196">
        <v>0.36</v>
      </c>
      <c r="E840" s="195" t="s">
        <v>595</v>
      </c>
      <c r="F840" s="195" t="s">
        <v>438</v>
      </c>
    </row>
    <row r="841" spans="1:6" x14ac:dyDescent="0.25">
      <c r="A841" s="189" t="str">
        <f t="shared" si="13"/>
        <v>AA-MD 75801.02N</v>
      </c>
      <c r="B841" s="195" t="s">
        <v>1009</v>
      </c>
      <c r="C841" s="196">
        <v>0</v>
      </c>
      <c r="D841" s="196">
        <v>1.02</v>
      </c>
      <c r="E841" s="195" t="s">
        <v>583</v>
      </c>
      <c r="F841" s="195" t="s">
        <v>430</v>
      </c>
    </row>
    <row r="842" spans="1:6" x14ac:dyDescent="0.25">
      <c r="A842" s="189" t="str">
        <f t="shared" si="13"/>
        <v>AA-MD 75801.02S</v>
      </c>
      <c r="B842" s="195" t="s">
        <v>1009</v>
      </c>
      <c r="C842" s="196">
        <v>0</v>
      </c>
      <c r="D842" s="196">
        <v>1.02</v>
      </c>
      <c r="E842" s="195" t="s">
        <v>583</v>
      </c>
      <c r="F842" s="195" t="s">
        <v>438</v>
      </c>
    </row>
    <row r="843" spans="1:6" x14ac:dyDescent="0.25">
      <c r="A843" s="189" t="str">
        <f t="shared" si="13"/>
        <v>AA-MD 76200.53N</v>
      </c>
      <c r="B843" s="195" t="s">
        <v>1010</v>
      </c>
      <c r="C843" s="196">
        <v>0</v>
      </c>
      <c r="D843" s="196">
        <v>0.53</v>
      </c>
      <c r="E843" s="195" t="s">
        <v>583</v>
      </c>
      <c r="F843" s="195" t="s">
        <v>430</v>
      </c>
    </row>
    <row r="844" spans="1:6" x14ac:dyDescent="0.25">
      <c r="A844" s="189" t="str">
        <f t="shared" si="13"/>
        <v>AA-MD 76200.53S</v>
      </c>
      <c r="B844" s="195" t="s">
        <v>1010</v>
      </c>
      <c r="C844" s="196">
        <v>0</v>
      </c>
      <c r="D844" s="196">
        <v>0.53</v>
      </c>
      <c r="E844" s="195" t="s">
        <v>583</v>
      </c>
      <c r="F844" s="195" t="s">
        <v>438</v>
      </c>
    </row>
    <row r="845" spans="1:6" x14ac:dyDescent="0.25">
      <c r="A845" s="189" t="str">
        <f t="shared" si="13"/>
        <v>AA-MD 77801.16N</v>
      </c>
      <c r="B845" s="195" t="s">
        <v>1011</v>
      </c>
      <c r="C845" s="196">
        <v>0</v>
      </c>
      <c r="D845" s="196">
        <v>1.1599999999999999</v>
      </c>
      <c r="E845" s="195" t="s">
        <v>583</v>
      </c>
      <c r="F845" s="195" t="s">
        <v>430</v>
      </c>
    </row>
    <row r="846" spans="1:6" x14ac:dyDescent="0.25">
      <c r="A846" s="189" t="str">
        <f t="shared" si="13"/>
        <v>AA-MD 77801.16S</v>
      </c>
      <c r="B846" s="195" t="s">
        <v>1011</v>
      </c>
      <c r="C846" s="196">
        <v>0</v>
      </c>
      <c r="D846" s="196">
        <v>1.1599999999999999</v>
      </c>
      <c r="E846" s="195" t="s">
        <v>583</v>
      </c>
      <c r="F846" s="195" t="s">
        <v>438</v>
      </c>
    </row>
    <row r="847" spans="1:6" x14ac:dyDescent="0.25">
      <c r="A847" s="189" t="str">
        <f t="shared" si="13"/>
        <v>AA-MD 778D00.17N</v>
      </c>
      <c r="B847" s="195" t="s">
        <v>1012</v>
      </c>
      <c r="C847" s="196">
        <v>0</v>
      </c>
      <c r="D847" s="196">
        <v>0.17</v>
      </c>
      <c r="E847" s="195" t="s">
        <v>589</v>
      </c>
      <c r="F847" s="195" t="s">
        <v>430</v>
      </c>
    </row>
    <row r="848" spans="1:6" x14ac:dyDescent="0.25">
      <c r="A848" s="189" t="str">
        <f t="shared" si="13"/>
        <v>AA-MD 778D00.17S</v>
      </c>
      <c r="B848" s="195" t="s">
        <v>1012</v>
      </c>
      <c r="C848" s="196">
        <v>0</v>
      </c>
      <c r="D848" s="196">
        <v>0.17</v>
      </c>
      <c r="E848" s="195" t="s">
        <v>595</v>
      </c>
      <c r="F848" s="195" t="s">
        <v>438</v>
      </c>
    </row>
    <row r="849" spans="1:6" x14ac:dyDescent="0.25">
      <c r="A849" s="189" t="str">
        <f t="shared" si="13"/>
        <v>AA-MD 778E00.24N</v>
      </c>
      <c r="B849" s="195" t="s">
        <v>1013</v>
      </c>
      <c r="C849" s="196">
        <v>0</v>
      </c>
      <c r="D849" s="196">
        <v>0.24</v>
      </c>
      <c r="E849" s="195" t="s">
        <v>589</v>
      </c>
      <c r="F849" s="195" t="s">
        <v>430</v>
      </c>
    </row>
    <row r="850" spans="1:6" x14ac:dyDescent="0.25">
      <c r="A850" s="189" t="str">
        <f t="shared" si="13"/>
        <v>AA-MD 778E00.24S</v>
      </c>
      <c r="B850" s="195" t="s">
        <v>1013</v>
      </c>
      <c r="C850" s="196">
        <v>0</v>
      </c>
      <c r="D850" s="196">
        <v>0.24</v>
      </c>
      <c r="E850" s="195" t="s">
        <v>595</v>
      </c>
      <c r="F850" s="195" t="s">
        <v>438</v>
      </c>
    </row>
    <row r="851" spans="1:6" x14ac:dyDescent="0.25">
      <c r="A851" s="189" t="str">
        <f t="shared" si="13"/>
        <v>AA-MD 778F00.48N</v>
      </c>
      <c r="B851" s="195" t="s">
        <v>1014</v>
      </c>
      <c r="C851" s="196">
        <v>0</v>
      </c>
      <c r="D851" s="196">
        <v>0.48</v>
      </c>
      <c r="E851" s="195" t="s">
        <v>589</v>
      </c>
      <c r="F851" s="195" t="s">
        <v>430</v>
      </c>
    </row>
    <row r="852" spans="1:6" x14ac:dyDescent="0.25">
      <c r="A852" s="189" t="str">
        <f t="shared" si="13"/>
        <v>AA-MD 778F00.48S</v>
      </c>
      <c r="B852" s="195" t="s">
        <v>1014</v>
      </c>
      <c r="C852" s="196">
        <v>0</v>
      </c>
      <c r="D852" s="196">
        <v>0.48</v>
      </c>
      <c r="E852" s="195" t="s">
        <v>595</v>
      </c>
      <c r="F852" s="195" t="s">
        <v>438</v>
      </c>
    </row>
    <row r="853" spans="1:6" x14ac:dyDescent="0.25">
      <c r="A853" s="189" t="str">
        <f t="shared" si="13"/>
        <v>AA-MD 778G00.2N</v>
      </c>
      <c r="B853" s="195" t="s">
        <v>1015</v>
      </c>
      <c r="C853" s="196">
        <v>0</v>
      </c>
      <c r="D853" s="196">
        <v>0.2</v>
      </c>
      <c r="E853" s="195" t="s">
        <v>589</v>
      </c>
      <c r="F853" s="195" t="s">
        <v>430</v>
      </c>
    </row>
    <row r="854" spans="1:6" x14ac:dyDescent="0.25">
      <c r="A854" s="189" t="str">
        <f t="shared" si="13"/>
        <v>AA-MD 778G00.2S</v>
      </c>
      <c r="B854" s="195" t="s">
        <v>1015</v>
      </c>
      <c r="C854" s="196">
        <v>0</v>
      </c>
      <c r="D854" s="196">
        <v>0.2</v>
      </c>
      <c r="E854" s="195" t="s">
        <v>595</v>
      </c>
      <c r="F854" s="195" t="s">
        <v>438</v>
      </c>
    </row>
    <row r="855" spans="1:6" x14ac:dyDescent="0.25">
      <c r="A855" s="189" t="str">
        <f t="shared" si="13"/>
        <v>AA-MD 778I00.08N</v>
      </c>
      <c r="B855" s="195" t="s">
        <v>1016</v>
      </c>
      <c r="C855" s="196">
        <v>0</v>
      </c>
      <c r="D855" s="196">
        <v>0.08</v>
      </c>
      <c r="E855" s="195" t="s">
        <v>589</v>
      </c>
      <c r="F855" s="195" t="s">
        <v>430</v>
      </c>
    </row>
    <row r="856" spans="1:6" x14ac:dyDescent="0.25">
      <c r="A856" s="189" t="str">
        <f t="shared" si="13"/>
        <v>AA-MD 778I00.08S</v>
      </c>
      <c r="B856" s="195" t="s">
        <v>1016</v>
      </c>
      <c r="C856" s="196">
        <v>0</v>
      </c>
      <c r="D856" s="196">
        <v>0.08</v>
      </c>
      <c r="E856" s="195" t="s">
        <v>595</v>
      </c>
      <c r="F856" s="195" t="s">
        <v>438</v>
      </c>
    </row>
    <row r="857" spans="1:6" x14ac:dyDescent="0.25">
      <c r="A857" s="189" t="str">
        <f t="shared" si="13"/>
        <v>AA-MD 778J00.95N</v>
      </c>
      <c r="B857" s="195" t="s">
        <v>1017</v>
      </c>
      <c r="C857" s="196">
        <v>0</v>
      </c>
      <c r="D857" s="196">
        <v>0.95</v>
      </c>
      <c r="E857" s="195" t="s">
        <v>589</v>
      </c>
      <c r="F857" s="195" t="s">
        <v>430</v>
      </c>
    </row>
    <row r="858" spans="1:6" x14ac:dyDescent="0.25">
      <c r="A858" s="189" t="str">
        <f t="shared" si="13"/>
        <v>AA-MD 778J00.95S</v>
      </c>
      <c r="B858" s="195" t="s">
        <v>1017</v>
      </c>
      <c r="C858" s="196">
        <v>0</v>
      </c>
      <c r="D858" s="196">
        <v>0.95</v>
      </c>
      <c r="E858" s="195" t="s">
        <v>595</v>
      </c>
      <c r="F858" s="195" t="s">
        <v>438</v>
      </c>
    </row>
    <row r="859" spans="1:6" x14ac:dyDescent="0.25">
      <c r="A859" s="189" t="str">
        <f t="shared" si="13"/>
        <v>AA-MD 778L00.09N</v>
      </c>
      <c r="B859" s="195" t="s">
        <v>1018</v>
      </c>
      <c r="C859" s="196">
        <v>0</v>
      </c>
      <c r="D859" s="196">
        <v>0.09</v>
      </c>
      <c r="E859" s="195" t="s">
        <v>589</v>
      </c>
      <c r="F859" s="195" t="s">
        <v>430</v>
      </c>
    </row>
    <row r="860" spans="1:6" x14ac:dyDescent="0.25">
      <c r="A860" s="189" t="str">
        <f t="shared" si="13"/>
        <v>AA-MD 778L00.09S</v>
      </c>
      <c r="B860" s="195" t="s">
        <v>1018</v>
      </c>
      <c r="C860" s="196">
        <v>0</v>
      </c>
      <c r="D860" s="196">
        <v>0.09</v>
      </c>
      <c r="E860" s="195" t="s">
        <v>595</v>
      </c>
      <c r="F860" s="195" t="s">
        <v>438</v>
      </c>
    </row>
    <row r="861" spans="1:6" x14ac:dyDescent="0.25">
      <c r="A861" s="189" t="str">
        <f t="shared" si="13"/>
        <v>AA-MD 778M00.05N</v>
      </c>
      <c r="B861" s="195" t="s">
        <v>1019</v>
      </c>
      <c r="C861" s="196">
        <v>0</v>
      </c>
      <c r="D861" s="196">
        <v>0.05</v>
      </c>
      <c r="E861" s="195" t="s">
        <v>589</v>
      </c>
      <c r="F861" s="195" t="s">
        <v>430</v>
      </c>
    </row>
    <row r="862" spans="1:6" x14ac:dyDescent="0.25">
      <c r="A862" s="189" t="str">
        <f t="shared" si="13"/>
        <v>AA-MD 778M00.05S</v>
      </c>
      <c r="B862" s="195" t="s">
        <v>1019</v>
      </c>
      <c r="C862" s="196">
        <v>0</v>
      </c>
      <c r="D862" s="196">
        <v>0.05</v>
      </c>
      <c r="E862" s="195" t="s">
        <v>595</v>
      </c>
      <c r="F862" s="195" t="s">
        <v>438</v>
      </c>
    </row>
    <row r="863" spans="1:6" x14ac:dyDescent="0.25">
      <c r="A863" s="189" t="str">
        <f t="shared" si="13"/>
        <v>AA-MD 778N00.18N</v>
      </c>
      <c r="B863" s="195" t="s">
        <v>1020</v>
      </c>
      <c r="C863" s="196">
        <v>0</v>
      </c>
      <c r="D863" s="196">
        <v>0.18</v>
      </c>
      <c r="E863" s="195" t="s">
        <v>589</v>
      </c>
      <c r="F863" s="195" t="s">
        <v>430</v>
      </c>
    </row>
    <row r="864" spans="1:6" x14ac:dyDescent="0.25">
      <c r="A864" s="189" t="str">
        <f t="shared" si="13"/>
        <v>AA-MD 778N00.18S</v>
      </c>
      <c r="B864" s="195" t="s">
        <v>1020</v>
      </c>
      <c r="C864" s="196">
        <v>0</v>
      </c>
      <c r="D864" s="196">
        <v>0.18</v>
      </c>
      <c r="E864" s="195" t="s">
        <v>595</v>
      </c>
      <c r="F864" s="195" t="s">
        <v>438</v>
      </c>
    </row>
    <row r="865" spans="1:6" x14ac:dyDescent="0.25">
      <c r="A865" s="189" t="str">
        <f t="shared" si="13"/>
        <v>AA-MD 778Q00.02E</v>
      </c>
      <c r="B865" s="195" t="s">
        <v>1021</v>
      </c>
      <c r="C865" s="196">
        <v>0</v>
      </c>
      <c r="D865" s="196">
        <v>0.02</v>
      </c>
      <c r="E865" s="195" t="s">
        <v>598</v>
      </c>
      <c r="F865" s="195" t="s">
        <v>19</v>
      </c>
    </row>
    <row r="866" spans="1:6" x14ac:dyDescent="0.25">
      <c r="A866" s="189" t="str">
        <f t="shared" si="13"/>
        <v>AA-MD 778Q00.02W</v>
      </c>
      <c r="B866" s="195" t="s">
        <v>1021</v>
      </c>
      <c r="C866" s="196">
        <v>0</v>
      </c>
      <c r="D866" s="196">
        <v>0.02</v>
      </c>
      <c r="E866" s="195" t="s">
        <v>593</v>
      </c>
      <c r="F866" s="195" t="s">
        <v>432</v>
      </c>
    </row>
    <row r="867" spans="1:6" x14ac:dyDescent="0.25">
      <c r="A867" s="189" t="str">
        <f t="shared" si="13"/>
        <v>AA-MD 77900.15E</v>
      </c>
      <c r="B867" s="195" t="s">
        <v>1022</v>
      </c>
      <c r="C867" s="196">
        <v>0</v>
      </c>
      <c r="D867" s="196">
        <v>0.15</v>
      </c>
      <c r="E867" s="195" t="s">
        <v>598</v>
      </c>
      <c r="F867" s="195" t="s">
        <v>19</v>
      </c>
    </row>
    <row r="868" spans="1:6" x14ac:dyDescent="0.25">
      <c r="A868" s="189" t="str">
        <f t="shared" si="13"/>
        <v>AA-MD 77900.15W</v>
      </c>
      <c r="B868" s="195" t="s">
        <v>1022</v>
      </c>
      <c r="C868" s="196">
        <v>0</v>
      </c>
      <c r="D868" s="196">
        <v>0.15</v>
      </c>
      <c r="E868" s="195" t="s">
        <v>593</v>
      </c>
      <c r="F868" s="195" t="s">
        <v>432</v>
      </c>
    </row>
    <row r="869" spans="1:6" x14ac:dyDescent="0.25">
      <c r="A869" s="189" t="str">
        <f t="shared" si="13"/>
        <v>AA-MD 779A00.14E</v>
      </c>
      <c r="B869" s="195" t="s">
        <v>1023</v>
      </c>
      <c r="C869" s="196">
        <v>0</v>
      </c>
      <c r="D869" s="196">
        <v>0.14000000000000001</v>
      </c>
      <c r="E869" s="195" t="s">
        <v>598</v>
      </c>
      <c r="F869" s="195" t="s">
        <v>19</v>
      </c>
    </row>
    <row r="870" spans="1:6" x14ac:dyDescent="0.25">
      <c r="A870" s="189" t="str">
        <f t="shared" si="13"/>
        <v>AA-MD 779A00.14W</v>
      </c>
      <c r="B870" s="195" t="s">
        <v>1023</v>
      </c>
      <c r="C870" s="196">
        <v>0</v>
      </c>
      <c r="D870" s="196">
        <v>0.14000000000000001</v>
      </c>
      <c r="E870" s="195" t="s">
        <v>593</v>
      </c>
      <c r="F870" s="195" t="s">
        <v>432</v>
      </c>
    </row>
    <row r="871" spans="1:6" x14ac:dyDescent="0.25">
      <c r="A871" s="189" t="str">
        <f t="shared" si="13"/>
        <v>AA-MD 78300.23N</v>
      </c>
      <c r="B871" s="195" t="s">
        <v>1024</v>
      </c>
      <c r="C871" s="196">
        <v>0</v>
      </c>
      <c r="D871" s="196">
        <v>0.23</v>
      </c>
      <c r="E871" s="195" t="s">
        <v>589</v>
      </c>
      <c r="F871" s="195" t="s">
        <v>430</v>
      </c>
    </row>
    <row r="872" spans="1:6" x14ac:dyDescent="0.25">
      <c r="A872" s="189" t="str">
        <f t="shared" si="13"/>
        <v>AA-MD 78300.23S</v>
      </c>
      <c r="B872" s="195" t="s">
        <v>1024</v>
      </c>
      <c r="C872" s="196">
        <v>0</v>
      </c>
      <c r="D872" s="196">
        <v>0.23</v>
      </c>
      <c r="E872" s="195" t="s">
        <v>595</v>
      </c>
      <c r="F872" s="195" t="s">
        <v>438</v>
      </c>
    </row>
    <row r="873" spans="1:6" x14ac:dyDescent="0.25">
      <c r="A873" s="189" t="str">
        <f t="shared" si="13"/>
        <v>AA-MD 78400.24E</v>
      </c>
      <c r="B873" s="195" t="s">
        <v>1025</v>
      </c>
      <c r="C873" s="196">
        <v>0</v>
      </c>
      <c r="D873" s="196">
        <v>0.24</v>
      </c>
      <c r="E873" s="195" t="s">
        <v>598</v>
      </c>
      <c r="F873" s="195" t="s">
        <v>19</v>
      </c>
    </row>
    <row r="874" spans="1:6" x14ac:dyDescent="0.25">
      <c r="A874" s="189" t="str">
        <f t="shared" si="13"/>
        <v>AA-MD 78400.24W</v>
      </c>
      <c r="B874" s="195" t="s">
        <v>1025</v>
      </c>
      <c r="C874" s="196">
        <v>0</v>
      </c>
      <c r="D874" s="196">
        <v>0.24</v>
      </c>
      <c r="E874" s="195" t="s">
        <v>593</v>
      </c>
      <c r="F874" s="195" t="s">
        <v>432</v>
      </c>
    </row>
    <row r="875" spans="1:6" x14ac:dyDescent="0.25">
      <c r="A875" s="189" t="str">
        <f t="shared" si="13"/>
        <v>AA-MD 78500.29N</v>
      </c>
      <c r="B875" s="195" t="s">
        <v>1026</v>
      </c>
      <c r="C875" s="196">
        <v>0</v>
      </c>
      <c r="D875" s="196">
        <v>0.28999999999999998</v>
      </c>
      <c r="E875" s="195" t="s">
        <v>589</v>
      </c>
      <c r="F875" s="195" t="s">
        <v>430</v>
      </c>
    </row>
    <row r="876" spans="1:6" x14ac:dyDescent="0.25">
      <c r="A876" s="189" t="str">
        <f t="shared" si="13"/>
        <v>AA-MD 78500.29S</v>
      </c>
      <c r="B876" s="195" t="s">
        <v>1026</v>
      </c>
      <c r="C876" s="196">
        <v>0</v>
      </c>
      <c r="D876" s="196">
        <v>0.28999999999999998</v>
      </c>
      <c r="E876" s="195" t="s">
        <v>595</v>
      </c>
      <c r="F876" s="195" t="s">
        <v>438</v>
      </c>
    </row>
    <row r="877" spans="1:6" x14ac:dyDescent="0.25">
      <c r="A877" s="189" t="str">
        <f t="shared" si="13"/>
        <v>AA-MD 788A00.2E</v>
      </c>
      <c r="B877" s="195" t="s">
        <v>1027</v>
      </c>
      <c r="C877" s="196">
        <v>0</v>
      </c>
      <c r="D877" s="196">
        <v>0.2</v>
      </c>
      <c r="E877" s="195" t="s">
        <v>598</v>
      </c>
      <c r="F877" s="195" t="s">
        <v>19</v>
      </c>
    </row>
    <row r="878" spans="1:6" x14ac:dyDescent="0.25">
      <c r="A878" s="189" t="str">
        <f t="shared" si="13"/>
        <v>AA-MD 788A00.2W</v>
      </c>
      <c r="B878" s="195" t="s">
        <v>1027</v>
      </c>
      <c r="C878" s="196">
        <v>0</v>
      </c>
      <c r="D878" s="196">
        <v>0.2</v>
      </c>
      <c r="E878" s="195" t="s">
        <v>593</v>
      </c>
      <c r="F878" s="195" t="s">
        <v>432</v>
      </c>
    </row>
    <row r="879" spans="1:6" x14ac:dyDescent="0.25">
      <c r="A879" s="189" t="str">
        <f t="shared" si="13"/>
        <v>AA-MD 79400.34N</v>
      </c>
      <c r="B879" s="195" t="s">
        <v>1028</v>
      </c>
      <c r="C879" s="196">
        <v>0</v>
      </c>
      <c r="D879" s="196">
        <v>0.34</v>
      </c>
      <c r="E879" s="195" t="s">
        <v>589</v>
      </c>
      <c r="F879" s="195" t="s">
        <v>430</v>
      </c>
    </row>
    <row r="880" spans="1:6" x14ac:dyDescent="0.25">
      <c r="A880" s="189" t="str">
        <f t="shared" si="13"/>
        <v>AA-MD 7940.340.5N</v>
      </c>
      <c r="B880" s="195" t="s">
        <v>1028</v>
      </c>
      <c r="C880" s="196">
        <v>0.34</v>
      </c>
      <c r="D880" s="196">
        <v>0.5</v>
      </c>
      <c r="E880" s="195" t="s">
        <v>583</v>
      </c>
      <c r="F880" s="195" t="s">
        <v>430</v>
      </c>
    </row>
    <row r="881" spans="1:6" x14ac:dyDescent="0.25">
      <c r="A881" s="189" t="str">
        <f t="shared" si="13"/>
        <v>AA-MD 7940.340.5S</v>
      </c>
      <c r="B881" s="195" t="s">
        <v>1028</v>
      </c>
      <c r="C881" s="196">
        <v>0.34</v>
      </c>
      <c r="D881" s="196">
        <v>0.5</v>
      </c>
      <c r="E881" s="195" t="s">
        <v>583</v>
      </c>
      <c r="F881" s="195" t="s">
        <v>438</v>
      </c>
    </row>
    <row r="882" spans="1:6" x14ac:dyDescent="0.25">
      <c r="A882" s="189" t="str">
        <f t="shared" si="13"/>
        <v>AA-MD 7940.52.75N</v>
      </c>
      <c r="B882" s="195" t="s">
        <v>1028</v>
      </c>
      <c r="C882" s="196">
        <v>0.5</v>
      </c>
      <c r="D882" s="196">
        <v>2.75</v>
      </c>
      <c r="E882" s="195" t="s">
        <v>583</v>
      </c>
      <c r="F882" s="195" t="s">
        <v>430</v>
      </c>
    </row>
    <row r="883" spans="1:6" x14ac:dyDescent="0.25">
      <c r="A883" s="189" t="str">
        <f t="shared" si="13"/>
        <v>AA-MD 7940.52.75S</v>
      </c>
      <c r="B883" s="195" t="s">
        <v>1028</v>
      </c>
      <c r="C883" s="196">
        <v>0.5</v>
      </c>
      <c r="D883" s="196">
        <v>2.75</v>
      </c>
      <c r="E883" s="195" t="s">
        <v>583</v>
      </c>
      <c r="F883" s="195" t="s">
        <v>438</v>
      </c>
    </row>
    <row r="884" spans="1:6" x14ac:dyDescent="0.25">
      <c r="A884" s="189" t="str">
        <f t="shared" si="13"/>
        <v>AA-MD 79600.05E</v>
      </c>
      <c r="B884" s="195" t="s">
        <v>1029</v>
      </c>
      <c r="C884" s="196">
        <v>0</v>
      </c>
      <c r="D884" s="196">
        <v>0.05</v>
      </c>
      <c r="E884" s="195" t="s">
        <v>598</v>
      </c>
      <c r="F884" s="195" t="s">
        <v>19</v>
      </c>
    </row>
    <row r="885" spans="1:6" x14ac:dyDescent="0.25">
      <c r="A885" s="189" t="str">
        <f t="shared" si="13"/>
        <v>AA-MD 79600.05W</v>
      </c>
      <c r="B885" s="195" t="s">
        <v>1029</v>
      </c>
      <c r="C885" s="196">
        <v>0</v>
      </c>
      <c r="D885" s="196">
        <v>0.05</v>
      </c>
      <c r="E885" s="195" t="s">
        <v>593</v>
      </c>
      <c r="F885" s="195" t="s">
        <v>432</v>
      </c>
    </row>
    <row r="886" spans="1:6" x14ac:dyDescent="0.25">
      <c r="A886" s="189" t="str">
        <f t="shared" si="13"/>
        <v>AA-MD 796A00.29E</v>
      </c>
      <c r="B886" s="195" t="s">
        <v>1030</v>
      </c>
      <c r="C886" s="196">
        <v>0</v>
      </c>
      <c r="D886" s="196">
        <v>0.28999999999999998</v>
      </c>
      <c r="E886" s="195" t="s">
        <v>598</v>
      </c>
      <c r="F886" s="195" t="s">
        <v>19</v>
      </c>
    </row>
    <row r="887" spans="1:6" x14ac:dyDescent="0.25">
      <c r="A887" s="189" t="str">
        <f t="shared" si="13"/>
        <v>AA-MD 796A00.29W</v>
      </c>
      <c r="B887" s="195" t="s">
        <v>1030</v>
      </c>
      <c r="C887" s="196">
        <v>0</v>
      </c>
      <c r="D887" s="196">
        <v>0.28999999999999998</v>
      </c>
      <c r="E887" s="195" t="s">
        <v>593</v>
      </c>
      <c r="F887" s="195" t="s">
        <v>432</v>
      </c>
    </row>
    <row r="888" spans="1:6" x14ac:dyDescent="0.25">
      <c r="A888" s="189" t="str">
        <f t="shared" si="13"/>
        <v>AA-MD 79700.27E</v>
      </c>
      <c r="B888" s="195" t="s">
        <v>1031</v>
      </c>
      <c r="C888" s="196">
        <v>0</v>
      </c>
      <c r="D888" s="196">
        <v>0.27</v>
      </c>
      <c r="E888" s="195" t="s">
        <v>598</v>
      </c>
      <c r="F888" s="195" t="s">
        <v>19</v>
      </c>
    </row>
    <row r="889" spans="1:6" x14ac:dyDescent="0.25">
      <c r="A889" s="189" t="str">
        <f t="shared" si="13"/>
        <v>AA-MD 79800.34N</v>
      </c>
      <c r="B889" s="195" t="s">
        <v>1032</v>
      </c>
      <c r="C889" s="196">
        <v>0</v>
      </c>
      <c r="D889" s="196">
        <v>0.34</v>
      </c>
      <c r="E889" s="195" t="s">
        <v>589</v>
      </c>
      <c r="F889" s="195" t="s">
        <v>430</v>
      </c>
    </row>
    <row r="890" spans="1:6" x14ac:dyDescent="0.25">
      <c r="A890" s="189" t="str">
        <f t="shared" si="13"/>
        <v>AA-MD 79800.34S</v>
      </c>
      <c r="B890" s="195" t="s">
        <v>1032</v>
      </c>
      <c r="C890" s="196">
        <v>0</v>
      </c>
      <c r="D890" s="196">
        <v>0.34</v>
      </c>
      <c r="E890" s="195" t="s">
        <v>595</v>
      </c>
      <c r="F890" s="195" t="s">
        <v>438</v>
      </c>
    </row>
    <row r="891" spans="1:6" x14ac:dyDescent="0.25">
      <c r="A891" s="189" t="str">
        <f t="shared" si="13"/>
        <v>AA-MD 908A00.55E</v>
      </c>
      <c r="B891" s="195" t="s">
        <v>1033</v>
      </c>
      <c r="C891" s="196">
        <v>0</v>
      </c>
      <c r="D891" s="196">
        <v>0.55000000000000004</v>
      </c>
      <c r="E891" s="195" t="s">
        <v>598</v>
      </c>
      <c r="F891" s="195" t="s">
        <v>19</v>
      </c>
    </row>
    <row r="892" spans="1:6" x14ac:dyDescent="0.25">
      <c r="A892" s="189" t="str">
        <f t="shared" si="13"/>
        <v>AA-MD 908A0.110.55W</v>
      </c>
      <c r="B892" s="195" t="s">
        <v>1033</v>
      </c>
      <c r="C892" s="196">
        <v>0.11</v>
      </c>
      <c r="D892" s="196">
        <v>0.55000000000000004</v>
      </c>
      <c r="E892" s="195" t="s">
        <v>593</v>
      </c>
      <c r="F892" s="195" t="s">
        <v>432</v>
      </c>
    </row>
    <row r="893" spans="1:6" x14ac:dyDescent="0.25">
      <c r="A893" s="189" t="str">
        <f t="shared" si="13"/>
        <v>AA-MD 908B02.09E</v>
      </c>
      <c r="B893" s="195" t="s">
        <v>1034</v>
      </c>
      <c r="C893" s="196">
        <v>0</v>
      </c>
      <c r="D893" s="196">
        <v>2.09</v>
      </c>
      <c r="E893" s="195" t="s">
        <v>583</v>
      </c>
      <c r="F893" s="195" t="s">
        <v>19</v>
      </c>
    </row>
    <row r="894" spans="1:6" x14ac:dyDescent="0.25">
      <c r="A894" s="189" t="str">
        <f t="shared" si="13"/>
        <v>AA-MD 908B02.09W</v>
      </c>
      <c r="B894" s="195" t="s">
        <v>1034</v>
      </c>
      <c r="C894" s="196">
        <v>0</v>
      </c>
      <c r="D894" s="196">
        <v>2.09</v>
      </c>
      <c r="E894" s="195" t="s">
        <v>583</v>
      </c>
      <c r="F894" s="195" t="s">
        <v>432</v>
      </c>
    </row>
    <row r="895" spans="1:6" x14ac:dyDescent="0.25">
      <c r="A895" s="189" t="str">
        <f t="shared" si="13"/>
        <v>AA-MD 908C01.1E</v>
      </c>
      <c r="B895" s="195" t="s">
        <v>1035</v>
      </c>
      <c r="C895" s="196">
        <v>0</v>
      </c>
      <c r="D895" s="196">
        <v>1.1000000000000001</v>
      </c>
      <c r="E895" s="195" t="s">
        <v>583</v>
      </c>
      <c r="F895" s="195" t="s">
        <v>19</v>
      </c>
    </row>
    <row r="896" spans="1:6" x14ac:dyDescent="0.25">
      <c r="A896" s="189" t="str">
        <f t="shared" si="13"/>
        <v>AA-MD 908C01.1W</v>
      </c>
      <c r="B896" s="195" t="s">
        <v>1035</v>
      </c>
      <c r="C896" s="196">
        <v>0</v>
      </c>
      <c r="D896" s="196">
        <v>1.1000000000000001</v>
      </c>
      <c r="E896" s="195" t="s">
        <v>583</v>
      </c>
      <c r="F896" s="195" t="s">
        <v>432</v>
      </c>
    </row>
    <row r="897" spans="1:6" x14ac:dyDescent="0.25">
      <c r="A897" s="189" t="str">
        <f t="shared" si="13"/>
        <v>AA-MD 908C1.12.5E</v>
      </c>
      <c r="B897" s="195" t="s">
        <v>1035</v>
      </c>
      <c r="C897" s="196">
        <v>1.1000000000000001</v>
      </c>
      <c r="D897" s="196">
        <v>2.5</v>
      </c>
      <c r="E897" s="195" t="s">
        <v>583</v>
      </c>
      <c r="F897" s="195" t="s">
        <v>19</v>
      </c>
    </row>
    <row r="898" spans="1:6" x14ac:dyDescent="0.25">
      <c r="A898" s="189" t="str">
        <f t="shared" si="13"/>
        <v>AA-MD 908C1.12.5W</v>
      </c>
      <c r="B898" s="195" t="s">
        <v>1035</v>
      </c>
      <c r="C898" s="196">
        <v>1.1000000000000001</v>
      </c>
      <c r="D898" s="196">
        <v>2.5</v>
      </c>
      <c r="E898" s="195" t="s">
        <v>583</v>
      </c>
      <c r="F898" s="195" t="s">
        <v>432</v>
      </c>
    </row>
    <row r="899" spans="1:6" x14ac:dyDescent="0.25">
      <c r="A899" s="189" t="str">
        <f t="shared" ref="A899:A962" si="14">B899&amp;C899&amp;D899&amp;F899</f>
        <v>AA-MD 908C2.52.52E</v>
      </c>
      <c r="B899" s="195" t="s">
        <v>1035</v>
      </c>
      <c r="C899" s="196">
        <v>2.5</v>
      </c>
      <c r="D899" s="196">
        <v>2.52</v>
      </c>
      <c r="E899" s="195" t="s">
        <v>583</v>
      </c>
      <c r="F899" s="195" t="s">
        <v>19</v>
      </c>
    </row>
    <row r="900" spans="1:6" x14ac:dyDescent="0.25">
      <c r="A900" s="189" t="str">
        <f t="shared" si="14"/>
        <v>AA-MD 908C2.52.52W</v>
      </c>
      <c r="B900" s="195" t="s">
        <v>1035</v>
      </c>
      <c r="C900" s="196">
        <v>2.5</v>
      </c>
      <c r="D900" s="196">
        <v>2.52</v>
      </c>
      <c r="E900" s="195" t="s">
        <v>583</v>
      </c>
      <c r="F900" s="195" t="s">
        <v>432</v>
      </c>
    </row>
    <row r="901" spans="1:6" x14ac:dyDescent="0.25">
      <c r="A901" s="189" t="str">
        <f t="shared" si="14"/>
        <v>AA-MD 908D00.41N</v>
      </c>
      <c r="B901" s="195" t="s">
        <v>1036</v>
      </c>
      <c r="C901" s="196">
        <v>0</v>
      </c>
      <c r="D901" s="196">
        <v>0.41</v>
      </c>
      <c r="E901" s="195" t="s">
        <v>589</v>
      </c>
      <c r="F901" s="195" t="s">
        <v>430</v>
      </c>
    </row>
    <row r="902" spans="1:6" x14ac:dyDescent="0.25">
      <c r="A902" s="189" t="str">
        <f t="shared" si="14"/>
        <v>AA-MD 908D00.41S</v>
      </c>
      <c r="B902" s="195" t="s">
        <v>1036</v>
      </c>
      <c r="C902" s="196">
        <v>0</v>
      </c>
      <c r="D902" s="196">
        <v>0.41</v>
      </c>
      <c r="E902" s="195" t="s">
        <v>595</v>
      </c>
      <c r="F902" s="195" t="s">
        <v>438</v>
      </c>
    </row>
    <row r="903" spans="1:6" x14ac:dyDescent="0.25">
      <c r="A903" s="189" t="str">
        <f t="shared" si="14"/>
        <v>AA-MD 908E00.24W</v>
      </c>
      <c r="B903" s="195" t="s">
        <v>1037</v>
      </c>
      <c r="C903" s="196">
        <v>0</v>
      </c>
      <c r="D903" s="196">
        <v>0.24</v>
      </c>
      <c r="E903" s="195" t="s">
        <v>593</v>
      </c>
      <c r="F903" s="195" t="s">
        <v>432</v>
      </c>
    </row>
    <row r="904" spans="1:6" x14ac:dyDescent="0.25">
      <c r="A904" s="189" t="str">
        <f t="shared" si="14"/>
        <v>AA-MD 90900.8N</v>
      </c>
      <c r="B904" s="195" t="s">
        <v>1038</v>
      </c>
      <c r="C904" s="196">
        <v>0</v>
      </c>
      <c r="D904" s="196">
        <v>0.8</v>
      </c>
      <c r="E904" s="195" t="s">
        <v>589</v>
      </c>
      <c r="F904" s="195" t="s">
        <v>430</v>
      </c>
    </row>
    <row r="905" spans="1:6" x14ac:dyDescent="0.25">
      <c r="A905" s="189" t="str">
        <f t="shared" si="14"/>
        <v>AA-MD 90900.8S</v>
      </c>
      <c r="B905" s="195" t="s">
        <v>1038</v>
      </c>
      <c r="C905" s="196">
        <v>0</v>
      </c>
      <c r="D905" s="196">
        <v>0.8</v>
      </c>
      <c r="E905" s="195" t="s">
        <v>595</v>
      </c>
      <c r="F905" s="195" t="s">
        <v>438</v>
      </c>
    </row>
    <row r="906" spans="1:6" x14ac:dyDescent="0.25">
      <c r="A906" s="189" t="str">
        <f t="shared" si="14"/>
        <v>AA-MD 91500.47N</v>
      </c>
      <c r="B906" s="195" t="s">
        <v>1039</v>
      </c>
      <c r="C906" s="196">
        <v>0</v>
      </c>
      <c r="D906" s="196">
        <v>0.47</v>
      </c>
      <c r="E906" s="195" t="s">
        <v>583</v>
      </c>
      <c r="F906" s="195" t="s">
        <v>430</v>
      </c>
    </row>
    <row r="907" spans="1:6" x14ac:dyDescent="0.25">
      <c r="A907" s="189" t="str">
        <f t="shared" si="14"/>
        <v>AA-MD 91500.47S</v>
      </c>
      <c r="B907" s="195" t="s">
        <v>1039</v>
      </c>
      <c r="C907" s="196">
        <v>0</v>
      </c>
      <c r="D907" s="196">
        <v>0.47</v>
      </c>
      <c r="E907" s="195" t="s">
        <v>583</v>
      </c>
      <c r="F907" s="195" t="s">
        <v>438</v>
      </c>
    </row>
    <row r="908" spans="1:6" x14ac:dyDescent="0.25">
      <c r="A908" s="189" t="str">
        <f t="shared" si="14"/>
        <v>AA-MD 915A00.89N</v>
      </c>
      <c r="B908" s="195" t="s">
        <v>1040</v>
      </c>
      <c r="C908" s="196">
        <v>0</v>
      </c>
      <c r="D908" s="196">
        <v>0.89</v>
      </c>
      <c r="E908" s="195" t="s">
        <v>583</v>
      </c>
      <c r="F908" s="195" t="s">
        <v>430</v>
      </c>
    </row>
    <row r="909" spans="1:6" x14ac:dyDescent="0.25">
      <c r="A909" s="189" t="str">
        <f t="shared" si="14"/>
        <v>AA-MD 915A00.89S</v>
      </c>
      <c r="B909" s="195" t="s">
        <v>1040</v>
      </c>
      <c r="C909" s="196">
        <v>0</v>
      </c>
      <c r="D909" s="196">
        <v>0.89</v>
      </c>
      <c r="E909" s="195" t="s">
        <v>583</v>
      </c>
      <c r="F909" s="195" t="s">
        <v>438</v>
      </c>
    </row>
    <row r="910" spans="1:6" x14ac:dyDescent="0.25">
      <c r="A910" s="189" t="str">
        <f t="shared" si="14"/>
        <v>AA-MD 915H00.47E</v>
      </c>
      <c r="B910" s="195" t="s">
        <v>1041</v>
      </c>
      <c r="C910" s="196">
        <v>0</v>
      </c>
      <c r="D910" s="196">
        <v>0.47</v>
      </c>
      <c r="E910" s="195" t="s">
        <v>583</v>
      </c>
      <c r="F910" s="195" t="s">
        <v>19</v>
      </c>
    </row>
    <row r="911" spans="1:6" x14ac:dyDescent="0.25">
      <c r="A911" s="189" t="str">
        <f t="shared" si="14"/>
        <v>AA-MD 915H00.47W</v>
      </c>
      <c r="B911" s="195" t="s">
        <v>1041</v>
      </c>
      <c r="C911" s="196">
        <v>0</v>
      </c>
      <c r="D911" s="196">
        <v>0.47</v>
      </c>
      <c r="E911" s="195" t="s">
        <v>583</v>
      </c>
      <c r="F911" s="195" t="s">
        <v>432</v>
      </c>
    </row>
    <row r="912" spans="1:6" x14ac:dyDescent="0.25">
      <c r="A912" s="189" t="str">
        <f t="shared" si="14"/>
        <v>AA-MD 91700.09N</v>
      </c>
      <c r="B912" s="195" t="s">
        <v>1042</v>
      </c>
      <c r="C912" s="196">
        <v>0</v>
      </c>
      <c r="D912" s="196">
        <v>0.09</v>
      </c>
      <c r="E912" s="195" t="s">
        <v>589</v>
      </c>
      <c r="F912" s="195" t="s">
        <v>430</v>
      </c>
    </row>
    <row r="913" spans="1:6" x14ac:dyDescent="0.25">
      <c r="A913" s="189" t="str">
        <f t="shared" si="14"/>
        <v>AA-MD 91700.09S</v>
      </c>
      <c r="B913" s="195" t="s">
        <v>1042</v>
      </c>
      <c r="C913" s="196">
        <v>0</v>
      </c>
      <c r="D913" s="196">
        <v>0.09</v>
      </c>
      <c r="E913" s="195" t="s">
        <v>595</v>
      </c>
      <c r="F913" s="195" t="s">
        <v>438</v>
      </c>
    </row>
    <row r="914" spans="1:6" x14ac:dyDescent="0.25">
      <c r="A914" s="189" t="str">
        <f t="shared" si="14"/>
        <v>AA-MD 931L00.11N</v>
      </c>
      <c r="B914" s="195" t="s">
        <v>1043</v>
      </c>
      <c r="C914" s="196">
        <v>0</v>
      </c>
      <c r="D914" s="196">
        <v>0.11</v>
      </c>
      <c r="E914" s="195" t="s">
        <v>589</v>
      </c>
      <c r="F914" s="195" t="s">
        <v>430</v>
      </c>
    </row>
    <row r="915" spans="1:6" x14ac:dyDescent="0.25">
      <c r="A915" s="189" t="str">
        <f t="shared" si="14"/>
        <v>AA-MD 931L00.11S</v>
      </c>
      <c r="B915" s="195" t="s">
        <v>1043</v>
      </c>
      <c r="C915" s="196">
        <v>0</v>
      </c>
      <c r="D915" s="196">
        <v>0.11</v>
      </c>
      <c r="E915" s="195" t="s">
        <v>595</v>
      </c>
      <c r="F915" s="195" t="s">
        <v>438</v>
      </c>
    </row>
    <row r="916" spans="1:6" x14ac:dyDescent="0.25">
      <c r="A916" s="189" t="str">
        <f t="shared" si="14"/>
        <v>AA-MD 931Q4.594.82E</v>
      </c>
      <c r="B916" s="195" t="s">
        <v>1044</v>
      </c>
      <c r="C916" s="196">
        <v>4.59</v>
      </c>
      <c r="D916" s="196">
        <v>4.82</v>
      </c>
      <c r="E916" s="195" t="s">
        <v>598</v>
      </c>
      <c r="F916" s="195" t="s">
        <v>19</v>
      </c>
    </row>
    <row r="917" spans="1:6" x14ac:dyDescent="0.25">
      <c r="A917" s="189" t="str">
        <f t="shared" si="14"/>
        <v>AA-MD 931Q4.594.82W</v>
      </c>
      <c r="B917" s="195" t="s">
        <v>1044</v>
      </c>
      <c r="C917" s="196">
        <v>4.59</v>
      </c>
      <c r="D917" s="196">
        <v>4.82</v>
      </c>
      <c r="E917" s="195" t="s">
        <v>593</v>
      </c>
      <c r="F917" s="195" t="s">
        <v>432</v>
      </c>
    </row>
    <row r="918" spans="1:6" x14ac:dyDescent="0.25">
      <c r="A918" s="189" t="str">
        <f t="shared" si="14"/>
        <v>AA-MD 931Q4.824.97E</v>
      </c>
      <c r="B918" s="195" t="s">
        <v>1044</v>
      </c>
      <c r="C918" s="196">
        <v>4.82</v>
      </c>
      <c r="D918" s="196">
        <v>4.97</v>
      </c>
      <c r="E918" s="195" t="s">
        <v>598</v>
      </c>
      <c r="F918" s="195" t="s">
        <v>19</v>
      </c>
    </row>
    <row r="919" spans="1:6" x14ac:dyDescent="0.25">
      <c r="A919" s="189" t="str">
        <f t="shared" si="14"/>
        <v>AA-MD 931Q4.824.97W</v>
      </c>
      <c r="B919" s="195" t="s">
        <v>1044</v>
      </c>
      <c r="C919" s="196">
        <v>4.82</v>
      </c>
      <c r="D919" s="196">
        <v>4.97</v>
      </c>
      <c r="E919" s="195" t="s">
        <v>593</v>
      </c>
      <c r="F919" s="195" t="s">
        <v>432</v>
      </c>
    </row>
    <row r="920" spans="1:6" x14ac:dyDescent="0.25">
      <c r="A920" s="189" t="str">
        <f t="shared" si="14"/>
        <v>AA-MD 931R00.15N</v>
      </c>
      <c r="B920" s="195" t="s">
        <v>1045</v>
      </c>
      <c r="C920" s="196">
        <v>0</v>
      </c>
      <c r="D920" s="196">
        <v>0.15</v>
      </c>
      <c r="E920" s="195" t="s">
        <v>589</v>
      </c>
      <c r="F920" s="195" t="s">
        <v>430</v>
      </c>
    </row>
    <row r="921" spans="1:6" x14ac:dyDescent="0.25">
      <c r="A921" s="189" t="str">
        <f t="shared" si="14"/>
        <v>AA-MD 931R00.15S</v>
      </c>
      <c r="B921" s="195" t="s">
        <v>1045</v>
      </c>
      <c r="C921" s="196">
        <v>0</v>
      </c>
      <c r="D921" s="196">
        <v>0.15</v>
      </c>
      <c r="E921" s="195" t="s">
        <v>595</v>
      </c>
      <c r="F921" s="195" t="s">
        <v>438</v>
      </c>
    </row>
    <row r="922" spans="1:6" x14ac:dyDescent="0.25">
      <c r="A922" s="189" t="str">
        <f t="shared" si="14"/>
        <v>AA-MD 931U0.370.38E</v>
      </c>
      <c r="B922" s="195" t="s">
        <v>1046</v>
      </c>
      <c r="C922" s="196">
        <v>0.37</v>
      </c>
      <c r="D922" s="196">
        <v>0.38</v>
      </c>
      <c r="E922" s="195" t="s">
        <v>598</v>
      </c>
      <c r="F922" s="195" t="s">
        <v>19</v>
      </c>
    </row>
    <row r="923" spans="1:6" x14ac:dyDescent="0.25">
      <c r="A923" s="189" t="str">
        <f t="shared" si="14"/>
        <v>AA-MD 931U0.370.38W</v>
      </c>
      <c r="B923" s="195" t="s">
        <v>1046</v>
      </c>
      <c r="C923" s="196">
        <v>0.37</v>
      </c>
      <c r="D923" s="196">
        <v>0.38</v>
      </c>
      <c r="E923" s="195" t="s">
        <v>593</v>
      </c>
      <c r="F923" s="195" t="s">
        <v>432</v>
      </c>
    </row>
    <row r="924" spans="1:6" x14ac:dyDescent="0.25">
      <c r="A924" s="189" t="str">
        <f t="shared" si="14"/>
        <v>AA-MD 931Y00.04N</v>
      </c>
      <c r="B924" s="195" t="s">
        <v>1047</v>
      </c>
      <c r="C924" s="196">
        <v>0</v>
      </c>
      <c r="D924" s="196">
        <v>0.04</v>
      </c>
      <c r="E924" s="195" t="s">
        <v>589</v>
      </c>
      <c r="F924" s="195" t="s">
        <v>430</v>
      </c>
    </row>
    <row r="925" spans="1:6" x14ac:dyDescent="0.25">
      <c r="A925" s="189" t="str">
        <f t="shared" si="14"/>
        <v>AA-MD 931Y00.04S</v>
      </c>
      <c r="B925" s="195" t="s">
        <v>1047</v>
      </c>
      <c r="C925" s="196">
        <v>0</v>
      </c>
      <c r="D925" s="196">
        <v>0.04</v>
      </c>
      <c r="E925" s="195" t="s">
        <v>595</v>
      </c>
      <c r="F925" s="195" t="s">
        <v>438</v>
      </c>
    </row>
    <row r="926" spans="1:6" x14ac:dyDescent="0.25">
      <c r="A926" s="189" t="str">
        <f t="shared" si="14"/>
        <v>AA-MD 96900.08N</v>
      </c>
      <c r="B926" s="195" t="s">
        <v>1048</v>
      </c>
      <c r="C926" s="196">
        <v>0</v>
      </c>
      <c r="D926" s="196">
        <v>0.08</v>
      </c>
      <c r="E926" s="195" t="s">
        <v>589</v>
      </c>
      <c r="F926" s="195" t="s">
        <v>430</v>
      </c>
    </row>
    <row r="927" spans="1:6" x14ac:dyDescent="0.25">
      <c r="A927" s="189" t="str">
        <f t="shared" si="14"/>
        <v>AA-MD 96900.08S</v>
      </c>
      <c r="B927" s="195" t="s">
        <v>1048</v>
      </c>
      <c r="C927" s="196">
        <v>0</v>
      </c>
      <c r="D927" s="196">
        <v>0.08</v>
      </c>
      <c r="E927" s="195" t="s">
        <v>595</v>
      </c>
      <c r="F927" s="195" t="s">
        <v>438</v>
      </c>
    </row>
    <row r="928" spans="1:6" x14ac:dyDescent="0.25">
      <c r="A928" s="189" t="str">
        <f t="shared" si="14"/>
        <v>AA-MD 980A01.07N</v>
      </c>
      <c r="B928" s="195" t="s">
        <v>1049</v>
      </c>
      <c r="C928" s="196">
        <v>0</v>
      </c>
      <c r="D928" s="196">
        <v>1.07</v>
      </c>
      <c r="E928" s="195" t="s">
        <v>583</v>
      </c>
      <c r="F928" s="195" t="s">
        <v>430</v>
      </c>
    </row>
    <row r="929" spans="1:6" x14ac:dyDescent="0.25">
      <c r="A929" s="189" t="str">
        <f t="shared" si="14"/>
        <v>AA-MD 980A01.07S</v>
      </c>
      <c r="B929" s="195" t="s">
        <v>1049</v>
      </c>
      <c r="C929" s="196">
        <v>0</v>
      </c>
      <c r="D929" s="196">
        <v>1.07</v>
      </c>
      <c r="E929" s="195" t="s">
        <v>583</v>
      </c>
      <c r="F929" s="195" t="s">
        <v>438</v>
      </c>
    </row>
    <row r="930" spans="1:6" x14ac:dyDescent="0.25">
      <c r="A930" s="189" t="str">
        <f t="shared" si="14"/>
        <v>AA-MD 980B00.65N</v>
      </c>
      <c r="B930" s="195" t="s">
        <v>1050</v>
      </c>
      <c r="C930" s="196">
        <v>0</v>
      </c>
      <c r="D930" s="196">
        <v>0.65</v>
      </c>
      <c r="E930" s="195" t="s">
        <v>583</v>
      </c>
      <c r="F930" s="195" t="s">
        <v>430</v>
      </c>
    </row>
    <row r="931" spans="1:6" x14ac:dyDescent="0.25">
      <c r="A931" s="189" t="str">
        <f t="shared" si="14"/>
        <v>AA-MD 980B00.65S</v>
      </c>
      <c r="B931" s="195" t="s">
        <v>1050</v>
      </c>
      <c r="C931" s="196">
        <v>0</v>
      </c>
      <c r="D931" s="196">
        <v>0.65</v>
      </c>
      <c r="E931" s="195" t="s">
        <v>583</v>
      </c>
      <c r="F931" s="195" t="s">
        <v>438</v>
      </c>
    </row>
    <row r="932" spans="1:6" x14ac:dyDescent="0.25">
      <c r="A932" s="189" t="str">
        <f t="shared" si="14"/>
        <v>AA-MD 980B0.651.8N</v>
      </c>
      <c r="B932" s="195" t="s">
        <v>1050</v>
      </c>
      <c r="C932" s="196">
        <v>0.65</v>
      </c>
      <c r="D932" s="196">
        <v>1.8</v>
      </c>
      <c r="E932" s="195" t="s">
        <v>583</v>
      </c>
      <c r="F932" s="195" t="s">
        <v>430</v>
      </c>
    </row>
    <row r="933" spans="1:6" x14ac:dyDescent="0.25">
      <c r="A933" s="189" t="str">
        <f t="shared" si="14"/>
        <v>AA-MD 980B0.651.8S</v>
      </c>
      <c r="B933" s="195" t="s">
        <v>1050</v>
      </c>
      <c r="C933" s="196">
        <v>0.65</v>
      </c>
      <c r="D933" s="196">
        <v>1.8</v>
      </c>
      <c r="E933" s="195" t="s">
        <v>583</v>
      </c>
      <c r="F933" s="195" t="s">
        <v>438</v>
      </c>
    </row>
    <row r="934" spans="1:6" x14ac:dyDescent="0.25">
      <c r="A934" s="189" t="str">
        <f t="shared" si="14"/>
        <v>AA-MD 980B1.81.95N</v>
      </c>
      <c r="B934" s="195" t="s">
        <v>1050</v>
      </c>
      <c r="C934" s="196">
        <v>1.8</v>
      </c>
      <c r="D934" s="196">
        <v>1.95</v>
      </c>
      <c r="E934" s="195" t="s">
        <v>583</v>
      </c>
      <c r="F934" s="195" t="s">
        <v>430</v>
      </c>
    </row>
    <row r="935" spans="1:6" x14ac:dyDescent="0.25">
      <c r="A935" s="189" t="str">
        <f t="shared" si="14"/>
        <v>AA-MD 980B1.81.95S</v>
      </c>
      <c r="B935" s="195" t="s">
        <v>1050</v>
      </c>
      <c r="C935" s="196">
        <v>1.8</v>
      </c>
      <c r="D935" s="196">
        <v>1.95</v>
      </c>
      <c r="E935" s="195" t="s">
        <v>583</v>
      </c>
      <c r="F935" s="195" t="s">
        <v>438</v>
      </c>
    </row>
    <row r="936" spans="1:6" x14ac:dyDescent="0.25">
      <c r="A936" s="189" t="str">
        <f t="shared" si="14"/>
        <v>AA-MD 980B1.952.05N</v>
      </c>
      <c r="B936" s="195" t="s">
        <v>1050</v>
      </c>
      <c r="C936" s="196">
        <v>1.95</v>
      </c>
      <c r="D936" s="196">
        <v>2.0499999999999998</v>
      </c>
      <c r="E936" s="195" t="s">
        <v>583</v>
      </c>
      <c r="F936" s="195" t="s">
        <v>430</v>
      </c>
    </row>
    <row r="937" spans="1:6" x14ac:dyDescent="0.25">
      <c r="A937" s="189" t="str">
        <f t="shared" si="14"/>
        <v>AA-MD 980B1.952.05S</v>
      </c>
      <c r="B937" s="195" t="s">
        <v>1050</v>
      </c>
      <c r="C937" s="196">
        <v>1.95</v>
      </c>
      <c r="D937" s="196">
        <v>2.0499999999999998</v>
      </c>
      <c r="E937" s="195" t="s">
        <v>583</v>
      </c>
      <c r="F937" s="195" t="s">
        <v>438</v>
      </c>
    </row>
    <row r="938" spans="1:6" x14ac:dyDescent="0.25">
      <c r="A938" s="189" t="str">
        <f t="shared" si="14"/>
        <v>AA-MD 980C00.47S</v>
      </c>
      <c r="B938" s="195" t="s">
        <v>1051</v>
      </c>
      <c r="C938" s="196">
        <v>0</v>
      </c>
      <c r="D938" s="196">
        <v>0.47</v>
      </c>
      <c r="E938" s="195" t="s">
        <v>595</v>
      </c>
      <c r="F938" s="195" t="s">
        <v>438</v>
      </c>
    </row>
    <row r="939" spans="1:6" x14ac:dyDescent="0.25">
      <c r="A939" s="189" t="str">
        <f t="shared" si="14"/>
        <v>AA-MD 980C00.52N</v>
      </c>
      <c r="B939" s="195" t="s">
        <v>1051</v>
      </c>
      <c r="C939" s="196">
        <v>0</v>
      </c>
      <c r="D939" s="196">
        <v>0.52</v>
      </c>
      <c r="E939" s="195" t="s">
        <v>589</v>
      </c>
      <c r="F939" s="195" t="s">
        <v>430</v>
      </c>
    </row>
    <row r="940" spans="1:6" x14ac:dyDescent="0.25">
      <c r="A940" s="189" t="str">
        <f t="shared" si="14"/>
        <v>AA-MD 980E00.13S</v>
      </c>
      <c r="B940" s="195" t="s">
        <v>1052</v>
      </c>
      <c r="C940" s="196">
        <v>0</v>
      </c>
      <c r="D940" s="196">
        <v>0.13</v>
      </c>
      <c r="E940" s="195" t="s">
        <v>595</v>
      </c>
      <c r="F940" s="195" t="s">
        <v>438</v>
      </c>
    </row>
    <row r="941" spans="1:6" x14ac:dyDescent="0.25">
      <c r="A941" s="189" t="str">
        <f t="shared" si="14"/>
        <v>AA-MD 980E0.040.13N</v>
      </c>
      <c r="B941" s="195" t="s">
        <v>1052</v>
      </c>
      <c r="C941" s="196">
        <v>0.04</v>
      </c>
      <c r="D941" s="196">
        <v>0.13</v>
      </c>
      <c r="E941" s="195" t="s">
        <v>589</v>
      </c>
      <c r="F941" s="195" t="s">
        <v>430</v>
      </c>
    </row>
    <row r="942" spans="1:6" x14ac:dyDescent="0.25">
      <c r="A942" s="189" t="str">
        <f t="shared" si="14"/>
        <v>AA-MD 99000.01N</v>
      </c>
      <c r="B942" s="195" t="s">
        <v>1053</v>
      </c>
      <c r="C942" s="196">
        <v>0</v>
      </c>
      <c r="D942" s="196">
        <v>0.01</v>
      </c>
      <c r="E942" s="195" t="s">
        <v>589</v>
      </c>
      <c r="F942" s="195" t="s">
        <v>430</v>
      </c>
    </row>
    <row r="943" spans="1:6" x14ac:dyDescent="0.25">
      <c r="A943" s="189" t="str">
        <f t="shared" si="14"/>
        <v>AA-MD 99000.01S</v>
      </c>
      <c r="B943" s="195" t="s">
        <v>1053</v>
      </c>
      <c r="C943" s="196">
        <v>0</v>
      </c>
      <c r="D943" s="196">
        <v>0.01</v>
      </c>
      <c r="E943" s="195" t="s">
        <v>595</v>
      </c>
      <c r="F943" s="195" t="s">
        <v>438</v>
      </c>
    </row>
    <row r="944" spans="1:6" x14ac:dyDescent="0.25">
      <c r="A944" s="189" t="str">
        <f t="shared" si="14"/>
        <v>AA-MD 99500.5N</v>
      </c>
      <c r="B944" s="195" t="s">
        <v>1054</v>
      </c>
      <c r="C944" s="196">
        <v>0</v>
      </c>
      <c r="D944" s="196">
        <v>0.5</v>
      </c>
      <c r="E944" s="195" t="s">
        <v>589</v>
      </c>
      <c r="F944" s="195" t="s">
        <v>430</v>
      </c>
    </row>
    <row r="945" spans="1:6" x14ac:dyDescent="0.25">
      <c r="A945" s="189" t="str">
        <f t="shared" si="14"/>
        <v>AA-MD 99500.5S</v>
      </c>
      <c r="B945" s="195" t="s">
        <v>1054</v>
      </c>
      <c r="C945" s="196">
        <v>0</v>
      </c>
      <c r="D945" s="196">
        <v>0.5</v>
      </c>
      <c r="E945" s="195" t="s">
        <v>595</v>
      </c>
      <c r="F945" s="195" t="s">
        <v>438</v>
      </c>
    </row>
    <row r="946" spans="1:6" x14ac:dyDescent="0.25">
      <c r="A946" s="189" t="str">
        <f t="shared" si="14"/>
        <v>AA-MD 997D00.29N</v>
      </c>
      <c r="B946" s="195" t="s">
        <v>1055</v>
      </c>
      <c r="C946" s="196">
        <v>0</v>
      </c>
      <c r="D946" s="196">
        <v>0.28999999999999998</v>
      </c>
      <c r="E946" s="195" t="s">
        <v>583</v>
      </c>
      <c r="F946" s="195" t="s">
        <v>430</v>
      </c>
    </row>
    <row r="947" spans="1:6" x14ac:dyDescent="0.25">
      <c r="A947" s="189" t="str">
        <f t="shared" si="14"/>
        <v>AA-MD 997D00.29S</v>
      </c>
      <c r="B947" s="195" t="s">
        <v>1055</v>
      </c>
      <c r="C947" s="196">
        <v>0</v>
      </c>
      <c r="D947" s="196">
        <v>0.28999999999999998</v>
      </c>
      <c r="E947" s="195" t="s">
        <v>583</v>
      </c>
      <c r="F947" s="195" t="s">
        <v>438</v>
      </c>
    </row>
    <row r="948" spans="1:6" x14ac:dyDescent="0.25">
      <c r="A948" s="189" t="str">
        <f t="shared" si="14"/>
        <v>AA-MD 997E0.91.06E</v>
      </c>
      <c r="B948" s="195" t="s">
        <v>1056</v>
      </c>
      <c r="C948" s="196">
        <v>0.9</v>
      </c>
      <c r="D948" s="196">
        <v>1.06</v>
      </c>
      <c r="E948" s="195" t="s">
        <v>598</v>
      </c>
      <c r="F948" s="195" t="s">
        <v>19</v>
      </c>
    </row>
    <row r="949" spans="1:6" x14ac:dyDescent="0.25">
      <c r="A949" s="189" t="str">
        <f t="shared" si="14"/>
        <v>AA-MD 997E0.91.06W</v>
      </c>
      <c r="B949" s="195" t="s">
        <v>1056</v>
      </c>
      <c r="C949" s="196">
        <v>0.9</v>
      </c>
      <c r="D949" s="196">
        <v>1.06</v>
      </c>
      <c r="E949" s="195" t="s">
        <v>593</v>
      </c>
      <c r="F949" s="195" t="s">
        <v>432</v>
      </c>
    </row>
    <row r="950" spans="1:6" x14ac:dyDescent="0.25">
      <c r="A950" s="189" t="str">
        <f t="shared" si="14"/>
        <v>AA-US 50 RP1-2800.05W</v>
      </c>
      <c r="B950" s="195" t="s">
        <v>1057</v>
      </c>
      <c r="C950" s="196">
        <v>0</v>
      </c>
      <c r="D950" s="196">
        <v>0.05</v>
      </c>
      <c r="E950" s="195" t="s">
        <v>593</v>
      </c>
      <c r="F950" s="195" t="s">
        <v>432</v>
      </c>
    </row>
    <row r="951" spans="1:6" x14ac:dyDescent="0.25">
      <c r="A951" s="189" t="str">
        <f t="shared" si="14"/>
        <v>AA-US 50 RP1-2900.04W</v>
      </c>
      <c r="B951" s="195" t="s">
        <v>1058</v>
      </c>
      <c r="C951" s="196">
        <v>0</v>
      </c>
      <c r="D951" s="196">
        <v>0.04</v>
      </c>
      <c r="E951" s="195" t="s">
        <v>593</v>
      </c>
      <c r="F951" s="195" t="s">
        <v>432</v>
      </c>
    </row>
    <row r="952" spans="1:6" x14ac:dyDescent="0.25">
      <c r="A952" s="189" t="str">
        <f t="shared" si="14"/>
        <v>AA-US 50 RP1-3200.29N</v>
      </c>
      <c r="B952" s="195" t="s">
        <v>1059</v>
      </c>
      <c r="C952" s="196">
        <v>0</v>
      </c>
      <c r="D952" s="196">
        <v>0.28999999999999998</v>
      </c>
      <c r="E952" s="195" t="s">
        <v>589</v>
      </c>
      <c r="F952" s="195" t="s">
        <v>430</v>
      </c>
    </row>
    <row r="953" spans="1:6" x14ac:dyDescent="0.25">
      <c r="A953" s="189" t="str">
        <f t="shared" si="14"/>
        <v>AA-US 50 RP2-2700.29W</v>
      </c>
      <c r="B953" s="195" t="s">
        <v>1060</v>
      </c>
      <c r="C953" s="196">
        <v>0</v>
      </c>
      <c r="D953" s="196">
        <v>0.28999999999999998</v>
      </c>
      <c r="E953" s="195" t="s">
        <v>593</v>
      </c>
      <c r="F953" s="195" t="s">
        <v>432</v>
      </c>
    </row>
    <row r="954" spans="1:6" x14ac:dyDescent="0.25">
      <c r="A954" s="189" t="str">
        <f t="shared" si="14"/>
        <v>AA-US 50 RP2-2800.15W</v>
      </c>
      <c r="B954" s="195" t="s">
        <v>1061</v>
      </c>
      <c r="C954" s="196">
        <v>0</v>
      </c>
      <c r="D954" s="196">
        <v>0.15</v>
      </c>
      <c r="E954" s="195" t="s">
        <v>593</v>
      </c>
      <c r="F954" s="195" t="s">
        <v>432</v>
      </c>
    </row>
    <row r="955" spans="1:6" x14ac:dyDescent="0.25">
      <c r="A955" s="189" t="str">
        <f t="shared" si="14"/>
        <v>AA-US 50 RP2-2900.29W</v>
      </c>
      <c r="B955" s="195" t="s">
        <v>1062</v>
      </c>
      <c r="C955" s="196">
        <v>0</v>
      </c>
      <c r="D955" s="196">
        <v>0.28999999999999998</v>
      </c>
      <c r="E955" s="195" t="s">
        <v>593</v>
      </c>
      <c r="F955" s="195" t="s">
        <v>432</v>
      </c>
    </row>
    <row r="956" spans="1:6" x14ac:dyDescent="0.25">
      <c r="A956" s="189" t="str">
        <f t="shared" si="14"/>
        <v>AA-US 50 RP2-3200.03E</v>
      </c>
      <c r="B956" s="195" t="s">
        <v>1063</v>
      </c>
      <c r="C956" s="196">
        <v>0</v>
      </c>
      <c r="D956" s="196">
        <v>0.03</v>
      </c>
      <c r="E956" s="195" t="s">
        <v>598</v>
      </c>
      <c r="F956" s="195" t="s">
        <v>19</v>
      </c>
    </row>
    <row r="957" spans="1:6" x14ac:dyDescent="0.25">
      <c r="A957" s="189" t="str">
        <f t="shared" si="14"/>
        <v>AA-US 50 RP3-2700.12E</v>
      </c>
      <c r="B957" s="195" t="s">
        <v>1064</v>
      </c>
      <c r="C957" s="196">
        <v>0</v>
      </c>
      <c r="D957" s="196">
        <v>0.12</v>
      </c>
      <c r="E957" s="195" t="s">
        <v>598</v>
      </c>
      <c r="F957" s="195" t="s">
        <v>19</v>
      </c>
    </row>
    <row r="958" spans="1:6" x14ac:dyDescent="0.25">
      <c r="A958" s="189" t="str">
        <f t="shared" si="14"/>
        <v>AA-US 50 RP3-2800.22E</v>
      </c>
      <c r="B958" s="195" t="s">
        <v>1065</v>
      </c>
      <c r="C958" s="196">
        <v>0</v>
      </c>
      <c r="D958" s="196">
        <v>0.22</v>
      </c>
      <c r="E958" s="195" t="s">
        <v>598</v>
      </c>
      <c r="F958" s="195" t="s">
        <v>19</v>
      </c>
    </row>
    <row r="959" spans="1:6" x14ac:dyDescent="0.25">
      <c r="A959" s="189" t="str">
        <f t="shared" si="14"/>
        <v>AA-US 50 RP3-2900.31E</v>
      </c>
      <c r="B959" s="195" t="s">
        <v>1066</v>
      </c>
      <c r="C959" s="196">
        <v>0</v>
      </c>
      <c r="D959" s="196">
        <v>0.31</v>
      </c>
      <c r="E959" s="195" t="s">
        <v>598</v>
      </c>
      <c r="F959" s="195" t="s">
        <v>19</v>
      </c>
    </row>
    <row r="960" spans="1:6" x14ac:dyDescent="0.25">
      <c r="A960" s="189" t="str">
        <f t="shared" si="14"/>
        <v>AA-US 50 RP3-3000.01N</v>
      </c>
      <c r="B960" s="195" t="s">
        <v>1067</v>
      </c>
      <c r="C960" s="196">
        <v>0</v>
      </c>
      <c r="D960" s="196">
        <v>0.01</v>
      </c>
      <c r="E960" s="195" t="s">
        <v>589</v>
      </c>
      <c r="F960" s="195" t="s">
        <v>430</v>
      </c>
    </row>
    <row r="961" spans="1:6" x14ac:dyDescent="0.25">
      <c r="A961" s="189" t="str">
        <f t="shared" si="14"/>
        <v>AA-US 50 RP4-2700.28N</v>
      </c>
      <c r="B961" s="195" t="s">
        <v>1068</v>
      </c>
      <c r="C961" s="196">
        <v>0</v>
      </c>
      <c r="D961" s="196">
        <v>0.28000000000000003</v>
      </c>
      <c r="E961" s="195" t="s">
        <v>589</v>
      </c>
      <c r="F961" s="195" t="s">
        <v>430</v>
      </c>
    </row>
    <row r="962" spans="1:6" x14ac:dyDescent="0.25">
      <c r="A962" s="189" t="str">
        <f t="shared" si="14"/>
        <v>AA-US 50 RP4-2800.02N</v>
      </c>
      <c r="B962" s="195" t="s">
        <v>1069</v>
      </c>
      <c r="C962" s="196">
        <v>0</v>
      </c>
      <c r="D962" s="196">
        <v>0.02</v>
      </c>
      <c r="E962" s="195" t="s">
        <v>589</v>
      </c>
      <c r="F962" s="195" t="s">
        <v>430</v>
      </c>
    </row>
    <row r="963" spans="1:6" x14ac:dyDescent="0.25">
      <c r="A963" s="189" t="str">
        <f t="shared" ref="A963:A1026" si="15">B963&amp;C963&amp;D963&amp;F963</f>
        <v>AA-US 50 RP4-3000.06N</v>
      </c>
      <c r="B963" s="195" t="s">
        <v>1070</v>
      </c>
      <c r="C963" s="196">
        <v>0</v>
      </c>
      <c r="D963" s="196">
        <v>0.06</v>
      </c>
      <c r="E963" s="195" t="s">
        <v>589</v>
      </c>
      <c r="F963" s="195" t="s">
        <v>430</v>
      </c>
    </row>
    <row r="964" spans="1:6" x14ac:dyDescent="0.25">
      <c r="A964" s="189" t="str">
        <f t="shared" si="15"/>
        <v>AA-US 50 RP4-3200.05W</v>
      </c>
      <c r="B964" s="195" t="s">
        <v>1071</v>
      </c>
      <c r="C964" s="196">
        <v>0</v>
      </c>
      <c r="D964" s="196">
        <v>0.05</v>
      </c>
      <c r="E964" s="195" t="s">
        <v>593</v>
      </c>
      <c r="F964" s="195" t="s">
        <v>432</v>
      </c>
    </row>
    <row r="965" spans="1:6" x14ac:dyDescent="0.25">
      <c r="A965" s="189" t="str">
        <f t="shared" si="15"/>
        <v>AA-US 50 RP5-2700.23S</v>
      </c>
      <c r="B965" s="195" t="s">
        <v>1072</v>
      </c>
      <c r="C965" s="196">
        <v>0</v>
      </c>
      <c r="D965" s="196">
        <v>0.23</v>
      </c>
      <c r="E965" s="195" t="s">
        <v>595</v>
      </c>
      <c r="F965" s="195" t="s">
        <v>438</v>
      </c>
    </row>
    <row r="966" spans="1:6" x14ac:dyDescent="0.25">
      <c r="A966" s="189" t="str">
        <f t="shared" si="15"/>
        <v>AA-US 50 RP5-2800.14W</v>
      </c>
      <c r="B966" s="195" t="s">
        <v>1073</v>
      </c>
      <c r="C966" s="196">
        <v>0</v>
      </c>
      <c r="D966" s="196">
        <v>0.14000000000000001</v>
      </c>
      <c r="E966" s="195" t="s">
        <v>593</v>
      </c>
      <c r="F966" s="195" t="s">
        <v>432</v>
      </c>
    </row>
    <row r="967" spans="1:6" x14ac:dyDescent="0.25">
      <c r="A967" s="189" t="str">
        <f t="shared" si="15"/>
        <v>AA-US 50 RP5-2900.06E</v>
      </c>
      <c r="B967" s="195" t="s">
        <v>1074</v>
      </c>
      <c r="C967" s="196">
        <v>0</v>
      </c>
      <c r="D967" s="196">
        <v>0.06</v>
      </c>
      <c r="E967" s="195" t="s">
        <v>598</v>
      </c>
      <c r="F967" s="195" t="s">
        <v>19</v>
      </c>
    </row>
    <row r="968" spans="1:6" x14ac:dyDescent="0.25">
      <c r="A968" s="189" t="str">
        <f t="shared" si="15"/>
        <v>AA-US 50 RP5-3000.01S</v>
      </c>
      <c r="B968" s="195" t="s">
        <v>1075</v>
      </c>
      <c r="C968" s="196">
        <v>0</v>
      </c>
      <c r="D968" s="196">
        <v>0.01</v>
      </c>
      <c r="E968" s="195" t="s">
        <v>595</v>
      </c>
      <c r="F968" s="195" t="s">
        <v>438</v>
      </c>
    </row>
    <row r="969" spans="1:6" x14ac:dyDescent="0.25">
      <c r="A969" s="189" t="str">
        <f t="shared" si="15"/>
        <v>AA-US 50 RP5-3200.27S</v>
      </c>
      <c r="B969" s="195" t="s">
        <v>1076</v>
      </c>
      <c r="C969" s="196">
        <v>0</v>
      </c>
      <c r="D969" s="196">
        <v>0.27</v>
      </c>
      <c r="E969" s="195" t="s">
        <v>595</v>
      </c>
      <c r="F969" s="195" t="s">
        <v>438</v>
      </c>
    </row>
    <row r="970" spans="1:6" x14ac:dyDescent="0.25">
      <c r="A970" s="189" t="str">
        <f t="shared" si="15"/>
        <v>AA-US 50 RP6-2700.33E</v>
      </c>
      <c r="B970" s="195" t="s">
        <v>1077</v>
      </c>
      <c r="C970" s="196">
        <v>0</v>
      </c>
      <c r="D970" s="196">
        <v>0.33</v>
      </c>
      <c r="E970" s="195" t="s">
        <v>598</v>
      </c>
      <c r="F970" s="195" t="s">
        <v>19</v>
      </c>
    </row>
    <row r="971" spans="1:6" x14ac:dyDescent="0.25">
      <c r="A971" s="189" t="str">
        <f t="shared" si="15"/>
        <v>AA-US 50 RP6-2800.05S</v>
      </c>
      <c r="B971" s="195" t="s">
        <v>1078</v>
      </c>
      <c r="C971" s="196">
        <v>0</v>
      </c>
      <c r="D971" s="196">
        <v>0.05</v>
      </c>
      <c r="E971" s="195" t="s">
        <v>595</v>
      </c>
      <c r="F971" s="195" t="s">
        <v>438</v>
      </c>
    </row>
    <row r="972" spans="1:6" x14ac:dyDescent="0.25">
      <c r="A972" s="189" t="str">
        <f t="shared" si="15"/>
        <v>AA-US 50 RP6-3000.08E</v>
      </c>
      <c r="B972" s="195" t="s">
        <v>1079</v>
      </c>
      <c r="C972" s="196">
        <v>0</v>
      </c>
      <c r="D972" s="196">
        <v>0.08</v>
      </c>
      <c r="E972" s="195" t="s">
        <v>598</v>
      </c>
      <c r="F972" s="195" t="s">
        <v>19</v>
      </c>
    </row>
    <row r="973" spans="1:6" x14ac:dyDescent="0.25">
      <c r="A973" s="189" t="str">
        <f t="shared" si="15"/>
        <v>AA-US 50 RP6-3200.37S</v>
      </c>
      <c r="B973" s="195" t="s">
        <v>1080</v>
      </c>
      <c r="C973" s="196">
        <v>0</v>
      </c>
      <c r="D973" s="196">
        <v>0.37</v>
      </c>
      <c r="E973" s="195" t="s">
        <v>595</v>
      </c>
      <c r="F973" s="195" t="s">
        <v>438</v>
      </c>
    </row>
    <row r="974" spans="1:6" x14ac:dyDescent="0.25">
      <c r="A974" s="189" t="str">
        <f t="shared" si="15"/>
        <v>AA-US 50 RP7-2700.18N</v>
      </c>
      <c r="B974" s="195" t="s">
        <v>1081</v>
      </c>
      <c r="C974" s="196">
        <v>0</v>
      </c>
      <c r="D974" s="196">
        <v>0.18</v>
      </c>
      <c r="E974" s="195" t="s">
        <v>589</v>
      </c>
      <c r="F974" s="195" t="s">
        <v>430</v>
      </c>
    </row>
    <row r="975" spans="1:6" x14ac:dyDescent="0.25">
      <c r="A975" s="189" t="str">
        <f t="shared" si="15"/>
        <v>AA-US 50 RP7-2800.02W</v>
      </c>
      <c r="B975" s="195" t="s">
        <v>1082</v>
      </c>
      <c r="C975" s="196">
        <v>0</v>
      </c>
      <c r="D975" s="196">
        <v>0.02</v>
      </c>
      <c r="E975" s="195" t="s">
        <v>593</v>
      </c>
      <c r="F975" s="195" t="s">
        <v>432</v>
      </c>
    </row>
    <row r="976" spans="1:6" x14ac:dyDescent="0.25">
      <c r="A976" s="189" t="str">
        <f t="shared" si="15"/>
        <v>AA-US 50 RP7-2900.04W</v>
      </c>
      <c r="B976" s="195" t="s">
        <v>1083</v>
      </c>
      <c r="C976" s="196">
        <v>0</v>
      </c>
      <c r="D976" s="196">
        <v>0.04</v>
      </c>
      <c r="E976" s="195" t="s">
        <v>593</v>
      </c>
      <c r="F976" s="195" t="s">
        <v>432</v>
      </c>
    </row>
    <row r="977" spans="1:6" x14ac:dyDescent="0.25">
      <c r="A977" s="189" t="str">
        <f t="shared" si="15"/>
        <v>AA-US 50 RP7-3200.24N</v>
      </c>
      <c r="B977" s="195" t="s">
        <v>1084</v>
      </c>
      <c r="C977" s="196">
        <v>0</v>
      </c>
      <c r="D977" s="196">
        <v>0.24</v>
      </c>
      <c r="E977" s="195" t="s">
        <v>589</v>
      </c>
      <c r="F977" s="195" t="s">
        <v>430</v>
      </c>
    </row>
    <row r="978" spans="1:6" x14ac:dyDescent="0.25">
      <c r="A978" s="189" t="str">
        <f t="shared" si="15"/>
        <v>AA-US 50 RP8-2700.33S</v>
      </c>
      <c r="B978" s="195" t="s">
        <v>1085</v>
      </c>
      <c r="C978" s="196">
        <v>0</v>
      </c>
      <c r="D978" s="196">
        <v>0.33</v>
      </c>
      <c r="E978" s="195" t="s">
        <v>595</v>
      </c>
      <c r="F978" s="195" t="s">
        <v>438</v>
      </c>
    </row>
    <row r="979" spans="1:6" x14ac:dyDescent="0.25">
      <c r="A979" s="189" t="str">
        <f t="shared" si="15"/>
        <v>AA-US 50 RP8-2800.2S</v>
      </c>
      <c r="B979" s="195" t="s">
        <v>1086</v>
      </c>
      <c r="C979" s="196">
        <v>0</v>
      </c>
      <c r="D979" s="196">
        <v>0.2</v>
      </c>
      <c r="E979" s="195" t="s">
        <v>595</v>
      </c>
      <c r="F979" s="195" t="s">
        <v>438</v>
      </c>
    </row>
    <row r="980" spans="1:6" x14ac:dyDescent="0.25">
      <c r="A980" s="189" t="str">
        <f t="shared" si="15"/>
        <v>AA-US 50 RP8-2900.28S</v>
      </c>
      <c r="B980" s="195" t="s">
        <v>1087</v>
      </c>
      <c r="C980" s="196">
        <v>0</v>
      </c>
      <c r="D980" s="196">
        <v>0.28000000000000003</v>
      </c>
      <c r="E980" s="195" t="s">
        <v>595</v>
      </c>
      <c r="F980" s="195" t="s">
        <v>438</v>
      </c>
    </row>
    <row r="981" spans="1:6" x14ac:dyDescent="0.25">
      <c r="A981" s="189" t="str">
        <f t="shared" si="15"/>
        <v>AA-US 50 RP8-3200.11W</v>
      </c>
      <c r="B981" s="195" t="s">
        <v>1088</v>
      </c>
      <c r="C981" s="196">
        <v>0</v>
      </c>
      <c r="D981" s="196">
        <v>0.11</v>
      </c>
      <c r="E981" s="195" t="s">
        <v>593</v>
      </c>
      <c r="F981" s="195" t="s">
        <v>432</v>
      </c>
    </row>
    <row r="982" spans="1:6" x14ac:dyDescent="0.25">
      <c r="A982" s="189" t="str">
        <f t="shared" si="15"/>
        <v>AA-US 50 RP9-2700.11E</v>
      </c>
      <c r="B982" s="195" t="s">
        <v>1089</v>
      </c>
      <c r="C982" s="196">
        <v>0</v>
      </c>
      <c r="D982" s="196">
        <v>0.11</v>
      </c>
      <c r="E982" s="195" t="s">
        <v>598</v>
      </c>
      <c r="F982" s="195" t="s">
        <v>19</v>
      </c>
    </row>
    <row r="983" spans="1:6" x14ac:dyDescent="0.25">
      <c r="A983" s="189" t="str">
        <f t="shared" si="15"/>
        <v>AA-US 50 RP9-3200.45W</v>
      </c>
      <c r="B983" s="195" t="s">
        <v>1090</v>
      </c>
      <c r="C983" s="196">
        <v>0</v>
      </c>
      <c r="D983" s="196">
        <v>0.45</v>
      </c>
      <c r="E983" s="195" t="s">
        <v>593</v>
      </c>
      <c r="F983" s="195" t="s">
        <v>432</v>
      </c>
    </row>
    <row r="984" spans="1:6" x14ac:dyDescent="0.25">
      <c r="A984" s="189" t="str">
        <f t="shared" si="15"/>
        <v>AL-IS 68 RP10-4700.01S</v>
      </c>
      <c r="B984" s="195" t="s">
        <v>1091</v>
      </c>
      <c r="C984" s="196">
        <v>0</v>
      </c>
      <c r="D984" s="196">
        <v>0.01</v>
      </c>
      <c r="E984" s="195" t="s">
        <v>595</v>
      </c>
      <c r="F984" s="195" t="s">
        <v>438</v>
      </c>
    </row>
    <row r="985" spans="1:6" x14ac:dyDescent="0.25">
      <c r="A985" s="189" t="str">
        <f t="shared" si="15"/>
        <v>AL-IS 68 RP1-3300.04W</v>
      </c>
      <c r="B985" s="195" t="s">
        <v>1092</v>
      </c>
      <c r="C985" s="196">
        <v>0</v>
      </c>
      <c r="D985" s="196">
        <v>0.04</v>
      </c>
      <c r="E985" s="195" t="s">
        <v>593</v>
      </c>
      <c r="F985" s="195" t="s">
        <v>432</v>
      </c>
    </row>
    <row r="986" spans="1:6" x14ac:dyDescent="0.25">
      <c r="A986" s="189" t="str">
        <f t="shared" si="15"/>
        <v>AL-IS 68 RP1-3400.06W</v>
      </c>
      <c r="B986" s="195" t="s">
        <v>1093</v>
      </c>
      <c r="C986" s="196">
        <v>0</v>
      </c>
      <c r="D986" s="196">
        <v>0.06</v>
      </c>
      <c r="E986" s="195" t="s">
        <v>593</v>
      </c>
      <c r="F986" s="195" t="s">
        <v>432</v>
      </c>
    </row>
    <row r="987" spans="1:6" x14ac:dyDescent="0.25">
      <c r="A987" s="189" t="str">
        <f t="shared" si="15"/>
        <v>AL-IS 68 RP1-3900.24S</v>
      </c>
      <c r="B987" s="195" t="s">
        <v>1094</v>
      </c>
      <c r="C987" s="196">
        <v>0</v>
      </c>
      <c r="D987" s="196">
        <v>0.24</v>
      </c>
      <c r="E987" s="195" t="s">
        <v>595</v>
      </c>
      <c r="F987" s="195" t="s">
        <v>438</v>
      </c>
    </row>
    <row r="988" spans="1:6" x14ac:dyDescent="0.25">
      <c r="A988" s="189" t="str">
        <f t="shared" si="15"/>
        <v>AL-IS 68 RP1-4200.09E</v>
      </c>
      <c r="B988" s="195" t="s">
        <v>1095</v>
      </c>
      <c r="C988" s="196">
        <v>0</v>
      </c>
      <c r="D988" s="196">
        <v>0.09</v>
      </c>
      <c r="E988" s="195" t="s">
        <v>598</v>
      </c>
      <c r="F988" s="195" t="s">
        <v>19</v>
      </c>
    </row>
    <row r="989" spans="1:6" x14ac:dyDescent="0.25">
      <c r="A989" s="189" t="str">
        <f t="shared" si="15"/>
        <v>AL-IS 68 RP1-43A00.06S</v>
      </c>
      <c r="B989" s="195" t="s">
        <v>1096</v>
      </c>
      <c r="C989" s="196">
        <v>0</v>
      </c>
      <c r="D989" s="196">
        <v>0.06</v>
      </c>
      <c r="E989" s="195" t="s">
        <v>595</v>
      </c>
      <c r="F989" s="195" t="s">
        <v>438</v>
      </c>
    </row>
    <row r="990" spans="1:6" x14ac:dyDescent="0.25">
      <c r="A990" s="189" t="str">
        <f t="shared" si="15"/>
        <v>AL-IS 68 RP1-43B00.05W</v>
      </c>
      <c r="B990" s="195" t="s">
        <v>1097</v>
      </c>
      <c r="C990" s="196">
        <v>0</v>
      </c>
      <c r="D990" s="196">
        <v>0.05</v>
      </c>
      <c r="E990" s="195" t="s">
        <v>593</v>
      </c>
      <c r="F990" s="195" t="s">
        <v>432</v>
      </c>
    </row>
    <row r="991" spans="1:6" x14ac:dyDescent="0.25">
      <c r="A991" s="189" t="str">
        <f t="shared" si="15"/>
        <v>AL-IS 68 RP1-4400.02N</v>
      </c>
      <c r="B991" s="195" t="s">
        <v>1098</v>
      </c>
      <c r="C991" s="196">
        <v>0</v>
      </c>
      <c r="D991" s="196">
        <v>0.02</v>
      </c>
      <c r="E991" s="195" t="s">
        <v>589</v>
      </c>
      <c r="F991" s="195" t="s">
        <v>430</v>
      </c>
    </row>
    <row r="992" spans="1:6" x14ac:dyDescent="0.25">
      <c r="A992" s="189" t="str">
        <f t="shared" si="15"/>
        <v>AL-IS 68 RP1-4700.1E</v>
      </c>
      <c r="B992" s="195" t="s">
        <v>1099</v>
      </c>
      <c r="C992" s="196">
        <v>0</v>
      </c>
      <c r="D992" s="196">
        <v>0.1</v>
      </c>
      <c r="E992" s="195" t="s">
        <v>598</v>
      </c>
      <c r="F992" s="195" t="s">
        <v>19</v>
      </c>
    </row>
    <row r="993" spans="1:6" x14ac:dyDescent="0.25">
      <c r="A993" s="189" t="str">
        <f t="shared" si="15"/>
        <v>AL-IS 68 RP1-4700.21W</v>
      </c>
      <c r="B993" s="195" t="s">
        <v>1099</v>
      </c>
      <c r="C993" s="196">
        <v>0</v>
      </c>
      <c r="D993" s="196">
        <v>0.21</v>
      </c>
      <c r="E993" s="195" t="s">
        <v>593</v>
      </c>
      <c r="F993" s="195" t="s">
        <v>432</v>
      </c>
    </row>
    <row r="994" spans="1:6" x14ac:dyDescent="0.25">
      <c r="A994" s="189" t="str">
        <f t="shared" si="15"/>
        <v>AL-IS 68 RP1-6800.03W</v>
      </c>
      <c r="B994" s="195" t="s">
        <v>1100</v>
      </c>
      <c r="C994" s="196">
        <v>0</v>
      </c>
      <c r="D994" s="196">
        <v>0.03</v>
      </c>
      <c r="E994" s="195" t="s">
        <v>593</v>
      </c>
      <c r="F994" s="195" t="s">
        <v>432</v>
      </c>
    </row>
    <row r="995" spans="1:6" x14ac:dyDescent="0.25">
      <c r="A995" s="189" t="str">
        <f t="shared" si="15"/>
        <v>AL-IS 68 RP2-3300.25N</v>
      </c>
      <c r="B995" s="195" t="s">
        <v>1101</v>
      </c>
      <c r="C995" s="196">
        <v>0</v>
      </c>
      <c r="D995" s="196">
        <v>0.25</v>
      </c>
      <c r="E995" s="195" t="s">
        <v>589</v>
      </c>
      <c r="F995" s="195" t="s">
        <v>430</v>
      </c>
    </row>
    <row r="996" spans="1:6" x14ac:dyDescent="0.25">
      <c r="A996" s="189" t="str">
        <f t="shared" si="15"/>
        <v>AL-IS 68 RP2-3400.37W</v>
      </c>
      <c r="B996" s="195" t="s">
        <v>1102</v>
      </c>
      <c r="C996" s="196">
        <v>0</v>
      </c>
      <c r="D996" s="196">
        <v>0.37</v>
      </c>
      <c r="E996" s="195" t="s">
        <v>593</v>
      </c>
      <c r="F996" s="195" t="s">
        <v>432</v>
      </c>
    </row>
    <row r="997" spans="1:6" x14ac:dyDescent="0.25">
      <c r="A997" s="189" t="str">
        <f t="shared" si="15"/>
        <v>AL-IS 68 RP2-3900.19N</v>
      </c>
      <c r="B997" s="195" t="s">
        <v>1103</v>
      </c>
      <c r="C997" s="196">
        <v>0</v>
      </c>
      <c r="D997" s="196">
        <v>0.19</v>
      </c>
      <c r="E997" s="195" t="s">
        <v>589</v>
      </c>
      <c r="F997" s="195" t="s">
        <v>430</v>
      </c>
    </row>
    <row r="998" spans="1:6" x14ac:dyDescent="0.25">
      <c r="A998" s="189" t="str">
        <f t="shared" si="15"/>
        <v>AL-IS 68 RP2-4000.04E</v>
      </c>
      <c r="B998" s="195" t="s">
        <v>1104</v>
      </c>
      <c r="C998" s="196">
        <v>0</v>
      </c>
      <c r="D998" s="196">
        <v>0.04</v>
      </c>
      <c r="E998" s="195" t="s">
        <v>598</v>
      </c>
      <c r="F998" s="195" t="s">
        <v>19</v>
      </c>
    </row>
    <row r="999" spans="1:6" x14ac:dyDescent="0.25">
      <c r="A999" s="189" t="str">
        <f t="shared" si="15"/>
        <v>AL-IS 68 RP2-4100.34N</v>
      </c>
      <c r="B999" s="195" t="s">
        <v>1105</v>
      </c>
      <c r="C999" s="196">
        <v>0</v>
      </c>
      <c r="D999" s="196">
        <v>0.34</v>
      </c>
      <c r="E999" s="195" t="s">
        <v>589</v>
      </c>
      <c r="F999" s="195" t="s">
        <v>430</v>
      </c>
    </row>
    <row r="1000" spans="1:6" x14ac:dyDescent="0.25">
      <c r="A1000" s="189" t="str">
        <f t="shared" si="15"/>
        <v>AL-IS 68 RP2-4200.19W</v>
      </c>
      <c r="B1000" s="195" t="s">
        <v>1106</v>
      </c>
      <c r="C1000" s="196">
        <v>0</v>
      </c>
      <c r="D1000" s="196">
        <v>0.19</v>
      </c>
      <c r="E1000" s="195" t="s">
        <v>593</v>
      </c>
      <c r="F1000" s="195" t="s">
        <v>432</v>
      </c>
    </row>
    <row r="1001" spans="1:6" x14ac:dyDescent="0.25">
      <c r="A1001" s="189" t="str">
        <f t="shared" si="15"/>
        <v>AL-IS 68 RP2-43A00.07W</v>
      </c>
      <c r="B1001" s="195" t="s">
        <v>1107</v>
      </c>
      <c r="C1001" s="196">
        <v>0</v>
      </c>
      <c r="D1001" s="196">
        <v>7.0000000000000007E-2</v>
      </c>
      <c r="E1001" s="195" t="s">
        <v>593</v>
      </c>
      <c r="F1001" s="195" t="s">
        <v>432</v>
      </c>
    </row>
    <row r="1002" spans="1:6" x14ac:dyDescent="0.25">
      <c r="A1002" s="189" t="str">
        <f t="shared" si="15"/>
        <v>AL-IS 68 RP2-43C00.17W</v>
      </c>
      <c r="B1002" s="195" t="s">
        <v>1108</v>
      </c>
      <c r="C1002" s="196">
        <v>0</v>
      </c>
      <c r="D1002" s="196">
        <v>0.17</v>
      </c>
      <c r="E1002" s="195" t="s">
        <v>593</v>
      </c>
      <c r="F1002" s="195" t="s">
        <v>432</v>
      </c>
    </row>
    <row r="1003" spans="1:6" x14ac:dyDescent="0.25">
      <c r="A1003" s="189" t="str">
        <f t="shared" si="15"/>
        <v>AL-IS 68 RP2-43D00.04W</v>
      </c>
      <c r="B1003" s="195" t="s">
        <v>1109</v>
      </c>
      <c r="C1003" s="196">
        <v>0</v>
      </c>
      <c r="D1003" s="196">
        <v>0.04</v>
      </c>
      <c r="E1003" s="195" t="s">
        <v>593</v>
      </c>
      <c r="F1003" s="195" t="s">
        <v>432</v>
      </c>
    </row>
    <row r="1004" spans="1:6" x14ac:dyDescent="0.25">
      <c r="A1004" s="189" t="str">
        <f t="shared" si="15"/>
        <v>AL-IS 68 RP2-4400.19W</v>
      </c>
      <c r="B1004" s="195" t="s">
        <v>1110</v>
      </c>
      <c r="C1004" s="196">
        <v>0</v>
      </c>
      <c r="D1004" s="196">
        <v>0.19</v>
      </c>
      <c r="E1004" s="195" t="s">
        <v>593</v>
      </c>
      <c r="F1004" s="195" t="s">
        <v>432</v>
      </c>
    </row>
    <row r="1005" spans="1:6" x14ac:dyDescent="0.25">
      <c r="A1005" s="189" t="str">
        <f t="shared" si="15"/>
        <v>AL-IS 68 RP2-440.120.15E</v>
      </c>
      <c r="B1005" s="195" t="s">
        <v>1110</v>
      </c>
      <c r="C1005" s="196">
        <v>0.12</v>
      </c>
      <c r="D1005" s="196">
        <v>0.15</v>
      </c>
      <c r="E1005" s="195" t="s">
        <v>598</v>
      </c>
      <c r="F1005" s="195" t="s">
        <v>19</v>
      </c>
    </row>
    <row r="1006" spans="1:6" x14ac:dyDescent="0.25">
      <c r="A1006" s="189" t="str">
        <f t="shared" si="15"/>
        <v>AL-IS 68 RP2-4700.14N</v>
      </c>
      <c r="B1006" s="195" t="s">
        <v>1111</v>
      </c>
      <c r="C1006" s="196">
        <v>0</v>
      </c>
      <c r="D1006" s="196">
        <v>0.14000000000000001</v>
      </c>
      <c r="E1006" s="195" t="s">
        <v>589</v>
      </c>
      <c r="F1006" s="195" t="s">
        <v>430</v>
      </c>
    </row>
    <row r="1007" spans="1:6" x14ac:dyDescent="0.25">
      <c r="A1007" s="189" t="str">
        <f t="shared" si="15"/>
        <v>AL-IS 68 RP2-5000.23W</v>
      </c>
      <c r="B1007" s="195" t="s">
        <v>1112</v>
      </c>
      <c r="C1007" s="196">
        <v>0</v>
      </c>
      <c r="D1007" s="196">
        <v>0.23</v>
      </c>
      <c r="E1007" s="195" t="s">
        <v>593</v>
      </c>
      <c r="F1007" s="195" t="s">
        <v>432</v>
      </c>
    </row>
    <row r="1008" spans="1:6" x14ac:dyDescent="0.25">
      <c r="A1008" s="189" t="str">
        <f t="shared" si="15"/>
        <v>AL-IS 68 RP2-6200.28N</v>
      </c>
      <c r="B1008" s="195" t="s">
        <v>1113</v>
      </c>
      <c r="C1008" s="196">
        <v>0</v>
      </c>
      <c r="D1008" s="196">
        <v>0.28000000000000003</v>
      </c>
      <c r="E1008" s="195" t="s">
        <v>589</v>
      </c>
      <c r="F1008" s="195" t="s">
        <v>430</v>
      </c>
    </row>
    <row r="1009" spans="1:6" x14ac:dyDescent="0.25">
      <c r="A1009" s="189" t="str">
        <f t="shared" si="15"/>
        <v>AL-IS 68 RP2-6800.23N</v>
      </c>
      <c r="B1009" s="195" t="s">
        <v>1114</v>
      </c>
      <c r="C1009" s="196">
        <v>0</v>
      </c>
      <c r="D1009" s="196">
        <v>0.23</v>
      </c>
      <c r="E1009" s="195" t="s">
        <v>589</v>
      </c>
      <c r="F1009" s="195" t="s">
        <v>430</v>
      </c>
    </row>
    <row r="1010" spans="1:6" x14ac:dyDescent="0.25">
      <c r="A1010" s="189" t="str">
        <f t="shared" si="15"/>
        <v>AL-IS 68 RP2-7200.24N</v>
      </c>
      <c r="B1010" s="195" t="s">
        <v>1115</v>
      </c>
      <c r="C1010" s="196">
        <v>0</v>
      </c>
      <c r="D1010" s="196">
        <v>0.24</v>
      </c>
      <c r="E1010" s="195" t="s">
        <v>589</v>
      </c>
      <c r="F1010" s="195" t="s">
        <v>430</v>
      </c>
    </row>
    <row r="1011" spans="1:6" x14ac:dyDescent="0.25">
      <c r="A1011" s="189" t="str">
        <f t="shared" si="15"/>
        <v>AL-IS 68 RP3-3300.05W</v>
      </c>
      <c r="B1011" s="195" t="s">
        <v>1116</v>
      </c>
      <c r="C1011" s="196">
        <v>0</v>
      </c>
      <c r="D1011" s="196">
        <v>0.05</v>
      </c>
      <c r="E1011" s="195" t="s">
        <v>593</v>
      </c>
      <c r="F1011" s="195" t="s">
        <v>432</v>
      </c>
    </row>
    <row r="1012" spans="1:6" x14ac:dyDescent="0.25">
      <c r="A1012" s="189" t="str">
        <f t="shared" si="15"/>
        <v>AL-IS 68 RP3-3400.04W</v>
      </c>
      <c r="B1012" s="195" t="s">
        <v>1117</v>
      </c>
      <c r="C1012" s="196">
        <v>0</v>
      </c>
      <c r="D1012" s="196">
        <v>0.04</v>
      </c>
      <c r="E1012" s="195" t="s">
        <v>593</v>
      </c>
      <c r="F1012" s="195" t="s">
        <v>432</v>
      </c>
    </row>
    <row r="1013" spans="1:6" x14ac:dyDescent="0.25">
      <c r="A1013" s="189" t="str">
        <f t="shared" si="15"/>
        <v>AL-IS 68 RP3-3900.03N</v>
      </c>
      <c r="B1013" s="195" t="s">
        <v>1118</v>
      </c>
      <c r="C1013" s="196">
        <v>0</v>
      </c>
      <c r="D1013" s="196">
        <v>0.03</v>
      </c>
      <c r="E1013" s="195" t="s">
        <v>589</v>
      </c>
      <c r="F1013" s="195" t="s">
        <v>430</v>
      </c>
    </row>
    <row r="1014" spans="1:6" x14ac:dyDescent="0.25">
      <c r="A1014" s="189" t="str">
        <f t="shared" si="15"/>
        <v>AL-IS 68 RP3-4000.02E</v>
      </c>
      <c r="B1014" s="195" t="s">
        <v>1119</v>
      </c>
      <c r="C1014" s="196">
        <v>0</v>
      </c>
      <c r="D1014" s="196">
        <v>0.02</v>
      </c>
      <c r="E1014" s="195" t="s">
        <v>598</v>
      </c>
      <c r="F1014" s="195" t="s">
        <v>19</v>
      </c>
    </row>
    <row r="1015" spans="1:6" x14ac:dyDescent="0.25">
      <c r="A1015" s="189" t="str">
        <f t="shared" si="15"/>
        <v>AL-IS 68 RP3-4200.02S</v>
      </c>
      <c r="B1015" s="195" t="s">
        <v>1120</v>
      </c>
      <c r="C1015" s="196">
        <v>0</v>
      </c>
      <c r="D1015" s="196">
        <v>0.02</v>
      </c>
      <c r="E1015" s="195" t="s">
        <v>595</v>
      </c>
      <c r="F1015" s="195" t="s">
        <v>438</v>
      </c>
    </row>
    <row r="1016" spans="1:6" x14ac:dyDescent="0.25">
      <c r="A1016" s="189" t="str">
        <f t="shared" si="15"/>
        <v>AL-IS 68 RP3-43A00.02S</v>
      </c>
      <c r="B1016" s="195" t="s">
        <v>1121</v>
      </c>
      <c r="C1016" s="196">
        <v>0</v>
      </c>
      <c r="D1016" s="196">
        <v>0.02</v>
      </c>
      <c r="E1016" s="195" t="s">
        <v>595</v>
      </c>
      <c r="F1016" s="195" t="s">
        <v>438</v>
      </c>
    </row>
    <row r="1017" spans="1:6" x14ac:dyDescent="0.25">
      <c r="A1017" s="189" t="str">
        <f t="shared" si="15"/>
        <v>AL-IS 68 RP3-43B00.01S</v>
      </c>
      <c r="B1017" s="195" t="s">
        <v>1122</v>
      </c>
      <c r="C1017" s="196">
        <v>0</v>
      </c>
      <c r="D1017" s="196">
        <v>0.01</v>
      </c>
      <c r="E1017" s="195" t="s">
        <v>595</v>
      </c>
      <c r="F1017" s="195" t="s">
        <v>438</v>
      </c>
    </row>
    <row r="1018" spans="1:6" x14ac:dyDescent="0.25">
      <c r="A1018" s="189" t="str">
        <f t="shared" si="15"/>
        <v>AL-IS 68 RP3-4400.02N</v>
      </c>
      <c r="B1018" s="195" t="s">
        <v>1123</v>
      </c>
      <c r="C1018" s="196">
        <v>0</v>
      </c>
      <c r="D1018" s="196">
        <v>0.02</v>
      </c>
      <c r="E1018" s="195" t="s">
        <v>589</v>
      </c>
      <c r="F1018" s="195" t="s">
        <v>430</v>
      </c>
    </row>
    <row r="1019" spans="1:6" x14ac:dyDescent="0.25">
      <c r="A1019" s="189" t="str">
        <f t="shared" si="15"/>
        <v>AL-IS 68 RP3-4600.09S</v>
      </c>
      <c r="B1019" s="195" t="s">
        <v>1124</v>
      </c>
      <c r="C1019" s="196">
        <v>0</v>
      </c>
      <c r="D1019" s="196">
        <v>0.09</v>
      </c>
      <c r="E1019" s="195" t="s">
        <v>595</v>
      </c>
      <c r="F1019" s="195" t="s">
        <v>438</v>
      </c>
    </row>
    <row r="1020" spans="1:6" x14ac:dyDescent="0.25">
      <c r="A1020" s="189" t="str">
        <f t="shared" si="15"/>
        <v>AL-IS 68 RP3-6800.03E</v>
      </c>
      <c r="B1020" s="195" t="s">
        <v>1125</v>
      </c>
      <c r="C1020" s="196">
        <v>0</v>
      </c>
      <c r="D1020" s="196">
        <v>0.03</v>
      </c>
      <c r="E1020" s="195" t="s">
        <v>598</v>
      </c>
      <c r="F1020" s="195" t="s">
        <v>19</v>
      </c>
    </row>
    <row r="1021" spans="1:6" x14ac:dyDescent="0.25">
      <c r="A1021" s="189" t="str">
        <f t="shared" si="15"/>
        <v>AL-IS 68 RP4-3300.24E</v>
      </c>
      <c r="B1021" s="195" t="s">
        <v>1126</v>
      </c>
      <c r="C1021" s="196">
        <v>0</v>
      </c>
      <c r="D1021" s="196">
        <v>0.24</v>
      </c>
      <c r="E1021" s="195" t="s">
        <v>598</v>
      </c>
      <c r="F1021" s="195" t="s">
        <v>19</v>
      </c>
    </row>
    <row r="1022" spans="1:6" x14ac:dyDescent="0.25">
      <c r="A1022" s="189" t="str">
        <f t="shared" si="15"/>
        <v>AL-IS 68 RP4-3400.31N</v>
      </c>
      <c r="B1022" s="195" t="s">
        <v>1127</v>
      </c>
      <c r="C1022" s="196">
        <v>0</v>
      </c>
      <c r="D1022" s="196">
        <v>0.31</v>
      </c>
      <c r="E1022" s="195" t="s">
        <v>589</v>
      </c>
      <c r="F1022" s="195" t="s">
        <v>430</v>
      </c>
    </row>
    <row r="1023" spans="1:6" x14ac:dyDescent="0.25">
      <c r="A1023" s="189" t="str">
        <f t="shared" si="15"/>
        <v>AL-IS 68 RP4-3900.26E</v>
      </c>
      <c r="B1023" s="195" t="s">
        <v>1128</v>
      </c>
      <c r="C1023" s="196">
        <v>0</v>
      </c>
      <c r="D1023" s="196">
        <v>0.26</v>
      </c>
      <c r="E1023" s="195" t="s">
        <v>598</v>
      </c>
      <c r="F1023" s="195" t="s">
        <v>19</v>
      </c>
    </row>
    <row r="1024" spans="1:6" x14ac:dyDescent="0.25">
      <c r="A1024" s="189" t="str">
        <f t="shared" si="15"/>
        <v>AL-IS 68 RP4-4000.26N</v>
      </c>
      <c r="B1024" s="195" t="s">
        <v>1129</v>
      </c>
      <c r="C1024" s="196">
        <v>0</v>
      </c>
      <c r="D1024" s="196">
        <v>0.26</v>
      </c>
      <c r="E1024" s="195" t="s">
        <v>589</v>
      </c>
      <c r="F1024" s="195" t="s">
        <v>430</v>
      </c>
    </row>
    <row r="1025" spans="1:6" x14ac:dyDescent="0.25">
      <c r="A1025" s="189" t="str">
        <f t="shared" si="15"/>
        <v>AL-IS 68 RP4-400.10.13S</v>
      </c>
      <c r="B1025" s="195" t="s">
        <v>1129</v>
      </c>
      <c r="C1025" s="196">
        <v>0.1</v>
      </c>
      <c r="D1025" s="196">
        <v>0.13</v>
      </c>
      <c r="E1025" s="195" t="s">
        <v>595</v>
      </c>
      <c r="F1025" s="195" t="s">
        <v>438</v>
      </c>
    </row>
    <row r="1026" spans="1:6" x14ac:dyDescent="0.25">
      <c r="A1026" s="189" t="str">
        <f t="shared" si="15"/>
        <v>AL-IS 68 RP4-4200.22N</v>
      </c>
      <c r="B1026" s="195" t="s">
        <v>1130</v>
      </c>
      <c r="C1026" s="196">
        <v>0</v>
      </c>
      <c r="D1026" s="196">
        <v>0.22</v>
      </c>
      <c r="E1026" s="195" t="s">
        <v>589</v>
      </c>
      <c r="F1026" s="195" t="s">
        <v>430</v>
      </c>
    </row>
    <row r="1027" spans="1:6" x14ac:dyDescent="0.25">
      <c r="A1027" s="189" t="str">
        <f t="shared" ref="A1027:A1090" si="16">B1027&amp;C1027&amp;D1027&amp;F1027</f>
        <v>AL-IS 68 RP4-420.220.42N</v>
      </c>
      <c r="B1027" s="195" t="s">
        <v>1130</v>
      </c>
      <c r="C1027" s="196">
        <v>0.22</v>
      </c>
      <c r="D1027" s="196">
        <v>0.42</v>
      </c>
      <c r="E1027" s="195" t="s">
        <v>589</v>
      </c>
      <c r="F1027" s="195" t="s">
        <v>430</v>
      </c>
    </row>
    <row r="1028" spans="1:6" x14ac:dyDescent="0.25">
      <c r="A1028" s="189" t="str">
        <f t="shared" si="16"/>
        <v>AL-IS 68 RP4-43A00.15N</v>
      </c>
      <c r="B1028" s="195" t="s">
        <v>1131</v>
      </c>
      <c r="C1028" s="196">
        <v>0</v>
      </c>
      <c r="D1028" s="196">
        <v>0.15</v>
      </c>
      <c r="E1028" s="195" t="s">
        <v>589</v>
      </c>
      <c r="F1028" s="195" t="s">
        <v>430</v>
      </c>
    </row>
    <row r="1029" spans="1:6" x14ac:dyDescent="0.25">
      <c r="A1029" s="189" t="str">
        <f t="shared" si="16"/>
        <v>AL-IS 68 RP4-43C00.17E</v>
      </c>
      <c r="B1029" s="195" t="s">
        <v>1132</v>
      </c>
      <c r="C1029" s="196">
        <v>0</v>
      </c>
      <c r="D1029" s="196">
        <v>0.17</v>
      </c>
      <c r="E1029" s="195" t="s">
        <v>598</v>
      </c>
      <c r="F1029" s="195" t="s">
        <v>19</v>
      </c>
    </row>
    <row r="1030" spans="1:6" x14ac:dyDescent="0.25">
      <c r="A1030" s="189" t="str">
        <f t="shared" si="16"/>
        <v>AL-IS 68 RP4-43D00.02N</v>
      </c>
      <c r="B1030" s="195" t="s">
        <v>1133</v>
      </c>
      <c r="C1030" s="196">
        <v>0</v>
      </c>
      <c r="D1030" s="196">
        <v>0.02</v>
      </c>
      <c r="E1030" s="195" t="s">
        <v>589</v>
      </c>
      <c r="F1030" s="195" t="s">
        <v>430</v>
      </c>
    </row>
    <row r="1031" spans="1:6" x14ac:dyDescent="0.25">
      <c r="A1031" s="189" t="str">
        <f t="shared" si="16"/>
        <v>AL-IS 68 RP4-4400.27N</v>
      </c>
      <c r="B1031" s="195" t="s">
        <v>1134</v>
      </c>
      <c r="C1031" s="196">
        <v>0</v>
      </c>
      <c r="D1031" s="196">
        <v>0.27</v>
      </c>
      <c r="E1031" s="195" t="s">
        <v>589</v>
      </c>
      <c r="F1031" s="195" t="s">
        <v>430</v>
      </c>
    </row>
    <row r="1032" spans="1:6" x14ac:dyDescent="0.25">
      <c r="A1032" s="189" t="str">
        <f t="shared" si="16"/>
        <v>AL-IS 68 RP4-4500.02W</v>
      </c>
      <c r="B1032" s="195" t="s">
        <v>1135</v>
      </c>
      <c r="C1032" s="196">
        <v>0</v>
      </c>
      <c r="D1032" s="196">
        <v>0.02</v>
      </c>
      <c r="E1032" s="195" t="s">
        <v>593</v>
      </c>
      <c r="F1032" s="195" t="s">
        <v>432</v>
      </c>
    </row>
    <row r="1033" spans="1:6" x14ac:dyDescent="0.25">
      <c r="A1033" s="189" t="str">
        <f t="shared" si="16"/>
        <v>AL-IS 68 RP4-4600.18W</v>
      </c>
      <c r="B1033" s="195" t="s">
        <v>1136</v>
      </c>
      <c r="C1033" s="196">
        <v>0</v>
      </c>
      <c r="D1033" s="196">
        <v>0.18</v>
      </c>
      <c r="E1033" s="195" t="s">
        <v>593</v>
      </c>
      <c r="F1033" s="195" t="s">
        <v>432</v>
      </c>
    </row>
    <row r="1034" spans="1:6" x14ac:dyDescent="0.25">
      <c r="A1034" s="189" t="str">
        <f t="shared" si="16"/>
        <v>AL-IS 68 RP4-4700.02E</v>
      </c>
      <c r="B1034" s="195" t="s">
        <v>1137</v>
      </c>
      <c r="C1034" s="196">
        <v>0</v>
      </c>
      <c r="D1034" s="196">
        <v>0.02</v>
      </c>
      <c r="E1034" s="195" t="s">
        <v>598</v>
      </c>
      <c r="F1034" s="195" t="s">
        <v>19</v>
      </c>
    </row>
    <row r="1035" spans="1:6" x14ac:dyDescent="0.25">
      <c r="A1035" s="189" t="str">
        <f t="shared" si="16"/>
        <v>AL-IS 68 RP4-5000.17E</v>
      </c>
      <c r="B1035" s="195" t="s">
        <v>1138</v>
      </c>
      <c r="C1035" s="196">
        <v>0</v>
      </c>
      <c r="D1035" s="196">
        <v>0.17</v>
      </c>
      <c r="E1035" s="195" t="s">
        <v>598</v>
      </c>
      <c r="F1035" s="195" t="s">
        <v>19</v>
      </c>
    </row>
    <row r="1036" spans="1:6" x14ac:dyDescent="0.25">
      <c r="A1036" s="189" t="str">
        <f t="shared" si="16"/>
        <v>AL-IS 68 RP4-5600.25N</v>
      </c>
      <c r="B1036" s="195" t="s">
        <v>1139</v>
      </c>
      <c r="C1036" s="196">
        <v>0</v>
      </c>
      <c r="D1036" s="196">
        <v>0.25</v>
      </c>
      <c r="E1036" s="195" t="s">
        <v>589</v>
      </c>
      <c r="F1036" s="195" t="s">
        <v>430</v>
      </c>
    </row>
    <row r="1037" spans="1:6" x14ac:dyDescent="0.25">
      <c r="A1037" s="189" t="str">
        <f t="shared" si="16"/>
        <v>AL-IS 68 RP4-6400.26E</v>
      </c>
      <c r="B1037" s="195" t="s">
        <v>1140</v>
      </c>
      <c r="C1037" s="196">
        <v>0</v>
      </c>
      <c r="D1037" s="196">
        <v>0.26</v>
      </c>
      <c r="E1037" s="195" t="s">
        <v>598</v>
      </c>
      <c r="F1037" s="195" t="s">
        <v>19</v>
      </c>
    </row>
    <row r="1038" spans="1:6" x14ac:dyDescent="0.25">
      <c r="A1038" s="189" t="str">
        <f t="shared" si="16"/>
        <v>AL-IS 68 RP4-6800.22E</v>
      </c>
      <c r="B1038" s="195" t="s">
        <v>1141</v>
      </c>
      <c r="C1038" s="196">
        <v>0</v>
      </c>
      <c r="D1038" s="196">
        <v>0.22</v>
      </c>
      <c r="E1038" s="195" t="s">
        <v>598</v>
      </c>
      <c r="F1038" s="195" t="s">
        <v>19</v>
      </c>
    </row>
    <row r="1039" spans="1:6" x14ac:dyDescent="0.25">
      <c r="A1039" s="189" t="str">
        <f t="shared" si="16"/>
        <v>AL-IS 68 RP4-7200.26E</v>
      </c>
      <c r="B1039" s="195" t="s">
        <v>1142</v>
      </c>
      <c r="C1039" s="196">
        <v>0</v>
      </c>
      <c r="D1039" s="196">
        <v>0.26</v>
      </c>
      <c r="E1039" s="195" t="s">
        <v>598</v>
      </c>
      <c r="F1039" s="195" t="s">
        <v>19</v>
      </c>
    </row>
    <row r="1040" spans="1:6" x14ac:dyDescent="0.25">
      <c r="A1040" s="189" t="str">
        <f t="shared" si="16"/>
        <v>AL-IS 68 RP5-3300.04E</v>
      </c>
      <c r="B1040" s="195" t="s">
        <v>1143</v>
      </c>
      <c r="C1040" s="196">
        <v>0</v>
      </c>
      <c r="D1040" s="196">
        <v>0.04</v>
      </c>
      <c r="E1040" s="195" t="s">
        <v>598</v>
      </c>
      <c r="F1040" s="195" t="s">
        <v>19</v>
      </c>
    </row>
    <row r="1041" spans="1:6" x14ac:dyDescent="0.25">
      <c r="A1041" s="189" t="str">
        <f t="shared" si="16"/>
        <v>AL-IS 68 RP5-3400.04N</v>
      </c>
      <c r="B1041" s="195" t="s">
        <v>1144</v>
      </c>
      <c r="C1041" s="196">
        <v>0</v>
      </c>
      <c r="D1041" s="196">
        <v>0.04</v>
      </c>
      <c r="E1041" s="195" t="s">
        <v>589</v>
      </c>
      <c r="F1041" s="195" t="s">
        <v>430</v>
      </c>
    </row>
    <row r="1042" spans="1:6" x14ac:dyDescent="0.25">
      <c r="A1042" s="189" t="str">
        <f t="shared" si="16"/>
        <v>AL-IS 68 RP5-3900.03E</v>
      </c>
      <c r="B1042" s="195" t="s">
        <v>1145</v>
      </c>
      <c r="C1042" s="196">
        <v>0</v>
      </c>
      <c r="D1042" s="196">
        <v>0.03</v>
      </c>
      <c r="E1042" s="195" t="s">
        <v>598</v>
      </c>
      <c r="F1042" s="195" t="s">
        <v>19</v>
      </c>
    </row>
    <row r="1043" spans="1:6" x14ac:dyDescent="0.25">
      <c r="A1043" s="189" t="str">
        <f t="shared" si="16"/>
        <v>AL-IS 68 RP5-4000.06E</v>
      </c>
      <c r="B1043" s="195" t="s">
        <v>1146</v>
      </c>
      <c r="C1043" s="196">
        <v>0</v>
      </c>
      <c r="D1043" s="196">
        <v>0.06</v>
      </c>
      <c r="E1043" s="195" t="s">
        <v>598</v>
      </c>
      <c r="F1043" s="195" t="s">
        <v>19</v>
      </c>
    </row>
    <row r="1044" spans="1:6" x14ac:dyDescent="0.25">
      <c r="A1044" s="189" t="str">
        <f t="shared" si="16"/>
        <v>AL-IS 68 RP5-4200.03N</v>
      </c>
      <c r="B1044" s="195" t="s">
        <v>1147</v>
      </c>
      <c r="C1044" s="196">
        <v>0</v>
      </c>
      <c r="D1044" s="196">
        <v>0.03</v>
      </c>
      <c r="E1044" s="195" t="s">
        <v>589</v>
      </c>
      <c r="F1044" s="195" t="s">
        <v>430</v>
      </c>
    </row>
    <row r="1045" spans="1:6" x14ac:dyDescent="0.25">
      <c r="A1045" s="189" t="str">
        <f t="shared" si="16"/>
        <v>AL-IS 68 RP5-43A00.02N</v>
      </c>
      <c r="B1045" s="195" t="s">
        <v>1148</v>
      </c>
      <c r="C1045" s="196">
        <v>0</v>
      </c>
      <c r="D1045" s="196">
        <v>0.02</v>
      </c>
      <c r="E1045" s="195" t="s">
        <v>589</v>
      </c>
      <c r="F1045" s="195" t="s">
        <v>430</v>
      </c>
    </row>
    <row r="1046" spans="1:6" x14ac:dyDescent="0.25">
      <c r="A1046" s="189" t="str">
        <f t="shared" si="16"/>
        <v>AL-IS 68 RP5-43C00.13E</v>
      </c>
      <c r="B1046" s="195" t="s">
        <v>1149</v>
      </c>
      <c r="C1046" s="196">
        <v>0</v>
      </c>
      <c r="D1046" s="196">
        <v>0.13</v>
      </c>
      <c r="E1046" s="195" t="s">
        <v>598</v>
      </c>
      <c r="F1046" s="195" t="s">
        <v>19</v>
      </c>
    </row>
    <row r="1047" spans="1:6" x14ac:dyDescent="0.25">
      <c r="A1047" s="189" t="str">
        <f t="shared" si="16"/>
        <v>AL-IS 68 RP5-4400.02N</v>
      </c>
      <c r="B1047" s="195" t="s">
        <v>1150</v>
      </c>
      <c r="C1047" s="196">
        <v>0</v>
      </c>
      <c r="D1047" s="196">
        <v>0.02</v>
      </c>
      <c r="E1047" s="195" t="s">
        <v>589</v>
      </c>
      <c r="F1047" s="195" t="s">
        <v>430</v>
      </c>
    </row>
    <row r="1048" spans="1:6" x14ac:dyDescent="0.25">
      <c r="A1048" s="189" t="str">
        <f t="shared" si="16"/>
        <v>AL-IS 68 RP5-4700.39S</v>
      </c>
      <c r="B1048" s="195" t="s">
        <v>1151</v>
      </c>
      <c r="C1048" s="196">
        <v>0</v>
      </c>
      <c r="D1048" s="196">
        <v>0.39</v>
      </c>
      <c r="E1048" s="195" t="s">
        <v>595</v>
      </c>
      <c r="F1048" s="195" t="s">
        <v>438</v>
      </c>
    </row>
    <row r="1049" spans="1:6" x14ac:dyDescent="0.25">
      <c r="A1049" s="189" t="str">
        <f t="shared" si="16"/>
        <v>AL-IS 68 RP5-5200.23E</v>
      </c>
      <c r="B1049" s="195" t="s">
        <v>1152</v>
      </c>
      <c r="C1049" s="196">
        <v>0</v>
      </c>
      <c r="D1049" s="196">
        <v>0.23</v>
      </c>
      <c r="E1049" s="195" t="s">
        <v>598</v>
      </c>
      <c r="F1049" s="195" t="s">
        <v>19</v>
      </c>
    </row>
    <row r="1050" spans="1:6" x14ac:dyDescent="0.25">
      <c r="A1050" s="189" t="str">
        <f t="shared" si="16"/>
        <v>AL-IS 68 RP5-5600.17N</v>
      </c>
      <c r="B1050" s="195" t="s">
        <v>1153</v>
      </c>
      <c r="C1050" s="196">
        <v>0</v>
      </c>
      <c r="D1050" s="196">
        <v>0.17</v>
      </c>
      <c r="E1050" s="195" t="s">
        <v>589</v>
      </c>
      <c r="F1050" s="195" t="s">
        <v>430</v>
      </c>
    </row>
    <row r="1051" spans="1:6" x14ac:dyDescent="0.25">
      <c r="A1051" s="189" t="str">
        <f t="shared" si="16"/>
        <v>AL-IS 68 RP5-6200.21W</v>
      </c>
      <c r="B1051" s="195" t="s">
        <v>1154</v>
      </c>
      <c r="C1051" s="196">
        <v>0</v>
      </c>
      <c r="D1051" s="196">
        <v>0.21</v>
      </c>
      <c r="E1051" s="195" t="s">
        <v>593</v>
      </c>
      <c r="F1051" s="195" t="s">
        <v>432</v>
      </c>
    </row>
    <row r="1052" spans="1:6" x14ac:dyDescent="0.25">
      <c r="A1052" s="189" t="str">
        <f t="shared" si="16"/>
        <v>AL-IS 68 RP5-6800.03E</v>
      </c>
      <c r="B1052" s="195" t="s">
        <v>1155</v>
      </c>
      <c r="C1052" s="196">
        <v>0</v>
      </c>
      <c r="D1052" s="196">
        <v>0.03</v>
      </c>
      <c r="E1052" s="195" t="s">
        <v>598</v>
      </c>
      <c r="F1052" s="195" t="s">
        <v>19</v>
      </c>
    </row>
    <row r="1053" spans="1:6" x14ac:dyDescent="0.25">
      <c r="A1053" s="189" t="str">
        <f t="shared" si="16"/>
        <v>AL-IS 68 RP6-3300.33S</v>
      </c>
      <c r="B1053" s="195" t="s">
        <v>1156</v>
      </c>
      <c r="C1053" s="196">
        <v>0</v>
      </c>
      <c r="D1053" s="196">
        <v>0.33</v>
      </c>
      <c r="E1053" s="195" t="s">
        <v>595</v>
      </c>
      <c r="F1053" s="195" t="s">
        <v>438</v>
      </c>
    </row>
    <row r="1054" spans="1:6" x14ac:dyDescent="0.25">
      <c r="A1054" s="189" t="str">
        <f t="shared" si="16"/>
        <v>AL-IS 68 RP6-3400.3E</v>
      </c>
      <c r="B1054" s="195" t="s">
        <v>1157</v>
      </c>
      <c r="C1054" s="196">
        <v>0</v>
      </c>
      <c r="D1054" s="196">
        <v>0.3</v>
      </c>
      <c r="E1054" s="195" t="s">
        <v>598</v>
      </c>
      <c r="F1054" s="195" t="s">
        <v>19</v>
      </c>
    </row>
    <row r="1055" spans="1:6" x14ac:dyDescent="0.25">
      <c r="A1055" s="189" t="str">
        <f t="shared" si="16"/>
        <v>AL-IS 68 RP6-4000.15S</v>
      </c>
      <c r="B1055" s="195" t="s">
        <v>1158</v>
      </c>
      <c r="C1055" s="196">
        <v>0</v>
      </c>
      <c r="D1055" s="196">
        <v>0.15</v>
      </c>
      <c r="E1055" s="195" t="s">
        <v>595</v>
      </c>
      <c r="F1055" s="195" t="s">
        <v>438</v>
      </c>
    </row>
    <row r="1056" spans="1:6" x14ac:dyDescent="0.25">
      <c r="A1056" s="189" t="str">
        <f t="shared" si="16"/>
        <v>AL-IS 68 RP6-4200.25S</v>
      </c>
      <c r="B1056" s="195" t="s">
        <v>1159</v>
      </c>
      <c r="C1056" s="196">
        <v>0</v>
      </c>
      <c r="D1056" s="196">
        <v>0.25</v>
      </c>
      <c r="E1056" s="195" t="s">
        <v>595</v>
      </c>
      <c r="F1056" s="195" t="s">
        <v>438</v>
      </c>
    </row>
    <row r="1057" spans="1:6" x14ac:dyDescent="0.25">
      <c r="A1057" s="189" t="str">
        <f t="shared" si="16"/>
        <v>AL-IS 68 RP6-420.250.29S</v>
      </c>
      <c r="B1057" s="195" t="s">
        <v>1159</v>
      </c>
      <c r="C1057" s="196">
        <v>0.25</v>
      </c>
      <c r="D1057" s="196">
        <v>0.28999999999999998</v>
      </c>
      <c r="E1057" s="195" t="s">
        <v>595</v>
      </c>
      <c r="F1057" s="195" t="s">
        <v>438</v>
      </c>
    </row>
    <row r="1058" spans="1:6" x14ac:dyDescent="0.25">
      <c r="A1058" s="189" t="str">
        <f t="shared" si="16"/>
        <v>AL-IS 68 RP6-43B00.11S</v>
      </c>
      <c r="B1058" s="195" t="s">
        <v>1160</v>
      </c>
      <c r="C1058" s="196">
        <v>0</v>
      </c>
      <c r="D1058" s="196">
        <v>0.11</v>
      </c>
      <c r="E1058" s="195" t="s">
        <v>595</v>
      </c>
      <c r="F1058" s="195" t="s">
        <v>438</v>
      </c>
    </row>
    <row r="1059" spans="1:6" x14ac:dyDescent="0.25">
      <c r="A1059" s="189" t="str">
        <f t="shared" si="16"/>
        <v>AL-IS 68 RP6-43D00.02S</v>
      </c>
      <c r="B1059" s="195" t="s">
        <v>1161</v>
      </c>
      <c r="C1059" s="196">
        <v>0</v>
      </c>
      <c r="D1059" s="196">
        <v>0.02</v>
      </c>
      <c r="E1059" s="195" t="s">
        <v>595</v>
      </c>
      <c r="F1059" s="195" t="s">
        <v>438</v>
      </c>
    </row>
    <row r="1060" spans="1:6" x14ac:dyDescent="0.25">
      <c r="A1060" s="189" t="str">
        <f t="shared" si="16"/>
        <v>AL-IS 68 RP6-4400.21E</v>
      </c>
      <c r="B1060" s="195" t="s">
        <v>1162</v>
      </c>
      <c r="C1060" s="196">
        <v>0</v>
      </c>
      <c r="D1060" s="196">
        <v>0.21</v>
      </c>
      <c r="E1060" s="195" t="s">
        <v>598</v>
      </c>
      <c r="F1060" s="195" t="s">
        <v>19</v>
      </c>
    </row>
    <row r="1061" spans="1:6" x14ac:dyDescent="0.25">
      <c r="A1061" s="189" t="str">
        <f t="shared" si="16"/>
        <v>AL-IS 68 RP6-440.120.17W</v>
      </c>
      <c r="B1061" s="195" t="s">
        <v>1162</v>
      </c>
      <c r="C1061" s="196">
        <v>0.12</v>
      </c>
      <c r="D1061" s="196">
        <v>0.17</v>
      </c>
      <c r="E1061" s="195" t="s">
        <v>593</v>
      </c>
      <c r="F1061" s="195" t="s">
        <v>432</v>
      </c>
    </row>
    <row r="1062" spans="1:6" x14ac:dyDescent="0.25">
      <c r="A1062" s="189" t="str">
        <f t="shared" si="16"/>
        <v>AL-IS 68 RP6-4500.02S</v>
      </c>
      <c r="B1062" s="195" t="s">
        <v>1163</v>
      </c>
      <c r="C1062" s="196">
        <v>0</v>
      </c>
      <c r="D1062" s="196">
        <v>0.02</v>
      </c>
      <c r="E1062" s="195" t="s">
        <v>595</v>
      </c>
      <c r="F1062" s="195" t="s">
        <v>438</v>
      </c>
    </row>
    <row r="1063" spans="1:6" x14ac:dyDescent="0.25">
      <c r="A1063" s="189" t="str">
        <f t="shared" si="16"/>
        <v>AL-IS 68 RP6-4600.13S</v>
      </c>
      <c r="B1063" s="195" t="s">
        <v>1164</v>
      </c>
      <c r="C1063" s="196">
        <v>0</v>
      </c>
      <c r="D1063" s="196">
        <v>0.13</v>
      </c>
      <c r="E1063" s="195" t="s">
        <v>595</v>
      </c>
      <c r="F1063" s="195" t="s">
        <v>438</v>
      </c>
    </row>
    <row r="1064" spans="1:6" x14ac:dyDescent="0.25">
      <c r="A1064" s="189" t="str">
        <f t="shared" si="16"/>
        <v>AL-IS 68 RP6-5000.39E</v>
      </c>
      <c r="B1064" s="195" t="s">
        <v>1165</v>
      </c>
      <c r="C1064" s="196">
        <v>0</v>
      </c>
      <c r="D1064" s="196">
        <v>0.39</v>
      </c>
      <c r="E1064" s="195" t="s">
        <v>598</v>
      </c>
      <c r="F1064" s="195" t="s">
        <v>19</v>
      </c>
    </row>
    <row r="1065" spans="1:6" x14ac:dyDescent="0.25">
      <c r="A1065" s="189" t="str">
        <f t="shared" si="16"/>
        <v>AL-IS 68 RP6-5600.22S</v>
      </c>
      <c r="B1065" s="195" t="s">
        <v>1166</v>
      </c>
      <c r="C1065" s="196">
        <v>0</v>
      </c>
      <c r="D1065" s="196">
        <v>0.22</v>
      </c>
      <c r="E1065" s="195" t="s">
        <v>595</v>
      </c>
      <c r="F1065" s="195" t="s">
        <v>438</v>
      </c>
    </row>
    <row r="1066" spans="1:6" x14ac:dyDescent="0.25">
      <c r="A1066" s="189" t="str">
        <f t="shared" si="16"/>
        <v>AL-IS 68 RP6-6200.35S</v>
      </c>
      <c r="B1066" s="195" t="s">
        <v>1167</v>
      </c>
      <c r="C1066" s="196">
        <v>0</v>
      </c>
      <c r="D1066" s="196">
        <v>0.35</v>
      </c>
      <c r="E1066" s="195" t="s">
        <v>595</v>
      </c>
      <c r="F1066" s="195" t="s">
        <v>438</v>
      </c>
    </row>
    <row r="1067" spans="1:6" x14ac:dyDescent="0.25">
      <c r="A1067" s="189" t="str">
        <f t="shared" si="16"/>
        <v>AL-IS 68 RP6-6400.27E</v>
      </c>
      <c r="B1067" s="195" t="s">
        <v>1168</v>
      </c>
      <c r="C1067" s="196">
        <v>0</v>
      </c>
      <c r="D1067" s="196">
        <v>0.27</v>
      </c>
      <c r="E1067" s="195" t="s">
        <v>598</v>
      </c>
      <c r="F1067" s="195" t="s">
        <v>19</v>
      </c>
    </row>
    <row r="1068" spans="1:6" x14ac:dyDescent="0.25">
      <c r="A1068" s="189" t="str">
        <f t="shared" si="16"/>
        <v>AL-IS 68 RP6-6800.23E</v>
      </c>
      <c r="B1068" s="195" t="s">
        <v>1169</v>
      </c>
      <c r="C1068" s="196">
        <v>0</v>
      </c>
      <c r="D1068" s="196">
        <v>0.23</v>
      </c>
      <c r="E1068" s="195" t="s">
        <v>598</v>
      </c>
      <c r="F1068" s="195" t="s">
        <v>19</v>
      </c>
    </row>
    <row r="1069" spans="1:6" x14ac:dyDescent="0.25">
      <c r="A1069" s="189" t="str">
        <f t="shared" si="16"/>
        <v>AL-IS 68 RP6-7200.21E</v>
      </c>
      <c r="B1069" s="195" t="s">
        <v>1170</v>
      </c>
      <c r="C1069" s="196">
        <v>0</v>
      </c>
      <c r="D1069" s="196">
        <v>0.21</v>
      </c>
      <c r="E1069" s="195" t="s">
        <v>598</v>
      </c>
      <c r="F1069" s="195" t="s">
        <v>19</v>
      </c>
    </row>
    <row r="1070" spans="1:6" x14ac:dyDescent="0.25">
      <c r="A1070" s="189" t="str">
        <f t="shared" si="16"/>
        <v>AL-IS 68 RP7-3300.04N</v>
      </c>
      <c r="B1070" s="195" t="s">
        <v>1171</v>
      </c>
      <c r="C1070" s="196">
        <v>0</v>
      </c>
      <c r="D1070" s="196">
        <v>0.04</v>
      </c>
      <c r="E1070" s="195" t="s">
        <v>589</v>
      </c>
      <c r="F1070" s="195" t="s">
        <v>430</v>
      </c>
    </row>
    <row r="1071" spans="1:6" x14ac:dyDescent="0.25">
      <c r="A1071" s="189" t="str">
        <f t="shared" si="16"/>
        <v>AL-IS 68 RP7-3400.04W</v>
      </c>
      <c r="B1071" s="195" t="s">
        <v>1172</v>
      </c>
      <c r="C1071" s="196">
        <v>0</v>
      </c>
      <c r="D1071" s="196">
        <v>0.04</v>
      </c>
      <c r="E1071" s="195" t="s">
        <v>593</v>
      </c>
      <c r="F1071" s="195" t="s">
        <v>432</v>
      </c>
    </row>
    <row r="1072" spans="1:6" x14ac:dyDescent="0.25">
      <c r="A1072" s="189" t="str">
        <f t="shared" si="16"/>
        <v>AL-IS 68 RP7-4000.22N</v>
      </c>
      <c r="B1072" s="195" t="s">
        <v>1173</v>
      </c>
      <c r="C1072" s="196">
        <v>0</v>
      </c>
      <c r="D1072" s="196">
        <v>0.22</v>
      </c>
      <c r="E1072" s="195" t="s">
        <v>589</v>
      </c>
      <c r="F1072" s="195" t="s">
        <v>430</v>
      </c>
    </row>
    <row r="1073" spans="1:6" x14ac:dyDescent="0.25">
      <c r="A1073" s="189" t="str">
        <f t="shared" si="16"/>
        <v>AL-IS 68 RP7-4200.03W</v>
      </c>
      <c r="B1073" s="195" t="s">
        <v>1174</v>
      </c>
      <c r="C1073" s="196">
        <v>0</v>
      </c>
      <c r="D1073" s="196">
        <v>0.03</v>
      </c>
      <c r="E1073" s="195" t="s">
        <v>593</v>
      </c>
      <c r="F1073" s="195" t="s">
        <v>432</v>
      </c>
    </row>
    <row r="1074" spans="1:6" x14ac:dyDescent="0.25">
      <c r="A1074" s="189" t="str">
        <f t="shared" si="16"/>
        <v>AL-IS 68 RP7-43B00.13W</v>
      </c>
      <c r="B1074" s="195" t="s">
        <v>1175</v>
      </c>
      <c r="C1074" s="196">
        <v>0</v>
      </c>
      <c r="D1074" s="196">
        <v>0.13</v>
      </c>
      <c r="E1074" s="195" t="s">
        <v>593</v>
      </c>
      <c r="F1074" s="195" t="s">
        <v>432</v>
      </c>
    </row>
    <row r="1075" spans="1:6" x14ac:dyDescent="0.25">
      <c r="A1075" s="189" t="str">
        <f t="shared" si="16"/>
        <v>AL-IS 68 RP7-4400.02S</v>
      </c>
      <c r="B1075" s="195" t="s">
        <v>1176</v>
      </c>
      <c r="C1075" s="196">
        <v>0</v>
      </c>
      <c r="D1075" s="196">
        <v>0.02</v>
      </c>
      <c r="E1075" s="195" t="s">
        <v>595</v>
      </c>
      <c r="F1075" s="195" t="s">
        <v>438</v>
      </c>
    </row>
    <row r="1076" spans="1:6" x14ac:dyDescent="0.25">
      <c r="A1076" s="189" t="str">
        <f t="shared" si="16"/>
        <v>AL-IS 68 RP7-4500.03W</v>
      </c>
      <c r="B1076" s="195" t="s">
        <v>1177</v>
      </c>
      <c r="C1076" s="196">
        <v>0</v>
      </c>
      <c r="D1076" s="196">
        <v>0.03</v>
      </c>
      <c r="E1076" s="195" t="s">
        <v>593</v>
      </c>
      <c r="F1076" s="195" t="s">
        <v>432</v>
      </c>
    </row>
    <row r="1077" spans="1:6" x14ac:dyDescent="0.25">
      <c r="A1077" s="189" t="str">
        <f t="shared" si="16"/>
        <v>AL-IS 68 RP7-4600.25S</v>
      </c>
      <c r="B1077" s="195" t="s">
        <v>1178</v>
      </c>
      <c r="C1077" s="196">
        <v>0</v>
      </c>
      <c r="D1077" s="196">
        <v>0.25</v>
      </c>
      <c r="E1077" s="195" t="s">
        <v>595</v>
      </c>
      <c r="F1077" s="195" t="s">
        <v>438</v>
      </c>
    </row>
    <row r="1078" spans="1:6" x14ac:dyDescent="0.25">
      <c r="A1078" s="189" t="str">
        <f t="shared" si="16"/>
        <v>AL-IS 68 RP7-4700.29N</v>
      </c>
      <c r="B1078" s="195" t="s">
        <v>1179</v>
      </c>
      <c r="C1078" s="196">
        <v>0</v>
      </c>
      <c r="D1078" s="196">
        <v>0.28999999999999998</v>
      </c>
      <c r="E1078" s="195" t="s">
        <v>589</v>
      </c>
      <c r="F1078" s="195" t="s">
        <v>430</v>
      </c>
    </row>
    <row r="1079" spans="1:6" x14ac:dyDescent="0.25">
      <c r="A1079" s="189" t="str">
        <f t="shared" si="16"/>
        <v>AL-IS 68 RP7-5200.28N</v>
      </c>
      <c r="B1079" s="195" t="s">
        <v>1180</v>
      </c>
      <c r="C1079" s="196">
        <v>0</v>
      </c>
      <c r="D1079" s="196">
        <v>0.28000000000000003</v>
      </c>
      <c r="E1079" s="195" t="s">
        <v>589</v>
      </c>
      <c r="F1079" s="195" t="s">
        <v>430</v>
      </c>
    </row>
    <row r="1080" spans="1:6" x14ac:dyDescent="0.25">
      <c r="A1080" s="189" t="str">
        <f t="shared" si="16"/>
        <v>AL-IS 68 RP7-5200.28S</v>
      </c>
      <c r="B1080" s="195" t="s">
        <v>1180</v>
      </c>
      <c r="C1080" s="196">
        <v>0</v>
      </c>
      <c r="D1080" s="196">
        <v>0.28000000000000003</v>
      </c>
      <c r="E1080" s="195" t="s">
        <v>595</v>
      </c>
      <c r="F1080" s="195" t="s">
        <v>438</v>
      </c>
    </row>
    <row r="1081" spans="1:6" x14ac:dyDescent="0.25">
      <c r="A1081" s="189" t="str">
        <f t="shared" si="16"/>
        <v>AL-IS 68 RP7-520.280.48S</v>
      </c>
      <c r="B1081" s="195" t="s">
        <v>1180</v>
      </c>
      <c r="C1081" s="196">
        <v>0.28000000000000003</v>
      </c>
      <c r="D1081" s="196">
        <v>0.48</v>
      </c>
      <c r="E1081" s="195" t="s">
        <v>595</v>
      </c>
      <c r="F1081" s="195" t="s">
        <v>438</v>
      </c>
    </row>
    <row r="1082" spans="1:6" x14ac:dyDescent="0.25">
      <c r="A1082" s="189" t="str">
        <f t="shared" si="16"/>
        <v>AL-IS 68 RP7-5600.22S</v>
      </c>
      <c r="B1082" s="195" t="s">
        <v>1181</v>
      </c>
      <c r="C1082" s="196">
        <v>0</v>
      </c>
      <c r="D1082" s="196">
        <v>0.22</v>
      </c>
      <c r="E1082" s="195" t="s">
        <v>595</v>
      </c>
      <c r="F1082" s="195" t="s">
        <v>438</v>
      </c>
    </row>
    <row r="1083" spans="1:6" x14ac:dyDescent="0.25">
      <c r="A1083" s="189" t="str">
        <f t="shared" si="16"/>
        <v>AL-IS 68 RP7-6400.22N</v>
      </c>
      <c r="B1083" s="195" t="s">
        <v>1182</v>
      </c>
      <c r="C1083" s="196">
        <v>0</v>
      </c>
      <c r="D1083" s="196">
        <v>0.22</v>
      </c>
      <c r="E1083" s="195" t="s">
        <v>589</v>
      </c>
      <c r="F1083" s="195" t="s">
        <v>430</v>
      </c>
    </row>
    <row r="1084" spans="1:6" x14ac:dyDescent="0.25">
      <c r="A1084" s="189" t="str">
        <f t="shared" si="16"/>
        <v>AL-IS 68 RP7-6800.03W</v>
      </c>
      <c r="B1084" s="195" t="s">
        <v>1183</v>
      </c>
      <c r="C1084" s="196">
        <v>0</v>
      </c>
      <c r="D1084" s="196">
        <v>0.03</v>
      </c>
      <c r="E1084" s="195" t="s">
        <v>593</v>
      </c>
      <c r="F1084" s="195" t="s">
        <v>432</v>
      </c>
    </row>
    <row r="1085" spans="1:6" x14ac:dyDescent="0.25">
      <c r="A1085" s="189" t="str">
        <f t="shared" si="16"/>
        <v>AL-IS 68 RP8-3300.33W</v>
      </c>
      <c r="B1085" s="195" t="s">
        <v>1184</v>
      </c>
      <c r="C1085" s="196">
        <v>0</v>
      </c>
      <c r="D1085" s="196">
        <v>0.33</v>
      </c>
      <c r="E1085" s="195" t="s">
        <v>593</v>
      </c>
      <c r="F1085" s="195" t="s">
        <v>432</v>
      </c>
    </row>
    <row r="1086" spans="1:6" x14ac:dyDescent="0.25">
      <c r="A1086" s="189" t="str">
        <f t="shared" si="16"/>
        <v>AL-IS 68 RP8-3400.29S</v>
      </c>
      <c r="B1086" s="195" t="s">
        <v>1185</v>
      </c>
      <c r="C1086" s="196">
        <v>0</v>
      </c>
      <c r="D1086" s="196">
        <v>0.28999999999999998</v>
      </c>
      <c r="E1086" s="195" t="s">
        <v>595</v>
      </c>
      <c r="F1086" s="195" t="s">
        <v>438</v>
      </c>
    </row>
    <row r="1087" spans="1:6" x14ac:dyDescent="0.25">
      <c r="A1087" s="189" t="str">
        <f t="shared" si="16"/>
        <v>AL-IS 68 RP8-3900.02W</v>
      </c>
      <c r="B1087" s="195" t="s">
        <v>1186</v>
      </c>
      <c r="C1087" s="196">
        <v>0</v>
      </c>
      <c r="D1087" s="196">
        <v>0.02</v>
      </c>
      <c r="E1087" s="195" t="s">
        <v>593</v>
      </c>
      <c r="F1087" s="195" t="s">
        <v>432</v>
      </c>
    </row>
    <row r="1088" spans="1:6" x14ac:dyDescent="0.25">
      <c r="A1088" s="189" t="str">
        <f t="shared" si="16"/>
        <v>AL-IS 68 RP8-4200.16W</v>
      </c>
      <c r="B1088" s="195" t="s">
        <v>1187</v>
      </c>
      <c r="C1088" s="196">
        <v>0</v>
      </c>
      <c r="D1088" s="196">
        <v>0.16</v>
      </c>
      <c r="E1088" s="195" t="s">
        <v>593</v>
      </c>
      <c r="F1088" s="195" t="s">
        <v>432</v>
      </c>
    </row>
    <row r="1089" spans="1:6" x14ac:dyDescent="0.25">
      <c r="A1089" s="189" t="str">
        <f t="shared" si="16"/>
        <v>AL-IS 68 RP8-43B00.13W</v>
      </c>
      <c r="B1089" s="195" t="s">
        <v>1188</v>
      </c>
      <c r="C1089" s="196">
        <v>0</v>
      </c>
      <c r="D1089" s="196">
        <v>0.13</v>
      </c>
      <c r="E1089" s="195" t="s">
        <v>593</v>
      </c>
      <c r="F1089" s="195" t="s">
        <v>432</v>
      </c>
    </row>
    <row r="1090" spans="1:6" x14ac:dyDescent="0.25">
      <c r="A1090" s="189" t="str">
        <f t="shared" si="16"/>
        <v>AL-IS 68 RP8-43D00.04S</v>
      </c>
      <c r="B1090" s="195" t="s">
        <v>1189</v>
      </c>
      <c r="C1090" s="196">
        <v>0</v>
      </c>
      <c r="D1090" s="196">
        <v>0.04</v>
      </c>
      <c r="E1090" s="195" t="s">
        <v>595</v>
      </c>
      <c r="F1090" s="195" t="s">
        <v>438</v>
      </c>
    </row>
    <row r="1091" spans="1:6" x14ac:dyDescent="0.25">
      <c r="A1091" s="189" t="str">
        <f t="shared" ref="A1091:A1154" si="17">B1091&amp;C1091&amp;D1091&amp;F1091</f>
        <v>AL-IS 68 RP8-4400.21S</v>
      </c>
      <c r="B1091" s="195" t="s">
        <v>1190</v>
      </c>
      <c r="C1091" s="196">
        <v>0</v>
      </c>
      <c r="D1091" s="196">
        <v>0.21</v>
      </c>
      <c r="E1091" s="195" t="s">
        <v>595</v>
      </c>
      <c r="F1091" s="195" t="s">
        <v>438</v>
      </c>
    </row>
    <row r="1092" spans="1:6" x14ac:dyDescent="0.25">
      <c r="A1092" s="189" t="str">
        <f t="shared" si="17"/>
        <v>AL-IS 68 RP8-4500.09E</v>
      </c>
      <c r="B1092" s="195" t="s">
        <v>1191</v>
      </c>
      <c r="C1092" s="196">
        <v>0</v>
      </c>
      <c r="D1092" s="196">
        <v>0.09</v>
      </c>
      <c r="E1092" s="195" t="s">
        <v>598</v>
      </c>
      <c r="F1092" s="195" t="s">
        <v>19</v>
      </c>
    </row>
    <row r="1093" spans="1:6" x14ac:dyDescent="0.25">
      <c r="A1093" s="189" t="str">
        <f t="shared" si="17"/>
        <v>AL-IS 68 RP8-4700.49W</v>
      </c>
      <c r="B1093" s="195" t="s">
        <v>1192</v>
      </c>
      <c r="C1093" s="196">
        <v>0</v>
      </c>
      <c r="D1093" s="196">
        <v>0.49</v>
      </c>
      <c r="E1093" s="195" t="s">
        <v>593</v>
      </c>
      <c r="F1093" s="195" t="s">
        <v>432</v>
      </c>
    </row>
    <row r="1094" spans="1:6" x14ac:dyDescent="0.25">
      <c r="A1094" s="189" t="str">
        <f t="shared" si="17"/>
        <v>AL-IS 68 RP8-5000.36W</v>
      </c>
      <c r="B1094" s="195" t="s">
        <v>1193</v>
      </c>
      <c r="C1094" s="196">
        <v>0</v>
      </c>
      <c r="D1094" s="196">
        <v>0.36</v>
      </c>
      <c r="E1094" s="195" t="s">
        <v>593</v>
      </c>
      <c r="F1094" s="195" t="s">
        <v>432</v>
      </c>
    </row>
    <row r="1095" spans="1:6" x14ac:dyDescent="0.25">
      <c r="A1095" s="189" t="str">
        <f t="shared" si="17"/>
        <v>AL-IS 68 RP8-6200.24W</v>
      </c>
      <c r="B1095" s="195" t="s">
        <v>1194</v>
      </c>
      <c r="C1095" s="196">
        <v>0</v>
      </c>
      <c r="D1095" s="196">
        <v>0.24</v>
      </c>
      <c r="E1095" s="195" t="s">
        <v>593</v>
      </c>
      <c r="F1095" s="195" t="s">
        <v>432</v>
      </c>
    </row>
    <row r="1096" spans="1:6" x14ac:dyDescent="0.25">
      <c r="A1096" s="189" t="str">
        <f t="shared" si="17"/>
        <v>AL-IS 68 RP8-6400.37S</v>
      </c>
      <c r="B1096" s="195" t="s">
        <v>1195</v>
      </c>
      <c r="C1096" s="196">
        <v>0</v>
      </c>
      <c r="D1096" s="196">
        <v>0.37</v>
      </c>
      <c r="E1096" s="195" t="s">
        <v>595</v>
      </c>
      <c r="F1096" s="195" t="s">
        <v>438</v>
      </c>
    </row>
    <row r="1097" spans="1:6" x14ac:dyDescent="0.25">
      <c r="A1097" s="189" t="str">
        <f t="shared" si="17"/>
        <v>AL-IS 68 RP8-6800.22S</v>
      </c>
      <c r="B1097" s="195" t="s">
        <v>1196</v>
      </c>
      <c r="C1097" s="196">
        <v>0</v>
      </c>
      <c r="D1097" s="196">
        <v>0.22</v>
      </c>
      <c r="E1097" s="195" t="s">
        <v>595</v>
      </c>
      <c r="F1097" s="195" t="s">
        <v>438</v>
      </c>
    </row>
    <row r="1098" spans="1:6" x14ac:dyDescent="0.25">
      <c r="A1098" s="189" t="str">
        <f t="shared" si="17"/>
        <v>AL-IS 68 RP8-7200.19S</v>
      </c>
      <c r="B1098" s="195" t="s">
        <v>1197</v>
      </c>
      <c r="C1098" s="196">
        <v>0</v>
      </c>
      <c r="D1098" s="196">
        <v>0.19</v>
      </c>
      <c r="E1098" s="195" t="s">
        <v>595</v>
      </c>
      <c r="F1098" s="195" t="s">
        <v>438</v>
      </c>
    </row>
    <row r="1099" spans="1:6" x14ac:dyDescent="0.25">
      <c r="A1099" s="189" t="str">
        <f t="shared" si="17"/>
        <v>AL-IS 68 RP9-4700.13W</v>
      </c>
      <c r="B1099" s="195" t="s">
        <v>1198</v>
      </c>
      <c r="C1099" s="196">
        <v>0</v>
      </c>
      <c r="D1099" s="196">
        <v>0.13</v>
      </c>
      <c r="E1099" s="195" t="s">
        <v>593</v>
      </c>
      <c r="F1099" s="195" t="s">
        <v>432</v>
      </c>
    </row>
    <row r="1100" spans="1:6" x14ac:dyDescent="0.25">
      <c r="A1100" s="189" t="str">
        <f t="shared" si="17"/>
        <v>AL-MD 13501.05E</v>
      </c>
      <c r="B1100" s="195" t="s">
        <v>548</v>
      </c>
      <c r="C1100" s="196">
        <v>0</v>
      </c>
      <c r="D1100" s="196">
        <v>1.05</v>
      </c>
      <c r="E1100" s="195" t="s">
        <v>583</v>
      </c>
      <c r="F1100" s="195" t="s">
        <v>19</v>
      </c>
    </row>
    <row r="1101" spans="1:6" x14ac:dyDescent="0.25">
      <c r="A1101" s="189" t="str">
        <f t="shared" si="17"/>
        <v>AL-MD 13501.05W</v>
      </c>
      <c r="B1101" s="195" t="s">
        <v>548</v>
      </c>
      <c r="C1101" s="196">
        <v>0</v>
      </c>
      <c r="D1101" s="196">
        <v>1.05</v>
      </c>
      <c r="E1101" s="195" t="s">
        <v>583</v>
      </c>
      <c r="F1101" s="195" t="s">
        <v>432</v>
      </c>
    </row>
    <row r="1102" spans="1:6" x14ac:dyDescent="0.25">
      <c r="A1102" s="189" t="str">
        <f t="shared" si="17"/>
        <v>AL-MD 1351.051.65E</v>
      </c>
      <c r="B1102" s="195" t="s">
        <v>548</v>
      </c>
      <c r="C1102" s="196">
        <v>1.05</v>
      </c>
      <c r="D1102" s="196">
        <v>1.65</v>
      </c>
      <c r="E1102" s="195" t="s">
        <v>583</v>
      </c>
      <c r="F1102" s="195" t="s">
        <v>19</v>
      </c>
    </row>
    <row r="1103" spans="1:6" x14ac:dyDescent="0.25">
      <c r="A1103" s="189" t="str">
        <f t="shared" si="17"/>
        <v>AL-MD 1351.051.65W</v>
      </c>
      <c r="B1103" s="195" t="s">
        <v>548</v>
      </c>
      <c r="C1103" s="196">
        <v>1.05</v>
      </c>
      <c r="D1103" s="196">
        <v>1.65</v>
      </c>
      <c r="E1103" s="195" t="s">
        <v>583</v>
      </c>
      <c r="F1103" s="195" t="s">
        <v>432</v>
      </c>
    </row>
    <row r="1104" spans="1:6" x14ac:dyDescent="0.25">
      <c r="A1104" s="189" t="str">
        <f t="shared" si="17"/>
        <v>AL-MD 1351.712.4E</v>
      </c>
      <c r="B1104" s="195" t="s">
        <v>548</v>
      </c>
      <c r="C1104" s="196">
        <v>1.71</v>
      </c>
      <c r="D1104" s="196">
        <v>2.4</v>
      </c>
      <c r="E1104" s="195" t="s">
        <v>583</v>
      </c>
      <c r="F1104" s="195" t="s">
        <v>19</v>
      </c>
    </row>
    <row r="1105" spans="1:6" x14ac:dyDescent="0.25">
      <c r="A1105" s="189" t="str">
        <f t="shared" si="17"/>
        <v>AL-MD 1351.712.4W</v>
      </c>
      <c r="B1105" s="195" t="s">
        <v>548</v>
      </c>
      <c r="C1105" s="196">
        <v>1.71</v>
      </c>
      <c r="D1105" s="196">
        <v>2.4</v>
      </c>
      <c r="E1105" s="195" t="s">
        <v>583</v>
      </c>
      <c r="F1105" s="195" t="s">
        <v>432</v>
      </c>
    </row>
    <row r="1106" spans="1:6" x14ac:dyDescent="0.25">
      <c r="A1106" s="189" t="str">
        <f t="shared" si="17"/>
        <v>AL-MD 1352.42.43E</v>
      </c>
      <c r="B1106" s="195" t="s">
        <v>548</v>
      </c>
      <c r="C1106" s="196">
        <v>2.4</v>
      </c>
      <c r="D1106" s="196">
        <v>2.4300000000000002</v>
      </c>
      <c r="E1106" s="195" t="s">
        <v>583</v>
      </c>
      <c r="F1106" s="195" t="s">
        <v>19</v>
      </c>
    </row>
    <row r="1107" spans="1:6" x14ac:dyDescent="0.25">
      <c r="A1107" s="189" t="str">
        <f t="shared" si="17"/>
        <v>AL-MD 1352.42.43W</v>
      </c>
      <c r="B1107" s="195" t="s">
        <v>548</v>
      </c>
      <c r="C1107" s="196">
        <v>2.4</v>
      </c>
      <c r="D1107" s="196">
        <v>2.4300000000000002</v>
      </c>
      <c r="E1107" s="195" t="s">
        <v>583</v>
      </c>
      <c r="F1107" s="195" t="s">
        <v>432</v>
      </c>
    </row>
    <row r="1108" spans="1:6" x14ac:dyDescent="0.25">
      <c r="A1108" s="189" t="str">
        <f t="shared" si="17"/>
        <v>AL-MD 1352.433.93E</v>
      </c>
      <c r="B1108" s="195" t="s">
        <v>548</v>
      </c>
      <c r="C1108" s="196">
        <v>2.4300000000000002</v>
      </c>
      <c r="D1108" s="196">
        <v>3.93</v>
      </c>
      <c r="E1108" s="195" t="s">
        <v>583</v>
      </c>
      <c r="F1108" s="195" t="s">
        <v>19</v>
      </c>
    </row>
    <row r="1109" spans="1:6" x14ac:dyDescent="0.25">
      <c r="A1109" s="189" t="str">
        <f t="shared" si="17"/>
        <v>AL-MD 1352.433.93W</v>
      </c>
      <c r="B1109" s="195" t="s">
        <v>548</v>
      </c>
      <c r="C1109" s="196">
        <v>2.4300000000000002</v>
      </c>
      <c r="D1109" s="196">
        <v>3.93</v>
      </c>
      <c r="E1109" s="195" t="s">
        <v>583</v>
      </c>
      <c r="F1109" s="195" t="s">
        <v>432</v>
      </c>
    </row>
    <row r="1110" spans="1:6" x14ac:dyDescent="0.25">
      <c r="A1110" s="189" t="str">
        <f t="shared" si="17"/>
        <v>AL-MD 1353.935.08E</v>
      </c>
      <c r="B1110" s="195" t="s">
        <v>548</v>
      </c>
      <c r="C1110" s="196">
        <v>3.93</v>
      </c>
      <c r="D1110" s="196">
        <v>5.08</v>
      </c>
      <c r="E1110" s="195" t="s">
        <v>583</v>
      </c>
      <c r="F1110" s="195" t="s">
        <v>19</v>
      </c>
    </row>
    <row r="1111" spans="1:6" x14ac:dyDescent="0.25">
      <c r="A1111" s="189" t="str">
        <f t="shared" si="17"/>
        <v>AL-MD 1353.935.08W</v>
      </c>
      <c r="B1111" s="195" t="s">
        <v>548</v>
      </c>
      <c r="C1111" s="196">
        <v>3.93</v>
      </c>
      <c r="D1111" s="196">
        <v>5.08</v>
      </c>
      <c r="E1111" s="195" t="s">
        <v>583</v>
      </c>
      <c r="F1111" s="195" t="s">
        <v>432</v>
      </c>
    </row>
    <row r="1112" spans="1:6" x14ac:dyDescent="0.25">
      <c r="A1112" s="189" t="str">
        <f t="shared" si="17"/>
        <v>AL-MD 1355.086.67E</v>
      </c>
      <c r="B1112" s="195" t="s">
        <v>548</v>
      </c>
      <c r="C1112" s="196">
        <v>5.08</v>
      </c>
      <c r="D1112" s="196">
        <v>6.67</v>
      </c>
      <c r="E1112" s="195" t="s">
        <v>583</v>
      </c>
      <c r="F1112" s="195" t="s">
        <v>19</v>
      </c>
    </row>
    <row r="1113" spans="1:6" x14ac:dyDescent="0.25">
      <c r="A1113" s="189" t="str">
        <f t="shared" si="17"/>
        <v>AL-MD 1355.086.67W</v>
      </c>
      <c r="B1113" s="195" t="s">
        <v>548</v>
      </c>
      <c r="C1113" s="196">
        <v>5.08</v>
      </c>
      <c r="D1113" s="196">
        <v>6.67</v>
      </c>
      <c r="E1113" s="195" t="s">
        <v>583</v>
      </c>
      <c r="F1113" s="195" t="s">
        <v>432</v>
      </c>
    </row>
    <row r="1114" spans="1:6" x14ac:dyDescent="0.25">
      <c r="A1114" s="189" t="str">
        <f t="shared" si="17"/>
        <v>AL-MD 1356.677.13E</v>
      </c>
      <c r="B1114" s="195" t="s">
        <v>548</v>
      </c>
      <c r="C1114" s="196">
        <v>6.67</v>
      </c>
      <c r="D1114" s="196">
        <v>7.13</v>
      </c>
      <c r="E1114" s="195" t="s">
        <v>583</v>
      </c>
      <c r="F1114" s="195" t="s">
        <v>19</v>
      </c>
    </row>
    <row r="1115" spans="1:6" x14ac:dyDescent="0.25">
      <c r="A1115" s="189" t="str">
        <f t="shared" si="17"/>
        <v>AL-MD 1356.677.13W</v>
      </c>
      <c r="B1115" s="195" t="s">
        <v>548</v>
      </c>
      <c r="C1115" s="196">
        <v>6.67</v>
      </c>
      <c r="D1115" s="196">
        <v>7.13</v>
      </c>
      <c r="E1115" s="195" t="s">
        <v>583</v>
      </c>
      <c r="F1115" s="195" t="s">
        <v>432</v>
      </c>
    </row>
    <row r="1116" spans="1:6" x14ac:dyDescent="0.25">
      <c r="A1116" s="189" t="str">
        <f t="shared" si="17"/>
        <v>AL-MD 135A00.77N</v>
      </c>
      <c r="B1116" s="195" t="s">
        <v>1199</v>
      </c>
      <c r="C1116" s="196">
        <v>0</v>
      </c>
      <c r="D1116" s="196">
        <v>0.77</v>
      </c>
      <c r="E1116" s="195" t="s">
        <v>589</v>
      </c>
      <c r="F1116" s="195" t="s">
        <v>430</v>
      </c>
    </row>
    <row r="1117" spans="1:6" x14ac:dyDescent="0.25">
      <c r="A1117" s="189" t="str">
        <f t="shared" si="17"/>
        <v>AL-MD 135A00.77S</v>
      </c>
      <c r="B1117" s="195" t="s">
        <v>1199</v>
      </c>
      <c r="C1117" s="196">
        <v>0</v>
      </c>
      <c r="D1117" s="196">
        <v>0.77</v>
      </c>
      <c r="E1117" s="195" t="s">
        <v>595</v>
      </c>
      <c r="F1117" s="195" t="s">
        <v>438</v>
      </c>
    </row>
    <row r="1118" spans="1:6" x14ac:dyDescent="0.25">
      <c r="A1118" s="189" t="str">
        <f t="shared" si="17"/>
        <v>AL-MD 135A0.770.78N</v>
      </c>
      <c r="B1118" s="195" t="s">
        <v>1199</v>
      </c>
      <c r="C1118" s="196">
        <v>0.77</v>
      </c>
      <c r="D1118" s="196">
        <v>0.78</v>
      </c>
      <c r="E1118" s="195" t="s">
        <v>589</v>
      </c>
      <c r="F1118" s="195" t="s">
        <v>430</v>
      </c>
    </row>
    <row r="1119" spans="1:6" x14ac:dyDescent="0.25">
      <c r="A1119" s="189" t="str">
        <f t="shared" si="17"/>
        <v>AL-MD 135A0.770.78S</v>
      </c>
      <c r="B1119" s="195" t="s">
        <v>1199</v>
      </c>
      <c r="C1119" s="196">
        <v>0.77</v>
      </c>
      <c r="D1119" s="196">
        <v>0.78</v>
      </c>
      <c r="E1119" s="195" t="s">
        <v>595</v>
      </c>
      <c r="F1119" s="195" t="s">
        <v>438</v>
      </c>
    </row>
    <row r="1120" spans="1:6" x14ac:dyDescent="0.25">
      <c r="A1120" s="189" t="str">
        <f t="shared" si="17"/>
        <v>AL-MD 135B00.11N</v>
      </c>
      <c r="B1120" s="195" t="s">
        <v>1200</v>
      </c>
      <c r="C1120" s="196">
        <v>0</v>
      </c>
      <c r="D1120" s="196">
        <v>0.11</v>
      </c>
      <c r="E1120" s="195" t="s">
        <v>589</v>
      </c>
      <c r="F1120" s="195" t="s">
        <v>430</v>
      </c>
    </row>
    <row r="1121" spans="1:6" x14ac:dyDescent="0.25">
      <c r="A1121" s="189" t="str">
        <f t="shared" si="17"/>
        <v>AL-MD 135B00.11S</v>
      </c>
      <c r="B1121" s="195" t="s">
        <v>1200</v>
      </c>
      <c r="C1121" s="196">
        <v>0</v>
      </c>
      <c r="D1121" s="196">
        <v>0.11</v>
      </c>
      <c r="E1121" s="195" t="s">
        <v>595</v>
      </c>
      <c r="F1121" s="195" t="s">
        <v>438</v>
      </c>
    </row>
    <row r="1122" spans="1:6" x14ac:dyDescent="0.25">
      <c r="A1122" s="189" t="str">
        <f t="shared" si="17"/>
        <v>AL-MD 135D00.02E</v>
      </c>
      <c r="B1122" s="195" t="s">
        <v>1201</v>
      </c>
      <c r="C1122" s="196">
        <v>0</v>
      </c>
      <c r="D1122" s="196">
        <v>0.02</v>
      </c>
      <c r="E1122" s="195" t="s">
        <v>598</v>
      </c>
      <c r="F1122" s="195" t="s">
        <v>19</v>
      </c>
    </row>
    <row r="1123" spans="1:6" x14ac:dyDescent="0.25">
      <c r="A1123" s="189" t="str">
        <f t="shared" si="17"/>
        <v>AL-MD 135D00.02W</v>
      </c>
      <c r="B1123" s="195" t="s">
        <v>1201</v>
      </c>
      <c r="C1123" s="196">
        <v>0</v>
      </c>
      <c r="D1123" s="196">
        <v>0.02</v>
      </c>
      <c r="E1123" s="195" t="s">
        <v>593</v>
      </c>
      <c r="F1123" s="195" t="s">
        <v>432</v>
      </c>
    </row>
    <row r="1124" spans="1:6" x14ac:dyDescent="0.25">
      <c r="A1124" s="189" t="str">
        <f t="shared" si="17"/>
        <v>AL-MD 14400.57E</v>
      </c>
      <c r="B1124" s="195" t="s">
        <v>1202</v>
      </c>
      <c r="C1124" s="196">
        <v>0</v>
      </c>
      <c r="D1124" s="196">
        <v>0.56999999999999995</v>
      </c>
      <c r="E1124" s="195" t="s">
        <v>583</v>
      </c>
      <c r="F1124" s="195" t="s">
        <v>19</v>
      </c>
    </row>
    <row r="1125" spans="1:6" x14ac:dyDescent="0.25">
      <c r="A1125" s="189" t="str">
        <f t="shared" si="17"/>
        <v>AL-MD 14400.57W</v>
      </c>
      <c r="B1125" s="195" t="s">
        <v>1202</v>
      </c>
      <c r="C1125" s="196">
        <v>0</v>
      </c>
      <c r="D1125" s="196">
        <v>0.56999999999999995</v>
      </c>
      <c r="E1125" s="195" t="s">
        <v>583</v>
      </c>
      <c r="F1125" s="195" t="s">
        <v>432</v>
      </c>
    </row>
    <row r="1126" spans="1:6" x14ac:dyDescent="0.25">
      <c r="A1126" s="189" t="str">
        <f t="shared" si="17"/>
        <v>AL-MD 1440.570.69E</v>
      </c>
      <c r="B1126" s="195" t="s">
        <v>1202</v>
      </c>
      <c r="C1126" s="196">
        <v>0.56999999999999995</v>
      </c>
      <c r="D1126" s="196">
        <v>0.69</v>
      </c>
      <c r="E1126" s="195" t="s">
        <v>583</v>
      </c>
      <c r="F1126" s="195" t="s">
        <v>19</v>
      </c>
    </row>
    <row r="1127" spans="1:6" x14ac:dyDescent="0.25">
      <c r="A1127" s="189" t="str">
        <f t="shared" si="17"/>
        <v>AL-MD 1440.570.69W</v>
      </c>
      <c r="B1127" s="195" t="s">
        <v>1202</v>
      </c>
      <c r="C1127" s="196">
        <v>0.56999999999999995</v>
      </c>
      <c r="D1127" s="196">
        <v>0.69</v>
      </c>
      <c r="E1127" s="195" t="s">
        <v>583</v>
      </c>
      <c r="F1127" s="195" t="s">
        <v>432</v>
      </c>
    </row>
    <row r="1128" spans="1:6" x14ac:dyDescent="0.25">
      <c r="A1128" s="189" t="str">
        <f t="shared" si="17"/>
        <v>AL-MD 1440.690.86E</v>
      </c>
      <c r="B1128" s="195" t="s">
        <v>1202</v>
      </c>
      <c r="C1128" s="196">
        <v>0.69</v>
      </c>
      <c r="D1128" s="196">
        <v>0.86</v>
      </c>
      <c r="E1128" s="195" t="s">
        <v>583</v>
      </c>
      <c r="F1128" s="195" t="s">
        <v>19</v>
      </c>
    </row>
    <row r="1129" spans="1:6" x14ac:dyDescent="0.25">
      <c r="A1129" s="189" t="str">
        <f t="shared" si="17"/>
        <v>AL-MD 1440.690.86W</v>
      </c>
      <c r="B1129" s="195" t="s">
        <v>1202</v>
      </c>
      <c r="C1129" s="196">
        <v>0.69</v>
      </c>
      <c r="D1129" s="196">
        <v>0.86</v>
      </c>
      <c r="E1129" s="195" t="s">
        <v>583</v>
      </c>
      <c r="F1129" s="195" t="s">
        <v>432</v>
      </c>
    </row>
    <row r="1130" spans="1:6" x14ac:dyDescent="0.25">
      <c r="A1130" s="189" t="str">
        <f t="shared" si="17"/>
        <v>AL-MD 1440.860.96E</v>
      </c>
      <c r="B1130" s="195" t="s">
        <v>1202</v>
      </c>
      <c r="C1130" s="196">
        <v>0.86</v>
      </c>
      <c r="D1130" s="196">
        <v>0.96</v>
      </c>
      <c r="E1130" s="195" t="s">
        <v>583</v>
      </c>
      <c r="F1130" s="195" t="s">
        <v>19</v>
      </c>
    </row>
    <row r="1131" spans="1:6" x14ac:dyDescent="0.25">
      <c r="A1131" s="189" t="str">
        <f t="shared" si="17"/>
        <v>AL-MD 1440.860.96W</v>
      </c>
      <c r="B1131" s="195" t="s">
        <v>1202</v>
      </c>
      <c r="C1131" s="196">
        <v>0.86</v>
      </c>
      <c r="D1131" s="196">
        <v>0.96</v>
      </c>
      <c r="E1131" s="195" t="s">
        <v>583</v>
      </c>
      <c r="F1131" s="195" t="s">
        <v>432</v>
      </c>
    </row>
    <row r="1132" spans="1:6" x14ac:dyDescent="0.25">
      <c r="A1132" s="189" t="str">
        <f t="shared" si="17"/>
        <v>AL-MD 1440.961.18E</v>
      </c>
      <c r="B1132" s="195" t="s">
        <v>1202</v>
      </c>
      <c r="C1132" s="196">
        <v>0.96</v>
      </c>
      <c r="D1132" s="196">
        <v>1.18</v>
      </c>
      <c r="E1132" s="195" t="s">
        <v>598</v>
      </c>
      <c r="F1132" s="195" t="s">
        <v>19</v>
      </c>
    </row>
    <row r="1133" spans="1:6" x14ac:dyDescent="0.25">
      <c r="A1133" s="189" t="str">
        <f t="shared" si="17"/>
        <v>AL-MD 1440.961.26W</v>
      </c>
      <c r="B1133" s="195" t="s">
        <v>1202</v>
      </c>
      <c r="C1133" s="196">
        <v>0.96</v>
      </c>
      <c r="D1133" s="196">
        <v>1.26</v>
      </c>
      <c r="E1133" s="195" t="s">
        <v>593</v>
      </c>
      <c r="F1133" s="195" t="s">
        <v>432</v>
      </c>
    </row>
    <row r="1134" spans="1:6" x14ac:dyDescent="0.25">
      <c r="A1134" s="189" t="str">
        <f t="shared" si="17"/>
        <v>AL-MD 1441.181.26E</v>
      </c>
      <c r="B1134" s="195" t="s">
        <v>1202</v>
      </c>
      <c r="C1134" s="196">
        <v>1.18</v>
      </c>
      <c r="D1134" s="196">
        <v>1.26</v>
      </c>
      <c r="E1134" s="195" t="s">
        <v>598</v>
      </c>
      <c r="F1134" s="195" t="s">
        <v>19</v>
      </c>
    </row>
    <row r="1135" spans="1:6" x14ac:dyDescent="0.25">
      <c r="A1135" s="189" t="str">
        <f t="shared" si="17"/>
        <v>AL-MD 1443.598.6E</v>
      </c>
      <c r="B1135" s="195" t="s">
        <v>1202</v>
      </c>
      <c r="C1135" s="196">
        <v>3.59</v>
      </c>
      <c r="D1135" s="196">
        <v>8.6</v>
      </c>
      <c r="E1135" s="195" t="s">
        <v>583</v>
      </c>
      <c r="F1135" s="195" t="s">
        <v>19</v>
      </c>
    </row>
    <row r="1136" spans="1:6" x14ac:dyDescent="0.25">
      <c r="A1136" s="189" t="str">
        <f t="shared" si="17"/>
        <v>AL-MD 1443.598.6W</v>
      </c>
      <c r="B1136" s="195" t="s">
        <v>1202</v>
      </c>
      <c r="C1136" s="196">
        <v>3.59</v>
      </c>
      <c r="D1136" s="196">
        <v>8.6</v>
      </c>
      <c r="E1136" s="195" t="s">
        <v>583</v>
      </c>
      <c r="F1136" s="195" t="s">
        <v>432</v>
      </c>
    </row>
    <row r="1137" spans="1:6" x14ac:dyDescent="0.25">
      <c r="A1137" s="189" t="str">
        <f t="shared" si="17"/>
        <v>AL-MD 1448.610.64E</v>
      </c>
      <c r="B1137" s="195" t="s">
        <v>1202</v>
      </c>
      <c r="C1137" s="196">
        <v>8.6</v>
      </c>
      <c r="D1137" s="196">
        <v>10.64</v>
      </c>
      <c r="E1137" s="195" t="s">
        <v>583</v>
      </c>
      <c r="F1137" s="195" t="s">
        <v>19</v>
      </c>
    </row>
    <row r="1138" spans="1:6" x14ac:dyDescent="0.25">
      <c r="A1138" s="189" t="str">
        <f t="shared" si="17"/>
        <v>AL-MD 1448.610.64W</v>
      </c>
      <c r="B1138" s="195" t="s">
        <v>1202</v>
      </c>
      <c r="C1138" s="196">
        <v>8.6</v>
      </c>
      <c r="D1138" s="196">
        <v>10.64</v>
      </c>
      <c r="E1138" s="195" t="s">
        <v>583</v>
      </c>
      <c r="F1138" s="195" t="s">
        <v>432</v>
      </c>
    </row>
    <row r="1139" spans="1:6" x14ac:dyDescent="0.25">
      <c r="A1139" s="189" t="str">
        <f t="shared" si="17"/>
        <v>AL-MD 14410.6410.77E</v>
      </c>
      <c r="B1139" s="195" t="s">
        <v>1202</v>
      </c>
      <c r="C1139" s="196">
        <v>10.64</v>
      </c>
      <c r="D1139" s="196">
        <v>10.77</v>
      </c>
      <c r="E1139" s="195" t="s">
        <v>583</v>
      </c>
      <c r="F1139" s="195" t="s">
        <v>19</v>
      </c>
    </row>
    <row r="1140" spans="1:6" x14ac:dyDescent="0.25">
      <c r="A1140" s="189" t="str">
        <f t="shared" si="17"/>
        <v>AL-MD 14410.6410.77W</v>
      </c>
      <c r="B1140" s="195" t="s">
        <v>1202</v>
      </c>
      <c r="C1140" s="196">
        <v>10.64</v>
      </c>
      <c r="D1140" s="196">
        <v>10.77</v>
      </c>
      <c r="E1140" s="195" t="s">
        <v>583</v>
      </c>
      <c r="F1140" s="195" t="s">
        <v>432</v>
      </c>
    </row>
    <row r="1141" spans="1:6" x14ac:dyDescent="0.25">
      <c r="A1141" s="189" t="str">
        <f t="shared" si="17"/>
        <v>AL-MD 14410.7710.97E</v>
      </c>
      <c r="B1141" s="195" t="s">
        <v>1202</v>
      </c>
      <c r="C1141" s="196">
        <v>10.77</v>
      </c>
      <c r="D1141" s="196">
        <v>10.97</v>
      </c>
      <c r="E1141" s="195" t="s">
        <v>583</v>
      </c>
      <c r="F1141" s="195" t="s">
        <v>19</v>
      </c>
    </row>
    <row r="1142" spans="1:6" x14ac:dyDescent="0.25">
      <c r="A1142" s="189" t="str">
        <f t="shared" si="17"/>
        <v>AL-MD 14410.7710.97W</v>
      </c>
      <c r="B1142" s="195" t="s">
        <v>1202</v>
      </c>
      <c r="C1142" s="196">
        <v>10.77</v>
      </c>
      <c r="D1142" s="196">
        <v>10.97</v>
      </c>
      <c r="E1142" s="195" t="s">
        <v>583</v>
      </c>
      <c r="F1142" s="195" t="s">
        <v>432</v>
      </c>
    </row>
    <row r="1143" spans="1:6" x14ac:dyDescent="0.25">
      <c r="A1143" s="189" t="str">
        <f t="shared" si="17"/>
        <v>AL-MD 14410.9711.27E</v>
      </c>
      <c r="B1143" s="195" t="s">
        <v>1202</v>
      </c>
      <c r="C1143" s="196">
        <v>10.97</v>
      </c>
      <c r="D1143" s="196">
        <v>11.27</v>
      </c>
      <c r="E1143" s="195" t="s">
        <v>583</v>
      </c>
      <c r="F1143" s="195" t="s">
        <v>19</v>
      </c>
    </row>
    <row r="1144" spans="1:6" x14ac:dyDescent="0.25">
      <c r="A1144" s="189" t="str">
        <f t="shared" si="17"/>
        <v>AL-MD 14410.9711.27W</v>
      </c>
      <c r="B1144" s="195" t="s">
        <v>1202</v>
      </c>
      <c r="C1144" s="196">
        <v>10.97</v>
      </c>
      <c r="D1144" s="196">
        <v>11.27</v>
      </c>
      <c r="E1144" s="195" t="s">
        <v>583</v>
      </c>
      <c r="F1144" s="195" t="s">
        <v>432</v>
      </c>
    </row>
    <row r="1145" spans="1:6" x14ac:dyDescent="0.25">
      <c r="A1145" s="189" t="str">
        <f t="shared" si="17"/>
        <v>AL-MD 14411.2711.57E</v>
      </c>
      <c r="B1145" s="195" t="s">
        <v>1202</v>
      </c>
      <c r="C1145" s="196">
        <v>11.27</v>
      </c>
      <c r="D1145" s="196">
        <v>11.57</v>
      </c>
      <c r="E1145" s="195" t="s">
        <v>583</v>
      </c>
      <c r="F1145" s="195" t="s">
        <v>19</v>
      </c>
    </row>
    <row r="1146" spans="1:6" x14ac:dyDescent="0.25">
      <c r="A1146" s="189" t="str">
        <f t="shared" si="17"/>
        <v>AL-MD 14411.2711.57W</v>
      </c>
      <c r="B1146" s="195" t="s">
        <v>1202</v>
      </c>
      <c r="C1146" s="196">
        <v>11.27</v>
      </c>
      <c r="D1146" s="196">
        <v>11.57</v>
      </c>
      <c r="E1146" s="195" t="s">
        <v>583</v>
      </c>
      <c r="F1146" s="195" t="s">
        <v>432</v>
      </c>
    </row>
    <row r="1147" spans="1:6" x14ac:dyDescent="0.25">
      <c r="A1147" s="189" t="str">
        <f t="shared" si="17"/>
        <v>AL-MD 14411.5713.72E</v>
      </c>
      <c r="B1147" s="195" t="s">
        <v>1202</v>
      </c>
      <c r="C1147" s="196">
        <v>11.57</v>
      </c>
      <c r="D1147" s="196">
        <v>13.72</v>
      </c>
      <c r="E1147" s="195" t="s">
        <v>583</v>
      </c>
      <c r="F1147" s="195" t="s">
        <v>19</v>
      </c>
    </row>
    <row r="1148" spans="1:6" x14ac:dyDescent="0.25">
      <c r="A1148" s="189" t="str">
        <f t="shared" si="17"/>
        <v>AL-MD 14411.5713.72W</v>
      </c>
      <c r="B1148" s="195" t="s">
        <v>1202</v>
      </c>
      <c r="C1148" s="196">
        <v>11.57</v>
      </c>
      <c r="D1148" s="196">
        <v>13.72</v>
      </c>
      <c r="E1148" s="195" t="s">
        <v>583</v>
      </c>
      <c r="F1148" s="195" t="s">
        <v>432</v>
      </c>
    </row>
    <row r="1149" spans="1:6" x14ac:dyDescent="0.25">
      <c r="A1149" s="189" t="str">
        <f t="shared" si="17"/>
        <v>AL-MD 14413.7213.8E</v>
      </c>
      <c r="B1149" s="195" t="s">
        <v>1202</v>
      </c>
      <c r="C1149" s="196">
        <v>13.72</v>
      </c>
      <c r="D1149" s="196">
        <v>13.8</v>
      </c>
      <c r="E1149" s="195" t="s">
        <v>583</v>
      </c>
      <c r="F1149" s="195" t="s">
        <v>19</v>
      </c>
    </row>
    <row r="1150" spans="1:6" x14ac:dyDescent="0.25">
      <c r="A1150" s="189" t="str">
        <f t="shared" si="17"/>
        <v>AL-MD 14413.7213.8W</v>
      </c>
      <c r="B1150" s="195" t="s">
        <v>1202</v>
      </c>
      <c r="C1150" s="196">
        <v>13.72</v>
      </c>
      <c r="D1150" s="196">
        <v>13.8</v>
      </c>
      <c r="E1150" s="195" t="s">
        <v>583</v>
      </c>
      <c r="F1150" s="195" t="s">
        <v>432</v>
      </c>
    </row>
    <row r="1151" spans="1:6" x14ac:dyDescent="0.25">
      <c r="A1151" s="189" t="str">
        <f t="shared" si="17"/>
        <v>AL-MD 14413.816.32E</v>
      </c>
      <c r="B1151" s="195" t="s">
        <v>1202</v>
      </c>
      <c r="C1151" s="196">
        <v>13.8</v>
      </c>
      <c r="D1151" s="196">
        <v>16.32</v>
      </c>
      <c r="E1151" s="195" t="s">
        <v>583</v>
      </c>
      <c r="F1151" s="195" t="s">
        <v>19</v>
      </c>
    </row>
    <row r="1152" spans="1:6" x14ac:dyDescent="0.25">
      <c r="A1152" s="189" t="str">
        <f t="shared" si="17"/>
        <v>AL-MD 14413.816.32W</v>
      </c>
      <c r="B1152" s="195" t="s">
        <v>1202</v>
      </c>
      <c r="C1152" s="196">
        <v>13.8</v>
      </c>
      <c r="D1152" s="196">
        <v>16.32</v>
      </c>
      <c r="E1152" s="195" t="s">
        <v>583</v>
      </c>
      <c r="F1152" s="195" t="s">
        <v>432</v>
      </c>
    </row>
    <row r="1153" spans="1:6" x14ac:dyDescent="0.25">
      <c r="A1153" s="189" t="str">
        <f t="shared" si="17"/>
        <v>AL-MD 14416.3216.35E</v>
      </c>
      <c r="B1153" s="195" t="s">
        <v>1202</v>
      </c>
      <c r="C1153" s="196">
        <v>16.32</v>
      </c>
      <c r="D1153" s="196">
        <v>16.350000000000001</v>
      </c>
      <c r="E1153" s="195" t="s">
        <v>583</v>
      </c>
      <c r="F1153" s="195" t="s">
        <v>19</v>
      </c>
    </row>
    <row r="1154" spans="1:6" x14ac:dyDescent="0.25">
      <c r="A1154" s="189" t="str">
        <f t="shared" si="17"/>
        <v>AL-MD 14416.3216.35W</v>
      </c>
      <c r="B1154" s="195" t="s">
        <v>1202</v>
      </c>
      <c r="C1154" s="196">
        <v>16.32</v>
      </c>
      <c r="D1154" s="196">
        <v>16.350000000000001</v>
      </c>
      <c r="E1154" s="195" t="s">
        <v>583</v>
      </c>
      <c r="F1154" s="195" t="s">
        <v>432</v>
      </c>
    </row>
    <row r="1155" spans="1:6" x14ac:dyDescent="0.25">
      <c r="A1155" s="189" t="str">
        <f t="shared" ref="A1155:A1218" si="18">B1155&amp;C1155&amp;D1155&amp;F1155</f>
        <v>AL-MD 14416.3516.66E</v>
      </c>
      <c r="B1155" s="195" t="s">
        <v>1202</v>
      </c>
      <c r="C1155" s="196">
        <v>16.350000000000001</v>
      </c>
      <c r="D1155" s="196">
        <v>16.66</v>
      </c>
      <c r="E1155" s="195" t="s">
        <v>583</v>
      </c>
      <c r="F1155" s="195" t="s">
        <v>19</v>
      </c>
    </row>
    <row r="1156" spans="1:6" x14ac:dyDescent="0.25">
      <c r="A1156" s="189" t="str">
        <f t="shared" si="18"/>
        <v>AL-MD 14416.3516.66W</v>
      </c>
      <c r="B1156" s="195" t="s">
        <v>1202</v>
      </c>
      <c r="C1156" s="196">
        <v>16.350000000000001</v>
      </c>
      <c r="D1156" s="196">
        <v>16.66</v>
      </c>
      <c r="E1156" s="195" t="s">
        <v>583</v>
      </c>
      <c r="F1156" s="195" t="s">
        <v>432</v>
      </c>
    </row>
    <row r="1157" spans="1:6" x14ac:dyDescent="0.25">
      <c r="A1157" s="189" t="str">
        <f t="shared" si="18"/>
        <v>AL-MD 14416.6617.17E</v>
      </c>
      <c r="B1157" s="195" t="s">
        <v>1202</v>
      </c>
      <c r="C1157" s="196">
        <v>16.66</v>
      </c>
      <c r="D1157" s="196">
        <v>17.170000000000002</v>
      </c>
      <c r="E1157" s="195" t="s">
        <v>583</v>
      </c>
      <c r="F1157" s="195" t="s">
        <v>19</v>
      </c>
    </row>
    <row r="1158" spans="1:6" x14ac:dyDescent="0.25">
      <c r="A1158" s="189" t="str">
        <f t="shared" si="18"/>
        <v>AL-MD 14416.6617.17W</v>
      </c>
      <c r="B1158" s="195" t="s">
        <v>1202</v>
      </c>
      <c r="C1158" s="196">
        <v>16.66</v>
      </c>
      <c r="D1158" s="196">
        <v>17.170000000000002</v>
      </c>
      <c r="E1158" s="195" t="s">
        <v>583</v>
      </c>
      <c r="F1158" s="195" t="s">
        <v>432</v>
      </c>
    </row>
    <row r="1159" spans="1:6" x14ac:dyDescent="0.25">
      <c r="A1159" s="189" t="str">
        <f t="shared" si="18"/>
        <v>AL-MD 14417.1717.24E</v>
      </c>
      <c r="B1159" s="195" t="s">
        <v>1202</v>
      </c>
      <c r="C1159" s="196">
        <v>17.170000000000002</v>
      </c>
      <c r="D1159" s="196">
        <v>17.239999999999998</v>
      </c>
      <c r="E1159" s="195" t="s">
        <v>583</v>
      </c>
      <c r="F1159" s="195" t="s">
        <v>19</v>
      </c>
    </row>
    <row r="1160" spans="1:6" x14ac:dyDescent="0.25">
      <c r="A1160" s="189" t="str">
        <f t="shared" si="18"/>
        <v>AL-MD 14417.1717.24W</v>
      </c>
      <c r="B1160" s="195" t="s">
        <v>1202</v>
      </c>
      <c r="C1160" s="196">
        <v>17.170000000000002</v>
      </c>
      <c r="D1160" s="196">
        <v>17.239999999999998</v>
      </c>
      <c r="E1160" s="195" t="s">
        <v>583</v>
      </c>
      <c r="F1160" s="195" t="s">
        <v>432</v>
      </c>
    </row>
    <row r="1161" spans="1:6" x14ac:dyDescent="0.25">
      <c r="A1161" s="189" t="str">
        <f t="shared" si="18"/>
        <v>AL-MD 14417.2417.55E</v>
      </c>
      <c r="B1161" s="195" t="s">
        <v>1202</v>
      </c>
      <c r="C1161" s="196">
        <v>17.239999999999998</v>
      </c>
      <c r="D1161" s="196">
        <v>17.55</v>
      </c>
      <c r="E1161" s="195" t="s">
        <v>583</v>
      </c>
      <c r="F1161" s="195" t="s">
        <v>19</v>
      </c>
    </row>
    <row r="1162" spans="1:6" x14ac:dyDescent="0.25">
      <c r="A1162" s="189" t="str">
        <f t="shared" si="18"/>
        <v>AL-MD 14417.2417.55W</v>
      </c>
      <c r="B1162" s="195" t="s">
        <v>1202</v>
      </c>
      <c r="C1162" s="196">
        <v>17.239999999999998</v>
      </c>
      <c r="D1162" s="196">
        <v>17.55</v>
      </c>
      <c r="E1162" s="195" t="s">
        <v>583</v>
      </c>
      <c r="F1162" s="195" t="s">
        <v>432</v>
      </c>
    </row>
    <row r="1163" spans="1:6" x14ac:dyDescent="0.25">
      <c r="A1163" s="189" t="str">
        <f t="shared" si="18"/>
        <v>AL-MD 144AE00.02E</v>
      </c>
      <c r="B1163" s="195" t="s">
        <v>1203</v>
      </c>
      <c r="C1163" s="196">
        <v>0</v>
      </c>
      <c r="D1163" s="196">
        <v>0.02</v>
      </c>
      <c r="E1163" s="195" t="s">
        <v>583</v>
      </c>
      <c r="F1163" s="195" t="s">
        <v>19</v>
      </c>
    </row>
    <row r="1164" spans="1:6" x14ac:dyDescent="0.25">
      <c r="A1164" s="189" t="str">
        <f t="shared" si="18"/>
        <v>AL-MD 144AE00.02W</v>
      </c>
      <c r="B1164" s="195" t="s">
        <v>1203</v>
      </c>
      <c r="C1164" s="196">
        <v>0</v>
      </c>
      <c r="D1164" s="196">
        <v>0.02</v>
      </c>
      <c r="E1164" s="195" t="s">
        <v>583</v>
      </c>
      <c r="F1164" s="195" t="s">
        <v>432</v>
      </c>
    </row>
    <row r="1165" spans="1:6" x14ac:dyDescent="0.25">
      <c r="A1165" s="189" t="str">
        <f t="shared" si="18"/>
        <v>AL-MD 144AE0.022.53E</v>
      </c>
      <c r="B1165" s="195" t="s">
        <v>1203</v>
      </c>
      <c r="C1165" s="196">
        <v>0.02</v>
      </c>
      <c r="D1165" s="196">
        <v>2.5299999999999998</v>
      </c>
      <c r="E1165" s="195" t="s">
        <v>583</v>
      </c>
      <c r="F1165" s="195" t="s">
        <v>19</v>
      </c>
    </row>
    <row r="1166" spans="1:6" x14ac:dyDescent="0.25">
      <c r="A1166" s="189" t="str">
        <f t="shared" si="18"/>
        <v>AL-MD 144AE0.022.53W</v>
      </c>
      <c r="B1166" s="195" t="s">
        <v>1203</v>
      </c>
      <c r="C1166" s="196">
        <v>0.02</v>
      </c>
      <c r="D1166" s="196">
        <v>2.5299999999999998</v>
      </c>
      <c r="E1166" s="195" t="s">
        <v>583</v>
      </c>
      <c r="F1166" s="195" t="s">
        <v>432</v>
      </c>
    </row>
    <row r="1167" spans="1:6" x14ac:dyDescent="0.25">
      <c r="A1167" s="189" t="str">
        <f t="shared" si="18"/>
        <v>AL-MD 144AL00.08E</v>
      </c>
      <c r="B1167" s="195" t="s">
        <v>1204</v>
      </c>
      <c r="C1167" s="196">
        <v>0</v>
      </c>
      <c r="D1167" s="196">
        <v>0.08</v>
      </c>
      <c r="E1167" s="195" t="s">
        <v>598</v>
      </c>
      <c r="F1167" s="195" t="s">
        <v>19</v>
      </c>
    </row>
    <row r="1168" spans="1:6" x14ac:dyDescent="0.25">
      <c r="A1168" s="189" t="str">
        <f t="shared" si="18"/>
        <v>AL-MD 144AL00.08W</v>
      </c>
      <c r="B1168" s="195" t="s">
        <v>1204</v>
      </c>
      <c r="C1168" s="196">
        <v>0</v>
      </c>
      <c r="D1168" s="196">
        <v>0.08</v>
      </c>
      <c r="E1168" s="195" t="s">
        <v>593</v>
      </c>
      <c r="F1168" s="195" t="s">
        <v>432</v>
      </c>
    </row>
    <row r="1169" spans="1:6" x14ac:dyDescent="0.25">
      <c r="A1169" s="189" t="str">
        <f t="shared" si="18"/>
        <v>AL-MD 3502.37N</v>
      </c>
      <c r="B1169" s="195" t="s">
        <v>1205</v>
      </c>
      <c r="C1169" s="196">
        <v>0</v>
      </c>
      <c r="D1169" s="196">
        <v>2.37</v>
      </c>
      <c r="E1169" s="195" t="s">
        <v>583</v>
      </c>
      <c r="F1169" s="195" t="s">
        <v>430</v>
      </c>
    </row>
    <row r="1170" spans="1:6" x14ac:dyDescent="0.25">
      <c r="A1170" s="189" t="str">
        <f t="shared" si="18"/>
        <v>AL-MD 3502.37S</v>
      </c>
      <c r="B1170" s="195" t="s">
        <v>1205</v>
      </c>
      <c r="C1170" s="196">
        <v>0</v>
      </c>
      <c r="D1170" s="196">
        <v>2.37</v>
      </c>
      <c r="E1170" s="195" t="s">
        <v>583</v>
      </c>
      <c r="F1170" s="195" t="s">
        <v>438</v>
      </c>
    </row>
    <row r="1171" spans="1:6" x14ac:dyDescent="0.25">
      <c r="A1171" s="189" t="str">
        <f t="shared" si="18"/>
        <v>AL-MD 3601.36N</v>
      </c>
      <c r="B1171" s="195" t="s">
        <v>1206</v>
      </c>
      <c r="C1171" s="196">
        <v>0</v>
      </c>
      <c r="D1171" s="196">
        <v>1.36</v>
      </c>
      <c r="E1171" s="195" t="s">
        <v>583</v>
      </c>
      <c r="F1171" s="195" t="s">
        <v>430</v>
      </c>
    </row>
    <row r="1172" spans="1:6" x14ac:dyDescent="0.25">
      <c r="A1172" s="189" t="str">
        <f t="shared" si="18"/>
        <v>AL-MD 3601.36S</v>
      </c>
      <c r="B1172" s="195" t="s">
        <v>1206</v>
      </c>
      <c r="C1172" s="196">
        <v>0</v>
      </c>
      <c r="D1172" s="196">
        <v>1.36</v>
      </c>
      <c r="E1172" s="195" t="s">
        <v>583</v>
      </c>
      <c r="F1172" s="195" t="s">
        <v>438</v>
      </c>
    </row>
    <row r="1173" spans="1:6" x14ac:dyDescent="0.25">
      <c r="A1173" s="189" t="str">
        <f t="shared" si="18"/>
        <v>AL-MD 361.364.08N</v>
      </c>
      <c r="B1173" s="195" t="s">
        <v>1206</v>
      </c>
      <c r="C1173" s="196">
        <v>1.36</v>
      </c>
      <c r="D1173" s="196">
        <v>4.08</v>
      </c>
      <c r="E1173" s="195" t="s">
        <v>583</v>
      </c>
      <c r="F1173" s="195" t="s">
        <v>430</v>
      </c>
    </row>
    <row r="1174" spans="1:6" x14ac:dyDescent="0.25">
      <c r="A1174" s="189" t="str">
        <f t="shared" si="18"/>
        <v>AL-MD 361.364.08S</v>
      </c>
      <c r="B1174" s="195" t="s">
        <v>1206</v>
      </c>
      <c r="C1174" s="196">
        <v>1.36</v>
      </c>
      <c r="D1174" s="196">
        <v>4.08</v>
      </c>
      <c r="E1174" s="195" t="s">
        <v>583</v>
      </c>
      <c r="F1174" s="195" t="s">
        <v>438</v>
      </c>
    </row>
    <row r="1175" spans="1:6" x14ac:dyDescent="0.25">
      <c r="A1175" s="189" t="str">
        <f t="shared" si="18"/>
        <v>AL-MD 364.086.95N</v>
      </c>
      <c r="B1175" s="195" t="s">
        <v>1206</v>
      </c>
      <c r="C1175" s="196">
        <v>4.08</v>
      </c>
      <c r="D1175" s="196">
        <v>6.95</v>
      </c>
      <c r="E1175" s="195" t="s">
        <v>583</v>
      </c>
      <c r="F1175" s="195" t="s">
        <v>430</v>
      </c>
    </row>
    <row r="1176" spans="1:6" x14ac:dyDescent="0.25">
      <c r="A1176" s="189" t="str">
        <f t="shared" si="18"/>
        <v>AL-MD 364.086.95S</v>
      </c>
      <c r="B1176" s="195" t="s">
        <v>1206</v>
      </c>
      <c r="C1176" s="196">
        <v>4.08</v>
      </c>
      <c r="D1176" s="196">
        <v>6.95</v>
      </c>
      <c r="E1176" s="195" t="s">
        <v>583</v>
      </c>
      <c r="F1176" s="195" t="s">
        <v>438</v>
      </c>
    </row>
    <row r="1177" spans="1:6" x14ac:dyDescent="0.25">
      <c r="A1177" s="189" t="str">
        <f t="shared" si="18"/>
        <v>AL-MD 366.957.08N</v>
      </c>
      <c r="B1177" s="195" t="s">
        <v>1206</v>
      </c>
      <c r="C1177" s="196">
        <v>6.95</v>
      </c>
      <c r="D1177" s="196">
        <v>7.08</v>
      </c>
      <c r="E1177" s="195" t="s">
        <v>583</v>
      </c>
      <c r="F1177" s="195" t="s">
        <v>430</v>
      </c>
    </row>
    <row r="1178" spans="1:6" x14ac:dyDescent="0.25">
      <c r="A1178" s="189" t="str">
        <f t="shared" si="18"/>
        <v>AL-MD 366.957.08S</v>
      </c>
      <c r="B1178" s="195" t="s">
        <v>1206</v>
      </c>
      <c r="C1178" s="196">
        <v>6.95</v>
      </c>
      <c r="D1178" s="196">
        <v>7.08</v>
      </c>
      <c r="E1178" s="195" t="s">
        <v>583</v>
      </c>
      <c r="F1178" s="195" t="s">
        <v>438</v>
      </c>
    </row>
    <row r="1179" spans="1:6" x14ac:dyDescent="0.25">
      <c r="A1179" s="189" t="str">
        <f t="shared" si="18"/>
        <v>AL-MD 367.088.07N</v>
      </c>
      <c r="B1179" s="195" t="s">
        <v>1206</v>
      </c>
      <c r="C1179" s="196">
        <v>7.08</v>
      </c>
      <c r="D1179" s="196">
        <v>8.07</v>
      </c>
      <c r="E1179" s="195" t="s">
        <v>583</v>
      </c>
      <c r="F1179" s="195" t="s">
        <v>430</v>
      </c>
    </row>
    <row r="1180" spans="1:6" x14ac:dyDescent="0.25">
      <c r="A1180" s="189" t="str">
        <f t="shared" si="18"/>
        <v>AL-MD 367.088.07S</v>
      </c>
      <c r="B1180" s="195" t="s">
        <v>1206</v>
      </c>
      <c r="C1180" s="196">
        <v>7.08</v>
      </c>
      <c r="D1180" s="196">
        <v>8.07</v>
      </c>
      <c r="E1180" s="195" t="s">
        <v>583</v>
      </c>
      <c r="F1180" s="195" t="s">
        <v>438</v>
      </c>
    </row>
    <row r="1181" spans="1:6" x14ac:dyDescent="0.25">
      <c r="A1181" s="189" t="str">
        <f t="shared" si="18"/>
        <v>AL-MD 368.078.45N</v>
      </c>
      <c r="B1181" s="195" t="s">
        <v>1206</v>
      </c>
      <c r="C1181" s="196">
        <v>8.07</v>
      </c>
      <c r="D1181" s="196">
        <v>8.4499999999999993</v>
      </c>
      <c r="E1181" s="195" t="s">
        <v>583</v>
      </c>
      <c r="F1181" s="195" t="s">
        <v>430</v>
      </c>
    </row>
    <row r="1182" spans="1:6" x14ac:dyDescent="0.25">
      <c r="A1182" s="189" t="str">
        <f t="shared" si="18"/>
        <v>AL-MD 368.078.45S</v>
      </c>
      <c r="B1182" s="195" t="s">
        <v>1206</v>
      </c>
      <c r="C1182" s="196">
        <v>8.07</v>
      </c>
      <c r="D1182" s="196">
        <v>8.4499999999999993</v>
      </c>
      <c r="E1182" s="195" t="s">
        <v>583</v>
      </c>
      <c r="F1182" s="195" t="s">
        <v>438</v>
      </c>
    </row>
    <row r="1183" spans="1:6" x14ac:dyDescent="0.25">
      <c r="A1183" s="189" t="str">
        <f t="shared" si="18"/>
        <v>AL-MD 368.458.65N</v>
      </c>
      <c r="B1183" s="195" t="s">
        <v>1206</v>
      </c>
      <c r="C1183" s="196">
        <v>8.4499999999999993</v>
      </c>
      <c r="D1183" s="196">
        <v>8.65</v>
      </c>
      <c r="E1183" s="195" t="s">
        <v>583</v>
      </c>
      <c r="F1183" s="195" t="s">
        <v>430</v>
      </c>
    </row>
    <row r="1184" spans="1:6" x14ac:dyDescent="0.25">
      <c r="A1184" s="189" t="str">
        <f t="shared" si="18"/>
        <v>AL-MD 368.458.65S</v>
      </c>
      <c r="B1184" s="195" t="s">
        <v>1206</v>
      </c>
      <c r="C1184" s="196">
        <v>8.4499999999999993</v>
      </c>
      <c r="D1184" s="196">
        <v>8.65</v>
      </c>
      <c r="E1184" s="195" t="s">
        <v>583</v>
      </c>
      <c r="F1184" s="195" t="s">
        <v>438</v>
      </c>
    </row>
    <row r="1185" spans="1:6" x14ac:dyDescent="0.25">
      <c r="A1185" s="189" t="str">
        <f t="shared" si="18"/>
        <v>AL-MD 368.659.08N</v>
      </c>
      <c r="B1185" s="195" t="s">
        <v>1206</v>
      </c>
      <c r="C1185" s="196">
        <v>8.65</v>
      </c>
      <c r="D1185" s="196">
        <v>9.08</v>
      </c>
      <c r="E1185" s="195" t="s">
        <v>583</v>
      </c>
      <c r="F1185" s="195" t="s">
        <v>430</v>
      </c>
    </row>
    <row r="1186" spans="1:6" x14ac:dyDescent="0.25">
      <c r="A1186" s="189" t="str">
        <f t="shared" si="18"/>
        <v>AL-MD 368.659.08S</v>
      </c>
      <c r="B1186" s="195" t="s">
        <v>1206</v>
      </c>
      <c r="C1186" s="196">
        <v>8.65</v>
      </c>
      <c r="D1186" s="196">
        <v>9.08</v>
      </c>
      <c r="E1186" s="195" t="s">
        <v>583</v>
      </c>
      <c r="F1186" s="195" t="s">
        <v>438</v>
      </c>
    </row>
    <row r="1187" spans="1:6" x14ac:dyDescent="0.25">
      <c r="A1187" s="189" t="str">
        <f t="shared" si="18"/>
        <v>AL-MD 369.089.16N</v>
      </c>
      <c r="B1187" s="195" t="s">
        <v>1206</v>
      </c>
      <c r="C1187" s="196">
        <v>9.08</v>
      </c>
      <c r="D1187" s="196">
        <v>9.16</v>
      </c>
      <c r="E1187" s="195" t="s">
        <v>583</v>
      </c>
      <c r="F1187" s="195" t="s">
        <v>430</v>
      </c>
    </row>
    <row r="1188" spans="1:6" x14ac:dyDescent="0.25">
      <c r="A1188" s="189" t="str">
        <f t="shared" si="18"/>
        <v>AL-MD 369.089.16S</v>
      </c>
      <c r="B1188" s="195" t="s">
        <v>1206</v>
      </c>
      <c r="C1188" s="196">
        <v>9.08</v>
      </c>
      <c r="D1188" s="196">
        <v>9.16</v>
      </c>
      <c r="E1188" s="195" t="s">
        <v>583</v>
      </c>
      <c r="F1188" s="195" t="s">
        <v>438</v>
      </c>
    </row>
    <row r="1189" spans="1:6" x14ac:dyDescent="0.25">
      <c r="A1189" s="189" t="str">
        <f t="shared" si="18"/>
        <v>AL-MD 369.169.22N</v>
      </c>
      <c r="B1189" s="195" t="s">
        <v>1206</v>
      </c>
      <c r="C1189" s="196">
        <v>9.16</v>
      </c>
      <c r="D1189" s="196">
        <v>9.2200000000000006</v>
      </c>
      <c r="E1189" s="195" t="s">
        <v>583</v>
      </c>
      <c r="F1189" s="195" t="s">
        <v>430</v>
      </c>
    </row>
    <row r="1190" spans="1:6" x14ac:dyDescent="0.25">
      <c r="A1190" s="189" t="str">
        <f t="shared" si="18"/>
        <v>AL-MD 369.169.22S</v>
      </c>
      <c r="B1190" s="195" t="s">
        <v>1206</v>
      </c>
      <c r="C1190" s="196">
        <v>9.16</v>
      </c>
      <c r="D1190" s="196">
        <v>9.2200000000000006</v>
      </c>
      <c r="E1190" s="195" t="s">
        <v>583</v>
      </c>
      <c r="F1190" s="195" t="s">
        <v>438</v>
      </c>
    </row>
    <row r="1191" spans="1:6" x14ac:dyDescent="0.25">
      <c r="A1191" s="189" t="str">
        <f t="shared" si="18"/>
        <v>AL-MD 369.229.92N</v>
      </c>
      <c r="B1191" s="195" t="s">
        <v>1206</v>
      </c>
      <c r="C1191" s="196">
        <v>9.2200000000000006</v>
      </c>
      <c r="D1191" s="196">
        <v>9.92</v>
      </c>
      <c r="E1191" s="195" t="s">
        <v>583</v>
      </c>
      <c r="F1191" s="195" t="s">
        <v>430</v>
      </c>
    </row>
    <row r="1192" spans="1:6" x14ac:dyDescent="0.25">
      <c r="A1192" s="189" t="str">
        <f t="shared" si="18"/>
        <v>AL-MD 369.229.92S</v>
      </c>
      <c r="B1192" s="195" t="s">
        <v>1206</v>
      </c>
      <c r="C1192" s="196">
        <v>9.2200000000000006</v>
      </c>
      <c r="D1192" s="196">
        <v>9.92</v>
      </c>
      <c r="E1192" s="195" t="s">
        <v>583</v>
      </c>
      <c r="F1192" s="195" t="s">
        <v>438</v>
      </c>
    </row>
    <row r="1193" spans="1:6" x14ac:dyDescent="0.25">
      <c r="A1193" s="189" t="str">
        <f t="shared" si="18"/>
        <v>AL-MD 369.929.95N</v>
      </c>
      <c r="B1193" s="195" t="s">
        <v>1206</v>
      </c>
      <c r="C1193" s="196">
        <v>9.92</v>
      </c>
      <c r="D1193" s="196">
        <v>9.9499999999999993</v>
      </c>
      <c r="E1193" s="195" t="s">
        <v>583</v>
      </c>
      <c r="F1193" s="195" t="s">
        <v>430</v>
      </c>
    </row>
    <row r="1194" spans="1:6" x14ac:dyDescent="0.25">
      <c r="A1194" s="189" t="str">
        <f t="shared" si="18"/>
        <v>AL-MD 369.929.95S</v>
      </c>
      <c r="B1194" s="195" t="s">
        <v>1206</v>
      </c>
      <c r="C1194" s="196">
        <v>9.92</v>
      </c>
      <c r="D1194" s="196">
        <v>9.9499999999999993</v>
      </c>
      <c r="E1194" s="195" t="s">
        <v>583</v>
      </c>
      <c r="F1194" s="195" t="s">
        <v>438</v>
      </c>
    </row>
    <row r="1195" spans="1:6" x14ac:dyDescent="0.25">
      <c r="A1195" s="189" t="str">
        <f t="shared" si="18"/>
        <v>AL-MD 369.9510.01N</v>
      </c>
      <c r="B1195" s="195" t="s">
        <v>1206</v>
      </c>
      <c r="C1195" s="196">
        <v>9.9499999999999993</v>
      </c>
      <c r="D1195" s="196">
        <v>10.01</v>
      </c>
      <c r="E1195" s="195" t="s">
        <v>583</v>
      </c>
      <c r="F1195" s="195" t="s">
        <v>430</v>
      </c>
    </row>
    <row r="1196" spans="1:6" x14ac:dyDescent="0.25">
      <c r="A1196" s="189" t="str">
        <f t="shared" si="18"/>
        <v>AL-MD 369.9510.01S</v>
      </c>
      <c r="B1196" s="195" t="s">
        <v>1206</v>
      </c>
      <c r="C1196" s="196">
        <v>9.9499999999999993</v>
      </c>
      <c r="D1196" s="196">
        <v>10.01</v>
      </c>
      <c r="E1196" s="195" t="s">
        <v>583</v>
      </c>
      <c r="F1196" s="195" t="s">
        <v>438</v>
      </c>
    </row>
    <row r="1197" spans="1:6" x14ac:dyDescent="0.25">
      <c r="A1197" s="189" t="str">
        <f t="shared" si="18"/>
        <v>AL-MD 3610.0110.14N</v>
      </c>
      <c r="B1197" s="195" t="s">
        <v>1206</v>
      </c>
      <c r="C1197" s="196">
        <v>10.01</v>
      </c>
      <c r="D1197" s="196">
        <v>10.14</v>
      </c>
      <c r="E1197" s="195" t="s">
        <v>583</v>
      </c>
      <c r="F1197" s="195" t="s">
        <v>430</v>
      </c>
    </row>
    <row r="1198" spans="1:6" x14ac:dyDescent="0.25">
      <c r="A1198" s="189" t="str">
        <f t="shared" si="18"/>
        <v>AL-MD 3610.0110.14S</v>
      </c>
      <c r="B1198" s="195" t="s">
        <v>1206</v>
      </c>
      <c r="C1198" s="196">
        <v>10.01</v>
      </c>
      <c r="D1198" s="196">
        <v>10.14</v>
      </c>
      <c r="E1198" s="195" t="s">
        <v>583</v>
      </c>
      <c r="F1198" s="195" t="s">
        <v>438</v>
      </c>
    </row>
    <row r="1199" spans="1:6" x14ac:dyDescent="0.25">
      <c r="A1199" s="189" t="str">
        <f t="shared" si="18"/>
        <v>AL-MD 3610.1410.3N</v>
      </c>
      <c r="B1199" s="195" t="s">
        <v>1206</v>
      </c>
      <c r="C1199" s="196">
        <v>10.14</v>
      </c>
      <c r="D1199" s="196">
        <v>10.3</v>
      </c>
      <c r="E1199" s="195" t="s">
        <v>583</v>
      </c>
      <c r="F1199" s="195" t="s">
        <v>430</v>
      </c>
    </row>
    <row r="1200" spans="1:6" x14ac:dyDescent="0.25">
      <c r="A1200" s="189" t="str">
        <f t="shared" si="18"/>
        <v>AL-MD 3610.1410.3S</v>
      </c>
      <c r="B1200" s="195" t="s">
        <v>1206</v>
      </c>
      <c r="C1200" s="196">
        <v>10.14</v>
      </c>
      <c r="D1200" s="196">
        <v>10.3</v>
      </c>
      <c r="E1200" s="195" t="s">
        <v>583</v>
      </c>
      <c r="F1200" s="195" t="s">
        <v>438</v>
      </c>
    </row>
    <row r="1201" spans="1:6" x14ac:dyDescent="0.25">
      <c r="A1201" s="189" t="str">
        <f t="shared" si="18"/>
        <v>AL-MD 3610.311.32N</v>
      </c>
      <c r="B1201" s="195" t="s">
        <v>1206</v>
      </c>
      <c r="C1201" s="196">
        <v>10.3</v>
      </c>
      <c r="D1201" s="196">
        <v>11.32</v>
      </c>
      <c r="E1201" s="195" t="s">
        <v>583</v>
      </c>
      <c r="F1201" s="195" t="s">
        <v>430</v>
      </c>
    </row>
    <row r="1202" spans="1:6" x14ac:dyDescent="0.25">
      <c r="A1202" s="189" t="str">
        <f t="shared" si="18"/>
        <v>AL-MD 3610.311.32S</v>
      </c>
      <c r="B1202" s="195" t="s">
        <v>1206</v>
      </c>
      <c r="C1202" s="196">
        <v>10.3</v>
      </c>
      <c r="D1202" s="196">
        <v>11.32</v>
      </c>
      <c r="E1202" s="195" t="s">
        <v>583</v>
      </c>
      <c r="F1202" s="195" t="s">
        <v>438</v>
      </c>
    </row>
    <row r="1203" spans="1:6" x14ac:dyDescent="0.25">
      <c r="A1203" s="189" t="str">
        <f t="shared" si="18"/>
        <v>AL-MD 3611.3214.09N</v>
      </c>
      <c r="B1203" s="195" t="s">
        <v>1206</v>
      </c>
      <c r="C1203" s="196">
        <v>11.32</v>
      </c>
      <c r="D1203" s="196">
        <v>14.09</v>
      </c>
      <c r="E1203" s="195" t="s">
        <v>583</v>
      </c>
      <c r="F1203" s="195" t="s">
        <v>430</v>
      </c>
    </row>
    <row r="1204" spans="1:6" x14ac:dyDescent="0.25">
      <c r="A1204" s="189" t="str">
        <f t="shared" si="18"/>
        <v>AL-MD 3611.3214.09S</v>
      </c>
      <c r="B1204" s="195" t="s">
        <v>1206</v>
      </c>
      <c r="C1204" s="196">
        <v>11.32</v>
      </c>
      <c r="D1204" s="196">
        <v>14.09</v>
      </c>
      <c r="E1204" s="195" t="s">
        <v>583</v>
      </c>
      <c r="F1204" s="195" t="s">
        <v>438</v>
      </c>
    </row>
    <row r="1205" spans="1:6" x14ac:dyDescent="0.25">
      <c r="A1205" s="189" t="str">
        <f t="shared" si="18"/>
        <v>AL-MD 3614.0915.05N</v>
      </c>
      <c r="B1205" s="195" t="s">
        <v>1206</v>
      </c>
      <c r="C1205" s="196">
        <v>14.09</v>
      </c>
      <c r="D1205" s="196">
        <v>15.05</v>
      </c>
      <c r="E1205" s="195" t="s">
        <v>583</v>
      </c>
      <c r="F1205" s="195" t="s">
        <v>430</v>
      </c>
    </row>
    <row r="1206" spans="1:6" x14ac:dyDescent="0.25">
      <c r="A1206" s="189" t="str">
        <f t="shared" si="18"/>
        <v>AL-MD 3614.0915.05S</v>
      </c>
      <c r="B1206" s="195" t="s">
        <v>1206</v>
      </c>
      <c r="C1206" s="196">
        <v>14.09</v>
      </c>
      <c r="D1206" s="196">
        <v>15.05</v>
      </c>
      <c r="E1206" s="195" t="s">
        <v>583</v>
      </c>
      <c r="F1206" s="195" t="s">
        <v>438</v>
      </c>
    </row>
    <row r="1207" spans="1:6" x14ac:dyDescent="0.25">
      <c r="A1207" s="189" t="str">
        <f t="shared" si="18"/>
        <v>AL-MD 3616.5317.6N</v>
      </c>
      <c r="B1207" s="195" t="s">
        <v>1206</v>
      </c>
      <c r="C1207" s="196">
        <v>16.53</v>
      </c>
      <c r="D1207" s="196">
        <v>17.600000000000001</v>
      </c>
      <c r="E1207" s="195" t="s">
        <v>583</v>
      </c>
      <c r="F1207" s="195" t="s">
        <v>430</v>
      </c>
    </row>
    <row r="1208" spans="1:6" x14ac:dyDescent="0.25">
      <c r="A1208" s="189" t="str">
        <f t="shared" si="18"/>
        <v>AL-MD 3616.5317.6S</v>
      </c>
      <c r="B1208" s="195" t="s">
        <v>1206</v>
      </c>
      <c r="C1208" s="196">
        <v>16.53</v>
      </c>
      <c r="D1208" s="196">
        <v>17.600000000000001</v>
      </c>
      <c r="E1208" s="195" t="s">
        <v>583</v>
      </c>
      <c r="F1208" s="195" t="s">
        <v>438</v>
      </c>
    </row>
    <row r="1209" spans="1:6" x14ac:dyDescent="0.25">
      <c r="A1209" s="189" t="str">
        <f t="shared" si="18"/>
        <v>AL-MD 3617.617.65N</v>
      </c>
      <c r="B1209" s="195" t="s">
        <v>1206</v>
      </c>
      <c r="C1209" s="196">
        <v>17.600000000000001</v>
      </c>
      <c r="D1209" s="196">
        <v>17.649999999999999</v>
      </c>
      <c r="E1209" s="195" t="s">
        <v>583</v>
      </c>
      <c r="F1209" s="195" t="s">
        <v>430</v>
      </c>
    </row>
    <row r="1210" spans="1:6" x14ac:dyDescent="0.25">
      <c r="A1210" s="189" t="str">
        <f t="shared" si="18"/>
        <v>AL-MD 3617.617.65S</v>
      </c>
      <c r="B1210" s="195" t="s">
        <v>1206</v>
      </c>
      <c r="C1210" s="196">
        <v>17.600000000000001</v>
      </c>
      <c r="D1210" s="196">
        <v>17.649999999999999</v>
      </c>
      <c r="E1210" s="195" t="s">
        <v>583</v>
      </c>
      <c r="F1210" s="195" t="s">
        <v>438</v>
      </c>
    </row>
    <row r="1211" spans="1:6" x14ac:dyDescent="0.25">
      <c r="A1211" s="189" t="str">
        <f t="shared" si="18"/>
        <v>AL-MD 3617.6518N</v>
      </c>
      <c r="B1211" s="195" t="s">
        <v>1206</v>
      </c>
      <c r="C1211" s="196">
        <v>17.649999999999999</v>
      </c>
      <c r="D1211" s="196">
        <v>18</v>
      </c>
      <c r="E1211" s="195" t="s">
        <v>583</v>
      </c>
      <c r="F1211" s="195" t="s">
        <v>430</v>
      </c>
    </row>
    <row r="1212" spans="1:6" x14ac:dyDescent="0.25">
      <c r="A1212" s="189" t="str">
        <f t="shared" si="18"/>
        <v>AL-MD 3617.6518S</v>
      </c>
      <c r="B1212" s="195" t="s">
        <v>1206</v>
      </c>
      <c r="C1212" s="196">
        <v>17.649999999999999</v>
      </c>
      <c r="D1212" s="196">
        <v>18</v>
      </c>
      <c r="E1212" s="195" t="s">
        <v>583</v>
      </c>
      <c r="F1212" s="195" t="s">
        <v>438</v>
      </c>
    </row>
    <row r="1213" spans="1:6" x14ac:dyDescent="0.25">
      <c r="A1213" s="189" t="str">
        <f t="shared" si="18"/>
        <v>AL-MD 361820.36N</v>
      </c>
      <c r="B1213" s="195" t="s">
        <v>1206</v>
      </c>
      <c r="C1213" s="196">
        <v>18</v>
      </c>
      <c r="D1213" s="196">
        <v>20.36</v>
      </c>
      <c r="E1213" s="195" t="s">
        <v>583</v>
      </c>
      <c r="F1213" s="195" t="s">
        <v>430</v>
      </c>
    </row>
    <row r="1214" spans="1:6" x14ac:dyDescent="0.25">
      <c r="A1214" s="189" t="str">
        <f t="shared" si="18"/>
        <v>AL-MD 361820.36S</v>
      </c>
      <c r="B1214" s="195" t="s">
        <v>1206</v>
      </c>
      <c r="C1214" s="196">
        <v>18</v>
      </c>
      <c r="D1214" s="196">
        <v>20.36</v>
      </c>
      <c r="E1214" s="195" t="s">
        <v>583</v>
      </c>
      <c r="F1214" s="195" t="s">
        <v>438</v>
      </c>
    </row>
    <row r="1215" spans="1:6" x14ac:dyDescent="0.25">
      <c r="A1215" s="189" t="str">
        <f t="shared" si="18"/>
        <v>AL-MD 3620.3621.77N</v>
      </c>
      <c r="B1215" s="195" t="s">
        <v>1206</v>
      </c>
      <c r="C1215" s="196">
        <v>20.36</v>
      </c>
      <c r="D1215" s="196">
        <v>21.77</v>
      </c>
      <c r="E1215" s="195" t="s">
        <v>583</v>
      </c>
      <c r="F1215" s="195" t="s">
        <v>430</v>
      </c>
    </row>
    <row r="1216" spans="1:6" x14ac:dyDescent="0.25">
      <c r="A1216" s="189" t="str">
        <f t="shared" si="18"/>
        <v>AL-MD 3620.3621.77S</v>
      </c>
      <c r="B1216" s="195" t="s">
        <v>1206</v>
      </c>
      <c r="C1216" s="196">
        <v>20.36</v>
      </c>
      <c r="D1216" s="196">
        <v>21.77</v>
      </c>
      <c r="E1216" s="195" t="s">
        <v>583</v>
      </c>
      <c r="F1216" s="195" t="s">
        <v>438</v>
      </c>
    </row>
    <row r="1217" spans="1:6" x14ac:dyDescent="0.25">
      <c r="A1217" s="189" t="str">
        <f t="shared" si="18"/>
        <v>AL-MD 3621.7722.76N</v>
      </c>
      <c r="B1217" s="195" t="s">
        <v>1206</v>
      </c>
      <c r="C1217" s="196">
        <v>21.77</v>
      </c>
      <c r="D1217" s="196">
        <v>22.76</v>
      </c>
      <c r="E1217" s="195" t="s">
        <v>583</v>
      </c>
      <c r="F1217" s="195" t="s">
        <v>430</v>
      </c>
    </row>
    <row r="1218" spans="1:6" x14ac:dyDescent="0.25">
      <c r="A1218" s="189" t="str">
        <f t="shared" si="18"/>
        <v>AL-MD 3621.7722.76S</v>
      </c>
      <c r="B1218" s="195" t="s">
        <v>1206</v>
      </c>
      <c r="C1218" s="196">
        <v>21.77</v>
      </c>
      <c r="D1218" s="196">
        <v>22.76</v>
      </c>
      <c r="E1218" s="195" t="s">
        <v>583</v>
      </c>
      <c r="F1218" s="195" t="s">
        <v>438</v>
      </c>
    </row>
    <row r="1219" spans="1:6" x14ac:dyDescent="0.25">
      <c r="A1219" s="189" t="str">
        <f t="shared" ref="A1219:A1282" si="19">B1219&amp;C1219&amp;D1219&amp;F1219</f>
        <v>AL-MD 3622.7622.96N</v>
      </c>
      <c r="B1219" s="195" t="s">
        <v>1206</v>
      </c>
      <c r="C1219" s="196">
        <v>22.76</v>
      </c>
      <c r="D1219" s="196">
        <v>22.96</v>
      </c>
      <c r="E1219" s="195" t="s">
        <v>583</v>
      </c>
      <c r="F1219" s="195" t="s">
        <v>430</v>
      </c>
    </row>
    <row r="1220" spans="1:6" x14ac:dyDescent="0.25">
      <c r="A1220" s="189" t="str">
        <f t="shared" si="19"/>
        <v>AL-MD 3622.7622.96S</v>
      </c>
      <c r="B1220" s="195" t="s">
        <v>1206</v>
      </c>
      <c r="C1220" s="196">
        <v>22.76</v>
      </c>
      <c r="D1220" s="196">
        <v>22.96</v>
      </c>
      <c r="E1220" s="195" t="s">
        <v>583</v>
      </c>
      <c r="F1220" s="195" t="s">
        <v>438</v>
      </c>
    </row>
    <row r="1221" spans="1:6" x14ac:dyDescent="0.25">
      <c r="A1221" s="189" t="str">
        <f t="shared" si="19"/>
        <v>AL-MD 3622.9623N</v>
      </c>
      <c r="B1221" s="195" t="s">
        <v>1206</v>
      </c>
      <c r="C1221" s="196">
        <v>22.96</v>
      </c>
      <c r="D1221" s="196">
        <v>23</v>
      </c>
      <c r="E1221" s="195" t="s">
        <v>583</v>
      </c>
      <c r="F1221" s="195" t="s">
        <v>430</v>
      </c>
    </row>
    <row r="1222" spans="1:6" x14ac:dyDescent="0.25">
      <c r="A1222" s="189" t="str">
        <f t="shared" si="19"/>
        <v>AL-MD 3622.9623S</v>
      </c>
      <c r="B1222" s="195" t="s">
        <v>1206</v>
      </c>
      <c r="C1222" s="196">
        <v>22.96</v>
      </c>
      <c r="D1222" s="196">
        <v>23</v>
      </c>
      <c r="E1222" s="195" t="s">
        <v>583</v>
      </c>
      <c r="F1222" s="195" t="s">
        <v>438</v>
      </c>
    </row>
    <row r="1223" spans="1:6" x14ac:dyDescent="0.25">
      <c r="A1223" s="189" t="str">
        <f t="shared" si="19"/>
        <v>AL-MD 362323.87N</v>
      </c>
      <c r="B1223" s="195" t="s">
        <v>1206</v>
      </c>
      <c r="C1223" s="196">
        <v>23</v>
      </c>
      <c r="D1223" s="196">
        <v>23.87</v>
      </c>
      <c r="E1223" s="195" t="s">
        <v>583</v>
      </c>
      <c r="F1223" s="195" t="s">
        <v>430</v>
      </c>
    </row>
    <row r="1224" spans="1:6" x14ac:dyDescent="0.25">
      <c r="A1224" s="189" t="str">
        <f t="shared" si="19"/>
        <v>AL-MD 362323.87S</v>
      </c>
      <c r="B1224" s="195" t="s">
        <v>1206</v>
      </c>
      <c r="C1224" s="196">
        <v>23</v>
      </c>
      <c r="D1224" s="196">
        <v>23.87</v>
      </c>
      <c r="E1224" s="195" t="s">
        <v>583</v>
      </c>
      <c r="F1224" s="195" t="s">
        <v>438</v>
      </c>
    </row>
    <row r="1225" spans="1:6" x14ac:dyDescent="0.25">
      <c r="A1225" s="189" t="str">
        <f t="shared" si="19"/>
        <v>AL-MD 3623.8726.64N</v>
      </c>
      <c r="B1225" s="195" t="s">
        <v>1206</v>
      </c>
      <c r="C1225" s="196">
        <v>23.87</v>
      </c>
      <c r="D1225" s="196">
        <v>26.64</v>
      </c>
      <c r="E1225" s="195" t="s">
        <v>583</v>
      </c>
      <c r="F1225" s="195" t="s">
        <v>430</v>
      </c>
    </row>
    <row r="1226" spans="1:6" x14ac:dyDescent="0.25">
      <c r="A1226" s="189" t="str">
        <f t="shared" si="19"/>
        <v>AL-MD 3623.8726.64S</v>
      </c>
      <c r="B1226" s="195" t="s">
        <v>1206</v>
      </c>
      <c r="C1226" s="196">
        <v>23.87</v>
      </c>
      <c r="D1226" s="196">
        <v>26.64</v>
      </c>
      <c r="E1226" s="195" t="s">
        <v>583</v>
      </c>
      <c r="F1226" s="195" t="s">
        <v>438</v>
      </c>
    </row>
    <row r="1227" spans="1:6" x14ac:dyDescent="0.25">
      <c r="A1227" s="189" t="str">
        <f t="shared" si="19"/>
        <v>AL-MD 3626.6427.34N</v>
      </c>
      <c r="B1227" s="195" t="s">
        <v>1206</v>
      </c>
      <c r="C1227" s="196">
        <v>26.64</v>
      </c>
      <c r="D1227" s="196">
        <v>27.34</v>
      </c>
      <c r="E1227" s="195" t="s">
        <v>583</v>
      </c>
      <c r="F1227" s="195" t="s">
        <v>430</v>
      </c>
    </row>
    <row r="1228" spans="1:6" x14ac:dyDescent="0.25">
      <c r="A1228" s="189" t="str">
        <f t="shared" si="19"/>
        <v>AL-MD 3626.6427.34S</v>
      </c>
      <c r="B1228" s="195" t="s">
        <v>1206</v>
      </c>
      <c r="C1228" s="196">
        <v>26.64</v>
      </c>
      <c r="D1228" s="196">
        <v>27.34</v>
      </c>
      <c r="E1228" s="195" t="s">
        <v>583</v>
      </c>
      <c r="F1228" s="195" t="s">
        <v>438</v>
      </c>
    </row>
    <row r="1229" spans="1:6" x14ac:dyDescent="0.25">
      <c r="A1229" s="189" t="str">
        <f t="shared" si="19"/>
        <v>AL-MD 3627.3427.75N</v>
      </c>
      <c r="B1229" s="195" t="s">
        <v>1206</v>
      </c>
      <c r="C1229" s="196">
        <v>27.34</v>
      </c>
      <c r="D1229" s="196">
        <v>27.75</v>
      </c>
      <c r="E1229" s="195" t="s">
        <v>583</v>
      </c>
      <c r="F1229" s="195" t="s">
        <v>430</v>
      </c>
    </row>
    <row r="1230" spans="1:6" x14ac:dyDescent="0.25">
      <c r="A1230" s="189" t="str">
        <f t="shared" si="19"/>
        <v>AL-MD 3627.3427.75S</v>
      </c>
      <c r="B1230" s="195" t="s">
        <v>1206</v>
      </c>
      <c r="C1230" s="196">
        <v>27.34</v>
      </c>
      <c r="D1230" s="196">
        <v>27.75</v>
      </c>
      <c r="E1230" s="195" t="s">
        <v>583</v>
      </c>
      <c r="F1230" s="195" t="s">
        <v>438</v>
      </c>
    </row>
    <row r="1231" spans="1:6" x14ac:dyDescent="0.25">
      <c r="A1231" s="189" t="str">
        <f t="shared" si="19"/>
        <v>AL-MD 3627.7529.24N</v>
      </c>
      <c r="B1231" s="195" t="s">
        <v>1206</v>
      </c>
      <c r="C1231" s="196">
        <v>27.75</v>
      </c>
      <c r="D1231" s="196">
        <v>29.24</v>
      </c>
      <c r="E1231" s="195" t="s">
        <v>589</v>
      </c>
      <c r="F1231" s="195" t="s">
        <v>430</v>
      </c>
    </row>
    <row r="1232" spans="1:6" x14ac:dyDescent="0.25">
      <c r="A1232" s="189" t="str">
        <f t="shared" si="19"/>
        <v>AL-MD 3627.7529.43S</v>
      </c>
      <c r="B1232" s="195" t="s">
        <v>1206</v>
      </c>
      <c r="C1232" s="196">
        <v>27.75</v>
      </c>
      <c r="D1232" s="196">
        <v>29.43</v>
      </c>
      <c r="E1232" s="195" t="s">
        <v>595</v>
      </c>
      <c r="F1232" s="195" t="s">
        <v>438</v>
      </c>
    </row>
    <row r="1233" spans="1:6" x14ac:dyDescent="0.25">
      <c r="A1233" s="189" t="str">
        <f t="shared" si="19"/>
        <v>AL-MD 3629.2429.4N</v>
      </c>
      <c r="B1233" s="195" t="s">
        <v>1206</v>
      </c>
      <c r="C1233" s="196">
        <v>29.24</v>
      </c>
      <c r="D1233" s="196">
        <v>29.4</v>
      </c>
      <c r="E1233" s="195" t="s">
        <v>589</v>
      </c>
      <c r="F1233" s="195" t="s">
        <v>430</v>
      </c>
    </row>
    <row r="1234" spans="1:6" x14ac:dyDescent="0.25">
      <c r="A1234" s="189" t="str">
        <f t="shared" si="19"/>
        <v>AL-MD 36B00.03N</v>
      </c>
      <c r="B1234" s="195" t="s">
        <v>1207</v>
      </c>
      <c r="C1234" s="196">
        <v>0</v>
      </c>
      <c r="D1234" s="196">
        <v>0.03</v>
      </c>
      <c r="E1234" s="195" t="s">
        <v>589</v>
      </c>
      <c r="F1234" s="195" t="s">
        <v>430</v>
      </c>
    </row>
    <row r="1235" spans="1:6" x14ac:dyDescent="0.25">
      <c r="A1235" s="189" t="str">
        <f t="shared" si="19"/>
        <v>AL-MD 36B00.03S</v>
      </c>
      <c r="B1235" s="195" t="s">
        <v>1207</v>
      </c>
      <c r="C1235" s="196">
        <v>0</v>
      </c>
      <c r="D1235" s="196">
        <v>0.03</v>
      </c>
      <c r="E1235" s="195" t="s">
        <v>595</v>
      </c>
      <c r="F1235" s="195" t="s">
        <v>438</v>
      </c>
    </row>
    <row r="1236" spans="1:6" x14ac:dyDescent="0.25">
      <c r="A1236" s="189" t="str">
        <f t="shared" si="19"/>
        <v>AL-MD 36C00.03N</v>
      </c>
      <c r="B1236" s="195" t="s">
        <v>1208</v>
      </c>
      <c r="C1236" s="196">
        <v>0</v>
      </c>
      <c r="D1236" s="196">
        <v>0.03</v>
      </c>
      <c r="E1236" s="195" t="s">
        <v>589</v>
      </c>
      <c r="F1236" s="195" t="s">
        <v>430</v>
      </c>
    </row>
    <row r="1237" spans="1:6" x14ac:dyDescent="0.25">
      <c r="A1237" s="189" t="str">
        <f t="shared" si="19"/>
        <v>AL-MD 36C00.03S</v>
      </c>
      <c r="B1237" s="195" t="s">
        <v>1208</v>
      </c>
      <c r="C1237" s="196">
        <v>0</v>
      </c>
      <c r="D1237" s="196">
        <v>0.03</v>
      </c>
      <c r="E1237" s="195" t="s">
        <v>595</v>
      </c>
      <c r="F1237" s="195" t="s">
        <v>438</v>
      </c>
    </row>
    <row r="1238" spans="1:6" x14ac:dyDescent="0.25">
      <c r="A1238" s="189" t="str">
        <f t="shared" si="19"/>
        <v>AL-MD 4700.2N</v>
      </c>
      <c r="B1238" s="195" t="s">
        <v>1209</v>
      </c>
      <c r="C1238" s="196">
        <v>0</v>
      </c>
      <c r="D1238" s="196">
        <v>0.2</v>
      </c>
      <c r="E1238" s="195" t="s">
        <v>583</v>
      </c>
      <c r="F1238" s="195" t="s">
        <v>430</v>
      </c>
    </row>
    <row r="1239" spans="1:6" x14ac:dyDescent="0.25">
      <c r="A1239" s="189" t="str">
        <f t="shared" si="19"/>
        <v>AL-MD 4700.2S</v>
      </c>
      <c r="B1239" s="195" t="s">
        <v>1209</v>
      </c>
      <c r="C1239" s="196">
        <v>0</v>
      </c>
      <c r="D1239" s="196">
        <v>0.2</v>
      </c>
      <c r="E1239" s="195" t="s">
        <v>583</v>
      </c>
      <c r="F1239" s="195" t="s">
        <v>438</v>
      </c>
    </row>
    <row r="1240" spans="1:6" x14ac:dyDescent="0.25">
      <c r="A1240" s="189" t="str">
        <f t="shared" si="19"/>
        <v>AL-MD 470.20.25N</v>
      </c>
      <c r="B1240" s="195" t="s">
        <v>1209</v>
      </c>
      <c r="C1240" s="196">
        <v>0.2</v>
      </c>
      <c r="D1240" s="196">
        <v>0.25</v>
      </c>
      <c r="E1240" s="195" t="s">
        <v>583</v>
      </c>
      <c r="F1240" s="195" t="s">
        <v>430</v>
      </c>
    </row>
    <row r="1241" spans="1:6" x14ac:dyDescent="0.25">
      <c r="A1241" s="189" t="str">
        <f t="shared" si="19"/>
        <v>AL-MD 470.20.25S</v>
      </c>
      <c r="B1241" s="195" t="s">
        <v>1209</v>
      </c>
      <c r="C1241" s="196">
        <v>0.2</v>
      </c>
      <c r="D1241" s="196">
        <v>0.25</v>
      </c>
      <c r="E1241" s="195" t="s">
        <v>583</v>
      </c>
      <c r="F1241" s="195" t="s">
        <v>438</v>
      </c>
    </row>
    <row r="1242" spans="1:6" x14ac:dyDescent="0.25">
      <c r="A1242" s="189" t="str">
        <f t="shared" si="19"/>
        <v>AL-MD 470.251.67N</v>
      </c>
      <c r="B1242" s="195" t="s">
        <v>1209</v>
      </c>
      <c r="C1242" s="196">
        <v>0.25</v>
      </c>
      <c r="D1242" s="196">
        <v>1.67</v>
      </c>
      <c r="E1242" s="195" t="s">
        <v>583</v>
      </c>
      <c r="F1242" s="195" t="s">
        <v>430</v>
      </c>
    </row>
    <row r="1243" spans="1:6" x14ac:dyDescent="0.25">
      <c r="A1243" s="189" t="str">
        <f t="shared" si="19"/>
        <v>AL-MD 470.251.67S</v>
      </c>
      <c r="B1243" s="195" t="s">
        <v>1209</v>
      </c>
      <c r="C1243" s="196">
        <v>0.25</v>
      </c>
      <c r="D1243" s="196">
        <v>1.67</v>
      </c>
      <c r="E1243" s="195" t="s">
        <v>583</v>
      </c>
      <c r="F1243" s="195" t="s">
        <v>438</v>
      </c>
    </row>
    <row r="1244" spans="1:6" x14ac:dyDescent="0.25">
      <c r="A1244" s="189" t="str">
        <f t="shared" si="19"/>
        <v>AL-MD 47A00.04N</v>
      </c>
      <c r="B1244" s="195" t="s">
        <v>1210</v>
      </c>
      <c r="C1244" s="196">
        <v>0</v>
      </c>
      <c r="D1244" s="196">
        <v>0.04</v>
      </c>
      <c r="E1244" s="195" t="s">
        <v>589</v>
      </c>
      <c r="F1244" s="195" t="s">
        <v>430</v>
      </c>
    </row>
    <row r="1245" spans="1:6" x14ac:dyDescent="0.25">
      <c r="A1245" s="189" t="str">
        <f t="shared" si="19"/>
        <v>AL-MD 47A00.04S</v>
      </c>
      <c r="B1245" s="195" t="s">
        <v>1210</v>
      </c>
      <c r="C1245" s="196">
        <v>0</v>
      </c>
      <c r="D1245" s="196">
        <v>0.04</v>
      </c>
      <c r="E1245" s="195" t="s">
        <v>595</v>
      </c>
      <c r="F1245" s="195" t="s">
        <v>438</v>
      </c>
    </row>
    <row r="1246" spans="1:6" x14ac:dyDescent="0.25">
      <c r="A1246" s="189" t="str">
        <f t="shared" si="19"/>
        <v>AL-MD 4900.39E</v>
      </c>
      <c r="B1246" s="195" t="s">
        <v>1211</v>
      </c>
      <c r="C1246" s="196">
        <v>0</v>
      </c>
      <c r="D1246" s="196">
        <v>0.39</v>
      </c>
      <c r="E1246" s="195" t="s">
        <v>583</v>
      </c>
      <c r="F1246" s="195" t="s">
        <v>19</v>
      </c>
    </row>
    <row r="1247" spans="1:6" x14ac:dyDescent="0.25">
      <c r="A1247" s="189" t="str">
        <f t="shared" si="19"/>
        <v>AL-MD 4900.39W</v>
      </c>
      <c r="B1247" s="195" t="s">
        <v>1211</v>
      </c>
      <c r="C1247" s="196">
        <v>0</v>
      </c>
      <c r="D1247" s="196">
        <v>0.39</v>
      </c>
      <c r="E1247" s="195" t="s">
        <v>583</v>
      </c>
      <c r="F1247" s="195" t="s">
        <v>432</v>
      </c>
    </row>
    <row r="1248" spans="1:6" x14ac:dyDescent="0.25">
      <c r="A1248" s="189" t="str">
        <f t="shared" si="19"/>
        <v>AL-MD 490.390.45E</v>
      </c>
      <c r="B1248" s="195" t="s">
        <v>1211</v>
      </c>
      <c r="C1248" s="196">
        <v>0.39</v>
      </c>
      <c r="D1248" s="196">
        <v>0.45</v>
      </c>
      <c r="E1248" s="195" t="s">
        <v>583</v>
      </c>
      <c r="F1248" s="195" t="s">
        <v>19</v>
      </c>
    </row>
    <row r="1249" spans="1:6" x14ac:dyDescent="0.25">
      <c r="A1249" s="189" t="str">
        <f t="shared" si="19"/>
        <v>AL-MD 490.390.45W</v>
      </c>
      <c r="B1249" s="195" t="s">
        <v>1211</v>
      </c>
      <c r="C1249" s="196">
        <v>0.39</v>
      </c>
      <c r="D1249" s="196">
        <v>0.45</v>
      </c>
      <c r="E1249" s="195" t="s">
        <v>583</v>
      </c>
      <c r="F1249" s="195" t="s">
        <v>432</v>
      </c>
    </row>
    <row r="1250" spans="1:6" x14ac:dyDescent="0.25">
      <c r="A1250" s="189" t="str">
        <f t="shared" si="19"/>
        <v>AL-MD 490.451.02E</v>
      </c>
      <c r="B1250" s="195" t="s">
        <v>1211</v>
      </c>
      <c r="C1250" s="196">
        <v>0.45</v>
      </c>
      <c r="D1250" s="196">
        <v>1.02</v>
      </c>
      <c r="E1250" s="195" t="s">
        <v>583</v>
      </c>
      <c r="F1250" s="195" t="s">
        <v>19</v>
      </c>
    </row>
    <row r="1251" spans="1:6" x14ac:dyDescent="0.25">
      <c r="A1251" s="189" t="str">
        <f t="shared" si="19"/>
        <v>AL-MD 490.451.02W</v>
      </c>
      <c r="B1251" s="195" t="s">
        <v>1211</v>
      </c>
      <c r="C1251" s="196">
        <v>0.45</v>
      </c>
      <c r="D1251" s="196">
        <v>1.02</v>
      </c>
      <c r="E1251" s="195" t="s">
        <v>583</v>
      </c>
      <c r="F1251" s="195" t="s">
        <v>432</v>
      </c>
    </row>
    <row r="1252" spans="1:6" x14ac:dyDescent="0.25">
      <c r="A1252" s="189" t="str">
        <f t="shared" si="19"/>
        <v>AL-MD 512.745.63E</v>
      </c>
      <c r="B1252" s="195" t="s">
        <v>549</v>
      </c>
      <c r="C1252" s="196">
        <v>2.74</v>
      </c>
      <c r="D1252" s="196">
        <v>5.63</v>
      </c>
      <c r="E1252" s="195" t="s">
        <v>583</v>
      </c>
      <c r="F1252" s="195" t="s">
        <v>19</v>
      </c>
    </row>
    <row r="1253" spans="1:6" x14ac:dyDescent="0.25">
      <c r="A1253" s="189" t="str">
        <f t="shared" si="19"/>
        <v>AL-MD 512.745.63W</v>
      </c>
      <c r="B1253" s="195" t="s">
        <v>549</v>
      </c>
      <c r="C1253" s="196">
        <v>2.74</v>
      </c>
      <c r="D1253" s="196">
        <v>5.63</v>
      </c>
      <c r="E1253" s="195" t="s">
        <v>583</v>
      </c>
      <c r="F1253" s="195" t="s">
        <v>432</v>
      </c>
    </row>
    <row r="1254" spans="1:6" x14ac:dyDescent="0.25">
      <c r="A1254" s="189" t="str">
        <f t="shared" si="19"/>
        <v>AL-MD 515.636.7E</v>
      </c>
      <c r="B1254" s="195" t="s">
        <v>549</v>
      </c>
      <c r="C1254" s="196">
        <v>5.63</v>
      </c>
      <c r="D1254" s="196">
        <v>6.7</v>
      </c>
      <c r="E1254" s="195" t="s">
        <v>583</v>
      </c>
      <c r="F1254" s="195" t="s">
        <v>19</v>
      </c>
    </row>
    <row r="1255" spans="1:6" x14ac:dyDescent="0.25">
      <c r="A1255" s="189" t="str">
        <f t="shared" si="19"/>
        <v>AL-MD 515.636.7W</v>
      </c>
      <c r="B1255" s="195" t="s">
        <v>549</v>
      </c>
      <c r="C1255" s="196">
        <v>5.63</v>
      </c>
      <c r="D1255" s="196">
        <v>6.7</v>
      </c>
      <c r="E1255" s="195" t="s">
        <v>583</v>
      </c>
      <c r="F1255" s="195" t="s">
        <v>432</v>
      </c>
    </row>
    <row r="1256" spans="1:6" x14ac:dyDescent="0.25">
      <c r="A1256" s="189" t="str">
        <f t="shared" si="19"/>
        <v>AL-MD 516.77.15E</v>
      </c>
      <c r="B1256" s="195" t="s">
        <v>549</v>
      </c>
      <c r="C1256" s="196">
        <v>6.7</v>
      </c>
      <c r="D1256" s="196">
        <v>7.15</v>
      </c>
      <c r="E1256" s="195" t="s">
        <v>583</v>
      </c>
      <c r="F1256" s="195" t="s">
        <v>19</v>
      </c>
    </row>
    <row r="1257" spans="1:6" x14ac:dyDescent="0.25">
      <c r="A1257" s="189" t="str">
        <f t="shared" si="19"/>
        <v>AL-MD 516.77.15W</v>
      </c>
      <c r="B1257" s="195" t="s">
        <v>549</v>
      </c>
      <c r="C1257" s="196">
        <v>6.7</v>
      </c>
      <c r="D1257" s="196">
        <v>7.15</v>
      </c>
      <c r="E1257" s="195" t="s">
        <v>583</v>
      </c>
      <c r="F1257" s="195" t="s">
        <v>432</v>
      </c>
    </row>
    <row r="1258" spans="1:6" x14ac:dyDescent="0.25">
      <c r="A1258" s="189" t="str">
        <f t="shared" si="19"/>
        <v>AL-MD 517.157.55E</v>
      </c>
      <c r="B1258" s="195" t="s">
        <v>549</v>
      </c>
      <c r="C1258" s="196">
        <v>7.15</v>
      </c>
      <c r="D1258" s="196">
        <v>7.55</v>
      </c>
      <c r="E1258" s="195" t="s">
        <v>583</v>
      </c>
      <c r="F1258" s="195" t="s">
        <v>19</v>
      </c>
    </row>
    <row r="1259" spans="1:6" x14ac:dyDescent="0.25">
      <c r="A1259" s="189" t="str">
        <f t="shared" si="19"/>
        <v>AL-MD 517.157.55W</v>
      </c>
      <c r="B1259" s="195" t="s">
        <v>549</v>
      </c>
      <c r="C1259" s="196">
        <v>7.15</v>
      </c>
      <c r="D1259" s="196">
        <v>7.55</v>
      </c>
      <c r="E1259" s="195" t="s">
        <v>583</v>
      </c>
      <c r="F1259" s="195" t="s">
        <v>432</v>
      </c>
    </row>
    <row r="1260" spans="1:6" x14ac:dyDescent="0.25">
      <c r="A1260" s="189" t="str">
        <f t="shared" si="19"/>
        <v>AL-MD 517.5514.31E</v>
      </c>
      <c r="B1260" s="195" t="s">
        <v>549</v>
      </c>
      <c r="C1260" s="196">
        <v>7.55</v>
      </c>
      <c r="D1260" s="196">
        <v>14.31</v>
      </c>
      <c r="E1260" s="195" t="s">
        <v>583</v>
      </c>
      <c r="F1260" s="195" t="s">
        <v>19</v>
      </c>
    </row>
    <row r="1261" spans="1:6" x14ac:dyDescent="0.25">
      <c r="A1261" s="189" t="str">
        <f t="shared" si="19"/>
        <v>AL-MD 517.5514.31W</v>
      </c>
      <c r="B1261" s="195" t="s">
        <v>549</v>
      </c>
      <c r="C1261" s="196">
        <v>7.55</v>
      </c>
      <c r="D1261" s="196">
        <v>14.31</v>
      </c>
      <c r="E1261" s="195" t="s">
        <v>583</v>
      </c>
      <c r="F1261" s="195" t="s">
        <v>432</v>
      </c>
    </row>
    <row r="1262" spans="1:6" x14ac:dyDescent="0.25">
      <c r="A1262" s="189" t="str">
        <f t="shared" si="19"/>
        <v>AL-MD 5114.3115.59E</v>
      </c>
      <c r="B1262" s="195" t="s">
        <v>549</v>
      </c>
      <c r="C1262" s="196">
        <v>14.31</v>
      </c>
      <c r="D1262" s="196">
        <v>15.59</v>
      </c>
      <c r="E1262" s="195" t="s">
        <v>583</v>
      </c>
      <c r="F1262" s="195" t="s">
        <v>19</v>
      </c>
    </row>
    <row r="1263" spans="1:6" x14ac:dyDescent="0.25">
      <c r="A1263" s="189" t="str">
        <f t="shared" si="19"/>
        <v>AL-MD 5114.3115.59W</v>
      </c>
      <c r="B1263" s="195" t="s">
        <v>549</v>
      </c>
      <c r="C1263" s="196">
        <v>14.31</v>
      </c>
      <c r="D1263" s="196">
        <v>15.59</v>
      </c>
      <c r="E1263" s="195" t="s">
        <v>583</v>
      </c>
      <c r="F1263" s="195" t="s">
        <v>432</v>
      </c>
    </row>
    <row r="1264" spans="1:6" x14ac:dyDescent="0.25">
      <c r="A1264" s="189" t="str">
        <f t="shared" si="19"/>
        <v>AL-MD 5115.5917.42E</v>
      </c>
      <c r="B1264" s="195" t="s">
        <v>549</v>
      </c>
      <c r="C1264" s="196">
        <v>15.59</v>
      </c>
      <c r="D1264" s="196">
        <v>17.420000000000002</v>
      </c>
      <c r="E1264" s="195" t="s">
        <v>583</v>
      </c>
      <c r="F1264" s="195" t="s">
        <v>19</v>
      </c>
    </row>
    <row r="1265" spans="1:6" x14ac:dyDescent="0.25">
      <c r="A1265" s="189" t="str">
        <f t="shared" si="19"/>
        <v>AL-MD 5115.5917.42W</v>
      </c>
      <c r="B1265" s="195" t="s">
        <v>549</v>
      </c>
      <c r="C1265" s="196">
        <v>15.59</v>
      </c>
      <c r="D1265" s="196">
        <v>17.420000000000002</v>
      </c>
      <c r="E1265" s="195" t="s">
        <v>583</v>
      </c>
      <c r="F1265" s="195" t="s">
        <v>432</v>
      </c>
    </row>
    <row r="1266" spans="1:6" x14ac:dyDescent="0.25">
      <c r="A1266" s="189" t="str">
        <f t="shared" si="19"/>
        <v>AL-MD 5117.4219.33E</v>
      </c>
      <c r="B1266" s="195" t="s">
        <v>549</v>
      </c>
      <c r="C1266" s="196">
        <v>17.420000000000002</v>
      </c>
      <c r="D1266" s="196">
        <v>19.329999999999998</v>
      </c>
      <c r="E1266" s="195" t="s">
        <v>583</v>
      </c>
      <c r="F1266" s="195" t="s">
        <v>19</v>
      </c>
    </row>
    <row r="1267" spans="1:6" x14ac:dyDescent="0.25">
      <c r="A1267" s="189" t="str">
        <f t="shared" si="19"/>
        <v>AL-MD 5117.4219.33W</v>
      </c>
      <c r="B1267" s="195" t="s">
        <v>549</v>
      </c>
      <c r="C1267" s="196">
        <v>17.420000000000002</v>
      </c>
      <c r="D1267" s="196">
        <v>19.329999999999998</v>
      </c>
      <c r="E1267" s="195" t="s">
        <v>583</v>
      </c>
      <c r="F1267" s="195" t="s">
        <v>432</v>
      </c>
    </row>
    <row r="1268" spans="1:6" x14ac:dyDescent="0.25">
      <c r="A1268" s="189" t="str">
        <f t="shared" si="19"/>
        <v>AL-MD 5119.3322.43E</v>
      </c>
      <c r="B1268" s="195" t="s">
        <v>549</v>
      </c>
      <c r="C1268" s="196">
        <v>19.329999999999998</v>
      </c>
      <c r="D1268" s="196">
        <v>22.43</v>
      </c>
      <c r="E1268" s="195" t="s">
        <v>583</v>
      </c>
      <c r="F1268" s="195" t="s">
        <v>19</v>
      </c>
    </row>
    <row r="1269" spans="1:6" x14ac:dyDescent="0.25">
      <c r="A1269" s="189" t="str">
        <f t="shared" si="19"/>
        <v>AL-MD 5119.3322.43W</v>
      </c>
      <c r="B1269" s="195" t="s">
        <v>549</v>
      </c>
      <c r="C1269" s="196">
        <v>19.329999999999998</v>
      </c>
      <c r="D1269" s="196">
        <v>22.43</v>
      </c>
      <c r="E1269" s="195" t="s">
        <v>583</v>
      </c>
      <c r="F1269" s="195" t="s">
        <v>432</v>
      </c>
    </row>
    <row r="1270" spans="1:6" x14ac:dyDescent="0.25">
      <c r="A1270" s="189" t="str">
        <f t="shared" si="19"/>
        <v>AL-MD 5122.4325.44E</v>
      </c>
      <c r="B1270" s="195" t="s">
        <v>549</v>
      </c>
      <c r="C1270" s="196">
        <v>22.43</v>
      </c>
      <c r="D1270" s="196">
        <v>25.44</v>
      </c>
      <c r="E1270" s="195" t="s">
        <v>583</v>
      </c>
      <c r="F1270" s="195" t="s">
        <v>19</v>
      </c>
    </row>
    <row r="1271" spans="1:6" x14ac:dyDescent="0.25">
      <c r="A1271" s="189" t="str">
        <f t="shared" si="19"/>
        <v>AL-MD 5122.4325.44W</v>
      </c>
      <c r="B1271" s="195" t="s">
        <v>549</v>
      </c>
      <c r="C1271" s="196">
        <v>22.43</v>
      </c>
      <c r="D1271" s="196">
        <v>25.44</v>
      </c>
      <c r="E1271" s="195" t="s">
        <v>583</v>
      </c>
      <c r="F1271" s="195" t="s">
        <v>432</v>
      </c>
    </row>
    <row r="1272" spans="1:6" x14ac:dyDescent="0.25">
      <c r="A1272" s="189" t="str">
        <f t="shared" si="19"/>
        <v>AL-MD 5125.4425.53E</v>
      </c>
      <c r="B1272" s="195" t="s">
        <v>549</v>
      </c>
      <c r="C1272" s="196">
        <v>25.44</v>
      </c>
      <c r="D1272" s="196">
        <v>25.53</v>
      </c>
      <c r="E1272" s="195" t="s">
        <v>583</v>
      </c>
      <c r="F1272" s="195" t="s">
        <v>19</v>
      </c>
    </row>
    <row r="1273" spans="1:6" x14ac:dyDescent="0.25">
      <c r="A1273" s="189" t="str">
        <f t="shared" si="19"/>
        <v>AL-MD 5125.4425.53W</v>
      </c>
      <c r="B1273" s="195" t="s">
        <v>549</v>
      </c>
      <c r="C1273" s="196">
        <v>25.44</v>
      </c>
      <c r="D1273" s="196">
        <v>25.53</v>
      </c>
      <c r="E1273" s="195" t="s">
        <v>583</v>
      </c>
      <c r="F1273" s="195" t="s">
        <v>432</v>
      </c>
    </row>
    <row r="1274" spans="1:6" x14ac:dyDescent="0.25">
      <c r="A1274" s="189" t="str">
        <f t="shared" si="19"/>
        <v>AL-MD 51A00.04N</v>
      </c>
      <c r="B1274" s="195" t="s">
        <v>1212</v>
      </c>
      <c r="C1274" s="196">
        <v>0</v>
      </c>
      <c r="D1274" s="196">
        <v>0.04</v>
      </c>
      <c r="E1274" s="195" t="s">
        <v>589</v>
      </c>
      <c r="F1274" s="195" t="s">
        <v>430</v>
      </c>
    </row>
    <row r="1275" spans="1:6" x14ac:dyDescent="0.25">
      <c r="A1275" s="189" t="str">
        <f t="shared" si="19"/>
        <v>AL-MD 51D00.18N</v>
      </c>
      <c r="B1275" s="195" t="s">
        <v>1213</v>
      </c>
      <c r="C1275" s="196">
        <v>0</v>
      </c>
      <c r="D1275" s="196">
        <v>0.18</v>
      </c>
      <c r="E1275" s="195" t="s">
        <v>583</v>
      </c>
      <c r="F1275" s="195" t="s">
        <v>430</v>
      </c>
    </row>
    <row r="1276" spans="1:6" x14ac:dyDescent="0.25">
      <c r="A1276" s="189" t="str">
        <f t="shared" si="19"/>
        <v>AL-MD 51D00.18S</v>
      </c>
      <c r="B1276" s="195" t="s">
        <v>1213</v>
      </c>
      <c r="C1276" s="196">
        <v>0</v>
      </c>
      <c r="D1276" s="196">
        <v>0.18</v>
      </c>
      <c r="E1276" s="195" t="s">
        <v>583</v>
      </c>
      <c r="F1276" s="195" t="s">
        <v>438</v>
      </c>
    </row>
    <row r="1277" spans="1:6" x14ac:dyDescent="0.25">
      <c r="A1277" s="189" t="str">
        <f t="shared" si="19"/>
        <v>AL-MD 51E02.24N</v>
      </c>
      <c r="B1277" s="195" t="s">
        <v>1214</v>
      </c>
      <c r="C1277" s="196">
        <v>0</v>
      </c>
      <c r="D1277" s="196">
        <v>2.2400000000000002</v>
      </c>
      <c r="E1277" s="195" t="s">
        <v>583</v>
      </c>
      <c r="F1277" s="195" t="s">
        <v>430</v>
      </c>
    </row>
    <row r="1278" spans="1:6" x14ac:dyDescent="0.25">
      <c r="A1278" s="189" t="str">
        <f t="shared" si="19"/>
        <v>AL-MD 51E02.24S</v>
      </c>
      <c r="B1278" s="195" t="s">
        <v>1214</v>
      </c>
      <c r="C1278" s="196">
        <v>0</v>
      </c>
      <c r="D1278" s="196">
        <v>2.2400000000000002</v>
      </c>
      <c r="E1278" s="195" t="s">
        <v>583</v>
      </c>
      <c r="F1278" s="195" t="s">
        <v>438</v>
      </c>
    </row>
    <row r="1279" spans="1:6" x14ac:dyDescent="0.25">
      <c r="A1279" s="189" t="str">
        <f t="shared" si="19"/>
        <v>AL-MD 51F0.230.33N</v>
      </c>
      <c r="B1279" s="195" t="s">
        <v>1215</v>
      </c>
      <c r="C1279" s="196">
        <v>0.23</v>
      </c>
      <c r="D1279" s="196">
        <v>0.33</v>
      </c>
      <c r="E1279" s="195" t="s">
        <v>583</v>
      </c>
      <c r="F1279" s="195" t="s">
        <v>430</v>
      </c>
    </row>
    <row r="1280" spans="1:6" x14ac:dyDescent="0.25">
      <c r="A1280" s="189" t="str">
        <f t="shared" si="19"/>
        <v>AL-MD 51F0.230.33S</v>
      </c>
      <c r="B1280" s="195" t="s">
        <v>1215</v>
      </c>
      <c r="C1280" s="196">
        <v>0.23</v>
      </c>
      <c r="D1280" s="196">
        <v>0.33</v>
      </c>
      <c r="E1280" s="195" t="s">
        <v>583</v>
      </c>
      <c r="F1280" s="195" t="s">
        <v>438</v>
      </c>
    </row>
    <row r="1281" spans="1:6" x14ac:dyDescent="0.25">
      <c r="A1281" s="189" t="str">
        <f t="shared" si="19"/>
        <v>AL-MD 530.653.24N</v>
      </c>
      <c r="B1281" s="195" t="s">
        <v>1216</v>
      </c>
      <c r="C1281" s="196">
        <v>0.65</v>
      </c>
      <c r="D1281" s="196">
        <v>3.24</v>
      </c>
      <c r="E1281" s="195" t="s">
        <v>589</v>
      </c>
      <c r="F1281" s="195" t="s">
        <v>430</v>
      </c>
    </row>
    <row r="1282" spans="1:6" x14ac:dyDescent="0.25">
      <c r="A1282" s="189" t="str">
        <f t="shared" si="19"/>
        <v>AL-MD 530.653.33S</v>
      </c>
      <c r="B1282" s="195" t="s">
        <v>1216</v>
      </c>
      <c r="C1282" s="196">
        <v>0.65</v>
      </c>
      <c r="D1282" s="196">
        <v>3.33</v>
      </c>
      <c r="E1282" s="195" t="s">
        <v>595</v>
      </c>
      <c r="F1282" s="195" t="s">
        <v>438</v>
      </c>
    </row>
    <row r="1283" spans="1:6" x14ac:dyDescent="0.25">
      <c r="A1283" s="189" t="str">
        <f t="shared" ref="A1283:A1346" si="20">B1283&amp;C1283&amp;D1283&amp;F1283</f>
        <v>AL-MD 5502.28E</v>
      </c>
      <c r="B1283" s="195" t="s">
        <v>1217</v>
      </c>
      <c r="C1283" s="196">
        <v>0</v>
      </c>
      <c r="D1283" s="196">
        <v>2.2799999999999998</v>
      </c>
      <c r="E1283" s="195" t="s">
        <v>583</v>
      </c>
      <c r="F1283" s="195" t="s">
        <v>19</v>
      </c>
    </row>
    <row r="1284" spans="1:6" x14ac:dyDescent="0.25">
      <c r="A1284" s="189" t="str">
        <f t="shared" si="20"/>
        <v>AL-MD 5502.28W</v>
      </c>
      <c r="B1284" s="195" t="s">
        <v>1217</v>
      </c>
      <c r="C1284" s="196">
        <v>0</v>
      </c>
      <c r="D1284" s="196">
        <v>2.2799999999999998</v>
      </c>
      <c r="E1284" s="195" t="s">
        <v>583</v>
      </c>
      <c r="F1284" s="195" t="s">
        <v>432</v>
      </c>
    </row>
    <row r="1285" spans="1:6" x14ac:dyDescent="0.25">
      <c r="A1285" s="189" t="str">
        <f t="shared" si="20"/>
        <v>AL-MD 552.282.53E</v>
      </c>
      <c r="B1285" s="195" t="s">
        <v>1217</v>
      </c>
      <c r="C1285" s="196">
        <v>2.2799999999999998</v>
      </c>
      <c r="D1285" s="196">
        <v>2.5299999999999998</v>
      </c>
      <c r="E1285" s="195" t="s">
        <v>583</v>
      </c>
      <c r="F1285" s="195" t="s">
        <v>19</v>
      </c>
    </row>
    <row r="1286" spans="1:6" x14ac:dyDescent="0.25">
      <c r="A1286" s="189" t="str">
        <f t="shared" si="20"/>
        <v>AL-MD 552.282.53W</v>
      </c>
      <c r="B1286" s="195" t="s">
        <v>1217</v>
      </c>
      <c r="C1286" s="196">
        <v>2.2799999999999998</v>
      </c>
      <c r="D1286" s="196">
        <v>2.5299999999999998</v>
      </c>
      <c r="E1286" s="195" t="s">
        <v>583</v>
      </c>
      <c r="F1286" s="195" t="s">
        <v>432</v>
      </c>
    </row>
    <row r="1287" spans="1:6" x14ac:dyDescent="0.25">
      <c r="A1287" s="189" t="str">
        <f t="shared" si="20"/>
        <v>AL-MD 6101.94N</v>
      </c>
      <c r="B1287" s="195" t="s">
        <v>550</v>
      </c>
      <c r="C1287" s="196">
        <v>0</v>
      </c>
      <c r="D1287" s="196">
        <v>1.94</v>
      </c>
      <c r="E1287" s="195" t="s">
        <v>583</v>
      </c>
      <c r="F1287" s="195" t="s">
        <v>430</v>
      </c>
    </row>
    <row r="1288" spans="1:6" x14ac:dyDescent="0.25">
      <c r="A1288" s="189" t="str">
        <f t="shared" si="20"/>
        <v>AL-MD 6101.94S</v>
      </c>
      <c r="B1288" s="195" t="s">
        <v>550</v>
      </c>
      <c r="C1288" s="196">
        <v>0</v>
      </c>
      <c r="D1288" s="196">
        <v>1.94</v>
      </c>
      <c r="E1288" s="195" t="s">
        <v>583</v>
      </c>
      <c r="F1288" s="195" t="s">
        <v>438</v>
      </c>
    </row>
    <row r="1289" spans="1:6" x14ac:dyDescent="0.25">
      <c r="A1289" s="189" t="str">
        <f t="shared" si="20"/>
        <v>AL-MD 63600.02E</v>
      </c>
      <c r="B1289" s="195" t="s">
        <v>1218</v>
      </c>
      <c r="C1289" s="196">
        <v>0</v>
      </c>
      <c r="D1289" s="196">
        <v>0.02</v>
      </c>
      <c r="E1289" s="195" t="s">
        <v>598</v>
      </c>
      <c r="F1289" s="195" t="s">
        <v>19</v>
      </c>
    </row>
    <row r="1290" spans="1:6" x14ac:dyDescent="0.25">
      <c r="A1290" s="189" t="str">
        <f t="shared" si="20"/>
        <v>AL-MD 63600.02W</v>
      </c>
      <c r="B1290" s="195" t="s">
        <v>1218</v>
      </c>
      <c r="C1290" s="196">
        <v>0</v>
      </c>
      <c r="D1290" s="196">
        <v>0.02</v>
      </c>
      <c r="E1290" s="195" t="s">
        <v>593</v>
      </c>
      <c r="F1290" s="195" t="s">
        <v>432</v>
      </c>
    </row>
    <row r="1291" spans="1:6" x14ac:dyDescent="0.25">
      <c r="A1291" s="189" t="str">
        <f t="shared" si="20"/>
        <v>AL-MD 6360.020.28E</v>
      </c>
      <c r="B1291" s="195" t="s">
        <v>1218</v>
      </c>
      <c r="C1291" s="196">
        <v>0.02</v>
      </c>
      <c r="D1291" s="196">
        <v>0.28000000000000003</v>
      </c>
      <c r="E1291" s="195" t="s">
        <v>598</v>
      </c>
      <c r="F1291" s="195" t="s">
        <v>19</v>
      </c>
    </row>
    <row r="1292" spans="1:6" x14ac:dyDescent="0.25">
      <c r="A1292" s="189" t="str">
        <f t="shared" si="20"/>
        <v>AL-MD 6360.020.28W</v>
      </c>
      <c r="B1292" s="195" t="s">
        <v>1218</v>
      </c>
      <c r="C1292" s="196">
        <v>0.02</v>
      </c>
      <c r="D1292" s="196">
        <v>0.28000000000000003</v>
      </c>
      <c r="E1292" s="195" t="s">
        <v>593</v>
      </c>
      <c r="F1292" s="195" t="s">
        <v>432</v>
      </c>
    </row>
    <row r="1293" spans="1:6" x14ac:dyDescent="0.25">
      <c r="A1293" s="189" t="str">
        <f t="shared" si="20"/>
        <v>AL-MD 63802.34N</v>
      </c>
      <c r="B1293" s="195" t="s">
        <v>1219</v>
      </c>
      <c r="C1293" s="196">
        <v>0</v>
      </c>
      <c r="D1293" s="196">
        <v>2.34</v>
      </c>
      <c r="E1293" s="195" t="s">
        <v>583</v>
      </c>
      <c r="F1293" s="195" t="s">
        <v>430</v>
      </c>
    </row>
    <row r="1294" spans="1:6" x14ac:dyDescent="0.25">
      <c r="A1294" s="189" t="str">
        <f t="shared" si="20"/>
        <v>AL-MD 63802.34S</v>
      </c>
      <c r="B1294" s="195" t="s">
        <v>1219</v>
      </c>
      <c r="C1294" s="196">
        <v>0</v>
      </c>
      <c r="D1294" s="196">
        <v>2.34</v>
      </c>
      <c r="E1294" s="195" t="s">
        <v>583</v>
      </c>
      <c r="F1294" s="195" t="s">
        <v>438</v>
      </c>
    </row>
    <row r="1295" spans="1:6" x14ac:dyDescent="0.25">
      <c r="A1295" s="189" t="str">
        <f t="shared" si="20"/>
        <v>AL-MD 63901.3N</v>
      </c>
      <c r="B1295" s="195" t="s">
        <v>1220</v>
      </c>
      <c r="C1295" s="196">
        <v>0</v>
      </c>
      <c r="D1295" s="196">
        <v>1.3</v>
      </c>
      <c r="E1295" s="195" t="s">
        <v>583</v>
      </c>
      <c r="F1295" s="195" t="s">
        <v>430</v>
      </c>
    </row>
    <row r="1296" spans="1:6" x14ac:dyDescent="0.25">
      <c r="A1296" s="189" t="str">
        <f t="shared" si="20"/>
        <v>AL-MD 63901.3S</v>
      </c>
      <c r="B1296" s="195" t="s">
        <v>1220</v>
      </c>
      <c r="C1296" s="196">
        <v>0</v>
      </c>
      <c r="D1296" s="196">
        <v>1.3</v>
      </c>
      <c r="E1296" s="195" t="s">
        <v>583</v>
      </c>
      <c r="F1296" s="195" t="s">
        <v>438</v>
      </c>
    </row>
    <row r="1297" spans="1:6" x14ac:dyDescent="0.25">
      <c r="A1297" s="189" t="str">
        <f t="shared" si="20"/>
        <v>AL-MD 6391.31.45N</v>
      </c>
      <c r="B1297" s="195" t="s">
        <v>1220</v>
      </c>
      <c r="C1297" s="196">
        <v>1.3</v>
      </c>
      <c r="D1297" s="196">
        <v>1.45</v>
      </c>
      <c r="E1297" s="195" t="s">
        <v>583</v>
      </c>
      <c r="F1297" s="195" t="s">
        <v>430</v>
      </c>
    </row>
    <row r="1298" spans="1:6" x14ac:dyDescent="0.25">
      <c r="A1298" s="189" t="str">
        <f t="shared" si="20"/>
        <v>AL-MD 6391.31.45S</v>
      </c>
      <c r="B1298" s="195" t="s">
        <v>1220</v>
      </c>
      <c r="C1298" s="196">
        <v>1.3</v>
      </c>
      <c r="D1298" s="196">
        <v>1.45</v>
      </c>
      <c r="E1298" s="195" t="s">
        <v>583</v>
      </c>
      <c r="F1298" s="195" t="s">
        <v>438</v>
      </c>
    </row>
    <row r="1299" spans="1:6" x14ac:dyDescent="0.25">
      <c r="A1299" s="189" t="str">
        <f t="shared" si="20"/>
        <v>AL-MD 6391.452.03N</v>
      </c>
      <c r="B1299" s="195" t="s">
        <v>1220</v>
      </c>
      <c r="C1299" s="196">
        <v>1.45</v>
      </c>
      <c r="D1299" s="196">
        <v>2.0299999999999998</v>
      </c>
      <c r="E1299" s="195" t="s">
        <v>583</v>
      </c>
      <c r="F1299" s="195" t="s">
        <v>430</v>
      </c>
    </row>
    <row r="1300" spans="1:6" x14ac:dyDescent="0.25">
      <c r="A1300" s="189" t="str">
        <f t="shared" si="20"/>
        <v>AL-MD 6391.452.03S</v>
      </c>
      <c r="B1300" s="195" t="s">
        <v>1220</v>
      </c>
      <c r="C1300" s="196">
        <v>1.45</v>
      </c>
      <c r="D1300" s="196">
        <v>2.0299999999999998</v>
      </c>
      <c r="E1300" s="195" t="s">
        <v>583</v>
      </c>
      <c r="F1300" s="195" t="s">
        <v>438</v>
      </c>
    </row>
    <row r="1301" spans="1:6" x14ac:dyDescent="0.25">
      <c r="A1301" s="189" t="str">
        <f t="shared" si="20"/>
        <v>AL-MD 6392.032.05N</v>
      </c>
      <c r="B1301" s="195" t="s">
        <v>1220</v>
      </c>
      <c r="C1301" s="196">
        <v>2.0299999999999998</v>
      </c>
      <c r="D1301" s="196">
        <v>2.0499999999999998</v>
      </c>
      <c r="E1301" s="195" t="s">
        <v>583</v>
      </c>
      <c r="F1301" s="195" t="s">
        <v>430</v>
      </c>
    </row>
    <row r="1302" spans="1:6" x14ac:dyDescent="0.25">
      <c r="A1302" s="189" t="str">
        <f t="shared" si="20"/>
        <v>AL-MD 6392.032.05S</v>
      </c>
      <c r="B1302" s="195" t="s">
        <v>1220</v>
      </c>
      <c r="C1302" s="196">
        <v>2.0299999999999998</v>
      </c>
      <c r="D1302" s="196">
        <v>2.0499999999999998</v>
      </c>
      <c r="E1302" s="195" t="s">
        <v>583</v>
      </c>
      <c r="F1302" s="195" t="s">
        <v>438</v>
      </c>
    </row>
    <row r="1303" spans="1:6" x14ac:dyDescent="0.25">
      <c r="A1303" s="189" t="str">
        <f t="shared" si="20"/>
        <v>AL-MD 6392.052.79N</v>
      </c>
      <c r="B1303" s="195" t="s">
        <v>1220</v>
      </c>
      <c r="C1303" s="196">
        <v>2.0499999999999998</v>
      </c>
      <c r="D1303" s="196">
        <v>2.79</v>
      </c>
      <c r="E1303" s="195" t="s">
        <v>583</v>
      </c>
      <c r="F1303" s="195" t="s">
        <v>430</v>
      </c>
    </row>
    <row r="1304" spans="1:6" x14ac:dyDescent="0.25">
      <c r="A1304" s="189" t="str">
        <f t="shared" si="20"/>
        <v>AL-MD 6392.052.79S</v>
      </c>
      <c r="B1304" s="195" t="s">
        <v>1220</v>
      </c>
      <c r="C1304" s="196">
        <v>2.0499999999999998</v>
      </c>
      <c r="D1304" s="196">
        <v>2.79</v>
      </c>
      <c r="E1304" s="195" t="s">
        <v>583</v>
      </c>
      <c r="F1304" s="195" t="s">
        <v>438</v>
      </c>
    </row>
    <row r="1305" spans="1:6" x14ac:dyDescent="0.25">
      <c r="A1305" s="189" t="str">
        <f t="shared" si="20"/>
        <v>AL-MD 639A00.19S</v>
      </c>
      <c r="B1305" s="195" t="s">
        <v>1221</v>
      </c>
      <c r="C1305" s="196">
        <v>0</v>
      </c>
      <c r="D1305" s="196">
        <v>0.19</v>
      </c>
      <c r="E1305" s="195" t="s">
        <v>595</v>
      </c>
      <c r="F1305" s="195" t="s">
        <v>438</v>
      </c>
    </row>
    <row r="1306" spans="1:6" x14ac:dyDescent="0.25">
      <c r="A1306" s="189" t="str">
        <f t="shared" si="20"/>
        <v>AL-MD 639A00.26N</v>
      </c>
      <c r="B1306" s="195" t="s">
        <v>1221</v>
      </c>
      <c r="C1306" s="196">
        <v>0</v>
      </c>
      <c r="D1306" s="196">
        <v>0.26</v>
      </c>
      <c r="E1306" s="195" t="s">
        <v>589</v>
      </c>
      <c r="F1306" s="195" t="s">
        <v>430</v>
      </c>
    </row>
    <row r="1307" spans="1:6" x14ac:dyDescent="0.25">
      <c r="A1307" s="189" t="str">
        <f t="shared" si="20"/>
        <v>AL-MD 639B00.06N</v>
      </c>
      <c r="B1307" s="195" t="s">
        <v>1222</v>
      </c>
      <c r="C1307" s="196">
        <v>0</v>
      </c>
      <c r="D1307" s="196">
        <v>0.06</v>
      </c>
      <c r="E1307" s="195" t="s">
        <v>589</v>
      </c>
      <c r="F1307" s="195" t="s">
        <v>430</v>
      </c>
    </row>
    <row r="1308" spans="1:6" x14ac:dyDescent="0.25">
      <c r="A1308" s="189" t="str">
        <f t="shared" si="20"/>
        <v>AL-MD 639B00.06S</v>
      </c>
      <c r="B1308" s="195" t="s">
        <v>1222</v>
      </c>
      <c r="C1308" s="196">
        <v>0</v>
      </c>
      <c r="D1308" s="196">
        <v>0.06</v>
      </c>
      <c r="E1308" s="195" t="s">
        <v>595</v>
      </c>
      <c r="F1308" s="195" t="s">
        <v>438</v>
      </c>
    </row>
    <row r="1309" spans="1:6" x14ac:dyDescent="0.25">
      <c r="A1309" s="189" t="str">
        <f t="shared" si="20"/>
        <v>AL-MD 73601.27N</v>
      </c>
      <c r="B1309" s="195" t="s">
        <v>1223</v>
      </c>
      <c r="C1309" s="196">
        <v>0</v>
      </c>
      <c r="D1309" s="196">
        <v>1.27</v>
      </c>
      <c r="E1309" s="195" t="s">
        <v>583</v>
      </c>
      <c r="F1309" s="195" t="s">
        <v>430</v>
      </c>
    </row>
    <row r="1310" spans="1:6" x14ac:dyDescent="0.25">
      <c r="A1310" s="189" t="str">
        <f t="shared" si="20"/>
        <v>AL-MD 73601.27S</v>
      </c>
      <c r="B1310" s="195" t="s">
        <v>1223</v>
      </c>
      <c r="C1310" s="196">
        <v>0</v>
      </c>
      <c r="D1310" s="196">
        <v>1.27</v>
      </c>
      <c r="E1310" s="195" t="s">
        <v>583</v>
      </c>
      <c r="F1310" s="195" t="s">
        <v>438</v>
      </c>
    </row>
    <row r="1311" spans="1:6" x14ac:dyDescent="0.25">
      <c r="A1311" s="189" t="str">
        <f t="shared" si="20"/>
        <v>AL-MD 74301E</v>
      </c>
      <c r="B1311" s="195" t="s">
        <v>1224</v>
      </c>
      <c r="C1311" s="196">
        <v>0</v>
      </c>
      <c r="D1311" s="196">
        <v>1</v>
      </c>
      <c r="E1311" s="195" t="s">
        <v>583</v>
      </c>
      <c r="F1311" s="195" t="s">
        <v>19</v>
      </c>
    </row>
    <row r="1312" spans="1:6" x14ac:dyDescent="0.25">
      <c r="A1312" s="189" t="str">
        <f t="shared" si="20"/>
        <v>AL-MD 74301W</v>
      </c>
      <c r="B1312" s="195" t="s">
        <v>1224</v>
      </c>
      <c r="C1312" s="196">
        <v>0</v>
      </c>
      <c r="D1312" s="196">
        <v>1</v>
      </c>
      <c r="E1312" s="195" t="s">
        <v>583</v>
      </c>
      <c r="F1312" s="195" t="s">
        <v>432</v>
      </c>
    </row>
    <row r="1313" spans="1:6" x14ac:dyDescent="0.25">
      <c r="A1313" s="189" t="str">
        <f t="shared" si="20"/>
        <v>AL-MD 8070.20.3N</v>
      </c>
      <c r="B1313" s="195" t="s">
        <v>1225</v>
      </c>
      <c r="C1313" s="196">
        <v>0.2</v>
      </c>
      <c r="D1313" s="196">
        <v>0.3</v>
      </c>
      <c r="E1313" s="195" t="s">
        <v>589</v>
      </c>
      <c r="F1313" s="195" t="s">
        <v>430</v>
      </c>
    </row>
    <row r="1314" spans="1:6" x14ac:dyDescent="0.25">
      <c r="A1314" s="189" t="str">
        <f t="shared" si="20"/>
        <v>AL-MD 8070.32.67N</v>
      </c>
      <c r="B1314" s="195" t="s">
        <v>1225</v>
      </c>
      <c r="C1314" s="196">
        <v>0.3</v>
      </c>
      <c r="D1314" s="196">
        <v>2.67</v>
      </c>
      <c r="E1314" s="195" t="s">
        <v>583</v>
      </c>
      <c r="F1314" s="195" t="s">
        <v>430</v>
      </c>
    </row>
    <row r="1315" spans="1:6" x14ac:dyDescent="0.25">
      <c r="A1315" s="189" t="str">
        <f t="shared" si="20"/>
        <v>AL-MD 8070.32.67S</v>
      </c>
      <c r="B1315" s="195" t="s">
        <v>1225</v>
      </c>
      <c r="C1315" s="196">
        <v>0.3</v>
      </c>
      <c r="D1315" s="196">
        <v>2.67</v>
      </c>
      <c r="E1315" s="195" t="s">
        <v>583</v>
      </c>
      <c r="F1315" s="195" t="s">
        <v>438</v>
      </c>
    </row>
    <row r="1316" spans="1:6" x14ac:dyDescent="0.25">
      <c r="A1316" s="189" t="str">
        <f t="shared" si="20"/>
        <v>AL-MD 8072.673.35N</v>
      </c>
      <c r="B1316" s="195" t="s">
        <v>1225</v>
      </c>
      <c r="C1316" s="196">
        <v>2.67</v>
      </c>
      <c r="D1316" s="196">
        <v>3.35</v>
      </c>
      <c r="E1316" s="195" t="s">
        <v>583</v>
      </c>
      <c r="F1316" s="195" t="s">
        <v>430</v>
      </c>
    </row>
    <row r="1317" spans="1:6" x14ac:dyDescent="0.25">
      <c r="A1317" s="189" t="str">
        <f t="shared" si="20"/>
        <v>AL-MD 8072.673.35S</v>
      </c>
      <c r="B1317" s="195" t="s">
        <v>1225</v>
      </c>
      <c r="C1317" s="196">
        <v>2.67</v>
      </c>
      <c r="D1317" s="196">
        <v>3.35</v>
      </c>
      <c r="E1317" s="195" t="s">
        <v>583</v>
      </c>
      <c r="F1317" s="195" t="s">
        <v>438</v>
      </c>
    </row>
    <row r="1318" spans="1:6" x14ac:dyDescent="0.25">
      <c r="A1318" s="189" t="str">
        <f t="shared" si="20"/>
        <v>AL-MD 8073.353.52N</v>
      </c>
      <c r="B1318" s="195" t="s">
        <v>1225</v>
      </c>
      <c r="C1318" s="196">
        <v>3.35</v>
      </c>
      <c r="D1318" s="196">
        <v>3.52</v>
      </c>
      <c r="E1318" s="195" t="s">
        <v>583</v>
      </c>
      <c r="F1318" s="195" t="s">
        <v>430</v>
      </c>
    </row>
    <row r="1319" spans="1:6" x14ac:dyDescent="0.25">
      <c r="A1319" s="189" t="str">
        <f t="shared" si="20"/>
        <v>AL-MD 8073.353.52S</v>
      </c>
      <c r="B1319" s="195" t="s">
        <v>1225</v>
      </c>
      <c r="C1319" s="196">
        <v>3.35</v>
      </c>
      <c r="D1319" s="196">
        <v>3.52</v>
      </c>
      <c r="E1319" s="195" t="s">
        <v>583</v>
      </c>
      <c r="F1319" s="195" t="s">
        <v>438</v>
      </c>
    </row>
    <row r="1320" spans="1:6" x14ac:dyDescent="0.25">
      <c r="A1320" s="189" t="str">
        <f t="shared" si="20"/>
        <v>AL-MD 807A00.1E</v>
      </c>
      <c r="B1320" s="195" t="s">
        <v>1226</v>
      </c>
      <c r="C1320" s="196">
        <v>0</v>
      </c>
      <c r="D1320" s="196">
        <v>0.1</v>
      </c>
      <c r="E1320" s="195" t="s">
        <v>583</v>
      </c>
      <c r="F1320" s="195" t="s">
        <v>19</v>
      </c>
    </row>
    <row r="1321" spans="1:6" x14ac:dyDescent="0.25">
      <c r="A1321" s="189" t="str">
        <f t="shared" si="20"/>
        <v>AL-MD 807A00.1W</v>
      </c>
      <c r="B1321" s="195" t="s">
        <v>1226</v>
      </c>
      <c r="C1321" s="196">
        <v>0</v>
      </c>
      <c r="D1321" s="196">
        <v>0.1</v>
      </c>
      <c r="E1321" s="195" t="s">
        <v>583</v>
      </c>
      <c r="F1321" s="195" t="s">
        <v>432</v>
      </c>
    </row>
    <row r="1322" spans="1:6" x14ac:dyDescent="0.25">
      <c r="A1322" s="189" t="str">
        <f t="shared" si="20"/>
        <v>AL-MD 807B00.38N</v>
      </c>
      <c r="B1322" s="195" t="s">
        <v>1227</v>
      </c>
      <c r="C1322" s="196">
        <v>0</v>
      </c>
      <c r="D1322" s="196">
        <v>0.38</v>
      </c>
      <c r="E1322" s="195" t="s">
        <v>583</v>
      </c>
      <c r="F1322" s="195" t="s">
        <v>430</v>
      </c>
    </row>
    <row r="1323" spans="1:6" x14ac:dyDescent="0.25">
      <c r="A1323" s="189" t="str">
        <f t="shared" si="20"/>
        <v>AL-MD 807B00.38S</v>
      </c>
      <c r="B1323" s="195" t="s">
        <v>1227</v>
      </c>
      <c r="C1323" s="196">
        <v>0</v>
      </c>
      <c r="D1323" s="196">
        <v>0.38</v>
      </c>
      <c r="E1323" s="195" t="s">
        <v>583</v>
      </c>
      <c r="F1323" s="195" t="s">
        <v>438</v>
      </c>
    </row>
    <row r="1324" spans="1:6" x14ac:dyDescent="0.25">
      <c r="A1324" s="189" t="str">
        <f t="shared" si="20"/>
        <v>AL-MD 807C00.1N</v>
      </c>
      <c r="B1324" s="195" t="s">
        <v>1228</v>
      </c>
      <c r="C1324" s="196">
        <v>0</v>
      </c>
      <c r="D1324" s="196">
        <v>0.1</v>
      </c>
      <c r="E1324" s="195" t="s">
        <v>589</v>
      </c>
      <c r="F1324" s="195" t="s">
        <v>430</v>
      </c>
    </row>
    <row r="1325" spans="1:6" x14ac:dyDescent="0.25">
      <c r="A1325" s="189" t="str">
        <f t="shared" si="20"/>
        <v>AL-MD 807C00.1S</v>
      </c>
      <c r="B1325" s="195" t="s">
        <v>1228</v>
      </c>
      <c r="C1325" s="196">
        <v>0</v>
      </c>
      <c r="D1325" s="196">
        <v>0.1</v>
      </c>
      <c r="E1325" s="195" t="s">
        <v>595</v>
      </c>
      <c r="F1325" s="195" t="s">
        <v>438</v>
      </c>
    </row>
    <row r="1326" spans="1:6" x14ac:dyDescent="0.25">
      <c r="A1326" s="189" t="str">
        <f t="shared" si="20"/>
        <v>AL-MD 807D00.23N</v>
      </c>
      <c r="B1326" s="195" t="s">
        <v>1229</v>
      </c>
      <c r="C1326" s="196">
        <v>0</v>
      </c>
      <c r="D1326" s="196">
        <v>0.23</v>
      </c>
      <c r="E1326" s="195" t="s">
        <v>589</v>
      </c>
      <c r="F1326" s="195" t="s">
        <v>430</v>
      </c>
    </row>
    <row r="1327" spans="1:6" x14ac:dyDescent="0.25">
      <c r="A1327" s="189" t="str">
        <f t="shared" si="20"/>
        <v>AL-MD 807D00.23S</v>
      </c>
      <c r="B1327" s="195" t="s">
        <v>1229</v>
      </c>
      <c r="C1327" s="196">
        <v>0</v>
      </c>
      <c r="D1327" s="196">
        <v>0.23</v>
      </c>
      <c r="E1327" s="195" t="s">
        <v>595</v>
      </c>
      <c r="F1327" s="195" t="s">
        <v>438</v>
      </c>
    </row>
    <row r="1328" spans="1:6" x14ac:dyDescent="0.25">
      <c r="A1328" s="189" t="str">
        <f t="shared" si="20"/>
        <v>AL-MD 807E0.810.88N</v>
      </c>
      <c r="B1328" s="195" t="s">
        <v>1230</v>
      </c>
      <c r="C1328" s="196">
        <v>0.81</v>
      </c>
      <c r="D1328" s="196">
        <v>0.88</v>
      </c>
      <c r="E1328" s="195" t="s">
        <v>583</v>
      </c>
      <c r="F1328" s="195" t="s">
        <v>430</v>
      </c>
    </row>
    <row r="1329" spans="1:6" x14ac:dyDescent="0.25">
      <c r="A1329" s="189" t="str">
        <f t="shared" si="20"/>
        <v>AL-MD 807E0.810.88S</v>
      </c>
      <c r="B1329" s="195" t="s">
        <v>1230</v>
      </c>
      <c r="C1329" s="196">
        <v>0.81</v>
      </c>
      <c r="D1329" s="196">
        <v>0.88</v>
      </c>
      <c r="E1329" s="195" t="s">
        <v>583</v>
      </c>
      <c r="F1329" s="195" t="s">
        <v>438</v>
      </c>
    </row>
    <row r="1330" spans="1:6" x14ac:dyDescent="0.25">
      <c r="A1330" s="189" t="str">
        <f t="shared" si="20"/>
        <v>AL-MD 830A00.02N</v>
      </c>
      <c r="B1330" s="195" t="s">
        <v>1231</v>
      </c>
      <c r="C1330" s="196">
        <v>0</v>
      </c>
      <c r="D1330" s="196">
        <v>0.02</v>
      </c>
      <c r="E1330" s="195" t="s">
        <v>589</v>
      </c>
      <c r="F1330" s="195" t="s">
        <v>430</v>
      </c>
    </row>
    <row r="1331" spans="1:6" x14ac:dyDescent="0.25">
      <c r="A1331" s="189" t="str">
        <f t="shared" si="20"/>
        <v>AL-MD 830A00.02S</v>
      </c>
      <c r="B1331" s="195" t="s">
        <v>1231</v>
      </c>
      <c r="C1331" s="196">
        <v>0</v>
      </c>
      <c r="D1331" s="196">
        <v>0.02</v>
      </c>
      <c r="E1331" s="195" t="s">
        <v>595</v>
      </c>
      <c r="F1331" s="195" t="s">
        <v>438</v>
      </c>
    </row>
    <row r="1332" spans="1:6" x14ac:dyDescent="0.25">
      <c r="A1332" s="189" t="str">
        <f t="shared" si="20"/>
        <v>AL-MD 830B00.04N</v>
      </c>
      <c r="B1332" s="195" t="s">
        <v>1232</v>
      </c>
      <c r="C1332" s="196">
        <v>0</v>
      </c>
      <c r="D1332" s="196">
        <v>0.04</v>
      </c>
      <c r="E1332" s="195" t="s">
        <v>589</v>
      </c>
      <c r="F1332" s="195" t="s">
        <v>430</v>
      </c>
    </row>
    <row r="1333" spans="1:6" x14ac:dyDescent="0.25">
      <c r="A1333" s="189" t="str">
        <f t="shared" si="20"/>
        <v>AL-MD 830B00.04S</v>
      </c>
      <c r="B1333" s="195" t="s">
        <v>1232</v>
      </c>
      <c r="C1333" s="196">
        <v>0</v>
      </c>
      <c r="D1333" s="196">
        <v>0.04</v>
      </c>
      <c r="E1333" s="195" t="s">
        <v>595</v>
      </c>
      <c r="F1333" s="195" t="s">
        <v>438</v>
      </c>
    </row>
    <row r="1334" spans="1:6" x14ac:dyDescent="0.25">
      <c r="A1334" s="189" t="str">
        <f t="shared" si="20"/>
        <v>AL-MD 831A00.48N</v>
      </c>
      <c r="B1334" s="195" t="s">
        <v>1233</v>
      </c>
      <c r="C1334" s="196">
        <v>0</v>
      </c>
      <c r="D1334" s="196">
        <v>0.48</v>
      </c>
      <c r="E1334" s="195" t="s">
        <v>589</v>
      </c>
      <c r="F1334" s="195" t="s">
        <v>430</v>
      </c>
    </row>
    <row r="1335" spans="1:6" x14ac:dyDescent="0.25">
      <c r="A1335" s="189" t="str">
        <f t="shared" si="20"/>
        <v>AL-MD 831A00.48S</v>
      </c>
      <c r="B1335" s="195" t="s">
        <v>1233</v>
      </c>
      <c r="C1335" s="196">
        <v>0</v>
      </c>
      <c r="D1335" s="196">
        <v>0.48</v>
      </c>
      <c r="E1335" s="195" t="s">
        <v>595</v>
      </c>
      <c r="F1335" s="195" t="s">
        <v>438</v>
      </c>
    </row>
    <row r="1336" spans="1:6" x14ac:dyDescent="0.25">
      <c r="A1336" s="189" t="str">
        <f t="shared" si="20"/>
        <v>AL-MD 831B00.11N</v>
      </c>
      <c r="B1336" s="195" t="s">
        <v>1234</v>
      </c>
      <c r="C1336" s="196">
        <v>0</v>
      </c>
      <c r="D1336" s="196">
        <v>0.11</v>
      </c>
      <c r="E1336" s="195" t="s">
        <v>589</v>
      </c>
      <c r="F1336" s="195" t="s">
        <v>430</v>
      </c>
    </row>
    <row r="1337" spans="1:6" x14ac:dyDescent="0.25">
      <c r="A1337" s="189" t="str">
        <f t="shared" si="20"/>
        <v>AL-MD 831B00.11S</v>
      </c>
      <c r="B1337" s="195" t="s">
        <v>1234</v>
      </c>
      <c r="C1337" s="196">
        <v>0</v>
      </c>
      <c r="D1337" s="196">
        <v>0.11</v>
      </c>
      <c r="E1337" s="195" t="s">
        <v>595</v>
      </c>
      <c r="F1337" s="195" t="s">
        <v>438</v>
      </c>
    </row>
    <row r="1338" spans="1:6" x14ac:dyDescent="0.25">
      <c r="A1338" s="189" t="str">
        <f t="shared" si="20"/>
        <v>AL-MD 831C00.9N</v>
      </c>
      <c r="B1338" s="195" t="s">
        <v>1235</v>
      </c>
      <c r="C1338" s="196">
        <v>0</v>
      </c>
      <c r="D1338" s="196">
        <v>0.9</v>
      </c>
      <c r="E1338" s="195" t="s">
        <v>589</v>
      </c>
      <c r="F1338" s="195" t="s">
        <v>430</v>
      </c>
    </row>
    <row r="1339" spans="1:6" x14ac:dyDescent="0.25">
      <c r="A1339" s="189" t="str">
        <f t="shared" si="20"/>
        <v>AL-MD 831C00.9S</v>
      </c>
      <c r="B1339" s="195" t="s">
        <v>1235</v>
      </c>
      <c r="C1339" s="196">
        <v>0</v>
      </c>
      <c r="D1339" s="196">
        <v>0.9</v>
      </c>
      <c r="E1339" s="195" t="s">
        <v>595</v>
      </c>
      <c r="F1339" s="195" t="s">
        <v>438</v>
      </c>
    </row>
    <row r="1340" spans="1:6" x14ac:dyDescent="0.25">
      <c r="A1340" s="189" t="str">
        <f t="shared" si="20"/>
        <v>AL-MD 831D00.37N</v>
      </c>
      <c r="B1340" s="195" t="s">
        <v>1236</v>
      </c>
      <c r="C1340" s="196">
        <v>0</v>
      </c>
      <c r="D1340" s="196">
        <v>0.37</v>
      </c>
      <c r="E1340" s="195" t="s">
        <v>589</v>
      </c>
      <c r="F1340" s="195" t="s">
        <v>430</v>
      </c>
    </row>
    <row r="1341" spans="1:6" x14ac:dyDescent="0.25">
      <c r="A1341" s="189" t="str">
        <f t="shared" si="20"/>
        <v>AL-MD 831D00.37S</v>
      </c>
      <c r="B1341" s="195" t="s">
        <v>1236</v>
      </c>
      <c r="C1341" s="196">
        <v>0</v>
      </c>
      <c r="D1341" s="196">
        <v>0.37</v>
      </c>
      <c r="E1341" s="195" t="s">
        <v>595</v>
      </c>
      <c r="F1341" s="195" t="s">
        <v>438</v>
      </c>
    </row>
    <row r="1342" spans="1:6" x14ac:dyDescent="0.25">
      <c r="A1342" s="189" t="str">
        <f t="shared" si="20"/>
        <v>AL-MD 831F00.04E</v>
      </c>
      <c r="B1342" s="195" t="s">
        <v>1237</v>
      </c>
      <c r="C1342" s="196">
        <v>0</v>
      </c>
      <c r="D1342" s="196">
        <v>0.04</v>
      </c>
      <c r="E1342" s="195" t="s">
        <v>598</v>
      </c>
      <c r="F1342" s="195" t="s">
        <v>19</v>
      </c>
    </row>
    <row r="1343" spans="1:6" x14ac:dyDescent="0.25">
      <c r="A1343" s="189" t="str">
        <f t="shared" si="20"/>
        <v>AL-MD 831F00.04W</v>
      </c>
      <c r="B1343" s="195" t="s">
        <v>1237</v>
      </c>
      <c r="C1343" s="196">
        <v>0</v>
      </c>
      <c r="D1343" s="196">
        <v>0.04</v>
      </c>
      <c r="E1343" s="195" t="s">
        <v>593</v>
      </c>
      <c r="F1343" s="195" t="s">
        <v>432</v>
      </c>
    </row>
    <row r="1344" spans="1:6" x14ac:dyDescent="0.25">
      <c r="A1344" s="189" t="str">
        <f t="shared" si="20"/>
        <v>AL-MD 831G00.12N</v>
      </c>
      <c r="B1344" s="195" t="s">
        <v>1238</v>
      </c>
      <c r="C1344" s="196">
        <v>0</v>
      </c>
      <c r="D1344" s="196">
        <v>0.12</v>
      </c>
      <c r="E1344" s="195" t="s">
        <v>589</v>
      </c>
      <c r="F1344" s="195" t="s">
        <v>430</v>
      </c>
    </row>
    <row r="1345" spans="1:6" x14ac:dyDescent="0.25">
      <c r="A1345" s="189" t="str">
        <f t="shared" si="20"/>
        <v>AL-MD 831G00.12S</v>
      </c>
      <c r="B1345" s="195" t="s">
        <v>1238</v>
      </c>
      <c r="C1345" s="196">
        <v>0</v>
      </c>
      <c r="D1345" s="196">
        <v>0.12</v>
      </c>
      <c r="E1345" s="195" t="s">
        <v>595</v>
      </c>
      <c r="F1345" s="195" t="s">
        <v>438</v>
      </c>
    </row>
    <row r="1346" spans="1:6" x14ac:dyDescent="0.25">
      <c r="A1346" s="189" t="str">
        <f t="shared" si="20"/>
        <v>AL-MD 831H00.07E</v>
      </c>
      <c r="B1346" s="195" t="s">
        <v>1239</v>
      </c>
      <c r="C1346" s="196">
        <v>0</v>
      </c>
      <c r="D1346" s="196">
        <v>7.0000000000000007E-2</v>
      </c>
      <c r="E1346" s="195" t="s">
        <v>598</v>
      </c>
      <c r="F1346" s="195" t="s">
        <v>19</v>
      </c>
    </row>
    <row r="1347" spans="1:6" x14ac:dyDescent="0.25">
      <c r="A1347" s="189" t="str">
        <f t="shared" ref="A1347:A1410" si="21">B1347&amp;C1347&amp;D1347&amp;F1347</f>
        <v>AL-MD 831H00.07W</v>
      </c>
      <c r="B1347" s="195" t="s">
        <v>1239</v>
      </c>
      <c r="C1347" s="196">
        <v>0</v>
      </c>
      <c r="D1347" s="196">
        <v>7.0000000000000007E-2</v>
      </c>
      <c r="E1347" s="195" t="s">
        <v>593</v>
      </c>
      <c r="F1347" s="195" t="s">
        <v>432</v>
      </c>
    </row>
    <row r="1348" spans="1:6" x14ac:dyDescent="0.25">
      <c r="A1348" s="189" t="str">
        <f t="shared" si="21"/>
        <v>AL-MD 831I00.04N</v>
      </c>
      <c r="B1348" s="195" t="s">
        <v>1240</v>
      </c>
      <c r="C1348" s="196">
        <v>0</v>
      </c>
      <c r="D1348" s="196">
        <v>0.04</v>
      </c>
      <c r="E1348" s="195" t="s">
        <v>589</v>
      </c>
      <c r="F1348" s="195" t="s">
        <v>430</v>
      </c>
    </row>
    <row r="1349" spans="1:6" x14ac:dyDescent="0.25">
      <c r="A1349" s="189" t="str">
        <f t="shared" si="21"/>
        <v>AL-MD 831I00.04S</v>
      </c>
      <c r="B1349" s="195" t="s">
        <v>1240</v>
      </c>
      <c r="C1349" s="196">
        <v>0</v>
      </c>
      <c r="D1349" s="196">
        <v>0.04</v>
      </c>
      <c r="E1349" s="195" t="s">
        <v>595</v>
      </c>
      <c r="F1349" s="195" t="s">
        <v>438</v>
      </c>
    </row>
    <row r="1350" spans="1:6" x14ac:dyDescent="0.25">
      <c r="A1350" s="189" t="str">
        <f t="shared" si="21"/>
        <v>AL-MD 93500.04N</v>
      </c>
      <c r="B1350" s="195" t="s">
        <v>1241</v>
      </c>
      <c r="C1350" s="196">
        <v>0</v>
      </c>
      <c r="D1350" s="196">
        <v>0.04</v>
      </c>
      <c r="E1350" s="195" t="s">
        <v>583</v>
      </c>
      <c r="F1350" s="195" t="s">
        <v>430</v>
      </c>
    </row>
    <row r="1351" spans="1:6" x14ac:dyDescent="0.25">
      <c r="A1351" s="189" t="str">
        <f t="shared" si="21"/>
        <v>AL-MD 93500.04S</v>
      </c>
      <c r="B1351" s="195" t="s">
        <v>1241</v>
      </c>
      <c r="C1351" s="196">
        <v>0</v>
      </c>
      <c r="D1351" s="196">
        <v>0.04</v>
      </c>
      <c r="E1351" s="195" t="s">
        <v>583</v>
      </c>
      <c r="F1351" s="195" t="s">
        <v>438</v>
      </c>
    </row>
    <row r="1352" spans="1:6" x14ac:dyDescent="0.25">
      <c r="A1352" s="189" t="str">
        <f t="shared" si="21"/>
        <v>AL-MD 9350.040.54N</v>
      </c>
      <c r="B1352" s="195" t="s">
        <v>1241</v>
      </c>
      <c r="C1352" s="196">
        <v>0.04</v>
      </c>
      <c r="D1352" s="196">
        <v>0.54</v>
      </c>
      <c r="E1352" s="195" t="s">
        <v>583</v>
      </c>
      <c r="F1352" s="195" t="s">
        <v>430</v>
      </c>
    </row>
    <row r="1353" spans="1:6" x14ac:dyDescent="0.25">
      <c r="A1353" s="189" t="str">
        <f t="shared" si="21"/>
        <v>AL-MD 9350.040.54S</v>
      </c>
      <c r="B1353" s="195" t="s">
        <v>1241</v>
      </c>
      <c r="C1353" s="196">
        <v>0.04</v>
      </c>
      <c r="D1353" s="196">
        <v>0.54</v>
      </c>
      <c r="E1353" s="195" t="s">
        <v>583</v>
      </c>
      <c r="F1353" s="195" t="s">
        <v>438</v>
      </c>
    </row>
    <row r="1354" spans="1:6" x14ac:dyDescent="0.25">
      <c r="A1354" s="189" t="str">
        <f t="shared" si="21"/>
        <v>AL-MD 9350.541.11N</v>
      </c>
      <c r="B1354" s="195" t="s">
        <v>1241</v>
      </c>
      <c r="C1354" s="196">
        <v>0.54</v>
      </c>
      <c r="D1354" s="196">
        <v>1.1100000000000001</v>
      </c>
      <c r="E1354" s="195" t="s">
        <v>583</v>
      </c>
      <c r="F1354" s="195" t="s">
        <v>430</v>
      </c>
    </row>
    <row r="1355" spans="1:6" x14ac:dyDescent="0.25">
      <c r="A1355" s="189" t="str">
        <f t="shared" si="21"/>
        <v>AL-MD 9350.541.11S</v>
      </c>
      <c r="B1355" s="195" t="s">
        <v>1241</v>
      </c>
      <c r="C1355" s="196">
        <v>0.54</v>
      </c>
      <c r="D1355" s="196">
        <v>1.1100000000000001</v>
      </c>
      <c r="E1355" s="195" t="s">
        <v>583</v>
      </c>
      <c r="F1355" s="195" t="s">
        <v>438</v>
      </c>
    </row>
    <row r="1356" spans="1:6" x14ac:dyDescent="0.25">
      <c r="A1356" s="189" t="str">
        <f t="shared" si="21"/>
        <v>AL-MD 9351.112.28N</v>
      </c>
      <c r="B1356" s="195" t="s">
        <v>1241</v>
      </c>
      <c r="C1356" s="196">
        <v>1.1100000000000001</v>
      </c>
      <c r="D1356" s="196">
        <v>2.2799999999999998</v>
      </c>
      <c r="E1356" s="195" t="s">
        <v>583</v>
      </c>
      <c r="F1356" s="195" t="s">
        <v>430</v>
      </c>
    </row>
    <row r="1357" spans="1:6" x14ac:dyDescent="0.25">
      <c r="A1357" s="189" t="str">
        <f t="shared" si="21"/>
        <v>AL-MD 9351.112.28S</v>
      </c>
      <c r="B1357" s="195" t="s">
        <v>1241</v>
      </c>
      <c r="C1357" s="196">
        <v>1.1100000000000001</v>
      </c>
      <c r="D1357" s="196">
        <v>2.2799999999999998</v>
      </c>
      <c r="E1357" s="195" t="s">
        <v>583</v>
      </c>
      <c r="F1357" s="195" t="s">
        <v>438</v>
      </c>
    </row>
    <row r="1358" spans="1:6" x14ac:dyDescent="0.25">
      <c r="A1358" s="189" t="str">
        <f t="shared" si="21"/>
        <v>AL-MD 9352.282.75N</v>
      </c>
      <c r="B1358" s="195" t="s">
        <v>1241</v>
      </c>
      <c r="C1358" s="196">
        <v>2.2799999999999998</v>
      </c>
      <c r="D1358" s="196">
        <v>2.75</v>
      </c>
      <c r="E1358" s="195" t="s">
        <v>583</v>
      </c>
      <c r="F1358" s="195" t="s">
        <v>430</v>
      </c>
    </row>
    <row r="1359" spans="1:6" x14ac:dyDescent="0.25">
      <c r="A1359" s="189" t="str">
        <f t="shared" si="21"/>
        <v>AL-MD 9352.282.75S</v>
      </c>
      <c r="B1359" s="195" t="s">
        <v>1241</v>
      </c>
      <c r="C1359" s="196">
        <v>2.2799999999999998</v>
      </c>
      <c r="D1359" s="196">
        <v>2.75</v>
      </c>
      <c r="E1359" s="195" t="s">
        <v>583</v>
      </c>
      <c r="F1359" s="195" t="s">
        <v>438</v>
      </c>
    </row>
    <row r="1360" spans="1:6" x14ac:dyDescent="0.25">
      <c r="A1360" s="189" t="str">
        <f t="shared" si="21"/>
        <v>AL-MD 9352.752.99N</v>
      </c>
      <c r="B1360" s="195" t="s">
        <v>1241</v>
      </c>
      <c r="C1360" s="196">
        <v>2.75</v>
      </c>
      <c r="D1360" s="196">
        <v>2.99</v>
      </c>
      <c r="E1360" s="195" t="s">
        <v>583</v>
      </c>
      <c r="F1360" s="195" t="s">
        <v>430</v>
      </c>
    </row>
    <row r="1361" spans="1:6" x14ac:dyDescent="0.25">
      <c r="A1361" s="189" t="str">
        <f t="shared" si="21"/>
        <v>AL-MD 9352.752.99S</v>
      </c>
      <c r="B1361" s="195" t="s">
        <v>1241</v>
      </c>
      <c r="C1361" s="196">
        <v>2.75</v>
      </c>
      <c r="D1361" s="196">
        <v>2.99</v>
      </c>
      <c r="E1361" s="195" t="s">
        <v>583</v>
      </c>
      <c r="F1361" s="195" t="s">
        <v>438</v>
      </c>
    </row>
    <row r="1362" spans="1:6" x14ac:dyDescent="0.25">
      <c r="A1362" s="189" t="str">
        <f t="shared" si="21"/>
        <v>AL-MD 935A00.1E</v>
      </c>
      <c r="B1362" s="195" t="s">
        <v>1242</v>
      </c>
      <c r="C1362" s="196">
        <v>0</v>
      </c>
      <c r="D1362" s="196">
        <v>0.1</v>
      </c>
      <c r="E1362" s="195" t="s">
        <v>583</v>
      </c>
      <c r="F1362" s="195" t="s">
        <v>19</v>
      </c>
    </row>
    <row r="1363" spans="1:6" x14ac:dyDescent="0.25">
      <c r="A1363" s="189" t="str">
        <f t="shared" si="21"/>
        <v>AL-MD 935A00.1W</v>
      </c>
      <c r="B1363" s="195" t="s">
        <v>1242</v>
      </c>
      <c r="C1363" s="196">
        <v>0</v>
      </c>
      <c r="D1363" s="196">
        <v>0.1</v>
      </c>
      <c r="E1363" s="195" t="s">
        <v>583</v>
      </c>
      <c r="F1363" s="195" t="s">
        <v>432</v>
      </c>
    </row>
    <row r="1364" spans="1:6" x14ac:dyDescent="0.25">
      <c r="A1364" s="189" t="str">
        <f t="shared" si="21"/>
        <v>AL-MD 93600.4N</v>
      </c>
      <c r="B1364" s="195" t="s">
        <v>1243</v>
      </c>
      <c r="C1364" s="196">
        <v>0</v>
      </c>
      <c r="D1364" s="196">
        <v>0.4</v>
      </c>
      <c r="E1364" s="195" t="s">
        <v>583</v>
      </c>
      <c r="F1364" s="195" t="s">
        <v>430</v>
      </c>
    </row>
    <row r="1365" spans="1:6" x14ac:dyDescent="0.25">
      <c r="A1365" s="189" t="str">
        <f t="shared" si="21"/>
        <v>AL-MD 93600.4S</v>
      </c>
      <c r="B1365" s="195" t="s">
        <v>1243</v>
      </c>
      <c r="C1365" s="196">
        <v>0</v>
      </c>
      <c r="D1365" s="196">
        <v>0.4</v>
      </c>
      <c r="E1365" s="195" t="s">
        <v>583</v>
      </c>
      <c r="F1365" s="195" t="s">
        <v>438</v>
      </c>
    </row>
    <row r="1366" spans="1:6" x14ac:dyDescent="0.25">
      <c r="A1366" s="189" t="str">
        <f t="shared" si="21"/>
        <v>AL-MD 9360.40.75N</v>
      </c>
      <c r="B1366" s="195" t="s">
        <v>1243</v>
      </c>
      <c r="C1366" s="196">
        <v>0.4</v>
      </c>
      <c r="D1366" s="196">
        <v>0.75</v>
      </c>
      <c r="E1366" s="195" t="s">
        <v>583</v>
      </c>
      <c r="F1366" s="195" t="s">
        <v>430</v>
      </c>
    </row>
    <row r="1367" spans="1:6" x14ac:dyDescent="0.25">
      <c r="A1367" s="189" t="str">
        <f t="shared" si="21"/>
        <v>AL-MD 9360.40.75S</v>
      </c>
      <c r="B1367" s="195" t="s">
        <v>1243</v>
      </c>
      <c r="C1367" s="196">
        <v>0.4</v>
      </c>
      <c r="D1367" s="196">
        <v>0.75</v>
      </c>
      <c r="E1367" s="195" t="s">
        <v>583</v>
      </c>
      <c r="F1367" s="195" t="s">
        <v>438</v>
      </c>
    </row>
    <row r="1368" spans="1:6" x14ac:dyDescent="0.25">
      <c r="A1368" s="189" t="str">
        <f t="shared" si="21"/>
        <v>AL-MD 9360.750.97N</v>
      </c>
      <c r="B1368" s="195" t="s">
        <v>1243</v>
      </c>
      <c r="C1368" s="196">
        <v>0.75</v>
      </c>
      <c r="D1368" s="196">
        <v>0.97</v>
      </c>
      <c r="E1368" s="195" t="s">
        <v>583</v>
      </c>
      <c r="F1368" s="195" t="s">
        <v>430</v>
      </c>
    </row>
    <row r="1369" spans="1:6" x14ac:dyDescent="0.25">
      <c r="A1369" s="189" t="str">
        <f t="shared" si="21"/>
        <v>AL-MD 9360.750.97S</v>
      </c>
      <c r="B1369" s="195" t="s">
        <v>1243</v>
      </c>
      <c r="C1369" s="196">
        <v>0.75</v>
      </c>
      <c r="D1369" s="196">
        <v>0.97</v>
      </c>
      <c r="E1369" s="195" t="s">
        <v>583</v>
      </c>
      <c r="F1369" s="195" t="s">
        <v>438</v>
      </c>
    </row>
    <row r="1370" spans="1:6" x14ac:dyDescent="0.25">
      <c r="A1370" s="189" t="str">
        <f t="shared" si="21"/>
        <v>AL-MD 9360.974.8N</v>
      </c>
      <c r="B1370" s="195" t="s">
        <v>1243</v>
      </c>
      <c r="C1370" s="196">
        <v>0.97</v>
      </c>
      <c r="D1370" s="196">
        <v>4.8</v>
      </c>
      <c r="E1370" s="195" t="s">
        <v>583</v>
      </c>
      <c r="F1370" s="195" t="s">
        <v>430</v>
      </c>
    </row>
    <row r="1371" spans="1:6" x14ac:dyDescent="0.25">
      <c r="A1371" s="189" t="str">
        <f t="shared" si="21"/>
        <v>AL-MD 9360.974.8S</v>
      </c>
      <c r="B1371" s="195" t="s">
        <v>1243</v>
      </c>
      <c r="C1371" s="196">
        <v>0.97</v>
      </c>
      <c r="D1371" s="196">
        <v>4.8</v>
      </c>
      <c r="E1371" s="195" t="s">
        <v>583</v>
      </c>
      <c r="F1371" s="195" t="s">
        <v>438</v>
      </c>
    </row>
    <row r="1372" spans="1:6" x14ac:dyDescent="0.25">
      <c r="A1372" s="189" t="str">
        <f t="shared" si="21"/>
        <v>AL-MD 9364.85.04N</v>
      </c>
      <c r="B1372" s="195" t="s">
        <v>1243</v>
      </c>
      <c r="C1372" s="196">
        <v>4.8</v>
      </c>
      <c r="D1372" s="196">
        <v>5.04</v>
      </c>
      <c r="E1372" s="195" t="s">
        <v>583</v>
      </c>
      <c r="F1372" s="195" t="s">
        <v>430</v>
      </c>
    </row>
    <row r="1373" spans="1:6" x14ac:dyDescent="0.25">
      <c r="A1373" s="189" t="str">
        <f t="shared" si="21"/>
        <v>AL-MD 9364.85.04S</v>
      </c>
      <c r="B1373" s="195" t="s">
        <v>1243</v>
      </c>
      <c r="C1373" s="196">
        <v>4.8</v>
      </c>
      <c r="D1373" s="196">
        <v>5.04</v>
      </c>
      <c r="E1373" s="195" t="s">
        <v>583</v>
      </c>
      <c r="F1373" s="195" t="s">
        <v>438</v>
      </c>
    </row>
    <row r="1374" spans="1:6" x14ac:dyDescent="0.25">
      <c r="A1374" s="189" t="str">
        <f t="shared" si="21"/>
        <v>AL-MD 9371.071.53N</v>
      </c>
      <c r="B1374" s="195" t="s">
        <v>1244</v>
      </c>
      <c r="C1374" s="196">
        <v>1.07</v>
      </c>
      <c r="D1374" s="196">
        <v>1.53</v>
      </c>
      <c r="E1374" s="195" t="s">
        <v>583</v>
      </c>
      <c r="F1374" s="195" t="s">
        <v>430</v>
      </c>
    </row>
    <row r="1375" spans="1:6" x14ac:dyDescent="0.25">
      <c r="A1375" s="189" t="str">
        <f t="shared" si="21"/>
        <v>AL-MD 9371.071.53S</v>
      </c>
      <c r="B1375" s="195" t="s">
        <v>1244</v>
      </c>
      <c r="C1375" s="196">
        <v>1.07</v>
      </c>
      <c r="D1375" s="196">
        <v>1.53</v>
      </c>
      <c r="E1375" s="195" t="s">
        <v>583</v>
      </c>
      <c r="F1375" s="195" t="s">
        <v>438</v>
      </c>
    </row>
    <row r="1376" spans="1:6" x14ac:dyDescent="0.25">
      <c r="A1376" s="189" t="str">
        <f t="shared" si="21"/>
        <v>AL-MD 93900.01N</v>
      </c>
      <c r="B1376" s="195" t="s">
        <v>1245</v>
      </c>
      <c r="C1376" s="196">
        <v>0</v>
      </c>
      <c r="D1376" s="196">
        <v>0.01</v>
      </c>
      <c r="E1376" s="195" t="s">
        <v>589</v>
      </c>
      <c r="F1376" s="195" t="s">
        <v>430</v>
      </c>
    </row>
    <row r="1377" spans="1:6" x14ac:dyDescent="0.25">
      <c r="A1377" s="189" t="str">
        <f t="shared" si="21"/>
        <v>AL-MD 93900.01S</v>
      </c>
      <c r="B1377" s="195" t="s">
        <v>1245</v>
      </c>
      <c r="C1377" s="196">
        <v>0</v>
      </c>
      <c r="D1377" s="196">
        <v>0.01</v>
      </c>
      <c r="E1377" s="195" t="s">
        <v>595</v>
      </c>
      <c r="F1377" s="195" t="s">
        <v>438</v>
      </c>
    </row>
    <row r="1378" spans="1:6" x14ac:dyDescent="0.25">
      <c r="A1378" s="189" t="str">
        <f t="shared" si="21"/>
        <v>AL-MD 94200.06N</v>
      </c>
      <c r="B1378" s="195" t="s">
        <v>1246</v>
      </c>
      <c r="C1378" s="196">
        <v>0</v>
      </c>
      <c r="D1378" s="196">
        <v>0.06</v>
      </c>
      <c r="E1378" s="195" t="s">
        <v>589</v>
      </c>
      <c r="F1378" s="195" t="s">
        <v>430</v>
      </c>
    </row>
    <row r="1379" spans="1:6" x14ac:dyDescent="0.25">
      <c r="A1379" s="189" t="str">
        <f t="shared" si="21"/>
        <v>AL-MD 94200.06S</v>
      </c>
      <c r="B1379" s="195" t="s">
        <v>1246</v>
      </c>
      <c r="C1379" s="196">
        <v>0</v>
      </c>
      <c r="D1379" s="196">
        <v>0.06</v>
      </c>
      <c r="E1379" s="195" t="s">
        <v>595</v>
      </c>
      <c r="F1379" s="195" t="s">
        <v>438</v>
      </c>
    </row>
    <row r="1380" spans="1:6" x14ac:dyDescent="0.25">
      <c r="A1380" s="189" t="str">
        <f t="shared" si="21"/>
        <v>AL-MD 948AD00.2N</v>
      </c>
      <c r="B1380" s="195" t="s">
        <v>1247</v>
      </c>
      <c r="C1380" s="196">
        <v>0</v>
      </c>
      <c r="D1380" s="196">
        <v>0.2</v>
      </c>
      <c r="E1380" s="195" t="s">
        <v>583</v>
      </c>
      <c r="F1380" s="195" t="s">
        <v>430</v>
      </c>
    </row>
    <row r="1381" spans="1:6" x14ac:dyDescent="0.25">
      <c r="A1381" s="189" t="str">
        <f t="shared" si="21"/>
        <v>AL-MD 948AD00.2S</v>
      </c>
      <c r="B1381" s="195" t="s">
        <v>1247</v>
      </c>
      <c r="C1381" s="196">
        <v>0</v>
      </c>
      <c r="D1381" s="196">
        <v>0.2</v>
      </c>
      <c r="E1381" s="195" t="s">
        <v>583</v>
      </c>
      <c r="F1381" s="195" t="s">
        <v>438</v>
      </c>
    </row>
    <row r="1382" spans="1:6" x14ac:dyDescent="0.25">
      <c r="A1382" s="189" t="str">
        <f t="shared" si="21"/>
        <v>AL-MD 948AE2.422.6N</v>
      </c>
      <c r="B1382" s="195" t="s">
        <v>1248</v>
      </c>
      <c r="C1382" s="196">
        <v>2.42</v>
      </c>
      <c r="D1382" s="196">
        <v>2.6</v>
      </c>
      <c r="E1382" s="195" t="s">
        <v>583</v>
      </c>
      <c r="F1382" s="195" t="s">
        <v>430</v>
      </c>
    </row>
    <row r="1383" spans="1:6" x14ac:dyDescent="0.25">
      <c r="A1383" s="189" t="str">
        <f t="shared" si="21"/>
        <v>AL-MD 948AE2.422.6S</v>
      </c>
      <c r="B1383" s="195" t="s">
        <v>1248</v>
      </c>
      <c r="C1383" s="196">
        <v>2.42</v>
      </c>
      <c r="D1383" s="196">
        <v>2.6</v>
      </c>
      <c r="E1383" s="195" t="s">
        <v>583</v>
      </c>
      <c r="F1383" s="195" t="s">
        <v>438</v>
      </c>
    </row>
    <row r="1384" spans="1:6" x14ac:dyDescent="0.25">
      <c r="A1384" s="189" t="str">
        <f t="shared" si="21"/>
        <v>AL-MD 948AF0.620.91N</v>
      </c>
      <c r="B1384" s="195" t="s">
        <v>1249</v>
      </c>
      <c r="C1384" s="196">
        <v>0.62</v>
      </c>
      <c r="D1384" s="196">
        <v>0.91</v>
      </c>
      <c r="E1384" s="195" t="s">
        <v>583</v>
      </c>
      <c r="F1384" s="195" t="s">
        <v>430</v>
      </c>
    </row>
    <row r="1385" spans="1:6" x14ac:dyDescent="0.25">
      <c r="A1385" s="189" t="str">
        <f t="shared" si="21"/>
        <v>AL-MD 948AF0.620.91S</v>
      </c>
      <c r="B1385" s="195" t="s">
        <v>1249</v>
      </c>
      <c r="C1385" s="196">
        <v>0.62</v>
      </c>
      <c r="D1385" s="196">
        <v>0.91</v>
      </c>
      <c r="E1385" s="195" t="s">
        <v>583</v>
      </c>
      <c r="F1385" s="195" t="s">
        <v>438</v>
      </c>
    </row>
    <row r="1386" spans="1:6" x14ac:dyDescent="0.25">
      <c r="A1386" s="189" t="str">
        <f t="shared" si="21"/>
        <v>AL-MD 948AL1.531.8N</v>
      </c>
      <c r="B1386" s="195" t="s">
        <v>1250</v>
      </c>
      <c r="C1386" s="196">
        <v>1.53</v>
      </c>
      <c r="D1386" s="196">
        <v>1.8</v>
      </c>
      <c r="E1386" s="195" t="s">
        <v>583</v>
      </c>
      <c r="F1386" s="195" t="s">
        <v>430</v>
      </c>
    </row>
    <row r="1387" spans="1:6" x14ac:dyDescent="0.25">
      <c r="A1387" s="189" t="str">
        <f t="shared" si="21"/>
        <v>AL-MD 948AL1.531.8S</v>
      </c>
      <c r="B1387" s="195" t="s">
        <v>1250</v>
      </c>
      <c r="C1387" s="196">
        <v>1.53</v>
      </c>
      <c r="D1387" s="196">
        <v>1.8</v>
      </c>
      <c r="E1387" s="195" t="s">
        <v>583</v>
      </c>
      <c r="F1387" s="195" t="s">
        <v>438</v>
      </c>
    </row>
    <row r="1388" spans="1:6" x14ac:dyDescent="0.25">
      <c r="A1388" s="189" t="str">
        <f t="shared" si="21"/>
        <v>AL-MD 948AL1.82.02N</v>
      </c>
      <c r="B1388" s="195" t="s">
        <v>1250</v>
      </c>
      <c r="C1388" s="196">
        <v>1.8</v>
      </c>
      <c r="D1388" s="196">
        <v>2.02</v>
      </c>
      <c r="E1388" s="195" t="s">
        <v>583</v>
      </c>
      <c r="F1388" s="195" t="s">
        <v>430</v>
      </c>
    </row>
    <row r="1389" spans="1:6" x14ac:dyDescent="0.25">
      <c r="A1389" s="189" t="str">
        <f t="shared" si="21"/>
        <v>AL-MD 948AL1.82.02S</v>
      </c>
      <c r="B1389" s="195" t="s">
        <v>1250</v>
      </c>
      <c r="C1389" s="196">
        <v>1.8</v>
      </c>
      <c r="D1389" s="196">
        <v>2.02</v>
      </c>
      <c r="E1389" s="195" t="s">
        <v>583</v>
      </c>
      <c r="F1389" s="195" t="s">
        <v>438</v>
      </c>
    </row>
    <row r="1390" spans="1:6" x14ac:dyDescent="0.25">
      <c r="A1390" s="189" t="str">
        <f t="shared" si="21"/>
        <v>AL-MD 948AM00.26E</v>
      </c>
      <c r="B1390" s="195" t="s">
        <v>1251</v>
      </c>
      <c r="C1390" s="196">
        <v>0</v>
      </c>
      <c r="D1390" s="196">
        <v>0.26</v>
      </c>
      <c r="E1390" s="195" t="s">
        <v>583</v>
      </c>
      <c r="F1390" s="195" t="s">
        <v>19</v>
      </c>
    </row>
    <row r="1391" spans="1:6" x14ac:dyDescent="0.25">
      <c r="A1391" s="189" t="str">
        <f t="shared" si="21"/>
        <v>AL-MD 948AM00.26W</v>
      </c>
      <c r="B1391" s="195" t="s">
        <v>1251</v>
      </c>
      <c r="C1391" s="196">
        <v>0</v>
      </c>
      <c r="D1391" s="196">
        <v>0.26</v>
      </c>
      <c r="E1391" s="195" t="s">
        <v>583</v>
      </c>
      <c r="F1391" s="195" t="s">
        <v>432</v>
      </c>
    </row>
    <row r="1392" spans="1:6" x14ac:dyDescent="0.25">
      <c r="A1392" s="189" t="str">
        <f t="shared" si="21"/>
        <v>AL-MD 948AM0.260.61E</v>
      </c>
      <c r="B1392" s="195" t="s">
        <v>1251</v>
      </c>
      <c r="C1392" s="196">
        <v>0.26</v>
      </c>
      <c r="D1392" s="196">
        <v>0.61</v>
      </c>
      <c r="E1392" s="195" t="s">
        <v>583</v>
      </c>
      <c r="F1392" s="195" t="s">
        <v>19</v>
      </c>
    </row>
    <row r="1393" spans="1:6" x14ac:dyDescent="0.25">
      <c r="A1393" s="189" t="str">
        <f t="shared" si="21"/>
        <v>AL-MD 948AM0.260.61W</v>
      </c>
      <c r="B1393" s="195" t="s">
        <v>1251</v>
      </c>
      <c r="C1393" s="196">
        <v>0.26</v>
      </c>
      <c r="D1393" s="196">
        <v>0.61</v>
      </c>
      <c r="E1393" s="195" t="s">
        <v>583</v>
      </c>
      <c r="F1393" s="195" t="s">
        <v>432</v>
      </c>
    </row>
    <row r="1394" spans="1:6" x14ac:dyDescent="0.25">
      <c r="A1394" s="189" t="str">
        <f t="shared" si="21"/>
        <v>AL-MD 948AO00.31N</v>
      </c>
      <c r="B1394" s="195" t="s">
        <v>1252</v>
      </c>
      <c r="C1394" s="196">
        <v>0</v>
      </c>
      <c r="D1394" s="196">
        <v>0.31</v>
      </c>
      <c r="E1394" s="195" t="s">
        <v>583</v>
      </c>
      <c r="F1394" s="195" t="s">
        <v>430</v>
      </c>
    </row>
    <row r="1395" spans="1:6" x14ac:dyDescent="0.25">
      <c r="A1395" s="189" t="str">
        <f t="shared" si="21"/>
        <v>AL-MD 948AO00.31S</v>
      </c>
      <c r="B1395" s="195" t="s">
        <v>1252</v>
      </c>
      <c r="C1395" s="196">
        <v>0</v>
      </c>
      <c r="D1395" s="196">
        <v>0.31</v>
      </c>
      <c r="E1395" s="195" t="s">
        <v>583</v>
      </c>
      <c r="F1395" s="195" t="s">
        <v>438</v>
      </c>
    </row>
    <row r="1396" spans="1:6" x14ac:dyDescent="0.25">
      <c r="A1396" s="189" t="str">
        <f t="shared" si="21"/>
        <v>AL-MD 948C00.17N</v>
      </c>
      <c r="B1396" s="195" t="s">
        <v>1253</v>
      </c>
      <c r="C1396" s="196">
        <v>0</v>
      </c>
      <c r="D1396" s="196">
        <v>0.17</v>
      </c>
      <c r="E1396" s="195" t="s">
        <v>583</v>
      </c>
      <c r="F1396" s="195" t="s">
        <v>430</v>
      </c>
    </row>
    <row r="1397" spans="1:6" x14ac:dyDescent="0.25">
      <c r="A1397" s="189" t="str">
        <f t="shared" si="21"/>
        <v>AL-MD 948C00.17S</v>
      </c>
      <c r="B1397" s="195" t="s">
        <v>1253</v>
      </c>
      <c r="C1397" s="196">
        <v>0</v>
      </c>
      <c r="D1397" s="196">
        <v>0.17</v>
      </c>
      <c r="E1397" s="195" t="s">
        <v>583</v>
      </c>
      <c r="F1397" s="195" t="s">
        <v>438</v>
      </c>
    </row>
    <row r="1398" spans="1:6" x14ac:dyDescent="0.25">
      <c r="A1398" s="189" t="str">
        <f t="shared" si="21"/>
        <v>AL-MD 948C0.170.39N</v>
      </c>
      <c r="B1398" s="195" t="s">
        <v>1253</v>
      </c>
      <c r="C1398" s="196">
        <v>0.17</v>
      </c>
      <c r="D1398" s="196">
        <v>0.39</v>
      </c>
      <c r="E1398" s="195" t="s">
        <v>583</v>
      </c>
      <c r="F1398" s="195" t="s">
        <v>430</v>
      </c>
    </row>
    <row r="1399" spans="1:6" x14ac:dyDescent="0.25">
      <c r="A1399" s="189" t="str">
        <f t="shared" si="21"/>
        <v>AL-MD 948C0.170.39S</v>
      </c>
      <c r="B1399" s="195" t="s">
        <v>1253</v>
      </c>
      <c r="C1399" s="196">
        <v>0.17</v>
      </c>
      <c r="D1399" s="196">
        <v>0.39</v>
      </c>
      <c r="E1399" s="195" t="s">
        <v>583</v>
      </c>
      <c r="F1399" s="195" t="s">
        <v>438</v>
      </c>
    </row>
    <row r="1400" spans="1:6" x14ac:dyDescent="0.25">
      <c r="A1400" s="189" t="str">
        <f t="shared" si="21"/>
        <v>AL-MD 948M00.1E</v>
      </c>
      <c r="B1400" s="195" t="s">
        <v>1254</v>
      </c>
      <c r="C1400" s="196">
        <v>0</v>
      </c>
      <c r="D1400" s="196">
        <v>0.1</v>
      </c>
      <c r="E1400" s="195" t="s">
        <v>583</v>
      </c>
      <c r="F1400" s="195" t="s">
        <v>19</v>
      </c>
    </row>
    <row r="1401" spans="1:6" x14ac:dyDescent="0.25">
      <c r="A1401" s="189" t="str">
        <f t="shared" si="21"/>
        <v>AL-MD 948M00.1W</v>
      </c>
      <c r="B1401" s="195" t="s">
        <v>1254</v>
      </c>
      <c r="C1401" s="196">
        <v>0</v>
      </c>
      <c r="D1401" s="196">
        <v>0.1</v>
      </c>
      <c r="E1401" s="195" t="s">
        <v>583</v>
      </c>
      <c r="F1401" s="195" t="s">
        <v>432</v>
      </c>
    </row>
    <row r="1402" spans="1:6" x14ac:dyDescent="0.25">
      <c r="A1402" s="189" t="str">
        <f t="shared" si="21"/>
        <v>AL-MD 948M0.10.44E</v>
      </c>
      <c r="B1402" s="195" t="s">
        <v>1254</v>
      </c>
      <c r="C1402" s="196">
        <v>0.1</v>
      </c>
      <c r="D1402" s="196">
        <v>0.44</v>
      </c>
      <c r="E1402" s="195" t="s">
        <v>583</v>
      </c>
      <c r="F1402" s="195" t="s">
        <v>19</v>
      </c>
    </row>
    <row r="1403" spans="1:6" x14ac:dyDescent="0.25">
      <c r="A1403" s="189" t="str">
        <f t="shared" si="21"/>
        <v>AL-MD 948M0.10.44W</v>
      </c>
      <c r="B1403" s="195" t="s">
        <v>1254</v>
      </c>
      <c r="C1403" s="196">
        <v>0.1</v>
      </c>
      <c r="D1403" s="196">
        <v>0.44</v>
      </c>
      <c r="E1403" s="195" t="s">
        <v>583</v>
      </c>
      <c r="F1403" s="195" t="s">
        <v>432</v>
      </c>
    </row>
    <row r="1404" spans="1:6" x14ac:dyDescent="0.25">
      <c r="A1404" s="189" t="str">
        <f t="shared" si="21"/>
        <v>AL-MD 948Y00.37N</v>
      </c>
      <c r="B1404" s="195" t="s">
        <v>1255</v>
      </c>
      <c r="C1404" s="196">
        <v>0</v>
      </c>
      <c r="D1404" s="196">
        <v>0.37</v>
      </c>
      <c r="E1404" s="195" t="s">
        <v>583</v>
      </c>
      <c r="F1404" s="195" t="s">
        <v>430</v>
      </c>
    </row>
    <row r="1405" spans="1:6" x14ac:dyDescent="0.25">
      <c r="A1405" s="189" t="str">
        <f t="shared" si="21"/>
        <v>AL-MD 948Y00.37S</v>
      </c>
      <c r="B1405" s="195" t="s">
        <v>1255</v>
      </c>
      <c r="C1405" s="196">
        <v>0</v>
      </c>
      <c r="D1405" s="196">
        <v>0.37</v>
      </c>
      <c r="E1405" s="195" t="s">
        <v>583</v>
      </c>
      <c r="F1405" s="195" t="s">
        <v>438</v>
      </c>
    </row>
    <row r="1406" spans="1:6" x14ac:dyDescent="0.25">
      <c r="A1406" s="189" t="str">
        <f t="shared" si="21"/>
        <v>AL-MD 94900.56N</v>
      </c>
      <c r="B1406" s="195" t="s">
        <v>1256</v>
      </c>
      <c r="C1406" s="196">
        <v>0</v>
      </c>
      <c r="D1406" s="196">
        <v>0.56000000000000005</v>
      </c>
      <c r="E1406" s="195" t="s">
        <v>589</v>
      </c>
      <c r="F1406" s="195" t="s">
        <v>430</v>
      </c>
    </row>
    <row r="1407" spans="1:6" x14ac:dyDescent="0.25">
      <c r="A1407" s="189" t="str">
        <f t="shared" si="21"/>
        <v>AL-MD 94900.56S</v>
      </c>
      <c r="B1407" s="195" t="s">
        <v>1256</v>
      </c>
      <c r="C1407" s="196">
        <v>0</v>
      </c>
      <c r="D1407" s="196">
        <v>0.56000000000000005</v>
      </c>
      <c r="E1407" s="195" t="s">
        <v>595</v>
      </c>
      <c r="F1407" s="195" t="s">
        <v>438</v>
      </c>
    </row>
    <row r="1408" spans="1:6" x14ac:dyDescent="0.25">
      <c r="A1408" s="189" t="str">
        <f t="shared" si="21"/>
        <v>AL-MD 949A00.12E</v>
      </c>
      <c r="B1408" s="195" t="s">
        <v>1257</v>
      </c>
      <c r="C1408" s="196">
        <v>0</v>
      </c>
      <c r="D1408" s="196">
        <v>0.12</v>
      </c>
      <c r="E1408" s="195" t="s">
        <v>598</v>
      </c>
      <c r="F1408" s="195" t="s">
        <v>19</v>
      </c>
    </row>
    <row r="1409" spans="1:6" x14ac:dyDescent="0.25">
      <c r="A1409" s="189" t="str">
        <f t="shared" si="21"/>
        <v>AL-MD 949A00.12W</v>
      </c>
      <c r="B1409" s="195" t="s">
        <v>1257</v>
      </c>
      <c r="C1409" s="196">
        <v>0</v>
      </c>
      <c r="D1409" s="196">
        <v>0.12</v>
      </c>
      <c r="E1409" s="195" t="s">
        <v>593</v>
      </c>
      <c r="F1409" s="195" t="s">
        <v>432</v>
      </c>
    </row>
    <row r="1410" spans="1:6" x14ac:dyDescent="0.25">
      <c r="A1410" s="189" t="str">
        <f t="shared" si="21"/>
        <v>AL-MD 95100.23N</v>
      </c>
      <c r="B1410" s="195" t="s">
        <v>1258</v>
      </c>
      <c r="C1410" s="196">
        <v>0</v>
      </c>
      <c r="D1410" s="196">
        <v>0.23</v>
      </c>
      <c r="E1410" s="195" t="s">
        <v>583</v>
      </c>
      <c r="F1410" s="195" t="s">
        <v>430</v>
      </c>
    </row>
    <row r="1411" spans="1:6" x14ac:dyDescent="0.25">
      <c r="A1411" s="189" t="str">
        <f t="shared" ref="A1411:A1474" si="22">B1411&amp;C1411&amp;D1411&amp;F1411</f>
        <v>AL-MD 95100.23S</v>
      </c>
      <c r="B1411" s="195" t="s">
        <v>1258</v>
      </c>
      <c r="C1411" s="196">
        <v>0</v>
      </c>
      <c r="D1411" s="196">
        <v>0.23</v>
      </c>
      <c r="E1411" s="195" t="s">
        <v>583</v>
      </c>
      <c r="F1411" s="195" t="s">
        <v>438</v>
      </c>
    </row>
    <row r="1412" spans="1:6" x14ac:dyDescent="0.25">
      <c r="A1412" s="189" t="str">
        <f t="shared" si="22"/>
        <v>AL-MD 95200.31N</v>
      </c>
      <c r="B1412" s="195" t="s">
        <v>1259</v>
      </c>
      <c r="C1412" s="196">
        <v>0</v>
      </c>
      <c r="D1412" s="196">
        <v>0.31</v>
      </c>
      <c r="E1412" s="195" t="s">
        <v>589</v>
      </c>
      <c r="F1412" s="195" t="s">
        <v>430</v>
      </c>
    </row>
    <row r="1413" spans="1:6" x14ac:dyDescent="0.25">
      <c r="A1413" s="189" t="str">
        <f t="shared" si="22"/>
        <v>AL-MD 95200.31S</v>
      </c>
      <c r="B1413" s="195" t="s">
        <v>1259</v>
      </c>
      <c r="C1413" s="196">
        <v>0</v>
      </c>
      <c r="D1413" s="196">
        <v>0.31</v>
      </c>
      <c r="E1413" s="195" t="s">
        <v>595</v>
      </c>
      <c r="F1413" s="195" t="s">
        <v>438</v>
      </c>
    </row>
    <row r="1414" spans="1:6" x14ac:dyDescent="0.25">
      <c r="A1414" s="189" t="str">
        <f t="shared" si="22"/>
        <v>AL-MD 952A00.18E</v>
      </c>
      <c r="B1414" s="195" t="s">
        <v>1260</v>
      </c>
      <c r="C1414" s="196">
        <v>0</v>
      </c>
      <c r="D1414" s="196">
        <v>0.18</v>
      </c>
      <c r="E1414" s="195" t="s">
        <v>598</v>
      </c>
      <c r="F1414" s="195" t="s">
        <v>19</v>
      </c>
    </row>
    <row r="1415" spans="1:6" x14ac:dyDescent="0.25">
      <c r="A1415" s="189" t="str">
        <f t="shared" si="22"/>
        <v>AL-MD 952A00.18W</v>
      </c>
      <c r="B1415" s="195" t="s">
        <v>1260</v>
      </c>
      <c r="C1415" s="196">
        <v>0</v>
      </c>
      <c r="D1415" s="196">
        <v>0.18</v>
      </c>
      <c r="E1415" s="195" t="s">
        <v>593</v>
      </c>
      <c r="F1415" s="195" t="s">
        <v>432</v>
      </c>
    </row>
    <row r="1416" spans="1:6" x14ac:dyDescent="0.25">
      <c r="A1416" s="189" t="str">
        <f t="shared" si="22"/>
        <v>AL-MD 952B00.05N</v>
      </c>
      <c r="B1416" s="195" t="s">
        <v>1261</v>
      </c>
      <c r="C1416" s="196">
        <v>0</v>
      </c>
      <c r="D1416" s="196">
        <v>0.05</v>
      </c>
      <c r="E1416" s="195" t="s">
        <v>589</v>
      </c>
      <c r="F1416" s="195" t="s">
        <v>430</v>
      </c>
    </row>
    <row r="1417" spans="1:6" x14ac:dyDescent="0.25">
      <c r="A1417" s="189" t="str">
        <f t="shared" si="22"/>
        <v>AL-MD 952B00.05S</v>
      </c>
      <c r="B1417" s="195" t="s">
        <v>1261</v>
      </c>
      <c r="C1417" s="196">
        <v>0</v>
      </c>
      <c r="D1417" s="196">
        <v>0.05</v>
      </c>
      <c r="E1417" s="195" t="s">
        <v>595</v>
      </c>
      <c r="F1417" s="195" t="s">
        <v>438</v>
      </c>
    </row>
    <row r="1418" spans="1:6" x14ac:dyDescent="0.25">
      <c r="A1418" s="189" t="str">
        <f t="shared" si="22"/>
        <v>AL-MD 95600.43E</v>
      </c>
      <c r="B1418" s="195" t="s">
        <v>1262</v>
      </c>
      <c r="C1418" s="196">
        <v>0</v>
      </c>
      <c r="D1418" s="196">
        <v>0.43</v>
      </c>
      <c r="E1418" s="195" t="s">
        <v>598</v>
      </c>
      <c r="F1418" s="195" t="s">
        <v>19</v>
      </c>
    </row>
    <row r="1419" spans="1:6" x14ac:dyDescent="0.25">
      <c r="A1419" s="189" t="str">
        <f t="shared" si="22"/>
        <v>AL-MD 95600.43W</v>
      </c>
      <c r="B1419" s="195" t="s">
        <v>1262</v>
      </c>
      <c r="C1419" s="196">
        <v>0</v>
      </c>
      <c r="D1419" s="196">
        <v>0.43</v>
      </c>
      <c r="E1419" s="195" t="s">
        <v>593</v>
      </c>
      <c r="F1419" s="195" t="s">
        <v>432</v>
      </c>
    </row>
    <row r="1420" spans="1:6" x14ac:dyDescent="0.25">
      <c r="A1420" s="189" t="str">
        <f t="shared" si="22"/>
        <v>AL-MD 9560.430.53E</v>
      </c>
      <c r="B1420" s="195" t="s">
        <v>1262</v>
      </c>
      <c r="C1420" s="196">
        <v>0.43</v>
      </c>
      <c r="D1420" s="196">
        <v>0.53</v>
      </c>
      <c r="E1420" s="195" t="s">
        <v>598</v>
      </c>
      <c r="F1420" s="195" t="s">
        <v>19</v>
      </c>
    </row>
    <row r="1421" spans="1:6" x14ac:dyDescent="0.25">
      <c r="A1421" s="189" t="str">
        <f t="shared" si="22"/>
        <v>AL-MD 9560.430.53W</v>
      </c>
      <c r="B1421" s="195" t="s">
        <v>1262</v>
      </c>
      <c r="C1421" s="196">
        <v>0.43</v>
      </c>
      <c r="D1421" s="196">
        <v>0.53</v>
      </c>
      <c r="E1421" s="195" t="s">
        <v>593</v>
      </c>
      <c r="F1421" s="195" t="s">
        <v>432</v>
      </c>
    </row>
    <row r="1422" spans="1:6" x14ac:dyDescent="0.25">
      <c r="A1422" s="189" t="str">
        <f t="shared" si="22"/>
        <v>AL-MU 237000.09W</v>
      </c>
      <c r="B1422" s="195" t="s">
        <v>1263</v>
      </c>
      <c r="C1422" s="196">
        <v>0</v>
      </c>
      <c r="D1422" s="196">
        <v>0.09</v>
      </c>
      <c r="E1422" s="195" t="s">
        <v>593</v>
      </c>
      <c r="F1422" s="195" t="s">
        <v>432</v>
      </c>
    </row>
    <row r="1423" spans="1:6" x14ac:dyDescent="0.25">
      <c r="A1423" s="189" t="str">
        <f t="shared" si="22"/>
        <v>AL-MU 237000.97E</v>
      </c>
      <c r="B1423" s="195" t="s">
        <v>1263</v>
      </c>
      <c r="C1423" s="196">
        <v>0</v>
      </c>
      <c r="D1423" s="196">
        <v>0.97</v>
      </c>
      <c r="E1423" s="195" t="s">
        <v>598</v>
      </c>
      <c r="F1423" s="195" t="s">
        <v>19</v>
      </c>
    </row>
    <row r="1424" spans="1:6" x14ac:dyDescent="0.25">
      <c r="A1424" s="189" t="str">
        <f t="shared" si="22"/>
        <v>AL-MU 23700.090.88W</v>
      </c>
      <c r="B1424" s="195" t="s">
        <v>1263</v>
      </c>
      <c r="C1424" s="196">
        <v>0.09</v>
      </c>
      <c r="D1424" s="196">
        <v>0.88</v>
      </c>
      <c r="E1424" s="195" t="s">
        <v>593</v>
      </c>
      <c r="F1424" s="195" t="s">
        <v>432</v>
      </c>
    </row>
    <row r="1425" spans="1:6" x14ac:dyDescent="0.25">
      <c r="A1425" s="189" t="str">
        <f t="shared" si="22"/>
        <v>AL-MU 23700.880.97W</v>
      </c>
      <c r="B1425" s="195" t="s">
        <v>1263</v>
      </c>
      <c r="C1425" s="196">
        <v>0.88</v>
      </c>
      <c r="D1425" s="196">
        <v>0.97</v>
      </c>
      <c r="E1425" s="195" t="s">
        <v>593</v>
      </c>
      <c r="F1425" s="195" t="s">
        <v>432</v>
      </c>
    </row>
    <row r="1426" spans="1:6" x14ac:dyDescent="0.25">
      <c r="A1426" s="189" t="str">
        <f t="shared" si="22"/>
        <v>AL-MU 237100.19E</v>
      </c>
      <c r="B1426" s="195" t="s">
        <v>1264</v>
      </c>
      <c r="C1426" s="196">
        <v>0</v>
      </c>
      <c r="D1426" s="196">
        <v>0.19</v>
      </c>
      <c r="E1426" s="195" t="s">
        <v>598</v>
      </c>
      <c r="F1426" s="195" t="s">
        <v>19</v>
      </c>
    </row>
    <row r="1427" spans="1:6" x14ac:dyDescent="0.25">
      <c r="A1427" s="189" t="str">
        <f t="shared" si="22"/>
        <v>AL-MU 237100.19W</v>
      </c>
      <c r="B1427" s="195" t="s">
        <v>1264</v>
      </c>
      <c r="C1427" s="196">
        <v>0</v>
      </c>
      <c r="D1427" s="196">
        <v>0.19</v>
      </c>
      <c r="E1427" s="195" t="s">
        <v>593</v>
      </c>
      <c r="F1427" s="195" t="s">
        <v>432</v>
      </c>
    </row>
    <row r="1428" spans="1:6" x14ac:dyDescent="0.25">
      <c r="A1428" s="189" t="str">
        <f t="shared" si="22"/>
        <v>AL-MU 6800.040.38N</v>
      </c>
      <c r="B1428" s="195" t="s">
        <v>1265</v>
      </c>
      <c r="C1428" s="196">
        <v>0.04</v>
      </c>
      <c r="D1428" s="196">
        <v>0.38</v>
      </c>
      <c r="E1428" s="195" t="s">
        <v>589</v>
      </c>
      <c r="F1428" s="195" t="s">
        <v>430</v>
      </c>
    </row>
    <row r="1429" spans="1:6" x14ac:dyDescent="0.25">
      <c r="A1429" s="189" t="str">
        <f t="shared" si="22"/>
        <v>AL-MU 68100.85N</v>
      </c>
      <c r="B1429" s="195" t="s">
        <v>1266</v>
      </c>
      <c r="C1429" s="196">
        <v>0</v>
      </c>
      <c r="D1429" s="196">
        <v>0.85</v>
      </c>
      <c r="E1429" s="195" t="s">
        <v>589</v>
      </c>
      <c r="F1429" s="195" t="s">
        <v>430</v>
      </c>
    </row>
    <row r="1430" spans="1:6" x14ac:dyDescent="0.25">
      <c r="A1430" s="189" t="str">
        <f t="shared" si="22"/>
        <v>AL-MU 6810.490.53S</v>
      </c>
      <c r="B1430" s="195" t="s">
        <v>1266</v>
      </c>
      <c r="C1430" s="196">
        <v>0.49</v>
      </c>
      <c r="D1430" s="196">
        <v>0.53</v>
      </c>
      <c r="E1430" s="195" t="s">
        <v>595</v>
      </c>
      <c r="F1430" s="195" t="s">
        <v>438</v>
      </c>
    </row>
    <row r="1431" spans="1:6" x14ac:dyDescent="0.25">
      <c r="A1431" s="189" t="str">
        <f t="shared" si="22"/>
        <v>AL-US 22000.43N</v>
      </c>
      <c r="B1431" s="195" t="s">
        <v>551</v>
      </c>
      <c r="C1431" s="196">
        <v>0</v>
      </c>
      <c r="D1431" s="196">
        <v>0.43</v>
      </c>
      <c r="E1431" s="195" t="s">
        <v>583</v>
      </c>
      <c r="F1431" s="195" t="s">
        <v>430</v>
      </c>
    </row>
    <row r="1432" spans="1:6" x14ac:dyDescent="0.25">
      <c r="A1432" s="189" t="str">
        <f t="shared" si="22"/>
        <v>AL-US 22000.43S</v>
      </c>
      <c r="B1432" s="195" t="s">
        <v>551</v>
      </c>
      <c r="C1432" s="196">
        <v>0</v>
      </c>
      <c r="D1432" s="196">
        <v>0.43</v>
      </c>
      <c r="E1432" s="195" t="s">
        <v>583</v>
      </c>
      <c r="F1432" s="195" t="s">
        <v>438</v>
      </c>
    </row>
    <row r="1433" spans="1:6" x14ac:dyDescent="0.25">
      <c r="A1433" s="189" t="str">
        <f t="shared" si="22"/>
        <v>AL-US 2200.430.6N</v>
      </c>
      <c r="B1433" s="195" t="s">
        <v>551</v>
      </c>
      <c r="C1433" s="196">
        <v>0.43</v>
      </c>
      <c r="D1433" s="196">
        <v>0.6</v>
      </c>
      <c r="E1433" s="195" t="s">
        <v>583</v>
      </c>
      <c r="F1433" s="195" t="s">
        <v>430</v>
      </c>
    </row>
    <row r="1434" spans="1:6" x14ac:dyDescent="0.25">
      <c r="A1434" s="189" t="str">
        <f t="shared" si="22"/>
        <v>AL-US 2200.430.6S</v>
      </c>
      <c r="B1434" s="195" t="s">
        <v>551</v>
      </c>
      <c r="C1434" s="196">
        <v>0.43</v>
      </c>
      <c r="D1434" s="196">
        <v>0.6</v>
      </c>
      <c r="E1434" s="195" t="s">
        <v>583</v>
      </c>
      <c r="F1434" s="195" t="s">
        <v>438</v>
      </c>
    </row>
    <row r="1435" spans="1:6" x14ac:dyDescent="0.25">
      <c r="A1435" s="189" t="str">
        <f t="shared" si="22"/>
        <v>AL-US 2200.61.43N</v>
      </c>
      <c r="B1435" s="195" t="s">
        <v>551</v>
      </c>
      <c r="C1435" s="196">
        <v>0.6</v>
      </c>
      <c r="D1435" s="196">
        <v>1.43</v>
      </c>
      <c r="E1435" s="195" t="s">
        <v>583</v>
      </c>
      <c r="F1435" s="195" t="s">
        <v>430</v>
      </c>
    </row>
    <row r="1436" spans="1:6" x14ac:dyDescent="0.25">
      <c r="A1436" s="189" t="str">
        <f t="shared" si="22"/>
        <v>AL-US 2200.61.43S</v>
      </c>
      <c r="B1436" s="195" t="s">
        <v>551</v>
      </c>
      <c r="C1436" s="196">
        <v>0.6</v>
      </c>
      <c r="D1436" s="196">
        <v>1.43</v>
      </c>
      <c r="E1436" s="195" t="s">
        <v>583</v>
      </c>
      <c r="F1436" s="195" t="s">
        <v>438</v>
      </c>
    </row>
    <row r="1437" spans="1:6" x14ac:dyDescent="0.25">
      <c r="A1437" s="189" t="str">
        <f t="shared" si="22"/>
        <v>AL-US 2201.431.84N</v>
      </c>
      <c r="B1437" s="195" t="s">
        <v>551</v>
      </c>
      <c r="C1437" s="196">
        <v>1.43</v>
      </c>
      <c r="D1437" s="196">
        <v>1.84</v>
      </c>
      <c r="E1437" s="195" t="s">
        <v>583</v>
      </c>
      <c r="F1437" s="195" t="s">
        <v>430</v>
      </c>
    </row>
    <row r="1438" spans="1:6" x14ac:dyDescent="0.25">
      <c r="A1438" s="189" t="str">
        <f t="shared" si="22"/>
        <v>AL-US 2201.431.84S</v>
      </c>
      <c r="B1438" s="195" t="s">
        <v>551</v>
      </c>
      <c r="C1438" s="196">
        <v>1.43</v>
      </c>
      <c r="D1438" s="196">
        <v>1.84</v>
      </c>
      <c r="E1438" s="195" t="s">
        <v>583</v>
      </c>
      <c r="F1438" s="195" t="s">
        <v>438</v>
      </c>
    </row>
    <row r="1439" spans="1:6" x14ac:dyDescent="0.25">
      <c r="A1439" s="189" t="str">
        <f t="shared" si="22"/>
        <v>AL-US 2201.844.92N</v>
      </c>
      <c r="B1439" s="195" t="s">
        <v>551</v>
      </c>
      <c r="C1439" s="196">
        <v>1.84</v>
      </c>
      <c r="D1439" s="196">
        <v>4.92</v>
      </c>
      <c r="E1439" s="195" t="s">
        <v>589</v>
      </c>
      <c r="F1439" s="195" t="s">
        <v>430</v>
      </c>
    </row>
    <row r="1440" spans="1:6" x14ac:dyDescent="0.25">
      <c r="A1440" s="189" t="str">
        <f t="shared" si="22"/>
        <v>AL-US 2201.849.4S</v>
      </c>
      <c r="B1440" s="195" t="s">
        <v>551</v>
      </c>
      <c r="C1440" s="196">
        <v>1.84</v>
      </c>
      <c r="D1440" s="196">
        <v>9.4</v>
      </c>
      <c r="E1440" s="195" t="s">
        <v>595</v>
      </c>
      <c r="F1440" s="195" t="s">
        <v>438</v>
      </c>
    </row>
    <row r="1441" spans="1:6" x14ac:dyDescent="0.25">
      <c r="A1441" s="189" t="str">
        <f t="shared" si="22"/>
        <v>AL-US 2204.925.9N</v>
      </c>
      <c r="B1441" s="195" t="s">
        <v>551</v>
      </c>
      <c r="C1441" s="196">
        <v>4.92</v>
      </c>
      <c r="D1441" s="196">
        <v>5.9</v>
      </c>
      <c r="E1441" s="195" t="s">
        <v>589</v>
      </c>
      <c r="F1441" s="195" t="s">
        <v>430</v>
      </c>
    </row>
    <row r="1442" spans="1:6" x14ac:dyDescent="0.25">
      <c r="A1442" s="189" t="str">
        <f t="shared" si="22"/>
        <v>AL-US 2205.99.4N</v>
      </c>
      <c r="B1442" s="195" t="s">
        <v>551</v>
      </c>
      <c r="C1442" s="196">
        <v>5.9</v>
      </c>
      <c r="D1442" s="196">
        <v>9.4</v>
      </c>
      <c r="E1442" s="195" t="s">
        <v>589</v>
      </c>
      <c r="F1442" s="195" t="s">
        <v>430</v>
      </c>
    </row>
    <row r="1443" spans="1:6" x14ac:dyDescent="0.25">
      <c r="A1443" s="189" t="str">
        <f t="shared" si="22"/>
        <v>AL-US 2209.410.73S</v>
      </c>
      <c r="B1443" s="195" t="s">
        <v>551</v>
      </c>
      <c r="C1443" s="196">
        <v>9.4</v>
      </c>
      <c r="D1443" s="196">
        <v>10.73</v>
      </c>
      <c r="E1443" s="195" t="s">
        <v>595</v>
      </c>
      <c r="F1443" s="195" t="s">
        <v>438</v>
      </c>
    </row>
    <row r="1444" spans="1:6" x14ac:dyDescent="0.25">
      <c r="A1444" s="189" t="str">
        <f t="shared" si="22"/>
        <v>AL-US 2209.412.22N</v>
      </c>
      <c r="B1444" s="195" t="s">
        <v>551</v>
      </c>
      <c r="C1444" s="196">
        <v>9.4</v>
      </c>
      <c r="D1444" s="196">
        <v>12.22</v>
      </c>
      <c r="E1444" s="195" t="s">
        <v>589</v>
      </c>
      <c r="F1444" s="195" t="s">
        <v>430</v>
      </c>
    </row>
    <row r="1445" spans="1:6" x14ac:dyDescent="0.25">
      <c r="A1445" s="189" t="str">
        <f t="shared" si="22"/>
        <v>AL-US 22010.9212.22S</v>
      </c>
      <c r="B1445" s="195" t="s">
        <v>551</v>
      </c>
      <c r="C1445" s="196">
        <v>10.92</v>
      </c>
      <c r="D1445" s="196">
        <v>12.22</v>
      </c>
      <c r="E1445" s="195" t="s">
        <v>595</v>
      </c>
      <c r="F1445" s="195" t="s">
        <v>438</v>
      </c>
    </row>
    <row r="1446" spans="1:6" x14ac:dyDescent="0.25">
      <c r="A1446" s="189" t="str">
        <f t="shared" si="22"/>
        <v>AL-US 22012.2213.03N</v>
      </c>
      <c r="B1446" s="195" t="s">
        <v>551</v>
      </c>
      <c r="C1446" s="196">
        <v>12.22</v>
      </c>
      <c r="D1446" s="196">
        <v>13.03</v>
      </c>
      <c r="E1446" s="195" t="s">
        <v>583</v>
      </c>
      <c r="F1446" s="195" t="s">
        <v>430</v>
      </c>
    </row>
    <row r="1447" spans="1:6" x14ac:dyDescent="0.25">
      <c r="A1447" s="189" t="str">
        <f t="shared" si="22"/>
        <v>AL-US 22012.2213.03S</v>
      </c>
      <c r="B1447" s="195" t="s">
        <v>551</v>
      </c>
      <c r="C1447" s="196">
        <v>12.22</v>
      </c>
      <c r="D1447" s="196">
        <v>13.03</v>
      </c>
      <c r="E1447" s="195" t="s">
        <v>583</v>
      </c>
      <c r="F1447" s="195" t="s">
        <v>438</v>
      </c>
    </row>
    <row r="1448" spans="1:6" x14ac:dyDescent="0.25">
      <c r="A1448" s="189" t="str">
        <f t="shared" si="22"/>
        <v>AL-US 22013.0313.17N</v>
      </c>
      <c r="B1448" s="195" t="s">
        <v>551</v>
      </c>
      <c r="C1448" s="196">
        <v>13.03</v>
      </c>
      <c r="D1448" s="196">
        <v>13.17</v>
      </c>
      <c r="E1448" s="195" t="s">
        <v>583</v>
      </c>
      <c r="F1448" s="195" t="s">
        <v>430</v>
      </c>
    </row>
    <row r="1449" spans="1:6" x14ac:dyDescent="0.25">
      <c r="A1449" s="189" t="str">
        <f t="shared" si="22"/>
        <v>AL-US 22013.0313.17S</v>
      </c>
      <c r="B1449" s="195" t="s">
        <v>551</v>
      </c>
      <c r="C1449" s="196">
        <v>13.03</v>
      </c>
      <c r="D1449" s="196">
        <v>13.17</v>
      </c>
      <c r="E1449" s="195" t="s">
        <v>583</v>
      </c>
      <c r="F1449" s="195" t="s">
        <v>438</v>
      </c>
    </row>
    <row r="1450" spans="1:6" x14ac:dyDescent="0.25">
      <c r="A1450" s="189" t="str">
        <f t="shared" si="22"/>
        <v>AL-US 22013.1713.94N</v>
      </c>
      <c r="B1450" s="195" t="s">
        <v>551</v>
      </c>
      <c r="C1450" s="196">
        <v>13.17</v>
      </c>
      <c r="D1450" s="196">
        <v>13.94</v>
      </c>
      <c r="E1450" s="195" t="s">
        <v>583</v>
      </c>
      <c r="F1450" s="195" t="s">
        <v>430</v>
      </c>
    </row>
    <row r="1451" spans="1:6" x14ac:dyDescent="0.25">
      <c r="A1451" s="189" t="str">
        <f t="shared" si="22"/>
        <v>AL-US 22013.1713.94S</v>
      </c>
      <c r="B1451" s="195" t="s">
        <v>551</v>
      </c>
      <c r="C1451" s="196">
        <v>13.17</v>
      </c>
      <c r="D1451" s="196">
        <v>13.94</v>
      </c>
      <c r="E1451" s="195" t="s">
        <v>583</v>
      </c>
      <c r="F1451" s="195" t="s">
        <v>438</v>
      </c>
    </row>
    <row r="1452" spans="1:6" x14ac:dyDescent="0.25">
      <c r="A1452" s="189" t="str">
        <f t="shared" si="22"/>
        <v>AL-US 22013.9416.68N</v>
      </c>
      <c r="B1452" s="195" t="s">
        <v>551</v>
      </c>
      <c r="C1452" s="196">
        <v>13.94</v>
      </c>
      <c r="D1452" s="196">
        <v>16.68</v>
      </c>
      <c r="E1452" s="195" t="s">
        <v>583</v>
      </c>
      <c r="F1452" s="195" t="s">
        <v>430</v>
      </c>
    </row>
    <row r="1453" spans="1:6" x14ac:dyDescent="0.25">
      <c r="A1453" s="189" t="str">
        <f t="shared" si="22"/>
        <v>AL-US 22013.9416.68S</v>
      </c>
      <c r="B1453" s="195" t="s">
        <v>551</v>
      </c>
      <c r="C1453" s="196">
        <v>13.94</v>
      </c>
      <c r="D1453" s="196">
        <v>16.68</v>
      </c>
      <c r="E1453" s="195" t="s">
        <v>583</v>
      </c>
      <c r="F1453" s="195" t="s">
        <v>438</v>
      </c>
    </row>
    <row r="1454" spans="1:6" x14ac:dyDescent="0.25">
      <c r="A1454" s="189" t="str">
        <f t="shared" si="22"/>
        <v>AL-US 22016.6817.93N</v>
      </c>
      <c r="B1454" s="195" t="s">
        <v>551</v>
      </c>
      <c r="C1454" s="196">
        <v>16.68</v>
      </c>
      <c r="D1454" s="196">
        <v>17.93</v>
      </c>
      <c r="E1454" s="195" t="s">
        <v>583</v>
      </c>
      <c r="F1454" s="195" t="s">
        <v>430</v>
      </c>
    </row>
    <row r="1455" spans="1:6" x14ac:dyDescent="0.25">
      <c r="A1455" s="189" t="str">
        <f t="shared" si="22"/>
        <v>AL-US 22016.6817.93S</v>
      </c>
      <c r="B1455" s="195" t="s">
        <v>551</v>
      </c>
      <c r="C1455" s="196">
        <v>16.68</v>
      </c>
      <c r="D1455" s="196">
        <v>17.93</v>
      </c>
      <c r="E1455" s="195" t="s">
        <v>583</v>
      </c>
      <c r="F1455" s="195" t="s">
        <v>438</v>
      </c>
    </row>
    <row r="1456" spans="1:6" x14ac:dyDescent="0.25">
      <c r="A1456" s="189" t="str">
        <f t="shared" si="22"/>
        <v>AL-US 22017.9318.86N</v>
      </c>
      <c r="B1456" s="195" t="s">
        <v>551</v>
      </c>
      <c r="C1456" s="196">
        <v>17.93</v>
      </c>
      <c r="D1456" s="196">
        <v>18.86</v>
      </c>
      <c r="E1456" s="195" t="s">
        <v>583</v>
      </c>
      <c r="F1456" s="195" t="s">
        <v>430</v>
      </c>
    </row>
    <row r="1457" spans="1:6" x14ac:dyDescent="0.25">
      <c r="A1457" s="189" t="str">
        <f t="shared" si="22"/>
        <v>AL-US 22017.9318.86S</v>
      </c>
      <c r="B1457" s="195" t="s">
        <v>551</v>
      </c>
      <c r="C1457" s="196">
        <v>17.93</v>
      </c>
      <c r="D1457" s="196">
        <v>18.86</v>
      </c>
      <c r="E1457" s="195" t="s">
        <v>583</v>
      </c>
      <c r="F1457" s="195" t="s">
        <v>438</v>
      </c>
    </row>
    <row r="1458" spans="1:6" x14ac:dyDescent="0.25">
      <c r="A1458" s="189" t="str">
        <f t="shared" si="22"/>
        <v>AL-US 22018.8623.58N</v>
      </c>
      <c r="B1458" s="195" t="s">
        <v>551</v>
      </c>
      <c r="C1458" s="196">
        <v>18.86</v>
      </c>
      <c r="D1458" s="196">
        <v>23.58</v>
      </c>
      <c r="E1458" s="195" t="s">
        <v>583</v>
      </c>
      <c r="F1458" s="195" t="s">
        <v>430</v>
      </c>
    </row>
    <row r="1459" spans="1:6" x14ac:dyDescent="0.25">
      <c r="A1459" s="189" t="str">
        <f t="shared" si="22"/>
        <v>AL-US 22018.8623.58S</v>
      </c>
      <c r="B1459" s="195" t="s">
        <v>551</v>
      </c>
      <c r="C1459" s="196">
        <v>18.86</v>
      </c>
      <c r="D1459" s="196">
        <v>23.58</v>
      </c>
      <c r="E1459" s="195" t="s">
        <v>583</v>
      </c>
      <c r="F1459" s="195" t="s">
        <v>438</v>
      </c>
    </row>
    <row r="1460" spans="1:6" x14ac:dyDescent="0.25">
      <c r="A1460" s="189" t="str">
        <f t="shared" si="22"/>
        <v>AL-US 22023.5825.21N</v>
      </c>
      <c r="B1460" s="195" t="s">
        <v>551</v>
      </c>
      <c r="C1460" s="196">
        <v>23.58</v>
      </c>
      <c r="D1460" s="196">
        <v>25.21</v>
      </c>
      <c r="E1460" s="195" t="s">
        <v>583</v>
      </c>
      <c r="F1460" s="195" t="s">
        <v>430</v>
      </c>
    </row>
    <row r="1461" spans="1:6" x14ac:dyDescent="0.25">
      <c r="A1461" s="189" t="str">
        <f t="shared" si="22"/>
        <v>AL-US 22023.5825.21S</v>
      </c>
      <c r="B1461" s="195" t="s">
        <v>551</v>
      </c>
      <c r="C1461" s="196">
        <v>23.58</v>
      </c>
      <c r="D1461" s="196">
        <v>25.21</v>
      </c>
      <c r="E1461" s="195" t="s">
        <v>583</v>
      </c>
      <c r="F1461" s="195" t="s">
        <v>438</v>
      </c>
    </row>
    <row r="1462" spans="1:6" x14ac:dyDescent="0.25">
      <c r="A1462" s="189" t="str">
        <f t="shared" si="22"/>
        <v>AL-US 22025.2127.35N</v>
      </c>
      <c r="B1462" s="195" t="s">
        <v>551</v>
      </c>
      <c r="C1462" s="196">
        <v>25.21</v>
      </c>
      <c r="D1462" s="196">
        <v>27.35</v>
      </c>
      <c r="E1462" s="195" t="s">
        <v>583</v>
      </c>
      <c r="F1462" s="195" t="s">
        <v>430</v>
      </c>
    </row>
    <row r="1463" spans="1:6" x14ac:dyDescent="0.25">
      <c r="A1463" s="189" t="str">
        <f t="shared" si="22"/>
        <v>AL-US 22025.2127.35S</v>
      </c>
      <c r="B1463" s="195" t="s">
        <v>551</v>
      </c>
      <c r="C1463" s="196">
        <v>25.21</v>
      </c>
      <c r="D1463" s="196">
        <v>27.35</v>
      </c>
      <c r="E1463" s="195" t="s">
        <v>583</v>
      </c>
      <c r="F1463" s="195" t="s">
        <v>438</v>
      </c>
    </row>
    <row r="1464" spans="1:6" x14ac:dyDescent="0.25">
      <c r="A1464" s="189" t="str">
        <f t="shared" si="22"/>
        <v>AL-US 40AB00.04N</v>
      </c>
      <c r="B1464" s="195" t="s">
        <v>1267</v>
      </c>
      <c r="C1464" s="196">
        <v>0</v>
      </c>
      <c r="D1464" s="196">
        <v>0.04</v>
      </c>
      <c r="E1464" s="195" t="s">
        <v>589</v>
      </c>
      <c r="F1464" s="195" t="s">
        <v>430</v>
      </c>
    </row>
    <row r="1465" spans="1:6" x14ac:dyDescent="0.25">
      <c r="A1465" s="189" t="str">
        <f t="shared" si="22"/>
        <v>AL-US 40AB00.04S</v>
      </c>
      <c r="B1465" s="195" t="s">
        <v>1267</v>
      </c>
      <c r="C1465" s="196">
        <v>0</v>
      </c>
      <c r="D1465" s="196">
        <v>0.04</v>
      </c>
      <c r="E1465" s="195" t="s">
        <v>595</v>
      </c>
      <c r="F1465" s="195" t="s">
        <v>438</v>
      </c>
    </row>
    <row r="1466" spans="1:6" x14ac:dyDescent="0.25">
      <c r="A1466" s="189" t="str">
        <f t="shared" si="22"/>
        <v>AL-US 40AF00.02N</v>
      </c>
      <c r="B1466" s="195" t="s">
        <v>1268</v>
      </c>
      <c r="C1466" s="196">
        <v>0</v>
      </c>
      <c r="D1466" s="196">
        <v>0.02</v>
      </c>
      <c r="E1466" s="195" t="s">
        <v>589</v>
      </c>
      <c r="F1466" s="195" t="s">
        <v>430</v>
      </c>
    </row>
    <row r="1467" spans="1:6" x14ac:dyDescent="0.25">
      <c r="A1467" s="189" t="str">
        <f t="shared" si="22"/>
        <v>AL-US 40AF00.02S</v>
      </c>
      <c r="B1467" s="195" t="s">
        <v>1268</v>
      </c>
      <c r="C1467" s="196">
        <v>0</v>
      </c>
      <c r="D1467" s="196">
        <v>0.02</v>
      </c>
      <c r="E1467" s="195" t="s">
        <v>595</v>
      </c>
      <c r="F1467" s="195" t="s">
        <v>438</v>
      </c>
    </row>
    <row r="1468" spans="1:6" x14ac:dyDescent="0.25">
      <c r="A1468" s="189" t="str">
        <f t="shared" si="22"/>
        <v>AL-US 40AL00.8E</v>
      </c>
      <c r="B1468" s="195" t="s">
        <v>552</v>
      </c>
      <c r="C1468" s="196">
        <v>0</v>
      </c>
      <c r="D1468" s="196">
        <v>0.8</v>
      </c>
      <c r="E1468" s="195" t="s">
        <v>583</v>
      </c>
      <c r="F1468" s="195" t="s">
        <v>19</v>
      </c>
    </row>
    <row r="1469" spans="1:6" x14ac:dyDescent="0.25">
      <c r="A1469" s="189" t="str">
        <f t="shared" si="22"/>
        <v>AL-US 40AL00.8W</v>
      </c>
      <c r="B1469" s="195" t="s">
        <v>552</v>
      </c>
      <c r="C1469" s="196">
        <v>0</v>
      </c>
      <c r="D1469" s="196">
        <v>0.8</v>
      </c>
      <c r="E1469" s="195" t="s">
        <v>583</v>
      </c>
      <c r="F1469" s="195" t="s">
        <v>432</v>
      </c>
    </row>
    <row r="1470" spans="1:6" x14ac:dyDescent="0.25">
      <c r="A1470" s="189" t="str">
        <f t="shared" si="22"/>
        <v>AL-US 40AL0.80.94E</v>
      </c>
      <c r="B1470" s="195" t="s">
        <v>552</v>
      </c>
      <c r="C1470" s="196">
        <v>0.8</v>
      </c>
      <c r="D1470" s="196">
        <v>0.94</v>
      </c>
      <c r="E1470" s="195" t="s">
        <v>583</v>
      </c>
      <c r="F1470" s="195" t="s">
        <v>19</v>
      </c>
    </row>
    <row r="1471" spans="1:6" x14ac:dyDescent="0.25">
      <c r="A1471" s="189" t="str">
        <f t="shared" si="22"/>
        <v>AL-US 40AL0.80.94W</v>
      </c>
      <c r="B1471" s="195" t="s">
        <v>552</v>
      </c>
      <c r="C1471" s="196">
        <v>0.8</v>
      </c>
      <c r="D1471" s="196">
        <v>0.94</v>
      </c>
      <c r="E1471" s="195" t="s">
        <v>583</v>
      </c>
      <c r="F1471" s="195" t="s">
        <v>432</v>
      </c>
    </row>
    <row r="1472" spans="1:6" x14ac:dyDescent="0.25">
      <c r="A1472" s="189" t="str">
        <f t="shared" si="22"/>
        <v>AL-US 40AL0.942.55E</v>
      </c>
      <c r="B1472" s="195" t="s">
        <v>552</v>
      </c>
      <c r="C1472" s="196">
        <v>0.94</v>
      </c>
      <c r="D1472" s="196">
        <v>2.5499999999999998</v>
      </c>
      <c r="E1472" s="195" t="s">
        <v>583</v>
      </c>
      <c r="F1472" s="195" t="s">
        <v>19</v>
      </c>
    </row>
    <row r="1473" spans="1:6" x14ac:dyDescent="0.25">
      <c r="A1473" s="189" t="str">
        <f t="shared" si="22"/>
        <v>AL-US 40AL0.942.55W</v>
      </c>
      <c r="B1473" s="195" t="s">
        <v>552</v>
      </c>
      <c r="C1473" s="196">
        <v>0.94</v>
      </c>
      <c r="D1473" s="196">
        <v>2.5499999999999998</v>
      </c>
      <c r="E1473" s="195" t="s">
        <v>583</v>
      </c>
      <c r="F1473" s="195" t="s">
        <v>432</v>
      </c>
    </row>
    <row r="1474" spans="1:6" x14ac:dyDescent="0.25">
      <c r="A1474" s="189" t="str">
        <f t="shared" si="22"/>
        <v>AL-US 40AL2.553.15E</v>
      </c>
      <c r="B1474" s="195" t="s">
        <v>552</v>
      </c>
      <c r="C1474" s="196">
        <v>2.5499999999999998</v>
      </c>
      <c r="D1474" s="196">
        <v>3.15</v>
      </c>
      <c r="E1474" s="195" t="s">
        <v>583</v>
      </c>
      <c r="F1474" s="195" t="s">
        <v>19</v>
      </c>
    </row>
    <row r="1475" spans="1:6" x14ac:dyDescent="0.25">
      <c r="A1475" s="189" t="str">
        <f t="shared" ref="A1475:A1538" si="23">B1475&amp;C1475&amp;D1475&amp;F1475</f>
        <v>AL-US 40AL2.553.15W</v>
      </c>
      <c r="B1475" s="195" t="s">
        <v>552</v>
      </c>
      <c r="C1475" s="196">
        <v>2.5499999999999998</v>
      </c>
      <c r="D1475" s="196">
        <v>3.15</v>
      </c>
      <c r="E1475" s="195" t="s">
        <v>583</v>
      </c>
      <c r="F1475" s="195" t="s">
        <v>432</v>
      </c>
    </row>
    <row r="1476" spans="1:6" x14ac:dyDescent="0.25">
      <c r="A1476" s="189" t="str">
        <f t="shared" si="23"/>
        <v>AL-US 40AL3.153.97W</v>
      </c>
      <c r="B1476" s="195" t="s">
        <v>552</v>
      </c>
      <c r="C1476" s="196">
        <v>3.15</v>
      </c>
      <c r="D1476" s="196">
        <v>3.97</v>
      </c>
      <c r="E1476" s="195" t="s">
        <v>593</v>
      </c>
      <c r="F1476" s="195" t="s">
        <v>432</v>
      </c>
    </row>
    <row r="1477" spans="1:6" x14ac:dyDescent="0.25">
      <c r="A1477" s="189" t="str">
        <f t="shared" si="23"/>
        <v>AL-US 40AL3.154.23E</v>
      </c>
      <c r="B1477" s="195" t="s">
        <v>552</v>
      </c>
      <c r="C1477" s="196">
        <v>3.15</v>
      </c>
      <c r="D1477" s="196">
        <v>4.2300000000000004</v>
      </c>
      <c r="E1477" s="195" t="s">
        <v>598</v>
      </c>
      <c r="F1477" s="195" t="s">
        <v>19</v>
      </c>
    </row>
    <row r="1478" spans="1:6" x14ac:dyDescent="0.25">
      <c r="A1478" s="189" t="str">
        <f t="shared" si="23"/>
        <v>AL-US 40AL3.974.52W</v>
      </c>
      <c r="B1478" s="195" t="s">
        <v>552</v>
      </c>
      <c r="C1478" s="196">
        <v>3.97</v>
      </c>
      <c r="D1478" s="196">
        <v>4.5199999999999996</v>
      </c>
      <c r="E1478" s="195" t="s">
        <v>593</v>
      </c>
      <c r="F1478" s="195" t="s">
        <v>432</v>
      </c>
    </row>
    <row r="1479" spans="1:6" x14ac:dyDescent="0.25">
      <c r="A1479" s="189" t="str">
        <f t="shared" si="23"/>
        <v>AL-US 40AL4.234.47E</v>
      </c>
      <c r="B1479" s="195" t="s">
        <v>552</v>
      </c>
      <c r="C1479" s="196">
        <v>4.2300000000000004</v>
      </c>
      <c r="D1479" s="196">
        <v>4.47</v>
      </c>
      <c r="E1479" s="195" t="s">
        <v>598</v>
      </c>
      <c r="F1479" s="195" t="s">
        <v>19</v>
      </c>
    </row>
    <row r="1480" spans="1:6" x14ac:dyDescent="0.25">
      <c r="A1480" s="189" t="str">
        <f t="shared" si="23"/>
        <v>AL-US 40AL4.476.4E</v>
      </c>
      <c r="B1480" s="195" t="s">
        <v>552</v>
      </c>
      <c r="C1480" s="196">
        <v>4.47</v>
      </c>
      <c r="D1480" s="196">
        <v>6.4</v>
      </c>
      <c r="E1480" s="195" t="s">
        <v>598</v>
      </c>
      <c r="F1480" s="195" t="s">
        <v>19</v>
      </c>
    </row>
    <row r="1481" spans="1:6" x14ac:dyDescent="0.25">
      <c r="A1481" s="189" t="str">
        <f t="shared" si="23"/>
        <v>AL-US 40AL4.526.4W</v>
      </c>
      <c r="B1481" s="195" t="s">
        <v>552</v>
      </c>
      <c r="C1481" s="196">
        <v>4.5199999999999996</v>
      </c>
      <c r="D1481" s="196">
        <v>6.4</v>
      </c>
      <c r="E1481" s="195" t="s">
        <v>593</v>
      </c>
      <c r="F1481" s="195" t="s">
        <v>432</v>
      </c>
    </row>
    <row r="1482" spans="1:6" x14ac:dyDescent="0.25">
      <c r="A1482" s="189" t="str">
        <f t="shared" si="23"/>
        <v>AL-US 40AL6.46.41E</v>
      </c>
      <c r="B1482" s="195" t="s">
        <v>552</v>
      </c>
      <c r="C1482" s="196">
        <v>6.4</v>
      </c>
      <c r="D1482" s="196">
        <v>6.41</v>
      </c>
      <c r="E1482" s="195" t="s">
        <v>583</v>
      </c>
      <c r="F1482" s="195" t="s">
        <v>19</v>
      </c>
    </row>
    <row r="1483" spans="1:6" x14ac:dyDescent="0.25">
      <c r="A1483" s="189" t="str">
        <f t="shared" si="23"/>
        <v>AL-US 40AL6.46.41W</v>
      </c>
      <c r="B1483" s="195" t="s">
        <v>552</v>
      </c>
      <c r="C1483" s="196">
        <v>6.4</v>
      </c>
      <c r="D1483" s="196">
        <v>6.41</v>
      </c>
      <c r="E1483" s="195" t="s">
        <v>583</v>
      </c>
      <c r="F1483" s="195" t="s">
        <v>432</v>
      </c>
    </row>
    <row r="1484" spans="1:6" x14ac:dyDescent="0.25">
      <c r="A1484" s="189" t="str">
        <f t="shared" si="23"/>
        <v>AL-US 40AL6.416.85W</v>
      </c>
      <c r="B1484" s="195" t="s">
        <v>552</v>
      </c>
      <c r="C1484" s="196">
        <v>6.41</v>
      </c>
      <c r="D1484" s="196">
        <v>6.85</v>
      </c>
      <c r="E1484" s="195" t="s">
        <v>593</v>
      </c>
      <c r="F1484" s="195" t="s">
        <v>432</v>
      </c>
    </row>
    <row r="1485" spans="1:6" x14ac:dyDescent="0.25">
      <c r="A1485" s="189" t="str">
        <f t="shared" si="23"/>
        <v>AL-US 40AL6.417.45E</v>
      </c>
      <c r="B1485" s="195" t="s">
        <v>552</v>
      </c>
      <c r="C1485" s="196">
        <v>6.41</v>
      </c>
      <c r="D1485" s="196">
        <v>7.45</v>
      </c>
      <c r="E1485" s="195" t="s">
        <v>598</v>
      </c>
      <c r="F1485" s="195" t="s">
        <v>19</v>
      </c>
    </row>
    <row r="1486" spans="1:6" x14ac:dyDescent="0.25">
      <c r="A1486" s="189" t="str">
        <f t="shared" si="23"/>
        <v>AL-US 40AL6.857.05W</v>
      </c>
      <c r="B1486" s="195" t="s">
        <v>552</v>
      </c>
      <c r="C1486" s="196">
        <v>6.85</v>
      </c>
      <c r="D1486" s="196">
        <v>7.05</v>
      </c>
      <c r="E1486" s="195" t="s">
        <v>593</v>
      </c>
      <c r="F1486" s="195" t="s">
        <v>432</v>
      </c>
    </row>
    <row r="1487" spans="1:6" x14ac:dyDescent="0.25">
      <c r="A1487" s="189" t="str">
        <f t="shared" si="23"/>
        <v>AL-US 40AL7.057.45W</v>
      </c>
      <c r="B1487" s="195" t="s">
        <v>552</v>
      </c>
      <c r="C1487" s="196">
        <v>7.05</v>
      </c>
      <c r="D1487" s="196">
        <v>7.45</v>
      </c>
      <c r="E1487" s="195" t="s">
        <v>593</v>
      </c>
      <c r="F1487" s="195" t="s">
        <v>432</v>
      </c>
    </row>
    <row r="1488" spans="1:6" x14ac:dyDescent="0.25">
      <c r="A1488" s="189" t="str">
        <f t="shared" si="23"/>
        <v>AL-US 40AL7.4610.64W</v>
      </c>
      <c r="B1488" s="195" t="s">
        <v>552</v>
      </c>
      <c r="C1488" s="196">
        <v>7.46</v>
      </c>
      <c r="D1488" s="196">
        <v>10.64</v>
      </c>
      <c r="E1488" s="195" t="s">
        <v>593</v>
      </c>
      <c r="F1488" s="195" t="s">
        <v>432</v>
      </c>
    </row>
    <row r="1489" spans="1:6" x14ac:dyDescent="0.25">
      <c r="A1489" s="189" t="str">
        <f t="shared" si="23"/>
        <v>AL-US 40AL7.5910.64E</v>
      </c>
      <c r="B1489" s="195" t="s">
        <v>552</v>
      </c>
      <c r="C1489" s="196">
        <v>7.59</v>
      </c>
      <c r="D1489" s="196">
        <v>10.64</v>
      </c>
      <c r="E1489" s="195" t="s">
        <v>598</v>
      </c>
      <c r="F1489" s="195" t="s">
        <v>19</v>
      </c>
    </row>
    <row r="1490" spans="1:6" x14ac:dyDescent="0.25">
      <c r="A1490" s="189" t="str">
        <f t="shared" si="23"/>
        <v>AL-US 40AL10.6411.53E</v>
      </c>
      <c r="B1490" s="195" t="s">
        <v>552</v>
      </c>
      <c r="C1490" s="196">
        <v>10.64</v>
      </c>
      <c r="D1490" s="196">
        <v>11.53</v>
      </c>
      <c r="E1490" s="195" t="s">
        <v>583</v>
      </c>
      <c r="F1490" s="195" t="s">
        <v>19</v>
      </c>
    </row>
    <row r="1491" spans="1:6" x14ac:dyDescent="0.25">
      <c r="A1491" s="189" t="str">
        <f t="shared" si="23"/>
        <v>AL-US 40AL10.6411.53W</v>
      </c>
      <c r="B1491" s="195" t="s">
        <v>552</v>
      </c>
      <c r="C1491" s="196">
        <v>10.64</v>
      </c>
      <c r="D1491" s="196">
        <v>11.53</v>
      </c>
      <c r="E1491" s="195" t="s">
        <v>583</v>
      </c>
      <c r="F1491" s="195" t="s">
        <v>432</v>
      </c>
    </row>
    <row r="1492" spans="1:6" x14ac:dyDescent="0.25">
      <c r="A1492" s="189" t="str">
        <f t="shared" si="23"/>
        <v>AL-US 40AL11.5312.01E</v>
      </c>
      <c r="B1492" s="195" t="s">
        <v>552</v>
      </c>
      <c r="C1492" s="196">
        <v>11.53</v>
      </c>
      <c r="D1492" s="196">
        <v>12.01</v>
      </c>
      <c r="E1492" s="195" t="s">
        <v>583</v>
      </c>
      <c r="F1492" s="195" t="s">
        <v>19</v>
      </c>
    </row>
    <row r="1493" spans="1:6" x14ac:dyDescent="0.25">
      <c r="A1493" s="189" t="str">
        <f t="shared" si="23"/>
        <v>AL-US 40AL11.5312.01W</v>
      </c>
      <c r="B1493" s="195" t="s">
        <v>552</v>
      </c>
      <c r="C1493" s="196">
        <v>11.53</v>
      </c>
      <c r="D1493" s="196">
        <v>12.01</v>
      </c>
      <c r="E1493" s="195" t="s">
        <v>583</v>
      </c>
      <c r="F1493" s="195" t="s">
        <v>432</v>
      </c>
    </row>
    <row r="1494" spans="1:6" x14ac:dyDescent="0.25">
      <c r="A1494" s="189" t="str">
        <f t="shared" si="23"/>
        <v>AL-US 40AL12.0112.24E</v>
      </c>
      <c r="B1494" s="195" t="s">
        <v>552</v>
      </c>
      <c r="C1494" s="196">
        <v>12.01</v>
      </c>
      <c r="D1494" s="196">
        <v>12.24</v>
      </c>
      <c r="E1494" s="195" t="s">
        <v>583</v>
      </c>
      <c r="F1494" s="195" t="s">
        <v>19</v>
      </c>
    </row>
    <row r="1495" spans="1:6" x14ac:dyDescent="0.25">
      <c r="A1495" s="189" t="str">
        <f t="shared" si="23"/>
        <v>AL-US 40AL12.0112.24W</v>
      </c>
      <c r="B1495" s="195" t="s">
        <v>552</v>
      </c>
      <c r="C1495" s="196">
        <v>12.01</v>
      </c>
      <c r="D1495" s="196">
        <v>12.24</v>
      </c>
      <c r="E1495" s="195" t="s">
        <v>583</v>
      </c>
      <c r="F1495" s="195" t="s">
        <v>432</v>
      </c>
    </row>
    <row r="1496" spans="1:6" x14ac:dyDescent="0.25">
      <c r="A1496" s="189" t="str">
        <f t="shared" si="23"/>
        <v>AL-US 40AL12.2413.51E</v>
      </c>
      <c r="B1496" s="195" t="s">
        <v>552</v>
      </c>
      <c r="C1496" s="196">
        <v>12.24</v>
      </c>
      <c r="D1496" s="196">
        <v>13.51</v>
      </c>
      <c r="E1496" s="195" t="s">
        <v>583</v>
      </c>
      <c r="F1496" s="195" t="s">
        <v>19</v>
      </c>
    </row>
    <row r="1497" spans="1:6" x14ac:dyDescent="0.25">
      <c r="A1497" s="189" t="str">
        <f t="shared" si="23"/>
        <v>AL-US 40AL12.2413.51W</v>
      </c>
      <c r="B1497" s="195" t="s">
        <v>552</v>
      </c>
      <c r="C1497" s="196">
        <v>12.24</v>
      </c>
      <c r="D1497" s="196">
        <v>13.51</v>
      </c>
      <c r="E1497" s="195" t="s">
        <v>583</v>
      </c>
      <c r="F1497" s="195" t="s">
        <v>432</v>
      </c>
    </row>
    <row r="1498" spans="1:6" x14ac:dyDescent="0.25">
      <c r="A1498" s="189" t="str">
        <f t="shared" si="23"/>
        <v>AL-US 40AL13.5113.62E</v>
      </c>
      <c r="B1498" s="195" t="s">
        <v>552</v>
      </c>
      <c r="C1498" s="196">
        <v>13.51</v>
      </c>
      <c r="D1498" s="196">
        <v>13.62</v>
      </c>
      <c r="E1498" s="195" t="s">
        <v>583</v>
      </c>
      <c r="F1498" s="195" t="s">
        <v>19</v>
      </c>
    </row>
    <row r="1499" spans="1:6" x14ac:dyDescent="0.25">
      <c r="A1499" s="189" t="str">
        <f t="shared" si="23"/>
        <v>AL-US 40AL13.5113.62W</v>
      </c>
      <c r="B1499" s="195" t="s">
        <v>552</v>
      </c>
      <c r="C1499" s="196">
        <v>13.51</v>
      </c>
      <c r="D1499" s="196">
        <v>13.62</v>
      </c>
      <c r="E1499" s="195" t="s">
        <v>583</v>
      </c>
      <c r="F1499" s="195" t="s">
        <v>432</v>
      </c>
    </row>
    <row r="1500" spans="1:6" x14ac:dyDescent="0.25">
      <c r="A1500" s="189" t="str">
        <f t="shared" si="23"/>
        <v>AL-US 40AL13.6213.95E</v>
      </c>
      <c r="B1500" s="195" t="s">
        <v>552</v>
      </c>
      <c r="C1500" s="196">
        <v>13.62</v>
      </c>
      <c r="D1500" s="196">
        <v>13.95</v>
      </c>
      <c r="E1500" s="195" t="s">
        <v>598</v>
      </c>
      <c r="F1500" s="195" t="s">
        <v>19</v>
      </c>
    </row>
    <row r="1501" spans="1:6" x14ac:dyDescent="0.25">
      <c r="A1501" s="189" t="str">
        <f t="shared" si="23"/>
        <v>AL-US 40AL13.6213.95W</v>
      </c>
      <c r="B1501" s="195" t="s">
        <v>552</v>
      </c>
      <c r="C1501" s="196">
        <v>13.62</v>
      </c>
      <c r="D1501" s="196">
        <v>13.95</v>
      </c>
      <c r="E1501" s="195" t="s">
        <v>593</v>
      </c>
      <c r="F1501" s="195" t="s">
        <v>432</v>
      </c>
    </row>
    <row r="1502" spans="1:6" x14ac:dyDescent="0.25">
      <c r="A1502" s="189" t="str">
        <f t="shared" si="23"/>
        <v>AL-US 40SC00.3E</v>
      </c>
      <c r="B1502" s="195" t="s">
        <v>1269</v>
      </c>
      <c r="C1502" s="196">
        <v>0</v>
      </c>
      <c r="D1502" s="196">
        <v>0.3</v>
      </c>
      <c r="E1502" s="195" t="s">
        <v>583</v>
      </c>
      <c r="F1502" s="195" t="s">
        <v>19</v>
      </c>
    </row>
    <row r="1503" spans="1:6" x14ac:dyDescent="0.25">
      <c r="A1503" s="189" t="str">
        <f t="shared" si="23"/>
        <v>AL-US 40SC00.3W</v>
      </c>
      <c r="B1503" s="195" t="s">
        <v>1269</v>
      </c>
      <c r="C1503" s="196">
        <v>0</v>
      </c>
      <c r="D1503" s="196">
        <v>0.3</v>
      </c>
      <c r="E1503" s="195" t="s">
        <v>583</v>
      </c>
      <c r="F1503" s="195" t="s">
        <v>432</v>
      </c>
    </row>
    <row r="1504" spans="1:6" x14ac:dyDescent="0.25">
      <c r="A1504" s="189" t="str">
        <f t="shared" si="23"/>
        <v>AL-US 40SC0.33.6E</v>
      </c>
      <c r="B1504" s="195" t="s">
        <v>1269</v>
      </c>
      <c r="C1504" s="196">
        <v>0.3</v>
      </c>
      <c r="D1504" s="196">
        <v>3.6</v>
      </c>
      <c r="E1504" s="195" t="s">
        <v>583</v>
      </c>
      <c r="F1504" s="195" t="s">
        <v>19</v>
      </c>
    </row>
    <row r="1505" spans="1:6" x14ac:dyDescent="0.25">
      <c r="A1505" s="189" t="str">
        <f t="shared" si="23"/>
        <v>AL-US 40SC0.33.6W</v>
      </c>
      <c r="B1505" s="195" t="s">
        <v>1269</v>
      </c>
      <c r="C1505" s="196">
        <v>0.3</v>
      </c>
      <c r="D1505" s="196">
        <v>3.6</v>
      </c>
      <c r="E1505" s="195" t="s">
        <v>583</v>
      </c>
      <c r="F1505" s="195" t="s">
        <v>432</v>
      </c>
    </row>
    <row r="1506" spans="1:6" x14ac:dyDescent="0.25">
      <c r="A1506" s="189" t="str">
        <f t="shared" si="23"/>
        <v>AL-US 40SC3.65.77E</v>
      </c>
      <c r="B1506" s="195" t="s">
        <v>1269</v>
      </c>
      <c r="C1506" s="196">
        <v>3.6</v>
      </c>
      <c r="D1506" s="196">
        <v>5.77</v>
      </c>
      <c r="E1506" s="195" t="s">
        <v>583</v>
      </c>
      <c r="F1506" s="195" t="s">
        <v>19</v>
      </c>
    </row>
    <row r="1507" spans="1:6" x14ac:dyDescent="0.25">
      <c r="A1507" s="189" t="str">
        <f t="shared" si="23"/>
        <v>AL-US 40SC3.65.77W</v>
      </c>
      <c r="B1507" s="195" t="s">
        <v>1269</v>
      </c>
      <c r="C1507" s="196">
        <v>3.6</v>
      </c>
      <c r="D1507" s="196">
        <v>5.77</v>
      </c>
      <c r="E1507" s="195" t="s">
        <v>583</v>
      </c>
      <c r="F1507" s="195" t="s">
        <v>432</v>
      </c>
    </row>
    <row r="1508" spans="1:6" x14ac:dyDescent="0.25">
      <c r="A1508" s="189" t="str">
        <f t="shared" si="23"/>
        <v>AL-US 40SC5.775.86E</v>
      </c>
      <c r="B1508" s="195" t="s">
        <v>1269</v>
      </c>
      <c r="C1508" s="196">
        <v>5.77</v>
      </c>
      <c r="D1508" s="196">
        <v>5.86</v>
      </c>
      <c r="E1508" s="195" t="s">
        <v>583</v>
      </c>
      <c r="F1508" s="195" t="s">
        <v>19</v>
      </c>
    </row>
    <row r="1509" spans="1:6" x14ac:dyDescent="0.25">
      <c r="A1509" s="189" t="str">
        <f t="shared" si="23"/>
        <v>AL-US 40SC5.775.86W</v>
      </c>
      <c r="B1509" s="195" t="s">
        <v>1269</v>
      </c>
      <c r="C1509" s="196">
        <v>5.77</v>
      </c>
      <c r="D1509" s="196">
        <v>5.86</v>
      </c>
      <c r="E1509" s="195" t="s">
        <v>583</v>
      </c>
      <c r="F1509" s="195" t="s">
        <v>432</v>
      </c>
    </row>
    <row r="1510" spans="1:6" x14ac:dyDescent="0.25">
      <c r="A1510" s="189" t="str">
        <f t="shared" si="23"/>
        <v>AL-US 40SC5.866.9E</v>
      </c>
      <c r="B1510" s="195" t="s">
        <v>1269</v>
      </c>
      <c r="C1510" s="196">
        <v>5.86</v>
      </c>
      <c r="D1510" s="196">
        <v>6.9</v>
      </c>
      <c r="E1510" s="195" t="s">
        <v>583</v>
      </c>
      <c r="F1510" s="195" t="s">
        <v>19</v>
      </c>
    </row>
    <row r="1511" spans="1:6" x14ac:dyDescent="0.25">
      <c r="A1511" s="189" t="str">
        <f t="shared" si="23"/>
        <v>AL-US 40SC5.866.9W</v>
      </c>
      <c r="B1511" s="195" t="s">
        <v>1269</v>
      </c>
      <c r="C1511" s="196">
        <v>5.86</v>
      </c>
      <c r="D1511" s="196">
        <v>6.9</v>
      </c>
      <c r="E1511" s="195" t="s">
        <v>583</v>
      </c>
      <c r="F1511" s="195" t="s">
        <v>432</v>
      </c>
    </row>
    <row r="1512" spans="1:6" x14ac:dyDescent="0.25">
      <c r="A1512" s="189" t="str">
        <f t="shared" si="23"/>
        <v>AL-US 40SC6.96.95E</v>
      </c>
      <c r="B1512" s="195" t="s">
        <v>1269</v>
      </c>
      <c r="C1512" s="196">
        <v>6.9</v>
      </c>
      <c r="D1512" s="196">
        <v>6.95</v>
      </c>
      <c r="E1512" s="195" t="s">
        <v>583</v>
      </c>
      <c r="F1512" s="195" t="s">
        <v>19</v>
      </c>
    </row>
    <row r="1513" spans="1:6" x14ac:dyDescent="0.25">
      <c r="A1513" s="189" t="str">
        <f t="shared" si="23"/>
        <v>AL-US 40SC6.96.95W</v>
      </c>
      <c r="B1513" s="195" t="s">
        <v>1269</v>
      </c>
      <c r="C1513" s="196">
        <v>6.9</v>
      </c>
      <c r="D1513" s="196">
        <v>6.95</v>
      </c>
      <c r="E1513" s="195" t="s">
        <v>583</v>
      </c>
      <c r="F1513" s="195" t="s">
        <v>432</v>
      </c>
    </row>
    <row r="1514" spans="1:6" x14ac:dyDescent="0.25">
      <c r="A1514" s="189" t="str">
        <f t="shared" si="23"/>
        <v>AL-US 40SC6.959.4E</v>
      </c>
      <c r="B1514" s="195" t="s">
        <v>1269</v>
      </c>
      <c r="C1514" s="196">
        <v>6.95</v>
      </c>
      <c r="D1514" s="196">
        <v>9.4</v>
      </c>
      <c r="E1514" s="195" t="s">
        <v>583</v>
      </c>
      <c r="F1514" s="195" t="s">
        <v>19</v>
      </c>
    </row>
    <row r="1515" spans="1:6" x14ac:dyDescent="0.25">
      <c r="A1515" s="189" t="str">
        <f t="shared" si="23"/>
        <v>AL-US 40SC6.959.4W</v>
      </c>
      <c r="B1515" s="195" t="s">
        <v>1269</v>
      </c>
      <c r="C1515" s="196">
        <v>6.95</v>
      </c>
      <c r="D1515" s="196">
        <v>9.4</v>
      </c>
      <c r="E1515" s="195" t="s">
        <v>583</v>
      </c>
      <c r="F1515" s="195" t="s">
        <v>432</v>
      </c>
    </row>
    <row r="1516" spans="1:6" x14ac:dyDescent="0.25">
      <c r="A1516" s="189" t="str">
        <f t="shared" si="23"/>
        <v>AL-US 40SC9.49.5E</v>
      </c>
      <c r="B1516" s="195" t="s">
        <v>1269</v>
      </c>
      <c r="C1516" s="196">
        <v>9.4</v>
      </c>
      <c r="D1516" s="196">
        <v>9.5</v>
      </c>
      <c r="E1516" s="195" t="s">
        <v>583</v>
      </c>
      <c r="F1516" s="195" t="s">
        <v>19</v>
      </c>
    </row>
    <row r="1517" spans="1:6" x14ac:dyDescent="0.25">
      <c r="A1517" s="189" t="str">
        <f t="shared" si="23"/>
        <v>AL-US 40SC9.49.5W</v>
      </c>
      <c r="B1517" s="195" t="s">
        <v>1269</v>
      </c>
      <c r="C1517" s="196">
        <v>9.4</v>
      </c>
      <c r="D1517" s="196">
        <v>9.5</v>
      </c>
      <c r="E1517" s="195" t="s">
        <v>583</v>
      </c>
      <c r="F1517" s="195" t="s">
        <v>432</v>
      </c>
    </row>
    <row r="1518" spans="1:6" x14ac:dyDescent="0.25">
      <c r="A1518" s="189" t="str">
        <f t="shared" si="23"/>
        <v>BA-CO 200006.37N</v>
      </c>
      <c r="B1518" s="195" t="s">
        <v>1270</v>
      </c>
      <c r="C1518" s="196">
        <v>0</v>
      </c>
      <c r="D1518" s="196">
        <v>6.37</v>
      </c>
      <c r="E1518" s="195" t="s">
        <v>583</v>
      </c>
      <c r="F1518" s="195" t="s">
        <v>430</v>
      </c>
    </row>
    <row r="1519" spans="1:6" x14ac:dyDescent="0.25">
      <c r="A1519" s="189" t="str">
        <f t="shared" si="23"/>
        <v>BA-CO 200006.37S</v>
      </c>
      <c r="B1519" s="195" t="s">
        <v>1270</v>
      </c>
      <c r="C1519" s="196">
        <v>0</v>
      </c>
      <c r="D1519" s="196">
        <v>6.37</v>
      </c>
      <c r="E1519" s="195" t="s">
        <v>583</v>
      </c>
      <c r="F1519" s="195" t="s">
        <v>438</v>
      </c>
    </row>
    <row r="1520" spans="1:6" x14ac:dyDescent="0.25">
      <c r="A1520" s="189" t="str">
        <f t="shared" si="23"/>
        <v>BA-CO 22510.942.06N</v>
      </c>
      <c r="B1520" s="195" t="s">
        <v>1271</v>
      </c>
      <c r="C1520" s="196">
        <v>0.94</v>
      </c>
      <c r="D1520" s="196">
        <v>2.06</v>
      </c>
      <c r="E1520" s="195" t="s">
        <v>583</v>
      </c>
      <c r="F1520" s="195" t="s">
        <v>430</v>
      </c>
    </row>
    <row r="1521" spans="1:6" x14ac:dyDescent="0.25">
      <c r="A1521" s="189" t="str">
        <f t="shared" si="23"/>
        <v>BA-CO 22510.942.06S</v>
      </c>
      <c r="B1521" s="195" t="s">
        <v>1271</v>
      </c>
      <c r="C1521" s="196">
        <v>0.94</v>
      </c>
      <c r="D1521" s="196">
        <v>2.06</v>
      </c>
      <c r="E1521" s="195" t="s">
        <v>583</v>
      </c>
      <c r="F1521" s="195" t="s">
        <v>438</v>
      </c>
    </row>
    <row r="1522" spans="1:6" x14ac:dyDescent="0.25">
      <c r="A1522" s="189" t="str">
        <f t="shared" si="23"/>
        <v>BA-CO 521201.47E</v>
      </c>
      <c r="B1522" s="195" t="s">
        <v>1272</v>
      </c>
      <c r="C1522" s="196">
        <v>0</v>
      </c>
      <c r="D1522" s="196">
        <v>1.47</v>
      </c>
      <c r="E1522" s="195" t="s">
        <v>583</v>
      </c>
      <c r="F1522" s="195" t="s">
        <v>19</v>
      </c>
    </row>
    <row r="1523" spans="1:6" x14ac:dyDescent="0.25">
      <c r="A1523" s="189" t="str">
        <f t="shared" si="23"/>
        <v>BA-CO 521201.47W</v>
      </c>
      <c r="B1523" s="195" t="s">
        <v>1272</v>
      </c>
      <c r="C1523" s="196">
        <v>0</v>
      </c>
      <c r="D1523" s="196">
        <v>1.47</v>
      </c>
      <c r="E1523" s="195" t="s">
        <v>583</v>
      </c>
      <c r="F1523" s="195" t="s">
        <v>432</v>
      </c>
    </row>
    <row r="1524" spans="1:6" x14ac:dyDescent="0.25">
      <c r="A1524" s="189" t="str">
        <f t="shared" si="23"/>
        <v>BA-CO 77400.41N</v>
      </c>
      <c r="B1524" s="195" t="s">
        <v>1273</v>
      </c>
      <c r="C1524" s="196">
        <v>0</v>
      </c>
      <c r="D1524" s="196">
        <v>0.41</v>
      </c>
      <c r="E1524" s="195" t="s">
        <v>583</v>
      </c>
      <c r="F1524" s="195" t="s">
        <v>430</v>
      </c>
    </row>
    <row r="1525" spans="1:6" x14ac:dyDescent="0.25">
      <c r="A1525" s="189" t="str">
        <f t="shared" si="23"/>
        <v>BA-CO 77400.41S</v>
      </c>
      <c r="B1525" s="195" t="s">
        <v>1273</v>
      </c>
      <c r="C1525" s="196">
        <v>0</v>
      </c>
      <c r="D1525" s="196">
        <v>0.41</v>
      </c>
      <c r="E1525" s="195" t="s">
        <v>583</v>
      </c>
      <c r="F1525" s="195" t="s">
        <v>438</v>
      </c>
    </row>
    <row r="1526" spans="1:6" x14ac:dyDescent="0.25">
      <c r="A1526" s="189" t="str">
        <f t="shared" si="23"/>
        <v>BA-CO 7980.310.43E</v>
      </c>
      <c r="B1526" s="195" t="s">
        <v>1274</v>
      </c>
      <c r="C1526" s="196">
        <v>0.31</v>
      </c>
      <c r="D1526" s="196">
        <v>0.43</v>
      </c>
      <c r="E1526" s="195" t="s">
        <v>598</v>
      </c>
      <c r="F1526" s="195" t="s">
        <v>19</v>
      </c>
    </row>
    <row r="1527" spans="1:6" x14ac:dyDescent="0.25">
      <c r="A1527" s="189" t="str">
        <f t="shared" si="23"/>
        <v>BA-CO 7980.310.43W</v>
      </c>
      <c r="B1527" s="195" t="s">
        <v>1274</v>
      </c>
      <c r="C1527" s="196">
        <v>0.31</v>
      </c>
      <c r="D1527" s="196">
        <v>0.43</v>
      </c>
      <c r="E1527" s="195" t="s">
        <v>593</v>
      </c>
      <c r="F1527" s="195" t="s">
        <v>432</v>
      </c>
    </row>
    <row r="1528" spans="1:6" x14ac:dyDescent="0.25">
      <c r="A1528" s="189" t="str">
        <f t="shared" si="23"/>
        <v>BA-CO 9380.571.48N</v>
      </c>
      <c r="B1528" s="195" t="s">
        <v>1275</v>
      </c>
      <c r="C1528" s="196">
        <v>0.56999999999999995</v>
      </c>
      <c r="D1528" s="196">
        <v>1.48</v>
      </c>
      <c r="E1528" s="195" t="s">
        <v>583</v>
      </c>
      <c r="F1528" s="195" t="s">
        <v>430</v>
      </c>
    </row>
    <row r="1529" spans="1:6" x14ac:dyDescent="0.25">
      <c r="A1529" s="189" t="str">
        <f t="shared" si="23"/>
        <v>BA-CO 9380.571.48S</v>
      </c>
      <c r="B1529" s="195" t="s">
        <v>1275</v>
      </c>
      <c r="C1529" s="196">
        <v>0.56999999999999995</v>
      </c>
      <c r="D1529" s="196">
        <v>1.48</v>
      </c>
      <c r="E1529" s="195" t="s">
        <v>583</v>
      </c>
      <c r="F1529" s="195" t="s">
        <v>438</v>
      </c>
    </row>
    <row r="1530" spans="1:6" x14ac:dyDescent="0.25">
      <c r="A1530" s="189" t="str">
        <f t="shared" si="23"/>
        <v>BA-IS 195 RP1-300.17N</v>
      </c>
      <c r="B1530" s="195" t="s">
        <v>1276</v>
      </c>
      <c r="C1530" s="196">
        <v>0</v>
      </c>
      <c r="D1530" s="196">
        <v>0.17</v>
      </c>
      <c r="E1530" s="195" t="s">
        <v>589</v>
      </c>
      <c r="F1530" s="195" t="s">
        <v>430</v>
      </c>
    </row>
    <row r="1531" spans="1:6" x14ac:dyDescent="0.25">
      <c r="A1531" s="189" t="str">
        <f t="shared" si="23"/>
        <v>BA-IS 195 RP2-300.31W</v>
      </c>
      <c r="B1531" s="195" t="s">
        <v>1277</v>
      </c>
      <c r="C1531" s="196">
        <v>0</v>
      </c>
      <c r="D1531" s="196">
        <v>0.31</v>
      </c>
      <c r="E1531" s="195" t="s">
        <v>593</v>
      </c>
      <c r="F1531" s="195" t="s">
        <v>432</v>
      </c>
    </row>
    <row r="1532" spans="1:6" x14ac:dyDescent="0.25">
      <c r="A1532" s="189" t="str">
        <f t="shared" si="23"/>
        <v>BA-IS 195 RP3-300.04W</v>
      </c>
      <c r="B1532" s="195" t="s">
        <v>1278</v>
      </c>
      <c r="C1532" s="196">
        <v>0</v>
      </c>
      <c r="D1532" s="196">
        <v>0.04</v>
      </c>
      <c r="E1532" s="195" t="s">
        <v>593</v>
      </c>
      <c r="F1532" s="195" t="s">
        <v>432</v>
      </c>
    </row>
    <row r="1533" spans="1:6" x14ac:dyDescent="0.25">
      <c r="A1533" s="189" t="str">
        <f t="shared" si="23"/>
        <v>BA-IS 195 RP4-300.06W</v>
      </c>
      <c r="B1533" s="195" t="s">
        <v>1279</v>
      </c>
      <c r="C1533" s="196">
        <v>0</v>
      </c>
      <c r="D1533" s="196">
        <v>0.06</v>
      </c>
      <c r="E1533" s="195" t="s">
        <v>593</v>
      </c>
      <c r="F1533" s="195" t="s">
        <v>432</v>
      </c>
    </row>
    <row r="1534" spans="1:6" x14ac:dyDescent="0.25">
      <c r="A1534" s="189" t="str">
        <f t="shared" si="23"/>
        <v>BA-IS 195 RP6-300.05W</v>
      </c>
      <c r="B1534" s="195" t="s">
        <v>1280</v>
      </c>
      <c r="C1534" s="196">
        <v>0</v>
      </c>
      <c r="D1534" s="196">
        <v>0.05</v>
      </c>
      <c r="E1534" s="195" t="s">
        <v>593</v>
      </c>
      <c r="F1534" s="195" t="s">
        <v>432</v>
      </c>
    </row>
    <row r="1535" spans="1:6" x14ac:dyDescent="0.25">
      <c r="A1535" s="189" t="str">
        <f t="shared" si="23"/>
        <v>BA-IS 195 RP7-300.34S</v>
      </c>
      <c r="B1535" s="195" t="s">
        <v>1281</v>
      </c>
      <c r="C1535" s="196">
        <v>0</v>
      </c>
      <c r="D1535" s="196">
        <v>0.34</v>
      </c>
      <c r="E1535" s="195" t="s">
        <v>595</v>
      </c>
      <c r="F1535" s="195" t="s">
        <v>438</v>
      </c>
    </row>
    <row r="1536" spans="1:6" x14ac:dyDescent="0.25">
      <c r="A1536" s="189" t="str">
        <f t="shared" si="23"/>
        <v>BA-IS 195 RP8-300.42S</v>
      </c>
      <c r="B1536" s="195" t="s">
        <v>1282</v>
      </c>
      <c r="C1536" s="196">
        <v>0</v>
      </c>
      <c r="D1536" s="196">
        <v>0.42</v>
      </c>
      <c r="E1536" s="195" t="s">
        <v>595</v>
      </c>
      <c r="F1536" s="195" t="s">
        <v>438</v>
      </c>
    </row>
    <row r="1537" spans="1:6" x14ac:dyDescent="0.25">
      <c r="A1537" s="189" t="str">
        <f t="shared" si="23"/>
        <v>BA-IS 695 RP10-12B00.04N</v>
      </c>
      <c r="B1537" s="195" t="s">
        <v>1283</v>
      </c>
      <c r="C1537" s="196">
        <v>0</v>
      </c>
      <c r="D1537" s="196">
        <v>0.04</v>
      </c>
      <c r="E1537" s="195" t="s">
        <v>589</v>
      </c>
      <c r="F1537" s="195" t="s">
        <v>430</v>
      </c>
    </row>
    <row r="1538" spans="1:6" x14ac:dyDescent="0.25">
      <c r="A1538" s="189" t="str">
        <f t="shared" si="23"/>
        <v>BA-IS 695 RP1-1000.13E</v>
      </c>
      <c r="B1538" s="195" t="s">
        <v>1284</v>
      </c>
      <c r="C1538" s="196">
        <v>0</v>
      </c>
      <c r="D1538" s="196">
        <v>0.13</v>
      </c>
      <c r="E1538" s="195" t="s">
        <v>598</v>
      </c>
      <c r="F1538" s="195" t="s">
        <v>19</v>
      </c>
    </row>
    <row r="1539" spans="1:6" x14ac:dyDescent="0.25">
      <c r="A1539" s="189" t="str">
        <f t="shared" ref="A1539:A1602" si="24">B1539&amp;C1539&amp;D1539&amp;F1539</f>
        <v>BA-IS 695 RP11-12B00.03S</v>
      </c>
      <c r="B1539" s="195" t="s">
        <v>1285</v>
      </c>
      <c r="C1539" s="196">
        <v>0</v>
      </c>
      <c r="D1539" s="196">
        <v>0.03</v>
      </c>
      <c r="E1539" s="195" t="s">
        <v>595</v>
      </c>
      <c r="F1539" s="195" t="s">
        <v>438</v>
      </c>
    </row>
    <row r="1540" spans="1:6" x14ac:dyDescent="0.25">
      <c r="A1540" s="189" t="str">
        <f t="shared" si="24"/>
        <v>BA-IS 695 RP1-12B00.21W</v>
      </c>
      <c r="B1540" s="195" t="s">
        <v>1286</v>
      </c>
      <c r="C1540" s="196">
        <v>0</v>
      </c>
      <c r="D1540" s="196">
        <v>0.21</v>
      </c>
      <c r="E1540" s="195" t="s">
        <v>593</v>
      </c>
      <c r="F1540" s="195" t="s">
        <v>432</v>
      </c>
    </row>
    <row r="1541" spans="1:6" x14ac:dyDescent="0.25">
      <c r="A1541" s="189" t="str">
        <f t="shared" si="24"/>
        <v>BA-IS 695 RP1-1500.17N</v>
      </c>
      <c r="B1541" s="195" t="s">
        <v>1287</v>
      </c>
      <c r="C1541" s="196">
        <v>0</v>
      </c>
      <c r="D1541" s="196">
        <v>0.17</v>
      </c>
      <c r="E1541" s="195" t="s">
        <v>589</v>
      </c>
      <c r="F1541" s="195" t="s">
        <v>430</v>
      </c>
    </row>
    <row r="1542" spans="1:6" x14ac:dyDescent="0.25">
      <c r="A1542" s="189" t="str">
        <f t="shared" si="24"/>
        <v>BA-IS 695 RP1-1700.29N</v>
      </c>
      <c r="B1542" s="195" t="s">
        <v>1288</v>
      </c>
      <c r="C1542" s="196">
        <v>0</v>
      </c>
      <c r="D1542" s="196">
        <v>0.28999999999999998</v>
      </c>
      <c r="E1542" s="195" t="s">
        <v>589</v>
      </c>
      <c r="F1542" s="195" t="s">
        <v>430</v>
      </c>
    </row>
    <row r="1543" spans="1:6" x14ac:dyDescent="0.25">
      <c r="A1543" s="189" t="str">
        <f t="shared" si="24"/>
        <v>BA-IS 695 RP1-1800.19E</v>
      </c>
      <c r="B1543" s="195" t="s">
        <v>1289</v>
      </c>
      <c r="C1543" s="196">
        <v>0</v>
      </c>
      <c r="D1543" s="196">
        <v>0.19</v>
      </c>
      <c r="E1543" s="195" t="s">
        <v>598</v>
      </c>
      <c r="F1543" s="195" t="s">
        <v>19</v>
      </c>
    </row>
    <row r="1544" spans="1:6" x14ac:dyDescent="0.25">
      <c r="A1544" s="189" t="str">
        <f t="shared" si="24"/>
        <v>BA-IS 695 RP1-1900.57E</v>
      </c>
      <c r="B1544" s="195" t="s">
        <v>1290</v>
      </c>
      <c r="C1544" s="196">
        <v>0</v>
      </c>
      <c r="D1544" s="196">
        <v>0.56999999999999995</v>
      </c>
      <c r="E1544" s="195" t="s">
        <v>598</v>
      </c>
      <c r="F1544" s="195" t="s">
        <v>19</v>
      </c>
    </row>
    <row r="1545" spans="1:6" x14ac:dyDescent="0.25">
      <c r="A1545" s="189" t="str">
        <f t="shared" si="24"/>
        <v>BA-IS 695 RP1-2000.08S</v>
      </c>
      <c r="B1545" s="195" t="s">
        <v>1291</v>
      </c>
      <c r="C1545" s="196">
        <v>0</v>
      </c>
      <c r="D1545" s="196">
        <v>0.08</v>
      </c>
      <c r="E1545" s="195" t="s">
        <v>595</v>
      </c>
      <c r="F1545" s="195" t="s">
        <v>438</v>
      </c>
    </row>
    <row r="1546" spans="1:6" x14ac:dyDescent="0.25">
      <c r="A1546" s="189" t="str">
        <f t="shared" si="24"/>
        <v>BA-IS 695 RP1-2100.02W</v>
      </c>
      <c r="B1546" s="195" t="s">
        <v>1292</v>
      </c>
      <c r="C1546" s="196">
        <v>0</v>
      </c>
      <c r="D1546" s="196">
        <v>0.02</v>
      </c>
      <c r="E1546" s="195" t="s">
        <v>593</v>
      </c>
      <c r="F1546" s="195" t="s">
        <v>432</v>
      </c>
    </row>
    <row r="1547" spans="1:6" x14ac:dyDescent="0.25">
      <c r="A1547" s="189" t="str">
        <f t="shared" si="24"/>
        <v>BA-IS 695 RP1-2500.21N</v>
      </c>
      <c r="B1547" s="195" t="s">
        <v>1293</v>
      </c>
      <c r="C1547" s="196">
        <v>0</v>
      </c>
      <c r="D1547" s="196">
        <v>0.21</v>
      </c>
      <c r="E1547" s="195" t="s">
        <v>589</v>
      </c>
      <c r="F1547" s="195" t="s">
        <v>430</v>
      </c>
    </row>
    <row r="1548" spans="1:6" x14ac:dyDescent="0.25">
      <c r="A1548" s="189" t="str">
        <f t="shared" si="24"/>
        <v>BA-IS 695 RP1-2600.3N</v>
      </c>
      <c r="B1548" s="195" t="s">
        <v>1294</v>
      </c>
      <c r="C1548" s="196">
        <v>0</v>
      </c>
      <c r="D1548" s="196">
        <v>0.3</v>
      </c>
      <c r="E1548" s="195" t="s">
        <v>589</v>
      </c>
      <c r="F1548" s="195" t="s">
        <v>430</v>
      </c>
    </row>
    <row r="1549" spans="1:6" x14ac:dyDescent="0.25">
      <c r="A1549" s="189" t="str">
        <f t="shared" si="24"/>
        <v>BA-IS 695 RP1-2700.22E</v>
      </c>
      <c r="B1549" s="195" t="s">
        <v>1295</v>
      </c>
      <c r="C1549" s="196">
        <v>0</v>
      </c>
      <c r="D1549" s="196">
        <v>0.22</v>
      </c>
      <c r="E1549" s="195" t="s">
        <v>598</v>
      </c>
      <c r="F1549" s="195" t="s">
        <v>19</v>
      </c>
    </row>
    <row r="1550" spans="1:6" x14ac:dyDescent="0.25">
      <c r="A1550" s="189" t="str">
        <f t="shared" si="24"/>
        <v>BA-IS 695 RP1-2800.02W</v>
      </c>
      <c r="B1550" s="195" t="s">
        <v>1296</v>
      </c>
      <c r="C1550" s="196">
        <v>0</v>
      </c>
      <c r="D1550" s="196">
        <v>0.02</v>
      </c>
      <c r="E1550" s="195" t="s">
        <v>593</v>
      </c>
      <c r="F1550" s="195" t="s">
        <v>432</v>
      </c>
    </row>
    <row r="1551" spans="1:6" x14ac:dyDescent="0.25">
      <c r="A1551" s="189" t="str">
        <f t="shared" si="24"/>
        <v>BA-IS 695 RP1-29A00.26N</v>
      </c>
      <c r="B1551" s="195" t="s">
        <v>1297</v>
      </c>
      <c r="C1551" s="196">
        <v>0</v>
      </c>
      <c r="D1551" s="196">
        <v>0.26</v>
      </c>
      <c r="E1551" s="195" t="s">
        <v>589</v>
      </c>
      <c r="F1551" s="195" t="s">
        <v>430</v>
      </c>
    </row>
    <row r="1552" spans="1:6" x14ac:dyDescent="0.25">
      <c r="A1552" s="189" t="str">
        <f t="shared" si="24"/>
        <v>BA-IS 695 RP1-3000.2N</v>
      </c>
      <c r="B1552" s="195" t="s">
        <v>1298</v>
      </c>
      <c r="C1552" s="196">
        <v>0</v>
      </c>
      <c r="D1552" s="196">
        <v>0.2</v>
      </c>
      <c r="E1552" s="195" t="s">
        <v>589</v>
      </c>
      <c r="F1552" s="195" t="s">
        <v>430</v>
      </c>
    </row>
    <row r="1553" spans="1:6" x14ac:dyDescent="0.25">
      <c r="A1553" s="189" t="str">
        <f t="shared" si="24"/>
        <v>BA-IS 695 RP1-3100.13N</v>
      </c>
      <c r="B1553" s="195" t="s">
        <v>1299</v>
      </c>
      <c r="C1553" s="196">
        <v>0</v>
      </c>
      <c r="D1553" s="196">
        <v>0.13</v>
      </c>
      <c r="E1553" s="195" t="s">
        <v>589</v>
      </c>
      <c r="F1553" s="195" t="s">
        <v>430</v>
      </c>
    </row>
    <row r="1554" spans="1:6" x14ac:dyDescent="0.25">
      <c r="A1554" s="189" t="str">
        <f t="shared" si="24"/>
        <v>BA-IS 695 RP1-3200.16W</v>
      </c>
      <c r="B1554" s="195" t="s">
        <v>1300</v>
      </c>
      <c r="C1554" s="196">
        <v>0</v>
      </c>
      <c r="D1554" s="196">
        <v>0.16</v>
      </c>
      <c r="E1554" s="195" t="s">
        <v>593</v>
      </c>
      <c r="F1554" s="195" t="s">
        <v>432</v>
      </c>
    </row>
    <row r="1555" spans="1:6" x14ac:dyDescent="0.25">
      <c r="A1555" s="189" t="str">
        <f t="shared" si="24"/>
        <v>BA-IS 695 RP1-900.15N</v>
      </c>
      <c r="B1555" s="195" t="s">
        <v>1301</v>
      </c>
      <c r="C1555" s="196">
        <v>0</v>
      </c>
      <c r="D1555" s="196">
        <v>0.15</v>
      </c>
      <c r="E1555" s="195" t="s">
        <v>589</v>
      </c>
      <c r="F1555" s="195" t="s">
        <v>430</v>
      </c>
    </row>
    <row r="1556" spans="1:6" x14ac:dyDescent="0.25">
      <c r="A1556" s="189" t="str">
        <f t="shared" si="24"/>
        <v>BA-IS 695 RP2-1000.22N</v>
      </c>
      <c r="B1556" s="195" t="s">
        <v>1302</v>
      </c>
      <c r="C1556" s="196">
        <v>0</v>
      </c>
      <c r="D1556" s="196">
        <v>0.22</v>
      </c>
      <c r="E1556" s="195" t="s">
        <v>589</v>
      </c>
      <c r="F1556" s="195" t="s">
        <v>430</v>
      </c>
    </row>
    <row r="1557" spans="1:6" x14ac:dyDescent="0.25">
      <c r="A1557" s="189" t="str">
        <f t="shared" si="24"/>
        <v>BA-IS 695 RP2-12B00.27W</v>
      </c>
      <c r="B1557" s="195" t="s">
        <v>1303</v>
      </c>
      <c r="C1557" s="196">
        <v>0</v>
      </c>
      <c r="D1557" s="196">
        <v>0.27</v>
      </c>
      <c r="E1557" s="195" t="s">
        <v>593</v>
      </c>
      <c r="F1557" s="195" t="s">
        <v>432</v>
      </c>
    </row>
    <row r="1558" spans="1:6" x14ac:dyDescent="0.25">
      <c r="A1558" s="189" t="str">
        <f t="shared" si="24"/>
        <v>BA-IS 695 RP2-1300.12N</v>
      </c>
      <c r="B1558" s="195" t="s">
        <v>1304</v>
      </c>
      <c r="C1558" s="196">
        <v>0</v>
      </c>
      <c r="D1558" s="196">
        <v>0.12</v>
      </c>
      <c r="E1558" s="195" t="s">
        <v>589</v>
      </c>
      <c r="F1558" s="195" t="s">
        <v>430</v>
      </c>
    </row>
    <row r="1559" spans="1:6" x14ac:dyDescent="0.25">
      <c r="A1559" s="189" t="str">
        <f t="shared" si="24"/>
        <v>BA-IS 695 RP2-1400.2W</v>
      </c>
      <c r="B1559" s="195" t="s">
        <v>1305</v>
      </c>
      <c r="C1559" s="196">
        <v>0</v>
      </c>
      <c r="D1559" s="196">
        <v>0.2</v>
      </c>
      <c r="E1559" s="195" t="s">
        <v>593</v>
      </c>
      <c r="F1559" s="195" t="s">
        <v>432</v>
      </c>
    </row>
    <row r="1560" spans="1:6" x14ac:dyDescent="0.25">
      <c r="A1560" s="189" t="str">
        <f t="shared" si="24"/>
        <v>BA-IS 695 RP2-1500.28W</v>
      </c>
      <c r="B1560" s="195" t="s">
        <v>1306</v>
      </c>
      <c r="C1560" s="196">
        <v>0</v>
      </c>
      <c r="D1560" s="196">
        <v>0.28000000000000003</v>
      </c>
      <c r="E1560" s="195" t="s">
        <v>593</v>
      </c>
      <c r="F1560" s="195" t="s">
        <v>432</v>
      </c>
    </row>
    <row r="1561" spans="1:6" x14ac:dyDescent="0.25">
      <c r="A1561" s="189" t="str">
        <f t="shared" si="24"/>
        <v>BA-IS 695 RP2-1700.28N</v>
      </c>
      <c r="B1561" s="195" t="s">
        <v>1307</v>
      </c>
      <c r="C1561" s="196">
        <v>0</v>
      </c>
      <c r="D1561" s="196">
        <v>0.28000000000000003</v>
      </c>
      <c r="E1561" s="195" t="s">
        <v>589</v>
      </c>
      <c r="F1561" s="195" t="s">
        <v>430</v>
      </c>
    </row>
    <row r="1562" spans="1:6" x14ac:dyDescent="0.25">
      <c r="A1562" s="189" t="str">
        <f t="shared" si="24"/>
        <v>BA-IS 695 RP2-1800.37N</v>
      </c>
      <c r="B1562" s="195" t="s">
        <v>1308</v>
      </c>
      <c r="C1562" s="196">
        <v>0</v>
      </c>
      <c r="D1562" s="196">
        <v>0.37</v>
      </c>
      <c r="E1562" s="195" t="s">
        <v>589</v>
      </c>
      <c r="F1562" s="195" t="s">
        <v>430</v>
      </c>
    </row>
    <row r="1563" spans="1:6" x14ac:dyDescent="0.25">
      <c r="A1563" s="189" t="str">
        <f t="shared" si="24"/>
        <v>BA-IS 695 RP2-2000.17S</v>
      </c>
      <c r="B1563" s="195" t="s">
        <v>1309</v>
      </c>
      <c r="C1563" s="196">
        <v>0</v>
      </c>
      <c r="D1563" s="196">
        <v>0.17</v>
      </c>
      <c r="E1563" s="195" t="s">
        <v>595</v>
      </c>
      <c r="F1563" s="195" t="s">
        <v>438</v>
      </c>
    </row>
    <row r="1564" spans="1:6" x14ac:dyDescent="0.25">
      <c r="A1564" s="189" t="str">
        <f t="shared" si="24"/>
        <v>BA-IS 695 RP2-2100.3W</v>
      </c>
      <c r="B1564" s="195" t="s">
        <v>1310</v>
      </c>
      <c r="C1564" s="196">
        <v>0</v>
      </c>
      <c r="D1564" s="196">
        <v>0.3</v>
      </c>
      <c r="E1564" s="195" t="s">
        <v>593</v>
      </c>
      <c r="F1564" s="195" t="s">
        <v>432</v>
      </c>
    </row>
    <row r="1565" spans="1:6" x14ac:dyDescent="0.25">
      <c r="A1565" s="189" t="str">
        <f t="shared" si="24"/>
        <v>BA-IS 695 RP2-2200.02W</v>
      </c>
      <c r="B1565" s="195" t="s">
        <v>1311</v>
      </c>
      <c r="C1565" s="196">
        <v>0</v>
      </c>
      <c r="D1565" s="196">
        <v>0.02</v>
      </c>
      <c r="E1565" s="195" t="s">
        <v>593</v>
      </c>
      <c r="F1565" s="195" t="s">
        <v>432</v>
      </c>
    </row>
    <row r="1566" spans="1:6" x14ac:dyDescent="0.25">
      <c r="A1566" s="189" t="str">
        <f t="shared" si="24"/>
        <v>BA-IS 695 RP2-2500.18W</v>
      </c>
      <c r="B1566" s="195" t="s">
        <v>1312</v>
      </c>
      <c r="C1566" s="196">
        <v>0</v>
      </c>
      <c r="D1566" s="196">
        <v>0.18</v>
      </c>
      <c r="E1566" s="195" t="s">
        <v>593</v>
      </c>
      <c r="F1566" s="195" t="s">
        <v>432</v>
      </c>
    </row>
    <row r="1567" spans="1:6" x14ac:dyDescent="0.25">
      <c r="A1567" s="189" t="str">
        <f t="shared" si="24"/>
        <v>BA-IS 695 RP2-2600.28W</v>
      </c>
      <c r="B1567" s="195" t="s">
        <v>1313</v>
      </c>
      <c r="C1567" s="196">
        <v>0</v>
      </c>
      <c r="D1567" s="196">
        <v>0.28000000000000003</v>
      </c>
      <c r="E1567" s="195" t="s">
        <v>593</v>
      </c>
      <c r="F1567" s="195" t="s">
        <v>432</v>
      </c>
    </row>
    <row r="1568" spans="1:6" x14ac:dyDescent="0.25">
      <c r="A1568" s="189" t="str">
        <f t="shared" si="24"/>
        <v>BA-IS 695 RP2-2700.13N</v>
      </c>
      <c r="B1568" s="195" t="s">
        <v>1314</v>
      </c>
      <c r="C1568" s="196">
        <v>0</v>
      </c>
      <c r="D1568" s="196">
        <v>0.13</v>
      </c>
      <c r="E1568" s="195" t="s">
        <v>589</v>
      </c>
      <c r="F1568" s="195" t="s">
        <v>430</v>
      </c>
    </row>
    <row r="1569" spans="1:6" x14ac:dyDescent="0.25">
      <c r="A1569" s="189" t="str">
        <f t="shared" si="24"/>
        <v>BA-IS 695 RP2-2800.02E</v>
      </c>
      <c r="B1569" s="195" t="s">
        <v>1315</v>
      </c>
      <c r="C1569" s="196">
        <v>0</v>
      </c>
      <c r="D1569" s="196">
        <v>0.02</v>
      </c>
      <c r="E1569" s="195" t="s">
        <v>598</v>
      </c>
      <c r="F1569" s="195" t="s">
        <v>19</v>
      </c>
    </row>
    <row r="1570" spans="1:6" x14ac:dyDescent="0.25">
      <c r="A1570" s="189" t="str">
        <f t="shared" si="24"/>
        <v>BA-IS 695 RP2-3000.24N</v>
      </c>
      <c r="B1570" s="195" t="s">
        <v>1316</v>
      </c>
      <c r="C1570" s="196">
        <v>0</v>
      </c>
      <c r="D1570" s="196">
        <v>0.24</v>
      </c>
      <c r="E1570" s="195" t="s">
        <v>589</v>
      </c>
      <c r="F1570" s="195" t="s">
        <v>430</v>
      </c>
    </row>
    <row r="1571" spans="1:6" x14ac:dyDescent="0.25">
      <c r="A1571" s="189" t="str">
        <f t="shared" si="24"/>
        <v>BA-IS 695 RP2-3100.17W</v>
      </c>
      <c r="B1571" s="195" t="s">
        <v>1317</v>
      </c>
      <c r="C1571" s="196">
        <v>0</v>
      </c>
      <c r="D1571" s="196">
        <v>0.17</v>
      </c>
      <c r="E1571" s="195" t="s">
        <v>593</v>
      </c>
      <c r="F1571" s="195" t="s">
        <v>432</v>
      </c>
    </row>
    <row r="1572" spans="1:6" x14ac:dyDescent="0.25">
      <c r="A1572" s="189" t="str">
        <f t="shared" si="24"/>
        <v>BA-IS 695 RP2-3200.28W</v>
      </c>
      <c r="B1572" s="195" t="s">
        <v>1318</v>
      </c>
      <c r="C1572" s="196">
        <v>0</v>
      </c>
      <c r="D1572" s="196">
        <v>0.28000000000000003</v>
      </c>
      <c r="E1572" s="195" t="s">
        <v>593</v>
      </c>
      <c r="F1572" s="195" t="s">
        <v>432</v>
      </c>
    </row>
    <row r="1573" spans="1:6" x14ac:dyDescent="0.25">
      <c r="A1573" s="189" t="str">
        <f t="shared" si="24"/>
        <v>BA-IS 695 RP2-320.280.31W</v>
      </c>
      <c r="B1573" s="195" t="s">
        <v>1318</v>
      </c>
      <c r="C1573" s="196">
        <v>0.28000000000000003</v>
      </c>
      <c r="D1573" s="196">
        <v>0.31</v>
      </c>
      <c r="E1573" s="195" t="s">
        <v>593</v>
      </c>
      <c r="F1573" s="195" t="s">
        <v>432</v>
      </c>
    </row>
    <row r="1574" spans="1:6" x14ac:dyDescent="0.25">
      <c r="A1574" s="189" t="str">
        <f t="shared" si="24"/>
        <v>BA-IS 695 RP2-8A00.22W</v>
      </c>
      <c r="B1574" s="195" t="s">
        <v>1319</v>
      </c>
      <c r="C1574" s="196">
        <v>0</v>
      </c>
      <c r="D1574" s="196">
        <v>0.22</v>
      </c>
      <c r="E1574" s="195" t="s">
        <v>593</v>
      </c>
      <c r="F1574" s="195" t="s">
        <v>432</v>
      </c>
    </row>
    <row r="1575" spans="1:6" x14ac:dyDescent="0.25">
      <c r="A1575" s="189" t="str">
        <f t="shared" si="24"/>
        <v>BA-IS 695 RP2-900.16N</v>
      </c>
      <c r="B1575" s="195" t="s">
        <v>1320</v>
      </c>
      <c r="C1575" s="196">
        <v>0</v>
      </c>
      <c r="D1575" s="196">
        <v>0.16</v>
      </c>
      <c r="E1575" s="195" t="s">
        <v>589</v>
      </c>
      <c r="F1575" s="195" t="s">
        <v>430</v>
      </c>
    </row>
    <row r="1576" spans="1:6" x14ac:dyDescent="0.25">
      <c r="A1576" s="189" t="str">
        <f t="shared" si="24"/>
        <v>BA-IS 695 RP3-12A00.15S</v>
      </c>
      <c r="B1576" s="195" t="s">
        <v>1321</v>
      </c>
      <c r="C1576" s="196">
        <v>0</v>
      </c>
      <c r="D1576" s="196">
        <v>0.15</v>
      </c>
      <c r="E1576" s="195" t="s">
        <v>595</v>
      </c>
      <c r="F1576" s="195" t="s">
        <v>438</v>
      </c>
    </row>
    <row r="1577" spans="1:6" x14ac:dyDescent="0.25">
      <c r="A1577" s="189" t="str">
        <f t="shared" si="24"/>
        <v>BA-IS 695 RP3-12B00.02N</v>
      </c>
      <c r="B1577" s="195" t="s">
        <v>1322</v>
      </c>
      <c r="C1577" s="196">
        <v>0</v>
      </c>
      <c r="D1577" s="196">
        <v>0.02</v>
      </c>
      <c r="E1577" s="195" t="s">
        <v>589</v>
      </c>
      <c r="F1577" s="195" t="s">
        <v>430</v>
      </c>
    </row>
    <row r="1578" spans="1:6" x14ac:dyDescent="0.25">
      <c r="A1578" s="189" t="str">
        <f t="shared" si="24"/>
        <v>BA-IS 695 RP3-1300.01N</v>
      </c>
      <c r="B1578" s="195" t="s">
        <v>1323</v>
      </c>
      <c r="C1578" s="196">
        <v>0</v>
      </c>
      <c r="D1578" s="196">
        <v>0.01</v>
      </c>
      <c r="E1578" s="195" t="s">
        <v>589</v>
      </c>
      <c r="F1578" s="195" t="s">
        <v>430</v>
      </c>
    </row>
    <row r="1579" spans="1:6" x14ac:dyDescent="0.25">
      <c r="A1579" s="189" t="str">
        <f t="shared" si="24"/>
        <v>BA-IS 695 RP3-1400.01N</v>
      </c>
      <c r="B1579" s="195" t="s">
        <v>1324</v>
      </c>
      <c r="C1579" s="196">
        <v>0</v>
      </c>
      <c r="D1579" s="196">
        <v>0.01</v>
      </c>
      <c r="E1579" s="195" t="s">
        <v>589</v>
      </c>
      <c r="F1579" s="195" t="s">
        <v>430</v>
      </c>
    </row>
    <row r="1580" spans="1:6" x14ac:dyDescent="0.25">
      <c r="A1580" s="189" t="str">
        <f t="shared" si="24"/>
        <v>BA-IS 695 RP3-1500.04N</v>
      </c>
      <c r="B1580" s="195" t="s">
        <v>1325</v>
      </c>
      <c r="C1580" s="196">
        <v>0</v>
      </c>
      <c r="D1580" s="196">
        <v>0.04</v>
      </c>
      <c r="E1580" s="195" t="s">
        <v>589</v>
      </c>
      <c r="F1580" s="195" t="s">
        <v>430</v>
      </c>
    </row>
    <row r="1581" spans="1:6" x14ac:dyDescent="0.25">
      <c r="A1581" s="189" t="str">
        <f t="shared" si="24"/>
        <v>BA-IS 695 RP3-1700.05N</v>
      </c>
      <c r="B1581" s="195" t="s">
        <v>1326</v>
      </c>
      <c r="C1581" s="196">
        <v>0</v>
      </c>
      <c r="D1581" s="196">
        <v>0.05</v>
      </c>
      <c r="E1581" s="195" t="s">
        <v>589</v>
      </c>
      <c r="F1581" s="195" t="s">
        <v>430</v>
      </c>
    </row>
    <row r="1582" spans="1:6" x14ac:dyDescent="0.25">
      <c r="A1582" s="189" t="str">
        <f t="shared" si="24"/>
        <v>BA-IS 695 RP3-1800.14E</v>
      </c>
      <c r="B1582" s="195" t="s">
        <v>1327</v>
      </c>
      <c r="C1582" s="196">
        <v>0</v>
      </c>
      <c r="D1582" s="196">
        <v>0.14000000000000001</v>
      </c>
      <c r="E1582" s="195" t="s">
        <v>598</v>
      </c>
      <c r="F1582" s="195" t="s">
        <v>19</v>
      </c>
    </row>
    <row r="1583" spans="1:6" x14ac:dyDescent="0.25">
      <c r="A1583" s="189" t="str">
        <f t="shared" si="24"/>
        <v>BA-IS 695 RP3-1900.46E</v>
      </c>
      <c r="B1583" s="195" t="s">
        <v>1328</v>
      </c>
      <c r="C1583" s="196">
        <v>0</v>
      </c>
      <c r="D1583" s="196">
        <v>0.46</v>
      </c>
      <c r="E1583" s="195" t="s">
        <v>598</v>
      </c>
      <c r="F1583" s="195" t="s">
        <v>19</v>
      </c>
    </row>
    <row r="1584" spans="1:6" x14ac:dyDescent="0.25">
      <c r="A1584" s="189" t="str">
        <f t="shared" si="24"/>
        <v>BA-IS 695 RP3-2000.1N</v>
      </c>
      <c r="B1584" s="195" t="s">
        <v>1329</v>
      </c>
      <c r="C1584" s="196">
        <v>0</v>
      </c>
      <c r="D1584" s="196">
        <v>0.1</v>
      </c>
      <c r="E1584" s="195" t="s">
        <v>589</v>
      </c>
      <c r="F1584" s="195" t="s">
        <v>430</v>
      </c>
    </row>
    <row r="1585" spans="1:6" x14ac:dyDescent="0.25">
      <c r="A1585" s="189" t="str">
        <f t="shared" si="24"/>
        <v>BA-IS 695 RP3-2100.02E</v>
      </c>
      <c r="B1585" s="195" t="s">
        <v>1330</v>
      </c>
      <c r="C1585" s="196">
        <v>0</v>
      </c>
      <c r="D1585" s="196">
        <v>0.02</v>
      </c>
      <c r="E1585" s="195" t="s">
        <v>598</v>
      </c>
      <c r="F1585" s="195" t="s">
        <v>19</v>
      </c>
    </row>
    <row r="1586" spans="1:6" x14ac:dyDescent="0.25">
      <c r="A1586" s="189" t="str">
        <f t="shared" si="24"/>
        <v>BA-IS 695 RP3-2200.19E</v>
      </c>
      <c r="B1586" s="195" t="s">
        <v>1331</v>
      </c>
      <c r="C1586" s="196">
        <v>0</v>
      </c>
      <c r="D1586" s="196">
        <v>0.19</v>
      </c>
      <c r="E1586" s="195" t="s">
        <v>598</v>
      </c>
      <c r="F1586" s="195" t="s">
        <v>19</v>
      </c>
    </row>
    <row r="1587" spans="1:6" x14ac:dyDescent="0.25">
      <c r="A1587" s="189" t="str">
        <f t="shared" si="24"/>
        <v>BA-IS 695 RP3-2500.45E</v>
      </c>
      <c r="B1587" s="195" t="s">
        <v>1332</v>
      </c>
      <c r="C1587" s="196">
        <v>0</v>
      </c>
      <c r="D1587" s="196">
        <v>0.45</v>
      </c>
      <c r="E1587" s="195" t="s">
        <v>598</v>
      </c>
      <c r="F1587" s="195" t="s">
        <v>19</v>
      </c>
    </row>
    <row r="1588" spans="1:6" x14ac:dyDescent="0.25">
      <c r="A1588" s="189" t="str">
        <f t="shared" si="24"/>
        <v>BA-IS 695 RP3-2600.24E</v>
      </c>
      <c r="B1588" s="195" t="s">
        <v>1333</v>
      </c>
      <c r="C1588" s="196">
        <v>0</v>
      </c>
      <c r="D1588" s="196">
        <v>0.24</v>
      </c>
      <c r="E1588" s="195" t="s">
        <v>598</v>
      </c>
      <c r="F1588" s="195" t="s">
        <v>19</v>
      </c>
    </row>
    <row r="1589" spans="1:6" x14ac:dyDescent="0.25">
      <c r="A1589" s="189" t="str">
        <f t="shared" si="24"/>
        <v>BA-IS 695 RP3-2700.17E</v>
      </c>
      <c r="B1589" s="195" t="s">
        <v>1334</v>
      </c>
      <c r="C1589" s="196">
        <v>0</v>
      </c>
      <c r="D1589" s="196">
        <v>0.17</v>
      </c>
      <c r="E1589" s="195" t="s">
        <v>598</v>
      </c>
      <c r="F1589" s="195" t="s">
        <v>19</v>
      </c>
    </row>
    <row r="1590" spans="1:6" x14ac:dyDescent="0.25">
      <c r="A1590" s="189" t="str">
        <f t="shared" si="24"/>
        <v>BA-IS 695 RP3-2800.19S</v>
      </c>
      <c r="B1590" s="195" t="s">
        <v>1335</v>
      </c>
      <c r="C1590" s="196">
        <v>0</v>
      </c>
      <c r="D1590" s="196">
        <v>0.19</v>
      </c>
      <c r="E1590" s="195" t="s">
        <v>595</v>
      </c>
      <c r="F1590" s="195" t="s">
        <v>438</v>
      </c>
    </row>
    <row r="1591" spans="1:6" x14ac:dyDescent="0.25">
      <c r="A1591" s="189" t="str">
        <f t="shared" si="24"/>
        <v>BA-IS 695 RP3-3000.19S</v>
      </c>
      <c r="B1591" s="195" t="s">
        <v>1336</v>
      </c>
      <c r="C1591" s="196">
        <v>0</v>
      </c>
      <c r="D1591" s="196">
        <v>0.19</v>
      </c>
      <c r="E1591" s="195" t="s">
        <v>595</v>
      </c>
      <c r="F1591" s="195" t="s">
        <v>438</v>
      </c>
    </row>
    <row r="1592" spans="1:6" x14ac:dyDescent="0.25">
      <c r="A1592" s="189" t="str">
        <f t="shared" si="24"/>
        <v>BA-IS 695 RP3-3100.19S</v>
      </c>
      <c r="B1592" s="195" t="s">
        <v>1337</v>
      </c>
      <c r="C1592" s="196">
        <v>0</v>
      </c>
      <c r="D1592" s="196">
        <v>0.19</v>
      </c>
      <c r="E1592" s="195" t="s">
        <v>595</v>
      </c>
      <c r="F1592" s="195" t="s">
        <v>438</v>
      </c>
    </row>
    <row r="1593" spans="1:6" x14ac:dyDescent="0.25">
      <c r="A1593" s="189" t="str">
        <f t="shared" si="24"/>
        <v>BA-IS 695 RP3-3200.19S</v>
      </c>
      <c r="B1593" s="195" t="s">
        <v>1338</v>
      </c>
      <c r="C1593" s="196">
        <v>0</v>
      </c>
      <c r="D1593" s="196">
        <v>0.19</v>
      </c>
      <c r="E1593" s="195" t="s">
        <v>595</v>
      </c>
      <c r="F1593" s="195" t="s">
        <v>438</v>
      </c>
    </row>
    <row r="1594" spans="1:6" x14ac:dyDescent="0.25">
      <c r="A1594" s="189" t="str">
        <f t="shared" si="24"/>
        <v>BA-IS 695 RP4-1000.17E</v>
      </c>
      <c r="B1594" s="195" t="s">
        <v>1339</v>
      </c>
      <c r="C1594" s="196">
        <v>0</v>
      </c>
      <c r="D1594" s="196">
        <v>0.17</v>
      </c>
      <c r="E1594" s="195" t="s">
        <v>598</v>
      </c>
      <c r="F1594" s="195" t="s">
        <v>19</v>
      </c>
    </row>
    <row r="1595" spans="1:6" x14ac:dyDescent="0.25">
      <c r="A1595" s="189" t="str">
        <f t="shared" si="24"/>
        <v>BA-IS 695 RP4-12B00.11N</v>
      </c>
      <c r="B1595" s="195" t="s">
        <v>1340</v>
      </c>
      <c r="C1595" s="196">
        <v>0</v>
      </c>
      <c r="D1595" s="196">
        <v>0.11</v>
      </c>
      <c r="E1595" s="195" t="s">
        <v>589</v>
      </c>
      <c r="F1595" s="195" t="s">
        <v>430</v>
      </c>
    </row>
    <row r="1596" spans="1:6" x14ac:dyDescent="0.25">
      <c r="A1596" s="189" t="str">
        <f t="shared" si="24"/>
        <v>BA-IS 695 RP4-1300.18N</v>
      </c>
      <c r="B1596" s="195" t="s">
        <v>1341</v>
      </c>
      <c r="C1596" s="196">
        <v>0</v>
      </c>
      <c r="D1596" s="196">
        <v>0.18</v>
      </c>
      <c r="E1596" s="195" t="s">
        <v>589</v>
      </c>
      <c r="F1596" s="195" t="s">
        <v>430</v>
      </c>
    </row>
    <row r="1597" spans="1:6" x14ac:dyDescent="0.25">
      <c r="A1597" s="189" t="str">
        <f t="shared" si="24"/>
        <v>BA-IS 695 RP4-1400.18N</v>
      </c>
      <c r="B1597" s="195" t="s">
        <v>1342</v>
      </c>
      <c r="C1597" s="196">
        <v>0</v>
      </c>
      <c r="D1597" s="196">
        <v>0.18</v>
      </c>
      <c r="E1597" s="195" t="s">
        <v>589</v>
      </c>
      <c r="F1597" s="195" t="s">
        <v>430</v>
      </c>
    </row>
    <row r="1598" spans="1:6" x14ac:dyDescent="0.25">
      <c r="A1598" s="189" t="str">
        <f t="shared" si="24"/>
        <v>BA-IS 695 RP4-1500.18N</v>
      </c>
      <c r="B1598" s="195" t="s">
        <v>1343</v>
      </c>
      <c r="C1598" s="196">
        <v>0</v>
      </c>
      <c r="D1598" s="196">
        <v>0.18</v>
      </c>
      <c r="E1598" s="195" t="s">
        <v>589</v>
      </c>
      <c r="F1598" s="195" t="s">
        <v>430</v>
      </c>
    </row>
    <row r="1599" spans="1:6" x14ac:dyDescent="0.25">
      <c r="A1599" s="189" t="str">
        <f t="shared" si="24"/>
        <v>BA-IS 695 RP4-1700.41N</v>
      </c>
      <c r="B1599" s="195" t="s">
        <v>1344</v>
      </c>
      <c r="C1599" s="196">
        <v>0</v>
      </c>
      <c r="D1599" s="196">
        <v>0.41</v>
      </c>
      <c r="E1599" s="195" t="s">
        <v>589</v>
      </c>
      <c r="F1599" s="195" t="s">
        <v>430</v>
      </c>
    </row>
    <row r="1600" spans="1:6" x14ac:dyDescent="0.25">
      <c r="A1600" s="189" t="str">
        <f t="shared" si="24"/>
        <v>BA-IS 695 RP4-1800.08N</v>
      </c>
      <c r="B1600" s="195" t="s">
        <v>1345</v>
      </c>
      <c r="C1600" s="196">
        <v>0</v>
      </c>
      <c r="D1600" s="196">
        <v>0.08</v>
      </c>
      <c r="E1600" s="195" t="s">
        <v>589</v>
      </c>
      <c r="F1600" s="195" t="s">
        <v>430</v>
      </c>
    </row>
    <row r="1601" spans="1:6" x14ac:dyDescent="0.25">
      <c r="A1601" s="189" t="str">
        <f t="shared" si="24"/>
        <v>BA-IS 695 RP4-180.080.17N</v>
      </c>
      <c r="B1601" s="195" t="s">
        <v>1345</v>
      </c>
      <c r="C1601" s="196">
        <v>0.08</v>
      </c>
      <c r="D1601" s="196">
        <v>0.17</v>
      </c>
      <c r="E1601" s="195" t="s">
        <v>589</v>
      </c>
      <c r="F1601" s="195" t="s">
        <v>430</v>
      </c>
    </row>
    <row r="1602" spans="1:6" x14ac:dyDescent="0.25">
      <c r="A1602" s="189" t="str">
        <f t="shared" si="24"/>
        <v>BA-IS 695 RP4-2000.18N</v>
      </c>
      <c r="B1602" s="195" t="s">
        <v>1346</v>
      </c>
      <c r="C1602" s="196">
        <v>0</v>
      </c>
      <c r="D1602" s="196">
        <v>0.18</v>
      </c>
      <c r="E1602" s="195" t="s">
        <v>589</v>
      </c>
      <c r="F1602" s="195" t="s">
        <v>430</v>
      </c>
    </row>
    <row r="1603" spans="1:6" x14ac:dyDescent="0.25">
      <c r="A1603" s="189" t="str">
        <f t="shared" ref="A1603:A1666" si="25">B1603&amp;C1603&amp;D1603&amp;F1603</f>
        <v>BA-IS 695 RP4-2100.31E</v>
      </c>
      <c r="B1603" s="195" t="s">
        <v>1347</v>
      </c>
      <c r="C1603" s="196">
        <v>0</v>
      </c>
      <c r="D1603" s="196">
        <v>0.31</v>
      </c>
      <c r="E1603" s="195" t="s">
        <v>598</v>
      </c>
      <c r="F1603" s="195" t="s">
        <v>19</v>
      </c>
    </row>
    <row r="1604" spans="1:6" x14ac:dyDescent="0.25">
      <c r="A1604" s="189" t="str">
        <f t="shared" si="25"/>
        <v>BA-IS 695 RP4-2200.26E</v>
      </c>
      <c r="B1604" s="195" t="s">
        <v>1348</v>
      </c>
      <c r="C1604" s="196">
        <v>0</v>
      </c>
      <c r="D1604" s="196">
        <v>0.26</v>
      </c>
      <c r="E1604" s="195" t="s">
        <v>598</v>
      </c>
      <c r="F1604" s="195" t="s">
        <v>19</v>
      </c>
    </row>
    <row r="1605" spans="1:6" x14ac:dyDescent="0.25">
      <c r="A1605" s="189" t="str">
        <f t="shared" si="25"/>
        <v>BA-IS 695 RP4-2500.23N</v>
      </c>
      <c r="B1605" s="195" t="s">
        <v>1349</v>
      </c>
      <c r="C1605" s="196">
        <v>0</v>
      </c>
      <c r="D1605" s="196">
        <v>0.23</v>
      </c>
      <c r="E1605" s="195" t="s">
        <v>589</v>
      </c>
      <c r="F1605" s="195" t="s">
        <v>430</v>
      </c>
    </row>
    <row r="1606" spans="1:6" x14ac:dyDescent="0.25">
      <c r="A1606" s="189" t="str">
        <f t="shared" si="25"/>
        <v>BA-IS 695 RP4-2600.28N</v>
      </c>
      <c r="B1606" s="195" t="s">
        <v>1350</v>
      </c>
      <c r="C1606" s="196">
        <v>0</v>
      </c>
      <c r="D1606" s="196">
        <v>0.28000000000000003</v>
      </c>
      <c r="E1606" s="195" t="s">
        <v>589</v>
      </c>
      <c r="F1606" s="195" t="s">
        <v>430</v>
      </c>
    </row>
    <row r="1607" spans="1:6" x14ac:dyDescent="0.25">
      <c r="A1607" s="189" t="str">
        <f t="shared" si="25"/>
        <v>BA-IS 695 RP4-2700.06N</v>
      </c>
      <c r="B1607" s="195" t="s">
        <v>1351</v>
      </c>
      <c r="C1607" s="196">
        <v>0</v>
      </c>
      <c r="D1607" s="196">
        <v>0.06</v>
      </c>
      <c r="E1607" s="195" t="s">
        <v>589</v>
      </c>
      <c r="F1607" s="195" t="s">
        <v>430</v>
      </c>
    </row>
    <row r="1608" spans="1:6" x14ac:dyDescent="0.25">
      <c r="A1608" s="189" t="str">
        <f t="shared" si="25"/>
        <v>BA-IS 695 RP4-2800.26E</v>
      </c>
      <c r="B1608" s="195" t="s">
        <v>1352</v>
      </c>
      <c r="C1608" s="196">
        <v>0</v>
      </c>
      <c r="D1608" s="196">
        <v>0.26</v>
      </c>
      <c r="E1608" s="195" t="s">
        <v>598</v>
      </c>
      <c r="F1608" s="195" t="s">
        <v>19</v>
      </c>
    </row>
    <row r="1609" spans="1:6" x14ac:dyDescent="0.25">
      <c r="A1609" s="189" t="str">
        <f t="shared" si="25"/>
        <v>BA-IS 695 RP4-29B00.15N</v>
      </c>
      <c r="B1609" s="195" t="s">
        <v>1353</v>
      </c>
      <c r="C1609" s="196">
        <v>0</v>
      </c>
      <c r="D1609" s="196">
        <v>0.15</v>
      </c>
      <c r="E1609" s="195" t="s">
        <v>589</v>
      </c>
      <c r="F1609" s="195" t="s">
        <v>430</v>
      </c>
    </row>
    <row r="1610" spans="1:6" x14ac:dyDescent="0.25">
      <c r="A1610" s="189" t="str">
        <f t="shared" si="25"/>
        <v>BA-IS 695 RP4-3000.27E</v>
      </c>
      <c r="B1610" s="195" t="s">
        <v>1354</v>
      </c>
      <c r="C1610" s="196">
        <v>0</v>
      </c>
      <c r="D1610" s="196">
        <v>0.27</v>
      </c>
      <c r="E1610" s="195" t="s">
        <v>598</v>
      </c>
      <c r="F1610" s="195" t="s">
        <v>19</v>
      </c>
    </row>
    <row r="1611" spans="1:6" x14ac:dyDescent="0.25">
      <c r="A1611" s="189" t="str">
        <f t="shared" si="25"/>
        <v>BA-IS 695 RP4-3100.68N</v>
      </c>
      <c r="B1611" s="195" t="s">
        <v>1355</v>
      </c>
      <c r="C1611" s="196">
        <v>0</v>
      </c>
      <c r="D1611" s="196">
        <v>0.68</v>
      </c>
      <c r="E1611" s="195" t="s">
        <v>589</v>
      </c>
      <c r="F1611" s="195" t="s">
        <v>430</v>
      </c>
    </row>
    <row r="1612" spans="1:6" x14ac:dyDescent="0.25">
      <c r="A1612" s="189" t="str">
        <f t="shared" si="25"/>
        <v>BA-IS 695 RP4-3200.32E</v>
      </c>
      <c r="B1612" s="195" t="s">
        <v>1356</v>
      </c>
      <c r="C1612" s="196">
        <v>0</v>
      </c>
      <c r="D1612" s="196">
        <v>0.32</v>
      </c>
      <c r="E1612" s="195" t="s">
        <v>598</v>
      </c>
      <c r="F1612" s="195" t="s">
        <v>19</v>
      </c>
    </row>
    <row r="1613" spans="1:6" x14ac:dyDescent="0.25">
      <c r="A1613" s="189" t="str">
        <f t="shared" si="25"/>
        <v>BA-IS 695 RP4-900.02S</v>
      </c>
      <c r="B1613" s="195" t="s">
        <v>1357</v>
      </c>
      <c r="C1613" s="196">
        <v>0</v>
      </c>
      <c r="D1613" s="196">
        <v>0.02</v>
      </c>
      <c r="E1613" s="195" t="s">
        <v>595</v>
      </c>
      <c r="F1613" s="195" t="s">
        <v>438</v>
      </c>
    </row>
    <row r="1614" spans="1:6" x14ac:dyDescent="0.25">
      <c r="A1614" s="189" t="str">
        <f t="shared" si="25"/>
        <v>BA-IS 695 RP5-1000.05S</v>
      </c>
      <c r="B1614" s="195" t="s">
        <v>1358</v>
      </c>
      <c r="C1614" s="196">
        <v>0</v>
      </c>
      <c r="D1614" s="196">
        <v>0.05</v>
      </c>
      <c r="E1614" s="195" t="s">
        <v>595</v>
      </c>
      <c r="F1614" s="195" t="s">
        <v>438</v>
      </c>
    </row>
    <row r="1615" spans="1:6" x14ac:dyDescent="0.25">
      <c r="A1615" s="189" t="str">
        <f t="shared" si="25"/>
        <v>BA-IS 695 RP5-12B00.19S</v>
      </c>
      <c r="B1615" s="195" t="s">
        <v>1359</v>
      </c>
      <c r="C1615" s="196">
        <v>0</v>
      </c>
      <c r="D1615" s="196">
        <v>0.19</v>
      </c>
      <c r="E1615" s="195" t="s">
        <v>595</v>
      </c>
      <c r="F1615" s="195" t="s">
        <v>438</v>
      </c>
    </row>
    <row r="1616" spans="1:6" x14ac:dyDescent="0.25">
      <c r="A1616" s="189" t="str">
        <f t="shared" si="25"/>
        <v>BA-IS 695 RP5-1500.23S</v>
      </c>
      <c r="B1616" s="195" t="s">
        <v>1360</v>
      </c>
      <c r="C1616" s="196">
        <v>0</v>
      </c>
      <c r="D1616" s="196">
        <v>0.23</v>
      </c>
      <c r="E1616" s="195" t="s">
        <v>595</v>
      </c>
      <c r="F1616" s="195" t="s">
        <v>438</v>
      </c>
    </row>
    <row r="1617" spans="1:6" x14ac:dyDescent="0.25">
      <c r="A1617" s="189" t="str">
        <f t="shared" si="25"/>
        <v>BA-IS 695 RP5-1700.05N</v>
      </c>
      <c r="B1617" s="195" t="s">
        <v>1361</v>
      </c>
      <c r="C1617" s="196">
        <v>0</v>
      </c>
      <c r="D1617" s="196">
        <v>0.05</v>
      </c>
      <c r="E1617" s="195" t="s">
        <v>589</v>
      </c>
      <c r="F1617" s="195" t="s">
        <v>430</v>
      </c>
    </row>
    <row r="1618" spans="1:6" x14ac:dyDescent="0.25">
      <c r="A1618" s="189" t="str">
        <f t="shared" si="25"/>
        <v>BA-IS 695 RP5-1800.02S</v>
      </c>
      <c r="B1618" s="195" t="s">
        <v>1362</v>
      </c>
      <c r="C1618" s="196">
        <v>0</v>
      </c>
      <c r="D1618" s="196">
        <v>0.02</v>
      </c>
      <c r="E1618" s="195" t="s">
        <v>595</v>
      </c>
      <c r="F1618" s="195" t="s">
        <v>438</v>
      </c>
    </row>
    <row r="1619" spans="1:6" x14ac:dyDescent="0.25">
      <c r="A1619" s="189" t="str">
        <f t="shared" si="25"/>
        <v>BA-IS 695 RP5-2000.07S</v>
      </c>
      <c r="B1619" s="195" t="s">
        <v>1363</v>
      </c>
      <c r="C1619" s="196">
        <v>0</v>
      </c>
      <c r="D1619" s="196">
        <v>7.0000000000000007E-2</v>
      </c>
      <c r="E1619" s="195" t="s">
        <v>595</v>
      </c>
      <c r="F1619" s="195" t="s">
        <v>438</v>
      </c>
    </row>
    <row r="1620" spans="1:6" x14ac:dyDescent="0.25">
      <c r="A1620" s="189" t="str">
        <f t="shared" si="25"/>
        <v>BA-IS 695 RP5-2200.02E</v>
      </c>
      <c r="B1620" s="195" t="s">
        <v>1364</v>
      </c>
      <c r="C1620" s="196">
        <v>0</v>
      </c>
      <c r="D1620" s="196">
        <v>0.02</v>
      </c>
      <c r="E1620" s="195" t="s">
        <v>598</v>
      </c>
      <c r="F1620" s="195" t="s">
        <v>19</v>
      </c>
    </row>
    <row r="1621" spans="1:6" x14ac:dyDescent="0.25">
      <c r="A1621" s="189" t="str">
        <f t="shared" si="25"/>
        <v>BA-IS 695 RP5-2500.07E</v>
      </c>
      <c r="B1621" s="195" t="s">
        <v>1365</v>
      </c>
      <c r="C1621" s="196">
        <v>0</v>
      </c>
      <c r="D1621" s="196">
        <v>7.0000000000000007E-2</v>
      </c>
      <c r="E1621" s="195" t="s">
        <v>598</v>
      </c>
      <c r="F1621" s="195" t="s">
        <v>19</v>
      </c>
    </row>
    <row r="1622" spans="1:6" x14ac:dyDescent="0.25">
      <c r="A1622" s="189" t="str">
        <f t="shared" si="25"/>
        <v>BA-IS 695 RP5-2600.14N</v>
      </c>
      <c r="B1622" s="195" t="s">
        <v>1366</v>
      </c>
      <c r="C1622" s="196">
        <v>0</v>
      </c>
      <c r="D1622" s="196">
        <v>0.14000000000000001</v>
      </c>
      <c r="E1622" s="195" t="s">
        <v>589</v>
      </c>
      <c r="F1622" s="195" t="s">
        <v>430</v>
      </c>
    </row>
    <row r="1623" spans="1:6" x14ac:dyDescent="0.25">
      <c r="A1623" s="189" t="str">
        <f t="shared" si="25"/>
        <v>BA-IS 695 RP5-2700.24W</v>
      </c>
      <c r="B1623" s="195" t="s">
        <v>1367</v>
      </c>
      <c r="C1623" s="196">
        <v>0</v>
      </c>
      <c r="D1623" s="196">
        <v>0.24</v>
      </c>
      <c r="E1623" s="195" t="s">
        <v>593</v>
      </c>
      <c r="F1623" s="195" t="s">
        <v>432</v>
      </c>
    </row>
    <row r="1624" spans="1:6" x14ac:dyDescent="0.25">
      <c r="A1624" s="189" t="str">
        <f t="shared" si="25"/>
        <v>BA-IS 695 RP5-2800.04E</v>
      </c>
      <c r="B1624" s="195" t="s">
        <v>1368</v>
      </c>
      <c r="C1624" s="196">
        <v>0</v>
      </c>
      <c r="D1624" s="196">
        <v>0.04</v>
      </c>
      <c r="E1624" s="195" t="s">
        <v>598</v>
      </c>
      <c r="F1624" s="195" t="s">
        <v>19</v>
      </c>
    </row>
    <row r="1625" spans="1:6" x14ac:dyDescent="0.25">
      <c r="A1625" s="189" t="str">
        <f t="shared" si="25"/>
        <v>BA-IS 695 RP5-29B00.16S</v>
      </c>
      <c r="B1625" s="195" t="s">
        <v>1369</v>
      </c>
      <c r="C1625" s="196">
        <v>0</v>
      </c>
      <c r="D1625" s="196">
        <v>0.16</v>
      </c>
      <c r="E1625" s="195" t="s">
        <v>595</v>
      </c>
      <c r="F1625" s="195" t="s">
        <v>438</v>
      </c>
    </row>
    <row r="1626" spans="1:6" x14ac:dyDescent="0.25">
      <c r="A1626" s="189" t="str">
        <f t="shared" si="25"/>
        <v>BA-IS 695 RP5-3000.21S</v>
      </c>
      <c r="B1626" s="195" t="s">
        <v>1370</v>
      </c>
      <c r="C1626" s="196">
        <v>0</v>
      </c>
      <c r="D1626" s="196">
        <v>0.21</v>
      </c>
      <c r="E1626" s="195" t="s">
        <v>595</v>
      </c>
      <c r="F1626" s="195" t="s">
        <v>438</v>
      </c>
    </row>
    <row r="1627" spans="1:6" x14ac:dyDescent="0.25">
      <c r="A1627" s="189" t="str">
        <f t="shared" si="25"/>
        <v>BA-IS 695 RP5-3100.17S</v>
      </c>
      <c r="B1627" s="195" t="s">
        <v>1371</v>
      </c>
      <c r="C1627" s="196">
        <v>0</v>
      </c>
      <c r="D1627" s="196">
        <v>0.17</v>
      </c>
      <c r="E1627" s="195" t="s">
        <v>595</v>
      </c>
      <c r="F1627" s="195" t="s">
        <v>438</v>
      </c>
    </row>
    <row r="1628" spans="1:6" x14ac:dyDescent="0.25">
      <c r="A1628" s="189" t="str">
        <f t="shared" si="25"/>
        <v>BA-IS 695 RP5-3200.22E</v>
      </c>
      <c r="B1628" s="195" t="s">
        <v>1372</v>
      </c>
      <c r="C1628" s="196">
        <v>0</v>
      </c>
      <c r="D1628" s="196">
        <v>0.22</v>
      </c>
      <c r="E1628" s="195" t="s">
        <v>598</v>
      </c>
      <c r="F1628" s="195" t="s">
        <v>19</v>
      </c>
    </row>
    <row r="1629" spans="1:6" x14ac:dyDescent="0.25">
      <c r="A1629" s="189" t="str">
        <f t="shared" si="25"/>
        <v>BA-IS 695 RP5-8A00.31S</v>
      </c>
      <c r="B1629" s="195" t="s">
        <v>1373</v>
      </c>
      <c r="C1629" s="196">
        <v>0</v>
      </c>
      <c r="D1629" s="196">
        <v>0.31</v>
      </c>
      <c r="E1629" s="195" t="s">
        <v>595</v>
      </c>
      <c r="F1629" s="195" t="s">
        <v>438</v>
      </c>
    </row>
    <row r="1630" spans="1:6" x14ac:dyDescent="0.25">
      <c r="A1630" s="189" t="str">
        <f t="shared" si="25"/>
        <v>BA-IS 695 RP5-900.15S</v>
      </c>
      <c r="B1630" s="195" t="s">
        <v>1374</v>
      </c>
      <c r="C1630" s="196">
        <v>0</v>
      </c>
      <c r="D1630" s="196">
        <v>0.15</v>
      </c>
      <c r="E1630" s="195" t="s">
        <v>595</v>
      </c>
      <c r="F1630" s="195" t="s">
        <v>438</v>
      </c>
    </row>
    <row r="1631" spans="1:6" x14ac:dyDescent="0.25">
      <c r="A1631" s="189" t="str">
        <f t="shared" si="25"/>
        <v>BA-IS 695 RP6-12A00.24E</v>
      </c>
      <c r="B1631" s="195" t="s">
        <v>1375</v>
      </c>
      <c r="C1631" s="196">
        <v>0</v>
      </c>
      <c r="D1631" s="196">
        <v>0.24</v>
      </c>
      <c r="E1631" s="195" t="s">
        <v>598</v>
      </c>
      <c r="F1631" s="195" t="s">
        <v>19</v>
      </c>
    </row>
    <row r="1632" spans="1:6" x14ac:dyDescent="0.25">
      <c r="A1632" s="189" t="str">
        <f t="shared" si="25"/>
        <v>BA-IS 695 RP6-12B00.35W</v>
      </c>
      <c r="B1632" s="195" t="s">
        <v>1376</v>
      </c>
      <c r="C1632" s="196">
        <v>0</v>
      </c>
      <c r="D1632" s="196">
        <v>0.35</v>
      </c>
      <c r="E1632" s="195" t="s">
        <v>593</v>
      </c>
      <c r="F1632" s="195" t="s">
        <v>432</v>
      </c>
    </row>
    <row r="1633" spans="1:6" x14ac:dyDescent="0.25">
      <c r="A1633" s="189" t="str">
        <f t="shared" si="25"/>
        <v>BA-IS 695 RP6-1300.24S</v>
      </c>
      <c r="B1633" s="195" t="s">
        <v>1377</v>
      </c>
      <c r="C1633" s="196">
        <v>0</v>
      </c>
      <c r="D1633" s="196">
        <v>0.24</v>
      </c>
      <c r="E1633" s="195" t="s">
        <v>595</v>
      </c>
      <c r="F1633" s="195" t="s">
        <v>438</v>
      </c>
    </row>
    <row r="1634" spans="1:6" x14ac:dyDescent="0.25">
      <c r="A1634" s="189" t="str">
        <f t="shared" si="25"/>
        <v>BA-IS 695 RP6-1500.3E</v>
      </c>
      <c r="B1634" s="195" t="s">
        <v>1378</v>
      </c>
      <c r="C1634" s="196">
        <v>0</v>
      </c>
      <c r="D1634" s="196">
        <v>0.3</v>
      </c>
      <c r="E1634" s="195" t="s">
        <v>598</v>
      </c>
      <c r="F1634" s="195" t="s">
        <v>19</v>
      </c>
    </row>
    <row r="1635" spans="1:6" x14ac:dyDescent="0.25">
      <c r="A1635" s="189" t="str">
        <f t="shared" si="25"/>
        <v>BA-IS 695 RP6-1700.42S</v>
      </c>
      <c r="B1635" s="195" t="s">
        <v>1379</v>
      </c>
      <c r="C1635" s="196">
        <v>0</v>
      </c>
      <c r="D1635" s="196">
        <v>0.42</v>
      </c>
      <c r="E1635" s="195" t="s">
        <v>595</v>
      </c>
      <c r="F1635" s="195" t="s">
        <v>438</v>
      </c>
    </row>
    <row r="1636" spans="1:6" x14ac:dyDescent="0.25">
      <c r="A1636" s="189" t="str">
        <f t="shared" si="25"/>
        <v>BA-IS 695 RP6-1800.27S</v>
      </c>
      <c r="B1636" s="195" t="s">
        <v>1380</v>
      </c>
      <c r="C1636" s="196">
        <v>0</v>
      </c>
      <c r="D1636" s="196">
        <v>0.27</v>
      </c>
      <c r="E1636" s="195" t="s">
        <v>595</v>
      </c>
      <c r="F1636" s="195" t="s">
        <v>438</v>
      </c>
    </row>
    <row r="1637" spans="1:6" x14ac:dyDescent="0.25">
      <c r="A1637" s="189" t="str">
        <f t="shared" si="25"/>
        <v>BA-IS 695 RP6-1900.58S</v>
      </c>
      <c r="B1637" s="195" t="s">
        <v>1381</v>
      </c>
      <c r="C1637" s="196">
        <v>0</v>
      </c>
      <c r="D1637" s="196">
        <v>0.57999999999999996</v>
      </c>
      <c r="E1637" s="195" t="s">
        <v>595</v>
      </c>
      <c r="F1637" s="195" t="s">
        <v>438</v>
      </c>
    </row>
    <row r="1638" spans="1:6" x14ac:dyDescent="0.25">
      <c r="A1638" s="189" t="str">
        <f t="shared" si="25"/>
        <v>BA-IS 695 RP6-2000.28N</v>
      </c>
      <c r="B1638" s="195" t="s">
        <v>1382</v>
      </c>
      <c r="C1638" s="196">
        <v>0</v>
      </c>
      <c r="D1638" s="196">
        <v>0.28000000000000003</v>
      </c>
      <c r="E1638" s="195" t="s">
        <v>589</v>
      </c>
      <c r="F1638" s="195" t="s">
        <v>430</v>
      </c>
    </row>
    <row r="1639" spans="1:6" x14ac:dyDescent="0.25">
      <c r="A1639" s="189" t="str">
        <f t="shared" si="25"/>
        <v>BA-IS 695 RP6-2100.24E</v>
      </c>
      <c r="B1639" s="195" t="s">
        <v>1383</v>
      </c>
      <c r="C1639" s="196">
        <v>0</v>
      </c>
      <c r="D1639" s="196">
        <v>0.24</v>
      </c>
      <c r="E1639" s="195" t="s">
        <v>598</v>
      </c>
      <c r="F1639" s="195" t="s">
        <v>19</v>
      </c>
    </row>
    <row r="1640" spans="1:6" x14ac:dyDescent="0.25">
      <c r="A1640" s="189" t="str">
        <f t="shared" si="25"/>
        <v>BA-IS 695 RP6-2200.02S</v>
      </c>
      <c r="B1640" s="195" t="s">
        <v>1384</v>
      </c>
      <c r="C1640" s="196">
        <v>0</v>
      </c>
      <c r="D1640" s="196">
        <v>0.02</v>
      </c>
      <c r="E1640" s="195" t="s">
        <v>595</v>
      </c>
      <c r="F1640" s="195" t="s">
        <v>438</v>
      </c>
    </row>
    <row r="1641" spans="1:6" x14ac:dyDescent="0.25">
      <c r="A1641" s="189" t="str">
        <f t="shared" si="25"/>
        <v>BA-IS 695 RP6-2500.04S</v>
      </c>
      <c r="B1641" s="195" t="s">
        <v>1385</v>
      </c>
      <c r="C1641" s="196">
        <v>0</v>
      </c>
      <c r="D1641" s="196">
        <v>0.04</v>
      </c>
      <c r="E1641" s="195" t="s">
        <v>595</v>
      </c>
      <c r="F1641" s="195" t="s">
        <v>438</v>
      </c>
    </row>
    <row r="1642" spans="1:6" x14ac:dyDescent="0.25">
      <c r="A1642" s="189" t="str">
        <f t="shared" si="25"/>
        <v>BA-IS 695 RP6-2600.15S</v>
      </c>
      <c r="B1642" s="195" t="s">
        <v>1386</v>
      </c>
      <c r="C1642" s="196">
        <v>0</v>
      </c>
      <c r="D1642" s="196">
        <v>0.15</v>
      </c>
      <c r="E1642" s="195" t="s">
        <v>595</v>
      </c>
      <c r="F1642" s="195" t="s">
        <v>438</v>
      </c>
    </row>
    <row r="1643" spans="1:6" x14ac:dyDescent="0.25">
      <c r="A1643" s="189" t="str">
        <f t="shared" si="25"/>
        <v>BA-IS 695 RP6-2700.18S</v>
      </c>
      <c r="B1643" s="195" t="s">
        <v>1387</v>
      </c>
      <c r="C1643" s="196">
        <v>0</v>
      </c>
      <c r="D1643" s="196">
        <v>0.18</v>
      </c>
      <c r="E1643" s="195" t="s">
        <v>595</v>
      </c>
      <c r="F1643" s="195" t="s">
        <v>438</v>
      </c>
    </row>
    <row r="1644" spans="1:6" x14ac:dyDescent="0.25">
      <c r="A1644" s="189" t="str">
        <f t="shared" si="25"/>
        <v>BA-IS 695 RP6-2800.03W</v>
      </c>
      <c r="B1644" s="195" t="s">
        <v>1388</v>
      </c>
      <c r="C1644" s="196">
        <v>0</v>
      </c>
      <c r="D1644" s="196">
        <v>0.03</v>
      </c>
      <c r="E1644" s="195" t="s">
        <v>593</v>
      </c>
      <c r="F1644" s="195" t="s">
        <v>432</v>
      </c>
    </row>
    <row r="1645" spans="1:6" x14ac:dyDescent="0.25">
      <c r="A1645" s="189" t="str">
        <f t="shared" si="25"/>
        <v>BA-IS 695 RP6-29A00.17N</v>
      </c>
      <c r="B1645" s="195" t="s">
        <v>1389</v>
      </c>
      <c r="C1645" s="196">
        <v>0</v>
      </c>
      <c r="D1645" s="196">
        <v>0.17</v>
      </c>
      <c r="E1645" s="195" t="s">
        <v>589</v>
      </c>
      <c r="F1645" s="195" t="s">
        <v>430</v>
      </c>
    </row>
    <row r="1646" spans="1:6" x14ac:dyDescent="0.25">
      <c r="A1646" s="189" t="str">
        <f t="shared" si="25"/>
        <v>BA-IS 695 RP6-3000.32E</v>
      </c>
      <c r="B1646" s="195" t="s">
        <v>1390</v>
      </c>
      <c r="C1646" s="196">
        <v>0</v>
      </c>
      <c r="D1646" s="196">
        <v>0.32</v>
      </c>
      <c r="E1646" s="195" t="s">
        <v>598</v>
      </c>
      <c r="F1646" s="195" t="s">
        <v>19</v>
      </c>
    </row>
    <row r="1647" spans="1:6" x14ac:dyDescent="0.25">
      <c r="A1647" s="189" t="str">
        <f t="shared" si="25"/>
        <v>BA-IS 695 RP6-3100.2E</v>
      </c>
      <c r="B1647" s="195" t="s">
        <v>1391</v>
      </c>
      <c r="C1647" s="196">
        <v>0</v>
      </c>
      <c r="D1647" s="196">
        <v>0.2</v>
      </c>
      <c r="E1647" s="195" t="s">
        <v>598</v>
      </c>
      <c r="F1647" s="195" t="s">
        <v>19</v>
      </c>
    </row>
    <row r="1648" spans="1:6" x14ac:dyDescent="0.25">
      <c r="A1648" s="189" t="str">
        <f t="shared" si="25"/>
        <v>BA-IS 695 RP6-3200.36E</v>
      </c>
      <c r="B1648" s="195" t="s">
        <v>1392</v>
      </c>
      <c r="C1648" s="196">
        <v>0</v>
      </c>
      <c r="D1648" s="196">
        <v>0.36</v>
      </c>
      <c r="E1648" s="195" t="s">
        <v>598</v>
      </c>
      <c r="F1648" s="195" t="s">
        <v>19</v>
      </c>
    </row>
    <row r="1649" spans="1:6" x14ac:dyDescent="0.25">
      <c r="A1649" s="189" t="str">
        <f t="shared" si="25"/>
        <v>BA-IS 695 RP6-900.17S</v>
      </c>
      <c r="B1649" s="195" t="s">
        <v>1393</v>
      </c>
      <c r="C1649" s="196">
        <v>0</v>
      </c>
      <c r="D1649" s="196">
        <v>0.17</v>
      </c>
      <c r="E1649" s="195" t="s">
        <v>595</v>
      </c>
      <c r="F1649" s="195" t="s">
        <v>438</v>
      </c>
    </row>
    <row r="1650" spans="1:6" x14ac:dyDescent="0.25">
      <c r="A1650" s="189" t="str">
        <f t="shared" si="25"/>
        <v>BA-IS 695 RP7-12B00.06S</v>
      </c>
      <c r="B1650" s="195" t="s">
        <v>1394</v>
      </c>
      <c r="C1650" s="196">
        <v>0</v>
      </c>
      <c r="D1650" s="196">
        <v>0.06</v>
      </c>
      <c r="E1650" s="195" t="s">
        <v>595</v>
      </c>
      <c r="F1650" s="195" t="s">
        <v>438</v>
      </c>
    </row>
    <row r="1651" spans="1:6" x14ac:dyDescent="0.25">
      <c r="A1651" s="189" t="str">
        <f t="shared" si="25"/>
        <v>BA-IS 695 RP7-1400.09N</v>
      </c>
      <c r="B1651" s="195" t="s">
        <v>1395</v>
      </c>
      <c r="C1651" s="196">
        <v>0</v>
      </c>
      <c r="D1651" s="196">
        <v>0.09</v>
      </c>
      <c r="E1651" s="195" t="s">
        <v>589</v>
      </c>
      <c r="F1651" s="195" t="s">
        <v>430</v>
      </c>
    </row>
    <row r="1652" spans="1:6" x14ac:dyDescent="0.25">
      <c r="A1652" s="189" t="str">
        <f t="shared" si="25"/>
        <v>BA-IS 695 RP7-1500.04S</v>
      </c>
      <c r="B1652" s="195" t="s">
        <v>1396</v>
      </c>
      <c r="C1652" s="196">
        <v>0</v>
      </c>
      <c r="D1652" s="196">
        <v>0.04</v>
      </c>
      <c r="E1652" s="195" t="s">
        <v>595</v>
      </c>
      <c r="F1652" s="195" t="s">
        <v>438</v>
      </c>
    </row>
    <row r="1653" spans="1:6" x14ac:dyDescent="0.25">
      <c r="A1653" s="189" t="str">
        <f t="shared" si="25"/>
        <v>BA-IS 695 RP7-1700.36W</v>
      </c>
      <c r="B1653" s="195" t="s">
        <v>1397</v>
      </c>
      <c r="C1653" s="196">
        <v>0</v>
      </c>
      <c r="D1653" s="196">
        <v>0.36</v>
      </c>
      <c r="E1653" s="195" t="s">
        <v>593</v>
      </c>
      <c r="F1653" s="195" t="s">
        <v>432</v>
      </c>
    </row>
    <row r="1654" spans="1:6" x14ac:dyDescent="0.25">
      <c r="A1654" s="189" t="str">
        <f t="shared" si="25"/>
        <v>BA-IS 695 RP7-1800.13W</v>
      </c>
      <c r="B1654" s="195" t="s">
        <v>1398</v>
      </c>
      <c r="C1654" s="196">
        <v>0</v>
      </c>
      <c r="D1654" s="196">
        <v>0.13</v>
      </c>
      <c r="E1654" s="195" t="s">
        <v>593</v>
      </c>
      <c r="F1654" s="195" t="s">
        <v>432</v>
      </c>
    </row>
    <row r="1655" spans="1:6" x14ac:dyDescent="0.25">
      <c r="A1655" s="189" t="str">
        <f t="shared" si="25"/>
        <v>BA-IS 695 RP7-2000.08S</v>
      </c>
      <c r="B1655" s="195" t="s">
        <v>1399</v>
      </c>
      <c r="C1655" s="196">
        <v>0</v>
      </c>
      <c r="D1655" s="196">
        <v>0.08</v>
      </c>
      <c r="E1655" s="195" t="s">
        <v>595</v>
      </c>
      <c r="F1655" s="195" t="s">
        <v>438</v>
      </c>
    </row>
    <row r="1656" spans="1:6" x14ac:dyDescent="0.25">
      <c r="A1656" s="189" t="str">
        <f t="shared" si="25"/>
        <v>BA-IS 695 RP7-2100.02W</v>
      </c>
      <c r="B1656" s="195" t="s">
        <v>1400</v>
      </c>
      <c r="C1656" s="196">
        <v>0</v>
      </c>
      <c r="D1656" s="196">
        <v>0.02</v>
      </c>
      <c r="E1656" s="195" t="s">
        <v>593</v>
      </c>
      <c r="F1656" s="195" t="s">
        <v>432</v>
      </c>
    </row>
    <row r="1657" spans="1:6" x14ac:dyDescent="0.25">
      <c r="A1657" s="189" t="str">
        <f t="shared" si="25"/>
        <v>BA-IS 695 RP7-2200.23W</v>
      </c>
      <c r="B1657" s="195" t="s">
        <v>1401</v>
      </c>
      <c r="C1657" s="196">
        <v>0</v>
      </c>
      <c r="D1657" s="196">
        <v>0.23</v>
      </c>
      <c r="E1657" s="195" t="s">
        <v>593</v>
      </c>
      <c r="F1657" s="195" t="s">
        <v>432</v>
      </c>
    </row>
    <row r="1658" spans="1:6" x14ac:dyDescent="0.25">
      <c r="A1658" s="189" t="str">
        <f t="shared" si="25"/>
        <v>BA-IS 695 RP7-2700.2W</v>
      </c>
      <c r="B1658" s="195" t="s">
        <v>1402</v>
      </c>
      <c r="C1658" s="196">
        <v>0</v>
      </c>
      <c r="D1658" s="196">
        <v>0.2</v>
      </c>
      <c r="E1658" s="195" t="s">
        <v>593</v>
      </c>
      <c r="F1658" s="195" t="s">
        <v>432</v>
      </c>
    </row>
    <row r="1659" spans="1:6" x14ac:dyDescent="0.25">
      <c r="A1659" s="189" t="str">
        <f t="shared" si="25"/>
        <v>BA-IS 695 RP7-2800.15N</v>
      </c>
      <c r="B1659" s="195" t="s">
        <v>1403</v>
      </c>
      <c r="C1659" s="196">
        <v>0</v>
      </c>
      <c r="D1659" s="196">
        <v>0.15</v>
      </c>
      <c r="E1659" s="195" t="s">
        <v>589</v>
      </c>
      <c r="F1659" s="195" t="s">
        <v>430</v>
      </c>
    </row>
    <row r="1660" spans="1:6" x14ac:dyDescent="0.25">
      <c r="A1660" s="189" t="str">
        <f t="shared" si="25"/>
        <v>BA-IS 695 RP7-29A00.21N</v>
      </c>
      <c r="B1660" s="195" t="s">
        <v>1404</v>
      </c>
      <c r="C1660" s="196">
        <v>0</v>
      </c>
      <c r="D1660" s="196">
        <v>0.21</v>
      </c>
      <c r="E1660" s="195" t="s">
        <v>589</v>
      </c>
      <c r="F1660" s="195" t="s">
        <v>430</v>
      </c>
    </row>
    <row r="1661" spans="1:6" x14ac:dyDescent="0.25">
      <c r="A1661" s="189" t="str">
        <f t="shared" si="25"/>
        <v>BA-IS 695 RP7-3000.18N</v>
      </c>
      <c r="B1661" s="195" t="s">
        <v>1405</v>
      </c>
      <c r="C1661" s="196">
        <v>0</v>
      </c>
      <c r="D1661" s="196">
        <v>0.18</v>
      </c>
      <c r="E1661" s="195" t="s">
        <v>589</v>
      </c>
      <c r="F1661" s="195" t="s">
        <v>430</v>
      </c>
    </row>
    <row r="1662" spans="1:6" x14ac:dyDescent="0.25">
      <c r="A1662" s="189" t="str">
        <f t="shared" si="25"/>
        <v>BA-IS 695 RP7-3100.19N</v>
      </c>
      <c r="B1662" s="195" t="s">
        <v>1406</v>
      </c>
      <c r="C1662" s="196">
        <v>0</v>
      </c>
      <c r="D1662" s="196">
        <v>0.19</v>
      </c>
      <c r="E1662" s="195" t="s">
        <v>589</v>
      </c>
      <c r="F1662" s="195" t="s">
        <v>430</v>
      </c>
    </row>
    <row r="1663" spans="1:6" x14ac:dyDescent="0.25">
      <c r="A1663" s="189" t="str">
        <f t="shared" si="25"/>
        <v>BA-IS 695 RP7-3200.15W</v>
      </c>
      <c r="B1663" s="195" t="s">
        <v>1407</v>
      </c>
      <c r="C1663" s="196">
        <v>0</v>
      </c>
      <c r="D1663" s="196">
        <v>0.15</v>
      </c>
      <c r="E1663" s="195" t="s">
        <v>593</v>
      </c>
      <c r="F1663" s="195" t="s">
        <v>432</v>
      </c>
    </row>
    <row r="1664" spans="1:6" x14ac:dyDescent="0.25">
      <c r="A1664" s="189" t="str">
        <f t="shared" si="25"/>
        <v>BA-IS 695 RP8-1000.02S</v>
      </c>
      <c r="B1664" s="195" t="s">
        <v>1408</v>
      </c>
      <c r="C1664" s="196">
        <v>0</v>
      </c>
      <c r="D1664" s="196">
        <v>0.02</v>
      </c>
      <c r="E1664" s="195" t="s">
        <v>595</v>
      </c>
      <c r="F1664" s="195" t="s">
        <v>438</v>
      </c>
    </row>
    <row r="1665" spans="1:6" x14ac:dyDescent="0.25">
      <c r="A1665" s="189" t="str">
        <f t="shared" si="25"/>
        <v>BA-IS 695 RP8-12A00.18W</v>
      </c>
      <c r="B1665" s="195" t="s">
        <v>1409</v>
      </c>
      <c r="C1665" s="196">
        <v>0</v>
      </c>
      <c r="D1665" s="196">
        <v>0.18</v>
      </c>
      <c r="E1665" s="195" t="s">
        <v>593</v>
      </c>
      <c r="F1665" s="195" t="s">
        <v>432</v>
      </c>
    </row>
    <row r="1666" spans="1:6" x14ac:dyDescent="0.25">
      <c r="A1666" s="189" t="str">
        <f t="shared" si="25"/>
        <v>BA-IS 695 RP8-12B00.03N</v>
      </c>
      <c r="B1666" s="195" t="s">
        <v>1410</v>
      </c>
      <c r="C1666" s="196">
        <v>0</v>
      </c>
      <c r="D1666" s="196">
        <v>0.03</v>
      </c>
      <c r="E1666" s="195" t="s">
        <v>589</v>
      </c>
      <c r="F1666" s="195" t="s">
        <v>430</v>
      </c>
    </row>
    <row r="1667" spans="1:6" x14ac:dyDescent="0.25">
      <c r="A1667" s="189" t="str">
        <f t="shared" ref="A1667:A1730" si="26">B1667&amp;C1667&amp;D1667&amp;F1667</f>
        <v>BA-IS 695 RP8-1300.14S</v>
      </c>
      <c r="B1667" s="195" t="s">
        <v>1411</v>
      </c>
      <c r="C1667" s="196">
        <v>0</v>
      </c>
      <c r="D1667" s="196">
        <v>0.14000000000000001</v>
      </c>
      <c r="E1667" s="195" t="s">
        <v>595</v>
      </c>
      <c r="F1667" s="195" t="s">
        <v>438</v>
      </c>
    </row>
    <row r="1668" spans="1:6" x14ac:dyDescent="0.25">
      <c r="A1668" s="189" t="str">
        <f t="shared" si="26"/>
        <v>BA-IS 695 RP8-1400.13S</v>
      </c>
      <c r="B1668" s="195" t="s">
        <v>1412</v>
      </c>
      <c r="C1668" s="196">
        <v>0</v>
      </c>
      <c r="D1668" s="196">
        <v>0.13</v>
      </c>
      <c r="E1668" s="195" t="s">
        <v>595</v>
      </c>
      <c r="F1668" s="195" t="s">
        <v>438</v>
      </c>
    </row>
    <row r="1669" spans="1:6" x14ac:dyDescent="0.25">
      <c r="A1669" s="189" t="str">
        <f t="shared" si="26"/>
        <v>BA-IS 695 RP8-1500.2S</v>
      </c>
      <c r="B1669" s="195" t="s">
        <v>1413</v>
      </c>
      <c r="C1669" s="196">
        <v>0</v>
      </c>
      <c r="D1669" s="196">
        <v>0.2</v>
      </c>
      <c r="E1669" s="195" t="s">
        <v>595</v>
      </c>
      <c r="F1669" s="195" t="s">
        <v>438</v>
      </c>
    </row>
    <row r="1670" spans="1:6" x14ac:dyDescent="0.25">
      <c r="A1670" s="189" t="str">
        <f t="shared" si="26"/>
        <v>BA-IS 695 RP8-1700.25W</v>
      </c>
      <c r="B1670" s="195" t="s">
        <v>1414</v>
      </c>
      <c r="C1670" s="196">
        <v>0</v>
      </c>
      <c r="D1670" s="196">
        <v>0.25</v>
      </c>
      <c r="E1670" s="195" t="s">
        <v>593</v>
      </c>
      <c r="F1670" s="195" t="s">
        <v>432</v>
      </c>
    </row>
    <row r="1671" spans="1:6" x14ac:dyDescent="0.25">
      <c r="A1671" s="189" t="str">
        <f t="shared" si="26"/>
        <v>BA-IS 695 RP8-1800.07S</v>
      </c>
      <c r="B1671" s="195" t="s">
        <v>1415</v>
      </c>
      <c r="C1671" s="196">
        <v>0</v>
      </c>
      <c r="D1671" s="196">
        <v>7.0000000000000007E-2</v>
      </c>
      <c r="E1671" s="195" t="s">
        <v>595</v>
      </c>
      <c r="F1671" s="195" t="s">
        <v>438</v>
      </c>
    </row>
    <row r="1672" spans="1:6" x14ac:dyDescent="0.25">
      <c r="A1672" s="189" t="str">
        <f t="shared" si="26"/>
        <v>BA-IS 695 RP8-180.040.17N</v>
      </c>
      <c r="B1672" s="195" t="s">
        <v>1415</v>
      </c>
      <c r="C1672" s="196">
        <v>0.04</v>
      </c>
      <c r="D1672" s="196">
        <v>0.17</v>
      </c>
      <c r="E1672" s="195" t="s">
        <v>589</v>
      </c>
      <c r="F1672" s="195" t="s">
        <v>430</v>
      </c>
    </row>
    <row r="1673" spans="1:6" x14ac:dyDescent="0.25">
      <c r="A1673" s="189" t="str">
        <f t="shared" si="26"/>
        <v>BA-IS 695 RP8-180.070.19S</v>
      </c>
      <c r="B1673" s="195" t="s">
        <v>1415</v>
      </c>
      <c r="C1673" s="196">
        <v>7.0000000000000007E-2</v>
      </c>
      <c r="D1673" s="196">
        <v>0.19</v>
      </c>
      <c r="E1673" s="195" t="s">
        <v>595</v>
      </c>
      <c r="F1673" s="195" t="s">
        <v>438</v>
      </c>
    </row>
    <row r="1674" spans="1:6" x14ac:dyDescent="0.25">
      <c r="A1674" s="189" t="str">
        <f t="shared" si="26"/>
        <v>BA-IS 695 RP8-1900.32W</v>
      </c>
      <c r="B1674" s="195" t="s">
        <v>1416</v>
      </c>
      <c r="C1674" s="196">
        <v>0</v>
      </c>
      <c r="D1674" s="196">
        <v>0.32</v>
      </c>
      <c r="E1674" s="195" t="s">
        <v>593</v>
      </c>
      <c r="F1674" s="195" t="s">
        <v>432</v>
      </c>
    </row>
    <row r="1675" spans="1:6" x14ac:dyDescent="0.25">
      <c r="A1675" s="189" t="str">
        <f t="shared" si="26"/>
        <v>BA-IS 695 RP8-2000.21S</v>
      </c>
      <c r="B1675" s="195" t="s">
        <v>1417</v>
      </c>
      <c r="C1675" s="196">
        <v>0</v>
      </c>
      <c r="D1675" s="196">
        <v>0.21</v>
      </c>
      <c r="E1675" s="195" t="s">
        <v>595</v>
      </c>
      <c r="F1675" s="195" t="s">
        <v>438</v>
      </c>
    </row>
    <row r="1676" spans="1:6" x14ac:dyDescent="0.25">
      <c r="A1676" s="189" t="str">
        <f t="shared" si="26"/>
        <v>BA-IS 695 RP8-2100.21W</v>
      </c>
      <c r="B1676" s="195" t="s">
        <v>1418</v>
      </c>
      <c r="C1676" s="196">
        <v>0</v>
      </c>
      <c r="D1676" s="196">
        <v>0.21</v>
      </c>
      <c r="E1676" s="195" t="s">
        <v>593</v>
      </c>
      <c r="F1676" s="195" t="s">
        <v>432</v>
      </c>
    </row>
    <row r="1677" spans="1:6" x14ac:dyDescent="0.25">
      <c r="A1677" s="189" t="str">
        <f t="shared" si="26"/>
        <v>BA-IS 695 RP8-2200.31W</v>
      </c>
      <c r="B1677" s="195" t="s">
        <v>1419</v>
      </c>
      <c r="C1677" s="196">
        <v>0</v>
      </c>
      <c r="D1677" s="196">
        <v>0.31</v>
      </c>
      <c r="E1677" s="195" t="s">
        <v>593</v>
      </c>
      <c r="F1677" s="195" t="s">
        <v>432</v>
      </c>
    </row>
    <row r="1678" spans="1:6" x14ac:dyDescent="0.25">
      <c r="A1678" s="189" t="str">
        <f t="shared" si="26"/>
        <v>BA-IS 695 RP8-2500.17W</v>
      </c>
      <c r="B1678" s="195" t="s">
        <v>1420</v>
      </c>
      <c r="C1678" s="196">
        <v>0</v>
      </c>
      <c r="D1678" s="196">
        <v>0.17</v>
      </c>
      <c r="E1678" s="195" t="s">
        <v>593</v>
      </c>
      <c r="F1678" s="195" t="s">
        <v>432</v>
      </c>
    </row>
    <row r="1679" spans="1:6" x14ac:dyDescent="0.25">
      <c r="A1679" s="189" t="str">
        <f t="shared" si="26"/>
        <v>BA-IS 695 RP8-2600.3S</v>
      </c>
      <c r="B1679" s="195" t="s">
        <v>1421</v>
      </c>
      <c r="C1679" s="196">
        <v>0</v>
      </c>
      <c r="D1679" s="196">
        <v>0.3</v>
      </c>
      <c r="E1679" s="195" t="s">
        <v>595</v>
      </c>
      <c r="F1679" s="195" t="s">
        <v>438</v>
      </c>
    </row>
    <row r="1680" spans="1:6" x14ac:dyDescent="0.25">
      <c r="A1680" s="189" t="str">
        <f t="shared" si="26"/>
        <v>BA-IS 695 RP8-2700.04W</v>
      </c>
      <c r="B1680" s="195" t="s">
        <v>1422</v>
      </c>
      <c r="C1680" s="196">
        <v>0</v>
      </c>
      <c r="D1680" s="196">
        <v>0.04</v>
      </c>
      <c r="E1680" s="195" t="s">
        <v>593</v>
      </c>
      <c r="F1680" s="195" t="s">
        <v>432</v>
      </c>
    </row>
    <row r="1681" spans="1:6" x14ac:dyDescent="0.25">
      <c r="A1681" s="189" t="str">
        <f t="shared" si="26"/>
        <v>BA-IS 695 RP8-2800.25W</v>
      </c>
      <c r="B1681" s="195" t="s">
        <v>1423</v>
      </c>
      <c r="C1681" s="196">
        <v>0</v>
      </c>
      <c r="D1681" s="196">
        <v>0.25</v>
      </c>
      <c r="E1681" s="195" t="s">
        <v>593</v>
      </c>
      <c r="F1681" s="195" t="s">
        <v>432</v>
      </c>
    </row>
    <row r="1682" spans="1:6" x14ac:dyDescent="0.25">
      <c r="A1682" s="189" t="str">
        <f t="shared" si="26"/>
        <v>BA-IS 695 RP8-29A00.21S</v>
      </c>
      <c r="B1682" s="195" t="s">
        <v>1424</v>
      </c>
      <c r="C1682" s="196">
        <v>0</v>
      </c>
      <c r="D1682" s="196">
        <v>0.21</v>
      </c>
      <c r="E1682" s="195" t="s">
        <v>595</v>
      </c>
      <c r="F1682" s="195" t="s">
        <v>438</v>
      </c>
    </row>
    <row r="1683" spans="1:6" x14ac:dyDescent="0.25">
      <c r="A1683" s="189" t="str">
        <f t="shared" si="26"/>
        <v>BA-IS 695 RP8-3000.24W</v>
      </c>
      <c r="B1683" s="195" t="s">
        <v>1425</v>
      </c>
      <c r="C1683" s="196">
        <v>0</v>
      </c>
      <c r="D1683" s="196">
        <v>0.24</v>
      </c>
      <c r="E1683" s="195" t="s">
        <v>593</v>
      </c>
      <c r="F1683" s="195" t="s">
        <v>432</v>
      </c>
    </row>
    <row r="1684" spans="1:6" x14ac:dyDescent="0.25">
      <c r="A1684" s="189" t="str">
        <f t="shared" si="26"/>
        <v>BA-IS 695 RP8-3100.2W</v>
      </c>
      <c r="B1684" s="195" t="s">
        <v>1426</v>
      </c>
      <c r="C1684" s="196">
        <v>0</v>
      </c>
      <c r="D1684" s="196">
        <v>0.2</v>
      </c>
      <c r="E1684" s="195" t="s">
        <v>593</v>
      </c>
      <c r="F1684" s="195" t="s">
        <v>432</v>
      </c>
    </row>
    <row r="1685" spans="1:6" x14ac:dyDescent="0.25">
      <c r="A1685" s="189" t="str">
        <f t="shared" si="26"/>
        <v>BA-IS 695 RP8-3200.28W</v>
      </c>
      <c r="B1685" s="195" t="s">
        <v>1427</v>
      </c>
      <c r="C1685" s="196">
        <v>0</v>
      </c>
      <c r="D1685" s="196">
        <v>0.28000000000000003</v>
      </c>
      <c r="E1685" s="195" t="s">
        <v>593</v>
      </c>
      <c r="F1685" s="195" t="s">
        <v>432</v>
      </c>
    </row>
    <row r="1686" spans="1:6" x14ac:dyDescent="0.25">
      <c r="A1686" s="189" t="str">
        <f t="shared" si="26"/>
        <v>BA-IS 695 RP8-900.03S</v>
      </c>
      <c r="B1686" s="195" t="s">
        <v>1428</v>
      </c>
      <c r="C1686" s="196">
        <v>0</v>
      </c>
      <c r="D1686" s="196">
        <v>0.03</v>
      </c>
      <c r="E1686" s="195" t="s">
        <v>595</v>
      </c>
      <c r="F1686" s="195" t="s">
        <v>438</v>
      </c>
    </row>
    <row r="1687" spans="1:6" x14ac:dyDescent="0.25">
      <c r="A1687" s="189" t="str">
        <f t="shared" si="26"/>
        <v>BA-IS 695 RP9-12B00.02N</v>
      </c>
      <c r="B1687" s="195" t="s">
        <v>1429</v>
      </c>
      <c r="C1687" s="196">
        <v>0</v>
      </c>
      <c r="D1687" s="196">
        <v>0.02</v>
      </c>
      <c r="E1687" s="195" t="s">
        <v>589</v>
      </c>
      <c r="F1687" s="195" t="s">
        <v>430</v>
      </c>
    </row>
    <row r="1688" spans="1:6" x14ac:dyDescent="0.25">
      <c r="A1688" s="189" t="str">
        <f t="shared" si="26"/>
        <v>BA-IS 695 RP9-1500.03S</v>
      </c>
      <c r="B1688" s="195" t="s">
        <v>1430</v>
      </c>
      <c r="C1688" s="196">
        <v>0</v>
      </c>
      <c r="D1688" s="196">
        <v>0.03</v>
      </c>
      <c r="E1688" s="195" t="s">
        <v>595</v>
      </c>
      <c r="F1688" s="195" t="s">
        <v>438</v>
      </c>
    </row>
    <row r="1689" spans="1:6" x14ac:dyDescent="0.25">
      <c r="A1689" s="189" t="str">
        <f t="shared" si="26"/>
        <v>BA-IS 695 RP9-1800.27N</v>
      </c>
      <c r="B1689" s="195" t="s">
        <v>1431</v>
      </c>
      <c r="C1689" s="196">
        <v>0</v>
      </c>
      <c r="D1689" s="196">
        <v>0.27</v>
      </c>
      <c r="E1689" s="195" t="s">
        <v>589</v>
      </c>
      <c r="F1689" s="195" t="s">
        <v>430</v>
      </c>
    </row>
    <row r="1690" spans="1:6" x14ac:dyDescent="0.25">
      <c r="A1690" s="189" t="str">
        <f t="shared" si="26"/>
        <v>BA-IS 695 RP9-2500.17E</v>
      </c>
      <c r="B1690" s="195" t="s">
        <v>1432</v>
      </c>
      <c r="C1690" s="196">
        <v>0</v>
      </c>
      <c r="D1690" s="196">
        <v>0.17</v>
      </c>
      <c r="E1690" s="195" t="s">
        <v>598</v>
      </c>
      <c r="F1690" s="195" t="s">
        <v>19</v>
      </c>
    </row>
    <row r="1691" spans="1:6" x14ac:dyDescent="0.25">
      <c r="A1691" s="189" t="str">
        <f t="shared" si="26"/>
        <v>BA-IS 695 RP9-2600.05W</v>
      </c>
      <c r="B1691" s="195" t="s">
        <v>1433</v>
      </c>
      <c r="C1691" s="196">
        <v>0</v>
      </c>
      <c r="D1691" s="196">
        <v>0.05</v>
      </c>
      <c r="E1691" s="195" t="s">
        <v>593</v>
      </c>
      <c r="F1691" s="195" t="s">
        <v>432</v>
      </c>
    </row>
    <row r="1692" spans="1:6" x14ac:dyDescent="0.25">
      <c r="A1692" s="189" t="str">
        <f t="shared" si="26"/>
        <v>BA-IS 695 RP9-2700.01N</v>
      </c>
      <c r="B1692" s="195" t="s">
        <v>1434</v>
      </c>
      <c r="C1692" s="196">
        <v>0</v>
      </c>
      <c r="D1692" s="196">
        <v>0.01</v>
      </c>
      <c r="E1692" s="195" t="s">
        <v>589</v>
      </c>
      <c r="F1692" s="195" t="s">
        <v>430</v>
      </c>
    </row>
    <row r="1693" spans="1:6" x14ac:dyDescent="0.25">
      <c r="A1693" s="189" t="str">
        <f t="shared" si="26"/>
        <v>BA-IS 70 RP1-9100.61N</v>
      </c>
      <c r="B1693" s="195" t="s">
        <v>1435</v>
      </c>
      <c r="C1693" s="196">
        <v>0</v>
      </c>
      <c r="D1693" s="196">
        <v>0.61</v>
      </c>
      <c r="E1693" s="195" t="s">
        <v>589</v>
      </c>
      <c r="F1693" s="195" t="s">
        <v>430</v>
      </c>
    </row>
    <row r="1694" spans="1:6" x14ac:dyDescent="0.25">
      <c r="A1694" s="189" t="str">
        <f t="shared" si="26"/>
        <v>BA-IS 70 RP1-9300.03W</v>
      </c>
      <c r="B1694" s="195" t="s">
        <v>1436</v>
      </c>
      <c r="C1694" s="196">
        <v>0</v>
      </c>
      <c r="D1694" s="196">
        <v>0.03</v>
      </c>
      <c r="E1694" s="195" t="s">
        <v>593</v>
      </c>
      <c r="F1694" s="195" t="s">
        <v>432</v>
      </c>
    </row>
    <row r="1695" spans="1:6" x14ac:dyDescent="0.25">
      <c r="A1695" s="189" t="str">
        <f t="shared" si="26"/>
        <v>BA-IS 70 RP1-9400.04W</v>
      </c>
      <c r="B1695" s="195" t="s">
        <v>1437</v>
      </c>
      <c r="C1695" s="196">
        <v>0</v>
      </c>
      <c r="D1695" s="196">
        <v>0.04</v>
      </c>
      <c r="E1695" s="195" t="s">
        <v>593</v>
      </c>
      <c r="F1695" s="195" t="s">
        <v>432</v>
      </c>
    </row>
    <row r="1696" spans="1:6" x14ac:dyDescent="0.25">
      <c r="A1696" s="189" t="str">
        <f t="shared" si="26"/>
        <v>BA-IS 70 RP2-9100.83W</v>
      </c>
      <c r="B1696" s="195" t="s">
        <v>1438</v>
      </c>
      <c r="C1696" s="196">
        <v>0</v>
      </c>
      <c r="D1696" s="196">
        <v>0.83</v>
      </c>
      <c r="E1696" s="195" t="s">
        <v>593</v>
      </c>
      <c r="F1696" s="195" t="s">
        <v>432</v>
      </c>
    </row>
    <row r="1697" spans="1:6" x14ac:dyDescent="0.25">
      <c r="A1697" s="189" t="str">
        <f t="shared" si="26"/>
        <v>BA-IS 70 RP2-9400.11S</v>
      </c>
      <c r="B1697" s="195" t="s">
        <v>1439</v>
      </c>
      <c r="C1697" s="196">
        <v>0</v>
      </c>
      <c r="D1697" s="196">
        <v>0.11</v>
      </c>
      <c r="E1697" s="195" t="s">
        <v>595</v>
      </c>
      <c r="F1697" s="195" t="s">
        <v>438</v>
      </c>
    </row>
    <row r="1698" spans="1:6" x14ac:dyDescent="0.25">
      <c r="A1698" s="189" t="str">
        <f t="shared" si="26"/>
        <v>BA-IS 70 RP3-9100.58W</v>
      </c>
      <c r="B1698" s="195" t="s">
        <v>1440</v>
      </c>
      <c r="C1698" s="196">
        <v>0</v>
      </c>
      <c r="D1698" s="196">
        <v>0.57999999999999996</v>
      </c>
      <c r="E1698" s="195" t="s">
        <v>593</v>
      </c>
      <c r="F1698" s="195" t="s">
        <v>432</v>
      </c>
    </row>
    <row r="1699" spans="1:6" x14ac:dyDescent="0.25">
      <c r="A1699" s="189" t="str">
        <f t="shared" si="26"/>
        <v>BA-IS 70 RP3-9400.25S</v>
      </c>
      <c r="B1699" s="195" t="s">
        <v>1441</v>
      </c>
      <c r="C1699" s="196">
        <v>0</v>
      </c>
      <c r="D1699" s="196">
        <v>0.25</v>
      </c>
      <c r="E1699" s="195" t="s">
        <v>595</v>
      </c>
      <c r="F1699" s="195" t="s">
        <v>438</v>
      </c>
    </row>
    <row r="1700" spans="1:6" x14ac:dyDescent="0.25">
      <c r="A1700" s="189" t="str">
        <f t="shared" si="26"/>
        <v>BA-IS 70 RP4-9100.76E</v>
      </c>
      <c r="B1700" s="195" t="s">
        <v>1442</v>
      </c>
      <c r="C1700" s="196">
        <v>0</v>
      </c>
      <c r="D1700" s="196">
        <v>0.76</v>
      </c>
      <c r="E1700" s="195" t="s">
        <v>598</v>
      </c>
      <c r="F1700" s="195" t="s">
        <v>19</v>
      </c>
    </row>
    <row r="1701" spans="1:6" x14ac:dyDescent="0.25">
      <c r="A1701" s="189" t="str">
        <f t="shared" si="26"/>
        <v>BA-IS 70 RP4-9400.23E</v>
      </c>
      <c r="B1701" s="195" t="s">
        <v>1443</v>
      </c>
      <c r="C1701" s="196">
        <v>0</v>
      </c>
      <c r="D1701" s="196">
        <v>0.23</v>
      </c>
      <c r="E1701" s="195" t="s">
        <v>598</v>
      </c>
      <c r="F1701" s="195" t="s">
        <v>19</v>
      </c>
    </row>
    <row r="1702" spans="1:6" x14ac:dyDescent="0.25">
      <c r="A1702" s="189" t="str">
        <f t="shared" si="26"/>
        <v>BA-IS 70 RP5-9100.58S</v>
      </c>
      <c r="B1702" s="195" t="s">
        <v>1444</v>
      </c>
      <c r="C1702" s="196">
        <v>0</v>
      </c>
      <c r="D1702" s="196">
        <v>0.57999999999999996</v>
      </c>
      <c r="E1702" s="195" t="s">
        <v>595</v>
      </c>
      <c r="F1702" s="195" t="s">
        <v>438</v>
      </c>
    </row>
    <row r="1703" spans="1:6" x14ac:dyDescent="0.25">
      <c r="A1703" s="189" t="str">
        <f t="shared" si="26"/>
        <v>BA-IS 70 RP5-9400.23S</v>
      </c>
      <c r="B1703" s="195" t="s">
        <v>1445</v>
      </c>
      <c r="C1703" s="196">
        <v>0</v>
      </c>
      <c r="D1703" s="196">
        <v>0.23</v>
      </c>
      <c r="E1703" s="195" t="s">
        <v>595</v>
      </c>
      <c r="F1703" s="195" t="s">
        <v>438</v>
      </c>
    </row>
    <row r="1704" spans="1:6" x14ac:dyDescent="0.25">
      <c r="A1704" s="189" t="str">
        <f t="shared" si="26"/>
        <v>BA-IS 70 RP6-9100.68S</v>
      </c>
      <c r="B1704" s="195" t="s">
        <v>1446</v>
      </c>
      <c r="C1704" s="196">
        <v>0</v>
      </c>
      <c r="D1704" s="196">
        <v>0.68</v>
      </c>
      <c r="E1704" s="195" t="s">
        <v>595</v>
      </c>
      <c r="F1704" s="195" t="s">
        <v>438</v>
      </c>
    </row>
    <row r="1705" spans="1:6" x14ac:dyDescent="0.25">
      <c r="A1705" s="189" t="str">
        <f t="shared" si="26"/>
        <v>BA-IS 70 RP6-9300.15S</v>
      </c>
      <c r="B1705" s="195" t="s">
        <v>1447</v>
      </c>
      <c r="C1705" s="196">
        <v>0</v>
      </c>
      <c r="D1705" s="196">
        <v>0.15</v>
      </c>
      <c r="E1705" s="195" t="s">
        <v>595</v>
      </c>
      <c r="F1705" s="195" t="s">
        <v>438</v>
      </c>
    </row>
    <row r="1706" spans="1:6" x14ac:dyDescent="0.25">
      <c r="A1706" s="189" t="str">
        <f t="shared" si="26"/>
        <v>BA-IS 70 RP7-9100.59N</v>
      </c>
      <c r="B1706" s="195" t="s">
        <v>1448</v>
      </c>
      <c r="C1706" s="196">
        <v>0</v>
      </c>
      <c r="D1706" s="196">
        <v>0.59</v>
      </c>
      <c r="E1706" s="195" t="s">
        <v>589</v>
      </c>
      <c r="F1706" s="195" t="s">
        <v>430</v>
      </c>
    </row>
    <row r="1707" spans="1:6" x14ac:dyDescent="0.25">
      <c r="A1707" s="189" t="str">
        <f t="shared" si="26"/>
        <v>BA-IS 70 RP8-9100.64S</v>
      </c>
      <c r="B1707" s="195" t="s">
        <v>1449</v>
      </c>
      <c r="C1707" s="196">
        <v>0</v>
      </c>
      <c r="D1707" s="196">
        <v>0.64</v>
      </c>
      <c r="E1707" s="195" t="s">
        <v>595</v>
      </c>
      <c r="F1707" s="195" t="s">
        <v>438</v>
      </c>
    </row>
    <row r="1708" spans="1:6" x14ac:dyDescent="0.25">
      <c r="A1708" s="189" t="str">
        <f t="shared" si="26"/>
        <v>BA-IS 70 RP8-9300.31W</v>
      </c>
      <c r="B1708" s="195" t="s">
        <v>1450</v>
      </c>
      <c r="C1708" s="196">
        <v>0</v>
      </c>
      <c r="D1708" s="196">
        <v>0.31</v>
      </c>
      <c r="E1708" s="195" t="s">
        <v>593</v>
      </c>
      <c r="F1708" s="195" t="s">
        <v>432</v>
      </c>
    </row>
    <row r="1709" spans="1:6" x14ac:dyDescent="0.25">
      <c r="A1709" s="189" t="str">
        <f t="shared" si="26"/>
        <v>BA-IS 70 RP8-9400.29S</v>
      </c>
      <c r="B1709" s="195" t="s">
        <v>1451</v>
      </c>
      <c r="C1709" s="196">
        <v>0</v>
      </c>
      <c r="D1709" s="196">
        <v>0.28999999999999998</v>
      </c>
      <c r="E1709" s="195" t="s">
        <v>595</v>
      </c>
      <c r="F1709" s="195" t="s">
        <v>438</v>
      </c>
    </row>
    <row r="1710" spans="1:6" x14ac:dyDescent="0.25">
      <c r="A1710" s="189" t="str">
        <f t="shared" si="26"/>
        <v>BA-IS 795 RP10-400.09S</v>
      </c>
      <c r="B1710" s="195" t="s">
        <v>1452</v>
      </c>
      <c r="C1710" s="196">
        <v>0</v>
      </c>
      <c r="D1710" s="196">
        <v>0.09</v>
      </c>
      <c r="E1710" s="195" t="s">
        <v>595</v>
      </c>
      <c r="F1710" s="195" t="s">
        <v>438</v>
      </c>
    </row>
    <row r="1711" spans="1:6" x14ac:dyDescent="0.25">
      <c r="A1711" s="189" t="str">
        <f t="shared" si="26"/>
        <v>BA-IS 795 RP10-400.59N</v>
      </c>
      <c r="B1711" s="195" t="s">
        <v>1452</v>
      </c>
      <c r="C1711" s="196">
        <v>0</v>
      </c>
      <c r="D1711" s="196">
        <v>0.59</v>
      </c>
      <c r="E1711" s="195" t="s">
        <v>589</v>
      </c>
      <c r="F1711" s="195" t="s">
        <v>430</v>
      </c>
    </row>
    <row r="1712" spans="1:6" x14ac:dyDescent="0.25">
      <c r="A1712" s="189" t="str">
        <f t="shared" si="26"/>
        <v>BA-IS 795 RP11-400.53E</v>
      </c>
      <c r="B1712" s="195" t="s">
        <v>1453</v>
      </c>
      <c r="C1712" s="196">
        <v>0</v>
      </c>
      <c r="D1712" s="196">
        <v>0.53</v>
      </c>
      <c r="E1712" s="195" t="s">
        <v>598</v>
      </c>
      <c r="F1712" s="195" t="s">
        <v>19</v>
      </c>
    </row>
    <row r="1713" spans="1:6" x14ac:dyDescent="0.25">
      <c r="A1713" s="189" t="str">
        <f t="shared" si="26"/>
        <v>BA-IS 795 RP12-400.42E</v>
      </c>
      <c r="B1713" s="195" t="s">
        <v>1454</v>
      </c>
      <c r="C1713" s="196">
        <v>0</v>
      </c>
      <c r="D1713" s="196">
        <v>0.42</v>
      </c>
      <c r="E1713" s="195" t="s">
        <v>598</v>
      </c>
      <c r="F1713" s="195" t="s">
        <v>19</v>
      </c>
    </row>
    <row r="1714" spans="1:6" x14ac:dyDescent="0.25">
      <c r="A1714" s="189" t="str">
        <f t="shared" si="26"/>
        <v>BA-IS 795 RP1-400.27W</v>
      </c>
      <c r="B1714" s="195" t="s">
        <v>1455</v>
      </c>
      <c r="C1714" s="196">
        <v>0</v>
      </c>
      <c r="D1714" s="196">
        <v>0.27</v>
      </c>
      <c r="E1714" s="195" t="s">
        <v>593</v>
      </c>
      <c r="F1714" s="195" t="s">
        <v>432</v>
      </c>
    </row>
    <row r="1715" spans="1:6" x14ac:dyDescent="0.25">
      <c r="A1715" s="189" t="str">
        <f t="shared" si="26"/>
        <v>BA-IS 795 RP1-40.270.63W</v>
      </c>
      <c r="B1715" s="195" t="s">
        <v>1455</v>
      </c>
      <c r="C1715" s="196">
        <v>0.27</v>
      </c>
      <c r="D1715" s="196">
        <v>0.63</v>
      </c>
      <c r="E1715" s="195" t="s">
        <v>593</v>
      </c>
      <c r="F1715" s="195" t="s">
        <v>432</v>
      </c>
    </row>
    <row r="1716" spans="1:6" x14ac:dyDescent="0.25">
      <c r="A1716" s="189" t="str">
        <f t="shared" si="26"/>
        <v>BA-IS 795 RP1-40.630.97W</v>
      </c>
      <c r="B1716" s="195" t="s">
        <v>1455</v>
      </c>
      <c r="C1716" s="196">
        <v>0.63</v>
      </c>
      <c r="D1716" s="196">
        <v>0.97</v>
      </c>
      <c r="E1716" s="195" t="s">
        <v>593</v>
      </c>
      <c r="F1716" s="195" t="s">
        <v>432</v>
      </c>
    </row>
    <row r="1717" spans="1:6" x14ac:dyDescent="0.25">
      <c r="A1717" s="189" t="str">
        <f t="shared" si="26"/>
        <v>BA-IS 795 RP1-700.29N</v>
      </c>
      <c r="B1717" s="195" t="s">
        <v>1456</v>
      </c>
      <c r="C1717" s="196">
        <v>0</v>
      </c>
      <c r="D1717" s="196">
        <v>0.28999999999999998</v>
      </c>
      <c r="E1717" s="195" t="s">
        <v>589</v>
      </c>
      <c r="F1717" s="195" t="s">
        <v>430</v>
      </c>
    </row>
    <row r="1718" spans="1:6" x14ac:dyDescent="0.25">
      <c r="A1718" s="189" t="str">
        <f t="shared" si="26"/>
        <v>BA-IS 795 RP1-900.61N</v>
      </c>
      <c r="B1718" s="195" t="s">
        <v>1457</v>
      </c>
      <c r="C1718" s="196">
        <v>0</v>
      </c>
      <c r="D1718" s="196">
        <v>0.61</v>
      </c>
      <c r="E1718" s="195" t="s">
        <v>589</v>
      </c>
      <c r="F1718" s="195" t="s">
        <v>430</v>
      </c>
    </row>
    <row r="1719" spans="1:6" x14ac:dyDescent="0.25">
      <c r="A1719" s="189" t="str">
        <f t="shared" si="26"/>
        <v>BA-IS 795 RP2-400.08W</v>
      </c>
      <c r="B1719" s="195" t="s">
        <v>1458</v>
      </c>
      <c r="C1719" s="196">
        <v>0</v>
      </c>
      <c r="D1719" s="196">
        <v>0.08</v>
      </c>
      <c r="E1719" s="195" t="s">
        <v>593</v>
      </c>
      <c r="F1719" s="195" t="s">
        <v>432</v>
      </c>
    </row>
    <row r="1720" spans="1:6" x14ac:dyDescent="0.25">
      <c r="A1720" s="189" t="str">
        <f t="shared" si="26"/>
        <v>BA-IS 795 RP2-40.080.45W</v>
      </c>
      <c r="B1720" s="195" t="s">
        <v>1458</v>
      </c>
      <c r="C1720" s="196">
        <v>0.08</v>
      </c>
      <c r="D1720" s="196">
        <v>0.45</v>
      </c>
      <c r="E1720" s="195" t="s">
        <v>593</v>
      </c>
      <c r="F1720" s="195" t="s">
        <v>432</v>
      </c>
    </row>
    <row r="1721" spans="1:6" x14ac:dyDescent="0.25">
      <c r="A1721" s="189" t="str">
        <f t="shared" si="26"/>
        <v>BA-IS 795 RP2-40.450.51W</v>
      </c>
      <c r="B1721" s="195" t="s">
        <v>1458</v>
      </c>
      <c r="C1721" s="196">
        <v>0.45</v>
      </c>
      <c r="D1721" s="196">
        <v>0.51</v>
      </c>
      <c r="E1721" s="195" t="s">
        <v>593</v>
      </c>
      <c r="F1721" s="195" t="s">
        <v>432</v>
      </c>
    </row>
    <row r="1722" spans="1:6" x14ac:dyDescent="0.25">
      <c r="A1722" s="189" t="str">
        <f t="shared" si="26"/>
        <v>BA-IS 795 RP2-700.36W</v>
      </c>
      <c r="B1722" s="195" t="s">
        <v>1459</v>
      </c>
      <c r="C1722" s="196">
        <v>0</v>
      </c>
      <c r="D1722" s="196">
        <v>0.36</v>
      </c>
      <c r="E1722" s="195" t="s">
        <v>593</v>
      </c>
      <c r="F1722" s="195" t="s">
        <v>432</v>
      </c>
    </row>
    <row r="1723" spans="1:6" x14ac:dyDescent="0.25">
      <c r="A1723" s="189" t="str">
        <f t="shared" si="26"/>
        <v>BA-IS 795 RP3-400.05N</v>
      </c>
      <c r="B1723" s="195" t="s">
        <v>1460</v>
      </c>
      <c r="C1723" s="196">
        <v>0</v>
      </c>
      <c r="D1723" s="196">
        <v>0.05</v>
      </c>
      <c r="E1723" s="195" t="s">
        <v>589</v>
      </c>
      <c r="F1723" s="195" t="s">
        <v>430</v>
      </c>
    </row>
    <row r="1724" spans="1:6" x14ac:dyDescent="0.25">
      <c r="A1724" s="189" t="str">
        <f t="shared" si="26"/>
        <v>BA-IS 795 RP3-40.050.22N</v>
      </c>
      <c r="B1724" s="195" t="s">
        <v>1460</v>
      </c>
      <c r="C1724" s="196">
        <v>0.05</v>
      </c>
      <c r="D1724" s="196">
        <v>0.22</v>
      </c>
      <c r="E1724" s="195" t="s">
        <v>589</v>
      </c>
      <c r="F1724" s="195" t="s">
        <v>430</v>
      </c>
    </row>
    <row r="1725" spans="1:6" x14ac:dyDescent="0.25">
      <c r="A1725" s="189" t="str">
        <f t="shared" si="26"/>
        <v>BA-IS 795 RP3-40.220.33N</v>
      </c>
      <c r="B1725" s="195" t="s">
        <v>1460</v>
      </c>
      <c r="C1725" s="196">
        <v>0.22</v>
      </c>
      <c r="D1725" s="196">
        <v>0.33</v>
      </c>
      <c r="E1725" s="195" t="s">
        <v>589</v>
      </c>
      <c r="F1725" s="195" t="s">
        <v>430</v>
      </c>
    </row>
    <row r="1726" spans="1:6" x14ac:dyDescent="0.25">
      <c r="A1726" s="189" t="str">
        <f t="shared" si="26"/>
        <v>BA-IS 795 RP3-700.07N</v>
      </c>
      <c r="B1726" s="195" t="s">
        <v>1461</v>
      </c>
      <c r="C1726" s="196">
        <v>0</v>
      </c>
      <c r="D1726" s="196">
        <v>7.0000000000000007E-2</v>
      </c>
      <c r="E1726" s="195" t="s">
        <v>589</v>
      </c>
      <c r="F1726" s="195" t="s">
        <v>430</v>
      </c>
    </row>
    <row r="1727" spans="1:6" x14ac:dyDescent="0.25">
      <c r="A1727" s="189" t="str">
        <f t="shared" si="26"/>
        <v>BA-IS 795 RP4-400.83W</v>
      </c>
      <c r="B1727" s="195" t="s">
        <v>1462</v>
      </c>
      <c r="C1727" s="196">
        <v>0</v>
      </c>
      <c r="D1727" s="196">
        <v>0.83</v>
      </c>
      <c r="E1727" s="195" t="s">
        <v>593</v>
      </c>
      <c r="F1727" s="195" t="s">
        <v>432</v>
      </c>
    </row>
    <row r="1728" spans="1:6" x14ac:dyDescent="0.25">
      <c r="A1728" s="189" t="str">
        <f t="shared" si="26"/>
        <v>BA-IS 795 RP4-700.32E</v>
      </c>
      <c r="B1728" s="195" t="s">
        <v>1463</v>
      </c>
      <c r="C1728" s="196">
        <v>0</v>
      </c>
      <c r="D1728" s="196">
        <v>0.32</v>
      </c>
      <c r="E1728" s="195" t="s">
        <v>598</v>
      </c>
      <c r="F1728" s="195" t="s">
        <v>19</v>
      </c>
    </row>
    <row r="1729" spans="1:6" x14ac:dyDescent="0.25">
      <c r="A1729" s="189" t="str">
        <f t="shared" si="26"/>
        <v>BA-IS 795 RP5-400.38S</v>
      </c>
      <c r="B1729" s="195" t="s">
        <v>1464</v>
      </c>
      <c r="C1729" s="196">
        <v>0</v>
      </c>
      <c r="D1729" s="196">
        <v>0.38</v>
      </c>
      <c r="E1729" s="195" t="s">
        <v>595</v>
      </c>
      <c r="F1729" s="195" t="s">
        <v>438</v>
      </c>
    </row>
    <row r="1730" spans="1:6" x14ac:dyDescent="0.25">
      <c r="A1730" s="189" t="str">
        <f t="shared" si="26"/>
        <v>BA-IS 795 RP6-400.47E</v>
      </c>
      <c r="B1730" s="195" t="s">
        <v>1465</v>
      </c>
      <c r="C1730" s="196">
        <v>0</v>
      </c>
      <c r="D1730" s="196">
        <v>0.47</v>
      </c>
      <c r="E1730" s="195" t="s">
        <v>598</v>
      </c>
      <c r="F1730" s="195" t="s">
        <v>19</v>
      </c>
    </row>
    <row r="1731" spans="1:6" x14ac:dyDescent="0.25">
      <c r="A1731" s="189" t="str">
        <f t="shared" ref="A1731:A1794" si="27">B1731&amp;C1731&amp;D1731&amp;F1731</f>
        <v>BA-IS 795 RP6-700.3S</v>
      </c>
      <c r="B1731" s="195" t="s">
        <v>1466</v>
      </c>
      <c r="C1731" s="196">
        <v>0</v>
      </c>
      <c r="D1731" s="196">
        <v>0.3</v>
      </c>
      <c r="E1731" s="195" t="s">
        <v>595</v>
      </c>
      <c r="F1731" s="195" t="s">
        <v>438</v>
      </c>
    </row>
    <row r="1732" spans="1:6" x14ac:dyDescent="0.25">
      <c r="A1732" s="189" t="str">
        <f t="shared" si="27"/>
        <v>BA-IS 795 RP6-900.76E</v>
      </c>
      <c r="B1732" s="195" t="s">
        <v>1467</v>
      </c>
      <c r="C1732" s="196">
        <v>0</v>
      </c>
      <c r="D1732" s="196">
        <v>0.76</v>
      </c>
      <c r="E1732" s="195" t="s">
        <v>598</v>
      </c>
      <c r="F1732" s="195" t="s">
        <v>19</v>
      </c>
    </row>
    <row r="1733" spans="1:6" x14ac:dyDescent="0.25">
      <c r="A1733" s="189" t="str">
        <f t="shared" si="27"/>
        <v>BA-IS 795 RP7-401.07S</v>
      </c>
      <c r="B1733" s="195" t="s">
        <v>1468</v>
      </c>
      <c r="C1733" s="196">
        <v>0</v>
      </c>
      <c r="D1733" s="196">
        <v>1.07</v>
      </c>
      <c r="E1733" s="195" t="s">
        <v>595</v>
      </c>
      <c r="F1733" s="195" t="s">
        <v>438</v>
      </c>
    </row>
    <row r="1734" spans="1:6" x14ac:dyDescent="0.25">
      <c r="A1734" s="189" t="str">
        <f t="shared" si="27"/>
        <v>BA-IS 795 RP7-700.28N</v>
      </c>
      <c r="B1734" s="195" t="s">
        <v>1469</v>
      </c>
      <c r="C1734" s="196">
        <v>0</v>
      </c>
      <c r="D1734" s="196">
        <v>0.28000000000000003</v>
      </c>
      <c r="E1734" s="195" t="s">
        <v>589</v>
      </c>
      <c r="F1734" s="195" t="s">
        <v>430</v>
      </c>
    </row>
    <row r="1735" spans="1:6" x14ac:dyDescent="0.25">
      <c r="A1735" s="189" t="str">
        <f t="shared" si="27"/>
        <v>BA-IS 795 RP8-400.31E</v>
      </c>
      <c r="B1735" s="195" t="s">
        <v>1470</v>
      </c>
      <c r="C1735" s="196">
        <v>0</v>
      </c>
      <c r="D1735" s="196">
        <v>0.31</v>
      </c>
      <c r="E1735" s="195" t="s">
        <v>598</v>
      </c>
      <c r="F1735" s="195" t="s">
        <v>19</v>
      </c>
    </row>
    <row r="1736" spans="1:6" x14ac:dyDescent="0.25">
      <c r="A1736" s="189" t="str">
        <f t="shared" si="27"/>
        <v>BA-IS 795 RP8-40.310.35E</v>
      </c>
      <c r="B1736" s="195" t="s">
        <v>1470</v>
      </c>
      <c r="C1736" s="196">
        <v>0.31</v>
      </c>
      <c r="D1736" s="196">
        <v>0.35</v>
      </c>
      <c r="E1736" s="195" t="s">
        <v>598</v>
      </c>
      <c r="F1736" s="195" t="s">
        <v>19</v>
      </c>
    </row>
    <row r="1737" spans="1:6" x14ac:dyDescent="0.25">
      <c r="A1737" s="189" t="str">
        <f t="shared" si="27"/>
        <v>BA-IS 795 RP8-700.33W</v>
      </c>
      <c r="B1737" s="195" t="s">
        <v>1471</v>
      </c>
      <c r="C1737" s="196">
        <v>0</v>
      </c>
      <c r="D1737" s="196">
        <v>0.33</v>
      </c>
      <c r="E1737" s="195" t="s">
        <v>593</v>
      </c>
      <c r="F1737" s="195" t="s">
        <v>432</v>
      </c>
    </row>
    <row r="1738" spans="1:6" x14ac:dyDescent="0.25">
      <c r="A1738" s="189" t="str">
        <f t="shared" si="27"/>
        <v>BA-IS 795 RP9-400.07E</v>
      </c>
      <c r="B1738" s="195" t="s">
        <v>1472</v>
      </c>
      <c r="C1738" s="196">
        <v>0</v>
      </c>
      <c r="D1738" s="196">
        <v>7.0000000000000007E-2</v>
      </c>
      <c r="E1738" s="195" t="s">
        <v>598</v>
      </c>
      <c r="F1738" s="195" t="s">
        <v>19</v>
      </c>
    </row>
    <row r="1739" spans="1:6" x14ac:dyDescent="0.25">
      <c r="A1739" s="189" t="str">
        <f t="shared" si="27"/>
        <v>BA-IS 795 RP9-40.070.96E</v>
      </c>
      <c r="B1739" s="195" t="s">
        <v>1472</v>
      </c>
      <c r="C1739" s="196">
        <v>7.0000000000000007E-2</v>
      </c>
      <c r="D1739" s="196">
        <v>0.96</v>
      </c>
      <c r="E1739" s="195" t="s">
        <v>598</v>
      </c>
      <c r="F1739" s="195" t="s">
        <v>19</v>
      </c>
    </row>
    <row r="1740" spans="1:6" x14ac:dyDescent="0.25">
      <c r="A1740" s="189" t="str">
        <f t="shared" si="27"/>
        <v>BA-IS 795 RP9-40.961.17E</v>
      </c>
      <c r="B1740" s="195" t="s">
        <v>1472</v>
      </c>
      <c r="C1740" s="196">
        <v>0.96</v>
      </c>
      <c r="D1740" s="196">
        <v>1.17</v>
      </c>
      <c r="E1740" s="195" t="s">
        <v>598</v>
      </c>
      <c r="F1740" s="195" t="s">
        <v>19</v>
      </c>
    </row>
    <row r="1741" spans="1:6" x14ac:dyDescent="0.25">
      <c r="A1741" s="189" t="str">
        <f t="shared" si="27"/>
        <v>BA-IS 795 RP9-700.07S</v>
      </c>
      <c r="B1741" s="195" t="s">
        <v>1473</v>
      </c>
      <c r="C1741" s="196">
        <v>0</v>
      </c>
      <c r="D1741" s="196">
        <v>7.0000000000000007E-2</v>
      </c>
      <c r="E1741" s="195" t="s">
        <v>595</v>
      </c>
      <c r="F1741" s="195" t="s">
        <v>438</v>
      </c>
    </row>
    <row r="1742" spans="1:6" x14ac:dyDescent="0.25">
      <c r="A1742" s="189" t="str">
        <f t="shared" si="27"/>
        <v>BA-IS 83 RP10-2000.52N</v>
      </c>
      <c r="B1742" s="195" t="s">
        <v>1474</v>
      </c>
      <c r="C1742" s="196">
        <v>0</v>
      </c>
      <c r="D1742" s="196">
        <v>0.52</v>
      </c>
      <c r="E1742" s="195" t="s">
        <v>589</v>
      </c>
      <c r="F1742" s="195" t="s">
        <v>430</v>
      </c>
    </row>
    <row r="1743" spans="1:6" x14ac:dyDescent="0.25">
      <c r="A1743" s="189" t="str">
        <f t="shared" si="27"/>
        <v>BA-IS 83 RP1-1300.31N</v>
      </c>
      <c r="B1743" s="195" t="s">
        <v>1475</v>
      </c>
      <c r="C1743" s="196">
        <v>0</v>
      </c>
      <c r="D1743" s="196">
        <v>0.31</v>
      </c>
      <c r="E1743" s="195" t="s">
        <v>589</v>
      </c>
      <c r="F1743" s="195" t="s">
        <v>430</v>
      </c>
    </row>
    <row r="1744" spans="1:6" x14ac:dyDescent="0.25">
      <c r="A1744" s="189" t="str">
        <f t="shared" si="27"/>
        <v>BA-IS 83 RP1-1600.13E</v>
      </c>
      <c r="B1744" s="195" t="s">
        <v>1476</v>
      </c>
      <c r="C1744" s="196">
        <v>0</v>
      </c>
      <c r="D1744" s="196">
        <v>0.13</v>
      </c>
      <c r="E1744" s="195" t="s">
        <v>598</v>
      </c>
      <c r="F1744" s="195" t="s">
        <v>19</v>
      </c>
    </row>
    <row r="1745" spans="1:6" x14ac:dyDescent="0.25">
      <c r="A1745" s="189" t="str">
        <f t="shared" si="27"/>
        <v>BA-IS 83 RP1-1700.04N</v>
      </c>
      <c r="B1745" s="195" t="s">
        <v>1477</v>
      </c>
      <c r="C1745" s="196">
        <v>0</v>
      </c>
      <c r="D1745" s="196">
        <v>0.04</v>
      </c>
      <c r="E1745" s="195" t="s">
        <v>589</v>
      </c>
      <c r="F1745" s="195" t="s">
        <v>430</v>
      </c>
    </row>
    <row r="1746" spans="1:6" x14ac:dyDescent="0.25">
      <c r="A1746" s="189" t="str">
        <f t="shared" si="27"/>
        <v>BA-IS 83 RP1-2000.22N</v>
      </c>
      <c r="B1746" s="195" t="s">
        <v>1478</v>
      </c>
      <c r="C1746" s="196">
        <v>0</v>
      </c>
      <c r="D1746" s="196">
        <v>0.22</v>
      </c>
      <c r="E1746" s="195" t="s">
        <v>589</v>
      </c>
      <c r="F1746" s="195" t="s">
        <v>430</v>
      </c>
    </row>
    <row r="1747" spans="1:6" x14ac:dyDescent="0.25">
      <c r="A1747" s="189" t="str">
        <f t="shared" si="27"/>
        <v>BA-IS 83 RP1-2400.02N</v>
      </c>
      <c r="B1747" s="195" t="s">
        <v>1479</v>
      </c>
      <c r="C1747" s="196">
        <v>0</v>
      </c>
      <c r="D1747" s="196">
        <v>0.02</v>
      </c>
      <c r="E1747" s="195" t="s">
        <v>589</v>
      </c>
      <c r="F1747" s="195" t="s">
        <v>430</v>
      </c>
    </row>
    <row r="1748" spans="1:6" x14ac:dyDescent="0.25">
      <c r="A1748" s="189" t="str">
        <f t="shared" si="27"/>
        <v>BA-IS 83 RP1-2700.01N</v>
      </c>
      <c r="B1748" s="195" t="s">
        <v>1480</v>
      </c>
      <c r="C1748" s="196">
        <v>0</v>
      </c>
      <c r="D1748" s="196">
        <v>0.01</v>
      </c>
      <c r="E1748" s="195" t="s">
        <v>589</v>
      </c>
      <c r="F1748" s="195" t="s">
        <v>430</v>
      </c>
    </row>
    <row r="1749" spans="1:6" x14ac:dyDescent="0.25">
      <c r="A1749" s="189" t="str">
        <f t="shared" si="27"/>
        <v>BA-IS 83 RP1-3100.04N</v>
      </c>
      <c r="B1749" s="195" t="s">
        <v>1481</v>
      </c>
      <c r="C1749" s="196">
        <v>0</v>
      </c>
      <c r="D1749" s="196">
        <v>0.04</v>
      </c>
      <c r="E1749" s="195" t="s">
        <v>589</v>
      </c>
      <c r="F1749" s="195" t="s">
        <v>430</v>
      </c>
    </row>
    <row r="1750" spans="1:6" x14ac:dyDescent="0.25">
      <c r="A1750" s="189" t="str">
        <f t="shared" si="27"/>
        <v>BA-IS 83 RP1-3300.02W</v>
      </c>
      <c r="B1750" s="195" t="s">
        <v>1482</v>
      </c>
      <c r="C1750" s="196">
        <v>0</v>
      </c>
      <c r="D1750" s="196">
        <v>0.02</v>
      </c>
      <c r="E1750" s="195" t="s">
        <v>593</v>
      </c>
      <c r="F1750" s="195" t="s">
        <v>432</v>
      </c>
    </row>
    <row r="1751" spans="1:6" x14ac:dyDescent="0.25">
      <c r="A1751" s="189" t="str">
        <f t="shared" si="27"/>
        <v>BA-IS 83 RP1-3600.32N</v>
      </c>
      <c r="B1751" s="195" t="s">
        <v>1483</v>
      </c>
      <c r="C1751" s="196">
        <v>0</v>
      </c>
      <c r="D1751" s="196">
        <v>0.32</v>
      </c>
      <c r="E1751" s="195" t="s">
        <v>589</v>
      </c>
      <c r="F1751" s="195" t="s">
        <v>430</v>
      </c>
    </row>
    <row r="1752" spans="1:6" x14ac:dyDescent="0.25">
      <c r="A1752" s="189" t="str">
        <f t="shared" si="27"/>
        <v>BA-IS 83 RP2-1300.22N</v>
      </c>
      <c r="B1752" s="195" t="s">
        <v>1484</v>
      </c>
      <c r="C1752" s="196">
        <v>0</v>
      </c>
      <c r="D1752" s="196">
        <v>0.22</v>
      </c>
      <c r="E1752" s="195" t="s">
        <v>589</v>
      </c>
      <c r="F1752" s="195" t="s">
        <v>430</v>
      </c>
    </row>
    <row r="1753" spans="1:6" x14ac:dyDescent="0.25">
      <c r="A1753" s="189" t="str">
        <f t="shared" si="27"/>
        <v>BA-IS 83 RP2-1400.25N</v>
      </c>
      <c r="B1753" s="195" t="s">
        <v>1485</v>
      </c>
      <c r="C1753" s="196">
        <v>0</v>
      </c>
      <c r="D1753" s="196">
        <v>0.25</v>
      </c>
      <c r="E1753" s="195" t="s">
        <v>589</v>
      </c>
      <c r="F1753" s="195" t="s">
        <v>430</v>
      </c>
    </row>
    <row r="1754" spans="1:6" x14ac:dyDescent="0.25">
      <c r="A1754" s="189" t="str">
        <f t="shared" si="27"/>
        <v>BA-IS 83 RP2-1600.13E</v>
      </c>
      <c r="B1754" s="195" t="s">
        <v>1486</v>
      </c>
      <c r="C1754" s="196">
        <v>0</v>
      </c>
      <c r="D1754" s="196">
        <v>0.13</v>
      </c>
      <c r="E1754" s="195" t="s">
        <v>598</v>
      </c>
      <c r="F1754" s="195" t="s">
        <v>19</v>
      </c>
    </row>
    <row r="1755" spans="1:6" x14ac:dyDescent="0.25">
      <c r="A1755" s="189" t="str">
        <f t="shared" si="27"/>
        <v>BA-IS 83 RP2-1700.16E</v>
      </c>
      <c r="B1755" s="195" t="s">
        <v>1487</v>
      </c>
      <c r="C1755" s="196">
        <v>0</v>
      </c>
      <c r="D1755" s="196">
        <v>0.16</v>
      </c>
      <c r="E1755" s="195" t="s">
        <v>598</v>
      </c>
      <c r="F1755" s="195" t="s">
        <v>19</v>
      </c>
    </row>
    <row r="1756" spans="1:6" x14ac:dyDescent="0.25">
      <c r="A1756" s="189" t="str">
        <f t="shared" si="27"/>
        <v>BA-IS 83 RP2-2000.4N</v>
      </c>
      <c r="B1756" s="195" t="s">
        <v>1488</v>
      </c>
      <c r="C1756" s="196">
        <v>0</v>
      </c>
      <c r="D1756" s="196">
        <v>0.4</v>
      </c>
      <c r="E1756" s="195" t="s">
        <v>589</v>
      </c>
      <c r="F1756" s="195" t="s">
        <v>430</v>
      </c>
    </row>
    <row r="1757" spans="1:6" x14ac:dyDescent="0.25">
      <c r="A1757" s="189" t="str">
        <f t="shared" si="27"/>
        <v>BA-IS 83 RP2-2400.03S</v>
      </c>
      <c r="B1757" s="195" t="s">
        <v>1489</v>
      </c>
      <c r="C1757" s="196">
        <v>0</v>
      </c>
      <c r="D1757" s="196">
        <v>0.03</v>
      </c>
      <c r="E1757" s="195" t="s">
        <v>595</v>
      </c>
      <c r="F1757" s="195" t="s">
        <v>438</v>
      </c>
    </row>
    <row r="1758" spans="1:6" x14ac:dyDescent="0.25">
      <c r="A1758" s="189" t="str">
        <f t="shared" si="27"/>
        <v>BA-IS 83 RP2-2700.17N</v>
      </c>
      <c r="B1758" s="195" t="s">
        <v>1490</v>
      </c>
      <c r="C1758" s="196">
        <v>0</v>
      </c>
      <c r="D1758" s="196">
        <v>0.17</v>
      </c>
      <c r="E1758" s="195" t="s">
        <v>589</v>
      </c>
      <c r="F1758" s="195" t="s">
        <v>430</v>
      </c>
    </row>
    <row r="1759" spans="1:6" x14ac:dyDescent="0.25">
      <c r="A1759" s="189" t="str">
        <f t="shared" si="27"/>
        <v>BA-IS 83 RP2-3100.32N</v>
      </c>
      <c r="B1759" s="195" t="s">
        <v>1491</v>
      </c>
      <c r="C1759" s="196">
        <v>0</v>
      </c>
      <c r="D1759" s="196">
        <v>0.32</v>
      </c>
      <c r="E1759" s="195" t="s">
        <v>589</v>
      </c>
      <c r="F1759" s="195" t="s">
        <v>430</v>
      </c>
    </row>
    <row r="1760" spans="1:6" x14ac:dyDescent="0.25">
      <c r="A1760" s="189" t="str">
        <f t="shared" si="27"/>
        <v>BA-IS 83 RP2-3300.15W</v>
      </c>
      <c r="B1760" s="195" t="s">
        <v>1492</v>
      </c>
      <c r="C1760" s="196">
        <v>0</v>
      </c>
      <c r="D1760" s="196">
        <v>0.15</v>
      </c>
      <c r="E1760" s="195" t="s">
        <v>593</v>
      </c>
      <c r="F1760" s="195" t="s">
        <v>432</v>
      </c>
    </row>
    <row r="1761" spans="1:6" x14ac:dyDescent="0.25">
      <c r="A1761" s="189" t="str">
        <f t="shared" si="27"/>
        <v>BA-IS 83 RP2-3600.46N</v>
      </c>
      <c r="B1761" s="195" t="s">
        <v>1493</v>
      </c>
      <c r="C1761" s="196">
        <v>0</v>
      </c>
      <c r="D1761" s="196">
        <v>0.46</v>
      </c>
      <c r="E1761" s="195" t="s">
        <v>589</v>
      </c>
      <c r="F1761" s="195" t="s">
        <v>430</v>
      </c>
    </row>
    <row r="1762" spans="1:6" x14ac:dyDescent="0.25">
      <c r="A1762" s="189" t="str">
        <f t="shared" si="27"/>
        <v>BA-IS 83 RP3-1300.18S</v>
      </c>
      <c r="B1762" s="195" t="s">
        <v>1494</v>
      </c>
      <c r="C1762" s="196">
        <v>0</v>
      </c>
      <c r="D1762" s="196">
        <v>0.18</v>
      </c>
      <c r="E1762" s="195" t="s">
        <v>595</v>
      </c>
      <c r="F1762" s="195" t="s">
        <v>438</v>
      </c>
    </row>
    <row r="1763" spans="1:6" x14ac:dyDescent="0.25">
      <c r="A1763" s="189" t="str">
        <f t="shared" si="27"/>
        <v>BA-IS 83 RP3-1400.23W</v>
      </c>
      <c r="B1763" s="195" t="s">
        <v>1495</v>
      </c>
      <c r="C1763" s="196">
        <v>0</v>
      </c>
      <c r="D1763" s="196">
        <v>0.23</v>
      </c>
      <c r="E1763" s="195" t="s">
        <v>593</v>
      </c>
      <c r="F1763" s="195" t="s">
        <v>432</v>
      </c>
    </row>
    <row r="1764" spans="1:6" x14ac:dyDescent="0.25">
      <c r="A1764" s="189" t="str">
        <f t="shared" si="27"/>
        <v>BA-IS 83 RP3-1600.13S</v>
      </c>
      <c r="B1764" s="195" t="s">
        <v>1496</v>
      </c>
      <c r="C1764" s="196">
        <v>0</v>
      </c>
      <c r="D1764" s="196">
        <v>0.13</v>
      </c>
      <c r="E1764" s="195" t="s">
        <v>595</v>
      </c>
      <c r="F1764" s="195" t="s">
        <v>438</v>
      </c>
    </row>
    <row r="1765" spans="1:6" x14ac:dyDescent="0.25">
      <c r="A1765" s="189" t="str">
        <f t="shared" si="27"/>
        <v>BA-IS 83 RP3-1700.01E</v>
      </c>
      <c r="B1765" s="195" t="s">
        <v>1497</v>
      </c>
      <c r="C1765" s="196">
        <v>0</v>
      </c>
      <c r="D1765" s="196">
        <v>0.01</v>
      </c>
      <c r="E1765" s="195" t="s">
        <v>598</v>
      </c>
      <c r="F1765" s="195" t="s">
        <v>19</v>
      </c>
    </row>
    <row r="1766" spans="1:6" x14ac:dyDescent="0.25">
      <c r="A1766" s="189" t="str">
        <f t="shared" si="27"/>
        <v>BA-IS 83 RP3-2000.15S</v>
      </c>
      <c r="B1766" s="195" t="s">
        <v>1498</v>
      </c>
      <c r="C1766" s="196">
        <v>0</v>
      </c>
      <c r="D1766" s="196">
        <v>0.15</v>
      </c>
      <c r="E1766" s="195" t="s">
        <v>595</v>
      </c>
      <c r="F1766" s="195" t="s">
        <v>438</v>
      </c>
    </row>
    <row r="1767" spans="1:6" x14ac:dyDescent="0.25">
      <c r="A1767" s="189" t="str">
        <f t="shared" si="27"/>
        <v>BA-IS 83 RP3-2400.2S</v>
      </c>
      <c r="B1767" s="195" t="s">
        <v>1499</v>
      </c>
      <c r="C1767" s="196">
        <v>0</v>
      </c>
      <c r="D1767" s="196">
        <v>0.2</v>
      </c>
      <c r="E1767" s="195" t="s">
        <v>595</v>
      </c>
      <c r="F1767" s="195" t="s">
        <v>438</v>
      </c>
    </row>
    <row r="1768" spans="1:6" x14ac:dyDescent="0.25">
      <c r="A1768" s="189" t="str">
        <f t="shared" si="27"/>
        <v>BA-IS 83 RP3-2700.02N</v>
      </c>
      <c r="B1768" s="195" t="s">
        <v>1500</v>
      </c>
      <c r="C1768" s="196">
        <v>0</v>
      </c>
      <c r="D1768" s="196">
        <v>0.02</v>
      </c>
      <c r="E1768" s="195" t="s">
        <v>589</v>
      </c>
      <c r="F1768" s="195" t="s">
        <v>430</v>
      </c>
    </row>
    <row r="1769" spans="1:6" x14ac:dyDescent="0.25">
      <c r="A1769" s="189" t="str">
        <f t="shared" si="27"/>
        <v>BA-IS 83 RP3-3100.02N</v>
      </c>
      <c r="B1769" s="195" t="s">
        <v>1501</v>
      </c>
      <c r="C1769" s="196">
        <v>0</v>
      </c>
      <c r="D1769" s="196">
        <v>0.02</v>
      </c>
      <c r="E1769" s="195" t="s">
        <v>589</v>
      </c>
      <c r="F1769" s="195" t="s">
        <v>430</v>
      </c>
    </row>
    <row r="1770" spans="1:6" x14ac:dyDescent="0.25">
      <c r="A1770" s="189" t="str">
        <f t="shared" si="27"/>
        <v>BA-IS 83 RP3-3600.03N</v>
      </c>
      <c r="B1770" s="195" t="s">
        <v>1502</v>
      </c>
      <c r="C1770" s="196">
        <v>0</v>
      </c>
      <c r="D1770" s="196">
        <v>0.03</v>
      </c>
      <c r="E1770" s="195" t="s">
        <v>589</v>
      </c>
      <c r="F1770" s="195" t="s">
        <v>430</v>
      </c>
    </row>
    <row r="1771" spans="1:6" x14ac:dyDescent="0.25">
      <c r="A1771" s="189" t="str">
        <f t="shared" si="27"/>
        <v>BA-IS 83 RP3-3700.23S</v>
      </c>
      <c r="B1771" s="195" t="s">
        <v>1503</v>
      </c>
      <c r="C1771" s="196">
        <v>0</v>
      </c>
      <c r="D1771" s="196">
        <v>0.23</v>
      </c>
      <c r="E1771" s="195" t="s">
        <v>595</v>
      </c>
      <c r="F1771" s="195" t="s">
        <v>438</v>
      </c>
    </row>
    <row r="1772" spans="1:6" x14ac:dyDescent="0.25">
      <c r="A1772" s="189" t="str">
        <f t="shared" si="27"/>
        <v>BA-IS 83 RP4-1200.23N</v>
      </c>
      <c r="B1772" s="195" t="s">
        <v>1504</v>
      </c>
      <c r="C1772" s="196">
        <v>0</v>
      </c>
      <c r="D1772" s="196">
        <v>0.23</v>
      </c>
      <c r="E1772" s="195" t="s">
        <v>589</v>
      </c>
      <c r="F1772" s="195" t="s">
        <v>430</v>
      </c>
    </row>
    <row r="1773" spans="1:6" x14ac:dyDescent="0.25">
      <c r="A1773" s="189" t="str">
        <f t="shared" si="27"/>
        <v>BA-IS 83 RP4-1300.44N</v>
      </c>
      <c r="B1773" s="195" t="s">
        <v>1505</v>
      </c>
      <c r="C1773" s="196">
        <v>0</v>
      </c>
      <c r="D1773" s="196">
        <v>0.44</v>
      </c>
      <c r="E1773" s="195" t="s">
        <v>589</v>
      </c>
      <c r="F1773" s="195" t="s">
        <v>430</v>
      </c>
    </row>
    <row r="1774" spans="1:6" x14ac:dyDescent="0.25">
      <c r="A1774" s="189" t="str">
        <f t="shared" si="27"/>
        <v>BA-IS 83 RP4-1600.18N</v>
      </c>
      <c r="B1774" s="195" t="s">
        <v>1506</v>
      </c>
      <c r="C1774" s="196">
        <v>0</v>
      </c>
      <c r="D1774" s="196">
        <v>0.18</v>
      </c>
      <c r="E1774" s="195" t="s">
        <v>589</v>
      </c>
      <c r="F1774" s="195" t="s">
        <v>430</v>
      </c>
    </row>
    <row r="1775" spans="1:6" x14ac:dyDescent="0.25">
      <c r="A1775" s="189" t="str">
        <f t="shared" si="27"/>
        <v>BA-IS 83 RP4-1700.2E</v>
      </c>
      <c r="B1775" s="195" t="s">
        <v>1507</v>
      </c>
      <c r="C1775" s="196">
        <v>0</v>
      </c>
      <c r="D1775" s="196">
        <v>0.2</v>
      </c>
      <c r="E1775" s="195" t="s">
        <v>598</v>
      </c>
      <c r="F1775" s="195" t="s">
        <v>19</v>
      </c>
    </row>
    <row r="1776" spans="1:6" x14ac:dyDescent="0.25">
      <c r="A1776" s="189" t="str">
        <f t="shared" si="27"/>
        <v>BA-IS 83 RP4-1800.3N</v>
      </c>
      <c r="B1776" s="195" t="s">
        <v>1508</v>
      </c>
      <c r="C1776" s="196">
        <v>0</v>
      </c>
      <c r="D1776" s="196">
        <v>0.3</v>
      </c>
      <c r="E1776" s="195" t="s">
        <v>589</v>
      </c>
      <c r="F1776" s="195" t="s">
        <v>430</v>
      </c>
    </row>
    <row r="1777" spans="1:6" x14ac:dyDescent="0.25">
      <c r="A1777" s="189" t="str">
        <f t="shared" si="27"/>
        <v>BA-IS 83 RP4-2000.25N</v>
      </c>
      <c r="B1777" s="195" t="s">
        <v>1509</v>
      </c>
      <c r="C1777" s="196">
        <v>0</v>
      </c>
      <c r="D1777" s="196">
        <v>0.25</v>
      </c>
      <c r="E1777" s="195" t="s">
        <v>589</v>
      </c>
      <c r="F1777" s="195" t="s">
        <v>430</v>
      </c>
    </row>
    <row r="1778" spans="1:6" x14ac:dyDescent="0.25">
      <c r="A1778" s="189" t="str">
        <f t="shared" si="27"/>
        <v>BA-IS 83 RP4-2400.23N</v>
      </c>
      <c r="B1778" s="195" t="s">
        <v>1510</v>
      </c>
      <c r="C1778" s="196">
        <v>0</v>
      </c>
      <c r="D1778" s="196">
        <v>0.23</v>
      </c>
      <c r="E1778" s="195" t="s">
        <v>589</v>
      </c>
      <c r="F1778" s="195" t="s">
        <v>430</v>
      </c>
    </row>
    <row r="1779" spans="1:6" x14ac:dyDescent="0.25">
      <c r="A1779" s="189" t="str">
        <f t="shared" si="27"/>
        <v>BA-IS 83 RP4-2700.25N</v>
      </c>
      <c r="B1779" s="195" t="s">
        <v>1511</v>
      </c>
      <c r="C1779" s="196">
        <v>0</v>
      </c>
      <c r="D1779" s="196">
        <v>0.25</v>
      </c>
      <c r="E1779" s="195" t="s">
        <v>589</v>
      </c>
      <c r="F1779" s="195" t="s">
        <v>430</v>
      </c>
    </row>
    <row r="1780" spans="1:6" x14ac:dyDescent="0.25">
      <c r="A1780" s="189" t="str">
        <f t="shared" si="27"/>
        <v>BA-IS 83 RP4-270.250.35N</v>
      </c>
      <c r="B1780" s="195" t="s">
        <v>1511</v>
      </c>
      <c r="C1780" s="196">
        <v>0.25</v>
      </c>
      <c r="D1780" s="196">
        <v>0.35</v>
      </c>
      <c r="E1780" s="195" t="s">
        <v>589</v>
      </c>
      <c r="F1780" s="195" t="s">
        <v>430</v>
      </c>
    </row>
    <row r="1781" spans="1:6" x14ac:dyDescent="0.25">
      <c r="A1781" s="189" t="str">
        <f t="shared" si="27"/>
        <v>BA-IS 83 RP4-3100.21N</v>
      </c>
      <c r="B1781" s="195" t="s">
        <v>1512</v>
      </c>
      <c r="C1781" s="196">
        <v>0</v>
      </c>
      <c r="D1781" s="196">
        <v>0.21</v>
      </c>
      <c r="E1781" s="195" t="s">
        <v>589</v>
      </c>
      <c r="F1781" s="195" t="s">
        <v>430</v>
      </c>
    </row>
    <row r="1782" spans="1:6" x14ac:dyDescent="0.25">
      <c r="A1782" s="189" t="str">
        <f t="shared" si="27"/>
        <v>BA-IS 83 RP4-3300.22N</v>
      </c>
      <c r="B1782" s="195" t="s">
        <v>1513</v>
      </c>
      <c r="C1782" s="196">
        <v>0</v>
      </c>
      <c r="D1782" s="196">
        <v>0.22</v>
      </c>
      <c r="E1782" s="195" t="s">
        <v>589</v>
      </c>
      <c r="F1782" s="195" t="s">
        <v>430</v>
      </c>
    </row>
    <row r="1783" spans="1:6" x14ac:dyDescent="0.25">
      <c r="A1783" s="189" t="str">
        <f t="shared" si="27"/>
        <v>BA-IS 83 RP5-1300.24S</v>
      </c>
      <c r="B1783" s="195" t="s">
        <v>1514</v>
      </c>
      <c r="C1783" s="196">
        <v>0</v>
      </c>
      <c r="D1783" s="196">
        <v>0.24</v>
      </c>
      <c r="E1783" s="195" t="s">
        <v>595</v>
      </c>
      <c r="F1783" s="195" t="s">
        <v>438</v>
      </c>
    </row>
    <row r="1784" spans="1:6" x14ac:dyDescent="0.25">
      <c r="A1784" s="189" t="str">
        <f t="shared" si="27"/>
        <v>BA-IS 83 RP5-1400.56S</v>
      </c>
      <c r="B1784" s="195" t="s">
        <v>1515</v>
      </c>
      <c r="C1784" s="196">
        <v>0</v>
      </c>
      <c r="D1784" s="196">
        <v>0.56000000000000005</v>
      </c>
      <c r="E1784" s="195" t="s">
        <v>595</v>
      </c>
      <c r="F1784" s="195" t="s">
        <v>438</v>
      </c>
    </row>
    <row r="1785" spans="1:6" x14ac:dyDescent="0.25">
      <c r="A1785" s="189" t="str">
        <f t="shared" si="27"/>
        <v>BA-IS 83 RP5-140.560.61S</v>
      </c>
      <c r="B1785" s="195" t="s">
        <v>1515</v>
      </c>
      <c r="C1785" s="196">
        <v>0.56000000000000005</v>
      </c>
      <c r="D1785" s="196">
        <v>0.61</v>
      </c>
      <c r="E1785" s="195" t="s">
        <v>595</v>
      </c>
      <c r="F1785" s="195" t="s">
        <v>438</v>
      </c>
    </row>
    <row r="1786" spans="1:6" x14ac:dyDescent="0.25">
      <c r="A1786" s="189" t="str">
        <f t="shared" si="27"/>
        <v>BA-IS 83 RP5-1600.02S</v>
      </c>
      <c r="B1786" s="195" t="s">
        <v>1516</v>
      </c>
      <c r="C1786" s="196">
        <v>0</v>
      </c>
      <c r="D1786" s="196">
        <v>0.02</v>
      </c>
      <c r="E1786" s="195" t="s">
        <v>595</v>
      </c>
      <c r="F1786" s="195" t="s">
        <v>438</v>
      </c>
    </row>
    <row r="1787" spans="1:6" x14ac:dyDescent="0.25">
      <c r="A1787" s="189" t="str">
        <f t="shared" si="27"/>
        <v>BA-IS 83 RP5-1700.02S</v>
      </c>
      <c r="B1787" s="195" t="s">
        <v>1517</v>
      </c>
      <c r="C1787" s="196">
        <v>0</v>
      </c>
      <c r="D1787" s="196">
        <v>0.02</v>
      </c>
      <c r="E1787" s="195" t="s">
        <v>595</v>
      </c>
      <c r="F1787" s="195" t="s">
        <v>438</v>
      </c>
    </row>
    <row r="1788" spans="1:6" x14ac:dyDescent="0.25">
      <c r="A1788" s="189" t="str">
        <f t="shared" si="27"/>
        <v>BA-IS 83 RP5-2000.22S</v>
      </c>
      <c r="B1788" s="195" t="s">
        <v>1518</v>
      </c>
      <c r="C1788" s="196">
        <v>0</v>
      </c>
      <c r="D1788" s="196">
        <v>0.22</v>
      </c>
      <c r="E1788" s="195" t="s">
        <v>595</v>
      </c>
      <c r="F1788" s="195" t="s">
        <v>438</v>
      </c>
    </row>
    <row r="1789" spans="1:6" x14ac:dyDescent="0.25">
      <c r="A1789" s="189" t="str">
        <f t="shared" si="27"/>
        <v>BA-IS 83 RP5-2400.02S</v>
      </c>
      <c r="B1789" s="195" t="s">
        <v>1519</v>
      </c>
      <c r="C1789" s="196">
        <v>0</v>
      </c>
      <c r="D1789" s="196">
        <v>0.02</v>
      </c>
      <c r="E1789" s="195" t="s">
        <v>595</v>
      </c>
      <c r="F1789" s="195" t="s">
        <v>438</v>
      </c>
    </row>
    <row r="1790" spans="1:6" x14ac:dyDescent="0.25">
      <c r="A1790" s="189" t="str">
        <f t="shared" si="27"/>
        <v>BA-IS 83 RP5-2700.02S</v>
      </c>
      <c r="B1790" s="195" t="s">
        <v>1520</v>
      </c>
      <c r="C1790" s="196">
        <v>0</v>
      </c>
      <c r="D1790" s="196">
        <v>0.02</v>
      </c>
      <c r="E1790" s="195" t="s">
        <v>595</v>
      </c>
      <c r="F1790" s="195" t="s">
        <v>438</v>
      </c>
    </row>
    <row r="1791" spans="1:6" x14ac:dyDescent="0.25">
      <c r="A1791" s="189" t="str">
        <f t="shared" si="27"/>
        <v>BA-IS 83 RP5-3100.05S</v>
      </c>
      <c r="B1791" s="195" t="s">
        <v>1521</v>
      </c>
      <c r="C1791" s="196">
        <v>0</v>
      </c>
      <c r="D1791" s="196">
        <v>0.05</v>
      </c>
      <c r="E1791" s="195" t="s">
        <v>595</v>
      </c>
      <c r="F1791" s="195" t="s">
        <v>438</v>
      </c>
    </row>
    <row r="1792" spans="1:6" x14ac:dyDescent="0.25">
      <c r="A1792" s="189" t="str">
        <f t="shared" si="27"/>
        <v>BA-IS 83 RP5-3600.3S</v>
      </c>
      <c r="B1792" s="195" t="s">
        <v>1522</v>
      </c>
      <c r="C1792" s="196">
        <v>0</v>
      </c>
      <c r="D1792" s="196">
        <v>0.3</v>
      </c>
      <c r="E1792" s="195" t="s">
        <v>595</v>
      </c>
      <c r="F1792" s="195" t="s">
        <v>438</v>
      </c>
    </row>
    <row r="1793" spans="1:6" x14ac:dyDescent="0.25">
      <c r="A1793" s="189" t="str">
        <f t="shared" si="27"/>
        <v>BA-IS 83 RP6-1200.14S</v>
      </c>
      <c r="B1793" s="195" t="s">
        <v>1523</v>
      </c>
      <c r="C1793" s="196">
        <v>0</v>
      </c>
      <c r="D1793" s="196">
        <v>0.14000000000000001</v>
      </c>
      <c r="E1793" s="195" t="s">
        <v>595</v>
      </c>
      <c r="F1793" s="195" t="s">
        <v>438</v>
      </c>
    </row>
    <row r="1794" spans="1:6" x14ac:dyDescent="0.25">
      <c r="A1794" s="189" t="str">
        <f t="shared" si="27"/>
        <v>BA-IS 83 RP6-1300.19E</v>
      </c>
      <c r="B1794" s="195" t="s">
        <v>1524</v>
      </c>
      <c r="C1794" s="196">
        <v>0</v>
      </c>
      <c r="D1794" s="196">
        <v>0.19</v>
      </c>
      <c r="E1794" s="195" t="s">
        <v>598</v>
      </c>
      <c r="F1794" s="195" t="s">
        <v>19</v>
      </c>
    </row>
    <row r="1795" spans="1:6" x14ac:dyDescent="0.25">
      <c r="A1795" s="189" t="str">
        <f t="shared" ref="A1795:A1858" si="28">B1795&amp;C1795&amp;D1795&amp;F1795</f>
        <v>BA-IS 83 RP6-1600.19S</v>
      </c>
      <c r="B1795" s="195" t="s">
        <v>1525</v>
      </c>
      <c r="C1795" s="196">
        <v>0</v>
      </c>
      <c r="D1795" s="196">
        <v>0.19</v>
      </c>
      <c r="E1795" s="195" t="s">
        <v>595</v>
      </c>
      <c r="F1795" s="195" t="s">
        <v>438</v>
      </c>
    </row>
    <row r="1796" spans="1:6" x14ac:dyDescent="0.25">
      <c r="A1796" s="189" t="str">
        <f t="shared" si="28"/>
        <v>BA-IS 83 RP6-1700.3S</v>
      </c>
      <c r="B1796" s="195" t="s">
        <v>1526</v>
      </c>
      <c r="C1796" s="196">
        <v>0</v>
      </c>
      <c r="D1796" s="196">
        <v>0.3</v>
      </c>
      <c r="E1796" s="195" t="s">
        <v>595</v>
      </c>
      <c r="F1796" s="195" t="s">
        <v>438</v>
      </c>
    </row>
    <row r="1797" spans="1:6" x14ac:dyDescent="0.25">
      <c r="A1797" s="189" t="str">
        <f t="shared" si="28"/>
        <v>BA-IS 83 RP6-2000.35S</v>
      </c>
      <c r="B1797" s="195" t="s">
        <v>1527</v>
      </c>
      <c r="C1797" s="196">
        <v>0</v>
      </c>
      <c r="D1797" s="196">
        <v>0.35</v>
      </c>
      <c r="E1797" s="195" t="s">
        <v>595</v>
      </c>
      <c r="F1797" s="195" t="s">
        <v>438</v>
      </c>
    </row>
    <row r="1798" spans="1:6" x14ac:dyDescent="0.25">
      <c r="A1798" s="189" t="str">
        <f t="shared" si="28"/>
        <v>BA-IS 83 RP6-2400.03N</v>
      </c>
      <c r="B1798" s="195" t="s">
        <v>1528</v>
      </c>
      <c r="C1798" s="196">
        <v>0</v>
      </c>
      <c r="D1798" s="196">
        <v>0.03</v>
      </c>
      <c r="E1798" s="195" t="s">
        <v>589</v>
      </c>
      <c r="F1798" s="195" t="s">
        <v>430</v>
      </c>
    </row>
    <row r="1799" spans="1:6" x14ac:dyDescent="0.25">
      <c r="A1799" s="189" t="str">
        <f t="shared" si="28"/>
        <v>BA-IS 83 RP6-2700.27S</v>
      </c>
      <c r="B1799" s="195" t="s">
        <v>1529</v>
      </c>
      <c r="C1799" s="196">
        <v>0</v>
      </c>
      <c r="D1799" s="196">
        <v>0.27</v>
      </c>
      <c r="E1799" s="195" t="s">
        <v>595</v>
      </c>
      <c r="F1799" s="195" t="s">
        <v>438</v>
      </c>
    </row>
    <row r="1800" spans="1:6" x14ac:dyDescent="0.25">
      <c r="A1800" s="189" t="str">
        <f t="shared" si="28"/>
        <v>BA-IS 83 RP6-3100.26S</v>
      </c>
      <c r="B1800" s="195" t="s">
        <v>1530</v>
      </c>
      <c r="C1800" s="196">
        <v>0</v>
      </c>
      <c r="D1800" s="196">
        <v>0.26</v>
      </c>
      <c r="E1800" s="195" t="s">
        <v>595</v>
      </c>
      <c r="F1800" s="195" t="s">
        <v>438</v>
      </c>
    </row>
    <row r="1801" spans="1:6" x14ac:dyDescent="0.25">
      <c r="A1801" s="189" t="str">
        <f t="shared" si="28"/>
        <v>BA-IS 83 RP6-3300.32E</v>
      </c>
      <c r="B1801" s="195" t="s">
        <v>1531</v>
      </c>
      <c r="C1801" s="196">
        <v>0</v>
      </c>
      <c r="D1801" s="196">
        <v>0.32</v>
      </c>
      <c r="E1801" s="195" t="s">
        <v>598</v>
      </c>
      <c r="F1801" s="195" t="s">
        <v>19</v>
      </c>
    </row>
    <row r="1802" spans="1:6" x14ac:dyDescent="0.25">
      <c r="A1802" s="189" t="str">
        <f t="shared" si="28"/>
        <v>BA-IS 83 RP6-3600.42S</v>
      </c>
      <c r="B1802" s="195" t="s">
        <v>1532</v>
      </c>
      <c r="C1802" s="196">
        <v>0</v>
      </c>
      <c r="D1802" s="196">
        <v>0.42</v>
      </c>
      <c r="E1802" s="195" t="s">
        <v>595</v>
      </c>
      <c r="F1802" s="195" t="s">
        <v>438</v>
      </c>
    </row>
    <row r="1803" spans="1:6" x14ac:dyDescent="0.25">
      <c r="A1803" s="189" t="str">
        <f t="shared" si="28"/>
        <v>BA-IS 83 RP7-1200.01S</v>
      </c>
      <c r="B1803" s="195" t="s">
        <v>1533</v>
      </c>
      <c r="C1803" s="196">
        <v>0</v>
      </c>
      <c r="D1803" s="196">
        <v>0.01</v>
      </c>
      <c r="E1803" s="195" t="s">
        <v>595</v>
      </c>
      <c r="F1803" s="195" t="s">
        <v>438</v>
      </c>
    </row>
    <row r="1804" spans="1:6" x14ac:dyDescent="0.25">
      <c r="A1804" s="189" t="str">
        <f t="shared" si="28"/>
        <v>BA-IS 83 RP7-1300.92W</v>
      </c>
      <c r="B1804" s="195" t="s">
        <v>1534</v>
      </c>
      <c r="C1804" s="196">
        <v>0</v>
      </c>
      <c r="D1804" s="196">
        <v>0.92</v>
      </c>
      <c r="E1804" s="195" t="s">
        <v>593</v>
      </c>
      <c r="F1804" s="195" t="s">
        <v>432</v>
      </c>
    </row>
    <row r="1805" spans="1:6" x14ac:dyDescent="0.25">
      <c r="A1805" s="189" t="str">
        <f t="shared" si="28"/>
        <v>BA-IS 83 RP7-1600.15N</v>
      </c>
      <c r="B1805" s="195" t="s">
        <v>1535</v>
      </c>
      <c r="C1805" s="196">
        <v>0</v>
      </c>
      <c r="D1805" s="196">
        <v>0.15</v>
      </c>
      <c r="E1805" s="195" t="s">
        <v>589</v>
      </c>
      <c r="F1805" s="195" t="s">
        <v>430</v>
      </c>
    </row>
    <row r="1806" spans="1:6" x14ac:dyDescent="0.25">
      <c r="A1806" s="189" t="str">
        <f t="shared" si="28"/>
        <v>BA-IS 83 RP7-1700.19N</v>
      </c>
      <c r="B1806" s="195" t="s">
        <v>1536</v>
      </c>
      <c r="C1806" s="196">
        <v>0</v>
      </c>
      <c r="D1806" s="196">
        <v>0.19</v>
      </c>
      <c r="E1806" s="195" t="s">
        <v>589</v>
      </c>
      <c r="F1806" s="195" t="s">
        <v>430</v>
      </c>
    </row>
    <row r="1807" spans="1:6" x14ac:dyDescent="0.25">
      <c r="A1807" s="189" t="str">
        <f t="shared" si="28"/>
        <v>BA-IS 83 RP7-1800.76S</v>
      </c>
      <c r="B1807" s="195" t="s">
        <v>1537</v>
      </c>
      <c r="C1807" s="196">
        <v>0</v>
      </c>
      <c r="D1807" s="196">
        <v>0.76</v>
      </c>
      <c r="E1807" s="195" t="s">
        <v>595</v>
      </c>
      <c r="F1807" s="195" t="s">
        <v>438</v>
      </c>
    </row>
    <row r="1808" spans="1:6" x14ac:dyDescent="0.25">
      <c r="A1808" s="189" t="str">
        <f t="shared" si="28"/>
        <v>BA-IS 83 RP7-2000.22N</v>
      </c>
      <c r="B1808" s="195" t="s">
        <v>1538</v>
      </c>
      <c r="C1808" s="196">
        <v>0</v>
      </c>
      <c r="D1808" s="196">
        <v>0.22</v>
      </c>
      <c r="E1808" s="195" t="s">
        <v>589</v>
      </c>
      <c r="F1808" s="195" t="s">
        <v>430</v>
      </c>
    </row>
    <row r="1809" spans="1:6" x14ac:dyDescent="0.25">
      <c r="A1809" s="189" t="str">
        <f t="shared" si="28"/>
        <v>BA-IS 83 RP7-2400.2N</v>
      </c>
      <c r="B1809" s="195" t="s">
        <v>1539</v>
      </c>
      <c r="C1809" s="196">
        <v>0</v>
      </c>
      <c r="D1809" s="196">
        <v>0.2</v>
      </c>
      <c r="E1809" s="195" t="s">
        <v>589</v>
      </c>
      <c r="F1809" s="195" t="s">
        <v>430</v>
      </c>
    </row>
    <row r="1810" spans="1:6" x14ac:dyDescent="0.25">
      <c r="A1810" s="189" t="str">
        <f t="shared" si="28"/>
        <v>BA-IS 83 RP7-2700.02S</v>
      </c>
      <c r="B1810" s="195" t="s">
        <v>1540</v>
      </c>
      <c r="C1810" s="196">
        <v>0</v>
      </c>
      <c r="D1810" s="196">
        <v>0.02</v>
      </c>
      <c r="E1810" s="195" t="s">
        <v>595</v>
      </c>
      <c r="F1810" s="195" t="s">
        <v>438</v>
      </c>
    </row>
    <row r="1811" spans="1:6" x14ac:dyDescent="0.25">
      <c r="A1811" s="189" t="str">
        <f t="shared" si="28"/>
        <v>BA-IS 83 RP7-3100.02S</v>
      </c>
      <c r="B1811" s="195" t="s">
        <v>1541</v>
      </c>
      <c r="C1811" s="196">
        <v>0</v>
      </c>
      <c r="D1811" s="196">
        <v>0.02</v>
      </c>
      <c r="E1811" s="195" t="s">
        <v>595</v>
      </c>
      <c r="F1811" s="195" t="s">
        <v>438</v>
      </c>
    </row>
    <row r="1812" spans="1:6" x14ac:dyDescent="0.25">
      <c r="A1812" s="189" t="str">
        <f t="shared" si="28"/>
        <v>BA-IS 83 RP7-3600.02S</v>
      </c>
      <c r="B1812" s="195" t="s">
        <v>1542</v>
      </c>
      <c r="C1812" s="196">
        <v>0</v>
      </c>
      <c r="D1812" s="196">
        <v>0.02</v>
      </c>
      <c r="E1812" s="195" t="s">
        <v>595</v>
      </c>
      <c r="F1812" s="195" t="s">
        <v>438</v>
      </c>
    </row>
    <row r="1813" spans="1:6" x14ac:dyDescent="0.25">
      <c r="A1813" s="189" t="str">
        <f t="shared" si="28"/>
        <v>BA-IS 83 RP8-1300.31S</v>
      </c>
      <c r="B1813" s="195" t="s">
        <v>1543</v>
      </c>
      <c r="C1813" s="196">
        <v>0</v>
      </c>
      <c r="D1813" s="196">
        <v>0.31</v>
      </c>
      <c r="E1813" s="195" t="s">
        <v>595</v>
      </c>
      <c r="F1813" s="195" t="s">
        <v>438</v>
      </c>
    </row>
    <row r="1814" spans="1:6" x14ac:dyDescent="0.25">
      <c r="A1814" s="189" t="str">
        <f t="shared" si="28"/>
        <v>BA-IS 83 RP8-1600.2S</v>
      </c>
      <c r="B1814" s="195" t="s">
        <v>1544</v>
      </c>
      <c r="C1814" s="196">
        <v>0</v>
      </c>
      <c r="D1814" s="196">
        <v>0.2</v>
      </c>
      <c r="E1814" s="195" t="s">
        <v>595</v>
      </c>
      <c r="F1814" s="195" t="s">
        <v>438</v>
      </c>
    </row>
    <row r="1815" spans="1:6" x14ac:dyDescent="0.25">
      <c r="A1815" s="189" t="str">
        <f t="shared" si="28"/>
        <v>BA-IS 83 RP8-1700.24W</v>
      </c>
      <c r="B1815" s="195" t="s">
        <v>1545</v>
      </c>
      <c r="C1815" s="196">
        <v>0</v>
      </c>
      <c r="D1815" s="196">
        <v>0.24</v>
      </c>
      <c r="E1815" s="195" t="s">
        <v>593</v>
      </c>
      <c r="F1815" s="195" t="s">
        <v>432</v>
      </c>
    </row>
    <row r="1816" spans="1:6" x14ac:dyDescent="0.25">
      <c r="A1816" s="189" t="str">
        <f t="shared" si="28"/>
        <v>BA-IS 83 RP8-2000.32S</v>
      </c>
      <c r="B1816" s="195" t="s">
        <v>1546</v>
      </c>
      <c r="C1816" s="196">
        <v>0</v>
      </c>
      <c r="D1816" s="196">
        <v>0.32</v>
      </c>
      <c r="E1816" s="195" t="s">
        <v>595</v>
      </c>
      <c r="F1816" s="195" t="s">
        <v>438</v>
      </c>
    </row>
    <row r="1817" spans="1:6" x14ac:dyDescent="0.25">
      <c r="A1817" s="189" t="str">
        <f t="shared" si="28"/>
        <v>BA-IS 83 RP8-2400.27S</v>
      </c>
      <c r="B1817" s="195" t="s">
        <v>1547</v>
      </c>
      <c r="C1817" s="196">
        <v>0</v>
      </c>
      <c r="D1817" s="196">
        <v>0.27</v>
      </c>
      <c r="E1817" s="195" t="s">
        <v>595</v>
      </c>
      <c r="F1817" s="195" t="s">
        <v>438</v>
      </c>
    </row>
    <row r="1818" spans="1:6" x14ac:dyDescent="0.25">
      <c r="A1818" s="189" t="str">
        <f t="shared" si="28"/>
        <v>BA-IS 83 RP8-2700.25S</v>
      </c>
      <c r="B1818" s="195" t="s">
        <v>1548</v>
      </c>
      <c r="C1818" s="196">
        <v>0</v>
      </c>
      <c r="D1818" s="196">
        <v>0.25</v>
      </c>
      <c r="E1818" s="195" t="s">
        <v>595</v>
      </c>
      <c r="F1818" s="195" t="s">
        <v>438</v>
      </c>
    </row>
    <row r="1819" spans="1:6" x14ac:dyDescent="0.25">
      <c r="A1819" s="189" t="str">
        <f t="shared" si="28"/>
        <v>BA-IS 83 RP8-3100.43S</v>
      </c>
      <c r="B1819" s="195" t="s">
        <v>1549</v>
      </c>
      <c r="C1819" s="196">
        <v>0</v>
      </c>
      <c r="D1819" s="196">
        <v>0.43</v>
      </c>
      <c r="E1819" s="195" t="s">
        <v>595</v>
      </c>
      <c r="F1819" s="195" t="s">
        <v>438</v>
      </c>
    </row>
    <row r="1820" spans="1:6" x14ac:dyDescent="0.25">
      <c r="A1820" s="189" t="str">
        <f t="shared" si="28"/>
        <v>BA-IS 83 RP8-3300.32S</v>
      </c>
      <c r="B1820" s="195" t="s">
        <v>1550</v>
      </c>
      <c r="C1820" s="196">
        <v>0</v>
      </c>
      <c r="D1820" s="196">
        <v>0.32</v>
      </c>
      <c r="E1820" s="195" t="s">
        <v>595</v>
      </c>
      <c r="F1820" s="195" t="s">
        <v>438</v>
      </c>
    </row>
    <row r="1821" spans="1:6" x14ac:dyDescent="0.25">
      <c r="A1821" s="189" t="str">
        <f t="shared" si="28"/>
        <v>BA-IS 83 RP8-3700.14S</v>
      </c>
      <c r="B1821" s="195" t="s">
        <v>1551</v>
      </c>
      <c r="C1821" s="196">
        <v>0</v>
      </c>
      <c r="D1821" s="196">
        <v>0.14000000000000001</v>
      </c>
      <c r="E1821" s="195" t="s">
        <v>595</v>
      </c>
      <c r="F1821" s="195" t="s">
        <v>438</v>
      </c>
    </row>
    <row r="1822" spans="1:6" x14ac:dyDescent="0.25">
      <c r="A1822" s="189" t="str">
        <f t="shared" si="28"/>
        <v>BA-IS 83 RP9-2000.04S</v>
      </c>
      <c r="B1822" s="195" t="s">
        <v>1552</v>
      </c>
      <c r="C1822" s="196">
        <v>0</v>
      </c>
      <c r="D1822" s="196">
        <v>0.04</v>
      </c>
      <c r="E1822" s="195" t="s">
        <v>595</v>
      </c>
      <c r="F1822" s="195" t="s">
        <v>438</v>
      </c>
    </row>
    <row r="1823" spans="1:6" x14ac:dyDescent="0.25">
      <c r="A1823" s="189" t="str">
        <f t="shared" si="28"/>
        <v>BA-IS 895 RP4-100.23E</v>
      </c>
      <c r="B1823" s="195" t="s">
        <v>1553</v>
      </c>
      <c r="C1823" s="196">
        <v>0</v>
      </c>
      <c r="D1823" s="196">
        <v>0.23</v>
      </c>
      <c r="E1823" s="195" t="s">
        <v>598</v>
      </c>
      <c r="F1823" s="195" t="s">
        <v>19</v>
      </c>
    </row>
    <row r="1824" spans="1:6" x14ac:dyDescent="0.25">
      <c r="A1824" s="189" t="str">
        <f t="shared" si="28"/>
        <v>BA-IS 895 RP4-400.22N</v>
      </c>
      <c r="B1824" s="195" t="s">
        <v>1554</v>
      </c>
      <c r="C1824" s="196">
        <v>0</v>
      </c>
      <c r="D1824" s="196">
        <v>0.22</v>
      </c>
      <c r="E1824" s="195" t="s">
        <v>589</v>
      </c>
      <c r="F1824" s="195" t="s">
        <v>430</v>
      </c>
    </row>
    <row r="1825" spans="1:6" x14ac:dyDescent="0.25">
      <c r="A1825" s="189" t="str">
        <f t="shared" si="28"/>
        <v>BA-IS 895 RP7-100.33W</v>
      </c>
      <c r="B1825" s="195" t="s">
        <v>1555</v>
      </c>
      <c r="C1825" s="196">
        <v>0</v>
      </c>
      <c r="D1825" s="196">
        <v>0.33</v>
      </c>
      <c r="E1825" s="195" t="s">
        <v>593</v>
      </c>
      <c r="F1825" s="195" t="s">
        <v>432</v>
      </c>
    </row>
    <row r="1826" spans="1:6" x14ac:dyDescent="0.25">
      <c r="A1826" s="189" t="str">
        <f t="shared" si="28"/>
        <v>BA-IS 895 RP7-400.37W</v>
      </c>
      <c r="B1826" s="195" t="s">
        <v>1556</v>
      </c>
      <c r="C1826" s="196">
        <v>0</v>
      </c>
      <c r="D1826" s="196">
        <v>0.37</v>
      </c>
      <c r="E1826" s="195" t="s">
        <v>593</v>
      </c>
      <c r="F1826" s="195" t="s">
        <v>432</v>
      </c>
    </row>
    <row r="1827" spans="1:6" x14ac:dyDescent="0.25">
      <c r="A1827" s="189" t="str">
        <f t="shared" si="28"/>
        <v>BA-IS 95 RP10-4900.01S</v>
      </c>
      <c r="B1827" s="195" t="s">
        <v>1557</v>
      </c>
      <c r="C1827" s="196">
        <v>0</v>
      </c>
      <c r="D1827" s="196">
        <v>0.01</v>
      </c>
      <c r="E1827" s="195" t="s">
        <v>595</v>
      </c>
      <c r="F1827" s="195" t="s">
        <v>438</v>
      </c>
    </row>
    <row r="1828" spans="1:6" x14ac:dyDescent="0.25">
      <c r="A1828" s="189" t="str">
        <f t="shared" si="28"/>
        <v>BA-IS 95 RP1-4700.35E</v>
      </c>
      <c r="B1828" s="195" t="s">
        <v>1558</v>
      </c>
      <c r="C1828" s="196">
        <v>0</v>
      </c>
      <c r="D1828" s="196">
        <v>0.35</v>
      </c>
      <c r="E1828" s="195" t="s">
        <v>598</v>
      </c>
      <c r="F1828" s="195" t="s">
        <v>19</v>
      </c>
    </row>
    <row r="1829" spans="1:6" x14ac:dyDescent="0.25">
      <c r="A1829" s="189" t="str">
        <f t="shared" si="28"/>
        <v>BA-IS 95 RP1-4900.43N</v>
      </c>
      <c r="B1829" s="195" t="s">
        <v>1559</v>
      </c>
      <c r="C1829" s="196">
        <v>0</v>
      </c>
      <c r="D1829" s="196">
        <v>0.43</v>
      </c>
      <c r="E1829" s="195" t="s">
        <v>589</v>
      </c>
      <c r="F1829" s="195" t="s">
        <v>430</v>
      </c>
    </row>
    <row r="1830" spans="1:6" x14ac:dyDescent="0.25">
      <c r="A1830" s="189" t="str">
        <f t="shared" si="28"/>
        <v>BA-IS 95 RP1-6400.9N</v>
      </c>
      <c r="B1830" s="195" t="s">
        <v>1560</v>
      </c>
      <c r="C1830" s="196">
        <v>0</v>
      </c>
      <c r="D1830" s="196">
        <v>0.9</v>
      </c>
      <c r="E1830" s="195" t="s">
        <v>589</v>
      </c>
      <c r="F1830" s="195" t="s">
        <v>430</v>
      </c>
    </row>
    <row r="1831" spans="1:6" x14ac:dyDescent="0.25">
      <c r="A1831" s="189" t="str">
        <f t="shared" si="28"/>
        <v>BA-IS 95 RP1-6700.22E</v>
      </c>
      <c r="B1831" s="195" t="s">
        <v>1561</v>
      </c>
      <c r="C1831" s="196">
        <v>0</v>
      </c>
      <c r="D1831" s="196">
        <v>0.22</v>
      </c>
      <c r="E1831" s="195" t="s">
        <v>598</v>
      </c>
      <c r="F1831" s="195" t="s">
        <v>19</v>
      </c>
    </row>
    <row r="1832" spans="1:6" x14ac:dyDescent="0.25">
      <c r="A1832" s="189" t="str">
        <f t="shared" si="28"/>
        <v>BA-IS 95 RP2-4700.49N</v>
      </c>
      <c r="B1832" s="195" t="s">
        <v>1562</v>
      </c>
      <c r="C1832" s="196">
        <v>0</v>
      </c>
      <c r="D1832" s="196">
        <v>0.49</v>
      </c>
      <c r="E1832" s="195" t="s">
        <v>589</v>
      </c>
      <c r="F1832" s="195" t="s">
        <v>430</v>
      </c>
    </row>
    <row r="1833" spans="1:6" x14ac:dyDescent="0.25">
      <c r="A1833" s="189" t="str">
        <f t="shared" si="28"/>
        <v>BA-IS 95 RP2-4900.49N</v>
      </c>
      <c r="B1833" s="195" t="s">
        <v>1563</v>
      </c>
      <c r="C1833" s="196">
        <v>0</v>
      </c>
      <c r="D1833" s="196">
        <v>0.49</v>
      </c>
      <c r="E1833" s="195" t="s">
        <v>589</v>
      </c>
      <c r="F1833" s="195" t="s">
        <v>430</v>
      </c>
    </row>
    <row r="1834" spans="1:6" x14ac:dyDescent="0.25">
      <c r="A1834" s="189" t="str">
        <f t="shared" si="28"/>
        <v>BA-IS 95 RP2-6400.12E</v>
      </c>
      <c r="B1834" s="195" t="s">
        <v>1564</v>
      </c>
      <c r="C1834" s="196">
        <v>0</v>
      </c>
      <c r="D1834" s="196">
        <v>0.12</v>
      </c>
      <c r="E1834" s="195" t="s">
        <v>598</v>
      </c>
      <c r="F1834" s="195" t="s">
        <v>19</v>
      </c>
    </row>
    <row r="1835" spans="1:6" x14ac:dyDescent="0.25">
      <c r="A1835" s="189" t="str">
        <f t="shared" si="28"/>
        <v>BA-IS 95 RP2-6400.66W</v>
      </c>
      <c r="B1835" s="195" t="s">
        <v>1564</v>
      </c>
      <c r="C1835" s="196">
        <v>0</v>
      </c>
      <c r="D1835" s="196">
        <v>0.66</v>
      </c>
      <c r="E1835" s="195" t="s">
        <v>593</v>
      </c>
      <c r="F1835" s="195" t="s">
        <v>432</v>
      </c>
    </row>
    <row r="1836" spans="1:6" x14ac:dyDescent="0.25">
      <c r="A1836" s="189" t="str">
        <f t="shared" si="28"/>
        <v>BA-IS 95 RP2-6700.33N</v>
      </c>
      <c r="B1836" s="195" t="s">
        <v>1565</v>
      </c>
      <c r="C1836" s="196">
        <v>0</v>
      </c>
      <c r="D1836" s="196">
        <v>0.33</v>
      </c>
      <c r="E1836" s="195" t="s">
        <v>589</v>
      </c>
      <c r="F1836" s="195" t="s">
        <v>430</v>
      </c>
    </row>
    <row r="1837" spans="1:6" x14ac:dyDescent="0.25">
      <c r="A1837" s="189" t="str">
        <f t="shared" si="28"/>
        <v>BA-IS 95 RP3-4700.36S</v>
      </c>
      <c r="B1837" s="195" t="s">
        <v>1566</v>
      </c>
      <c r="C1837" s="196">
        <v>0</v>
      </c>
      <c r="D1837" s="196">
        <v>0.36</v>
      </c>
      <c r="E1837" s="195" t="s">
        <v>595</v>
      </c>
      <c r="F1837" s="195" t="s">
        <v>438</v>
      </c>
    </row>
    <row r="1838" spans="1:6" x14ac:dyDescent="0.25">
      <c r="A1838" s="189" t="str">
        <f t="shared" si="28"/>
        <v>BA-IS 95 RP3-4900.67S</v>
      </c>
      <c r="B1838" s="195" t="s">
        <v>1567</v>
      </c>
      <c r="C1838" s="196">
        <v>0</v>
      </c>
      <c r="D1838" s="196">
        <v>0.67</v>
      </c>
      <c r="E1838" s="195" t="s">
        <v>595</v>
      </c>
      <c r="F1838" s="195" t="s">
        <v>438</v>
      </c>
    </row>
    <row r="1839" spans="1:6" x14ac:dyDescent="0.25">
      <c r="A1839" s="189" t="str">
        <f t="shared" si="28"/>
        <v>BA-IS 95 RP3-6401.11E</v>
      </c>
      <c r="B1839" s="195" t="s">
        <v>1568</v>
      </c>
      <c r="C1839" s="196">
        <v>0</v>
      </c>
      <c r="D1839" s="196">
        <v>1.1100000000000001</v>
      </c>
      <c r="E1839" s="195" t="s">
        <v>598</v>
      </c>
      <c r="F1839" s="195" t="s">
        <v>19</v>
      </c>
    </row>
    <row r="1840" spans="1:6" x14ac:dyDescent="0.25">
      <c r="A1840" s="189" t="str">
        <f t="shared" si="28"/>
        <v>BA-IS 95 RP3-6700.28S</v>
      </c>
      <c r="B1840" s="195" t="s">
        <v>1569</v>
      </c>
      <c r="C1840" s="196">
        <v>0</v>
      </c>
      <c r="D1840" s="196">
        <v>0.28000000000000003</v>
      </c>
      <c r="E1840" s="195" t="s">
        <v>595</v>
      </c>
      <c r="F1840" s="195" t="s">
        <v>438</v>
      </c>
    </row>
    <row r="1841" spans="1:6" x14ac:dyDescent="0.25">
      <c r="A1841" s="189" t="str">
        <f t="shared" si="28"/>
        <v>BA-IS 95 RP4-4700.6E</v>
      </c>
      <c r="B1841" s="195" t="s">
        <v>1570</v>
      </c>
      <c r="C1841" s="196">
        <v>0</v>
      </c>
      <c r="D1841" s="196">
        <v>0.6</v>
      </c>
      <c r="E1841" s="195" t="s">
        <v>598</v>
      </c>
      <c r="F1841" s="195" t="s">
        <v>19</v>
      </c>
    </row>
    <row r="1842" spans="1:6" x14ac:dyDescent="0.25">
      <c r="A1842" s="189" t="str">
        <f t="shared" si="28"/>
        <v>BA-IS 95 RP4-4900.42E</v>
      </c>
      <c r="B1842" s="195" t="s">
        <v>1571</v>
      </c>
      <c r="C1842" s="196">
        <v>0</v>
      </c>
      <c r="D1842" s="196">
        <v>0.42</v>
      </c>
      <c r="E1842" s="195" t="s">
        <v>598</v>
      </c>
      <c r="F1842" s="195" t="s">
        <v>19</v>
      </c>
    </row>
    <row r="1843" spans="1:6" x14ac:dyDescent="0.25">
      <c r="A1843" s="189" t="str">
        <f t="shared" si="28"/>
        <v>BA-IS 95 RP4-6400.69N</v>
      </c>
      <c r="B1843" s="195" t="s">
        <v>1572</v>
      </c>
      <c r="C1843" s="196">
        <v>0</v>
      </c>
      <c r="D1843" s="196">
        <v>0.69</v>
      </c>
      <c r="E1843" s="195" t="s">
        <v>589</v>
      </c>
      <c r="F1843" s="195" t="s">
        <v>430</v>
      </c>
    </row>
    <row r="1844" spans="1:6" x14ac:dyDescent="0.25">
      <c r="A1844" s="189" t="str">
        <f t="shared" si="28"/>
        <v>BA-IS 95 RP4-640.370.44S</v>
      </c>
      <c r="B1844" s="195" t="s">
        <v>1572</v>
      </c>
      <c r="C1844" s="196">
        <v>0.37</v>
      </c>
      <c r="D1844" s="196">
        <v>0.44</v>
      </c>
      <c r="E1844" s="195" t="s">
        <v>595</v>
      </c>
      <c r="F1844" s="195" t="s">
        <v>438</v>
      </c>
    </row>
    <row r="1845" spans="1:6" x14ac:dyDescent="0.25">
      <c r="A1845" s="189" t="str">
        <f t="shared" si="28"/>
        <v>BA-IS 95 RP4-6700.46N</v>
      </c>
      <c r="B1845" s="195" t="s">
        <v>1573</v>
      </c>
      <c r="C1845" s="196">
        <v>0</v>
      </c>
      <c r="D1845" s="196">
        <v>0.46</v>
      </c>
      <c r="E1845" s="195" t="s">
        <v>589</v>
      </c>
      <c r="F1845" s="195" t="s">
        <v>430</v>
      </c>
    </row>
    <row r="1846" spans="1:6" x14ac:dyDescent="0.25">
      <c r="A1846" s="189" t="str">
        <f t="shared" si="28"/>
        <v>BA-IS 95 RP5-4700.37S</v>
      </c>
      <c r="B1846" s="195" t="s">
        <v>1574</v>
      </c>
      <c r="C1846" s="196">
        <v>0</v>
      </c>
      <c r="D1846" s="196">
        <v>0.37</v>
      </c>
      <c r="E1846" s="195" t="s">
        <v>595</v>
      </c>
      <c r="F1846" s="195" t="s">
        <v>438</v>
      </c>
    </row>
    <row r="1847" spans="1:6" x14ac:dyDescent="0.25">
      <c r="A1847" s="189" t="str">
        <f t="shared" si="28"/>
        <v>BA-IS 95 RP5-4900.32S</v>
      </c>
      <c r="B1847" s="195" t="s">
        <v>1575</v>
      </c>
      <c r="C1847" s="196">
        <v>0</v>
      </c>
      <c r="D1847" s="196">
        <v>0.32</v>
      </c>
      <c r="E1847" s="195" t="s">
        <v>595</v>
      </c>
      <c r="F1847" s="195" t="s">
        <v>438</v>
      </c>
    </row>
    <row r="1848" spans="1:6" x14ac:dyDescent="0.25">
      <c r="A1848" s="189" t="str">
        <f t="shared" si="28"/>
        <v>BA-IS 95 RP5-6401.06S</v>
      </c>
      <c r="B1848" s="195" t="s">
        <v>1576</v>
      </c>
      <c r="C1848" s="196">
        <v>0</v>
      </c>
      <c r="D1848" s="196">
        <v>1.06</v>
      </c>
      <c r="E1848" s="195" t="s">
        <v>595</v>
      </c>
      <c r="F1848" s="195" t="s">
        <v>438</v>
      </c>
    </row>
    <row r="1849" spans="1:6" x14ac:dyDescent="0.25">
      <c r="A1849" s="189" t="str">
        <f t="shared" si="28"/>
        <v>BA-IS 95 RP5-6700.3S</v>
      </c>
      <c r="B1849" s="195" t="s">
        <v>1577</v>
      </c>
      <c r="C1849" s="196">
        <v>0</v>
      </c>
      <c r="D1849" s="196">
        <v>0.3</v>
      </c>
      <c r="E1849" s="195" t="s">
        <v>595</v>
      </c>
      <c r="F1849" s="195" t="s">
        <v>438</v>
      </c>
    </row>
    <row r="1850" spans="1:6" x14ac:dyDescent="0.25">
      <c r="A1850" s="189" t="str">
        <f t="shared" si="28"/>
        <v>BA-IS 95 RP6-4700.39N</v>
      </c>
      <c r="B1850" s="195" t="s">
        <v>1578</v>
      </c>
      <c r="C1850" s="196">
        <v>0</v>
      </c>
      <c r="D1850" s="196">
        <v>0.39</v>
      </c>
      <c r="E1850" s="195" t="s">
        <v>589</v>
      </c>
      <c r="F1850" s="195" t="s">
        <v>430</v>
      </c>
    </row>
    <row r="1851" spans="1:6" x14ac:dyDescent="0.25">
      <c r="A1851" s="189" t="str">
        <f t="shared" si="28"/>
        <v>BA-IS 95 RP6-4900.44S</v>
      </c>
      <c r="B1851" s="195" t="s">
        <v>1579</v>
      </c>
      <c r="C1851" s="196">
        <v>0</v>
      </c>
      <c r="D1851" s="196">
        <v>0.44</v>
      </c>
      <c r="E1851" s="195" t="s">
        <v>595</v>
      </c>
      <c r="F1851" s="195" t="s">
        <v>438</v>
      </c>
    </row>
    <row r="1852" spans="1:6" x14ac:dyDescent="0.25">
      <c r="A1852" s="189" t="str">
        <f t="shared" si="28"/>
        <v>BA-IS 95 RP6-6400.28W</v>
      </c>
      <c r="B1852" s="195" t="s">
        <v>1580</v>
      </c>
      <c r="C1852" s="196">
        <v>0</v>
      </c>
      <c r="D1852" s="196">
        <v>0.28000000000000003</v>
      </c>
      <c r="E1852" s="195" t="s">
        <v>593</v>
      </c>
      <c r="F1852" s="195" t="s">
        <v>432</v>
      </c>
    </row>
    <row r="1853" spans="1:6" x14ac:dyDescent="0.25">
      <c r="A1853" s="189" t="str">
        <f t="shared" si="28"/>
        <v>BA-IS 95 RP6-6401.31E</v>
      </c>
      <c r="B1853" s="195" t="s">
        <v>1580</v>
      </c>
      <c r="C1853" s="196">
        <v>0</v>
      </c>
      <c r="D1853" s="196">
        <v>1.31</v>
      </c>
      <c r="E1853" s="195" t="s">
        <v>598</v>
      </c>
      <c r="F1853" s="195" t="s">
        <v>19</v>
      </c>
    </row>
    <row r="1854" spans="1:6" x14ac:dyDescent="0.25">
      <c r="A1854" s="189" t="str">
        <f t="shared" si="28"/>
        <v>BA-IS 95 RP6-6700.36S</v>
      </c>
      <c r="B1854" s="195" t="s">
        <v>1581</v>
      </c>
      <c r="C1854" s="196">
        <v>0</v>
      </c>
      <c r="D1854" s="196">
        <v>0.36</v>
      </c>
      <c r="E1854" s="195" t="s">
        <v>595</v>
      </c>
      <c r="F1854" s="195" t="s">
        <v>438</v>
      </c>
    </row>
    <row r="1855" spans="1:6" x14ac:dyDescent="0.25">
      <c r="A1855" s="189" t="str">
        <f t="shared" si="28"/>
        <v>BA-IS 95 RP7-4700.03W</v>
      </c>
      <c r="B1855" s="195" t="s">
        <v>1582</v>
      </c>
      <c r="C1855" s="196">
        <v>0</v>
      </c>
      <c r="D1855" s="196">
        <v>0.03</v>
      </c>
      <c r="E1855" s="195" t="s">
        <v>593</v>
      </c>
      <c r="F1855" s="195" t="s">
        <v>432</v>
      </c>
    </row>
    <row r="1856" spans="1:6" x14ac:dyDescent="0.25">
      <c r="A1856" s="189" t="str">
        <f t="shared" si="28"/>
        <v>BA-IS 95 RP7-470.030.34W</v>
      </c>
      <c r="B1856" s="195" t="s">
        <v>1582</v>
      </c>
      <c r="C1856" s="196">
        <v>0.03</v>
      </c>
      <c r="D1856" s="196">
        <v>0.34</v>
      </c>
      <c r="E1856" s="195" t="s">
        <v>593</v>
      </c>
      <c r="F1856" s="195" t="s">
        <v>432</v>
      </c>
    </row>
    <row r="1857" spans="1:6" x14ac:dyDescent="0.25">
      <c r="A1857" s="189" t="str">
        <f t="shared" si="28"/>
        <v>BA-IS 95 RP7-4900.33N</v>
      </c>
      <c r="B1857" s="195" t="s">
        <v>1583</v>
      </c>
      <c r="C1857" s="196">
        <v>0</v>
      </c>
      <c r="D1857" s="196">
        <v>0.33</v>
      </c>
      <c r="E1857" s="195" t="s">
        <v>589</v>
      </c>
      <c r="F1857" s="195" t="s">
        <v>430</v>
      </c>
    </row>
    <row r="1858" spans="1:6" x14ac:dyDescent="0.25">
      <c r="A1858" s="189" t="str">
        <f t="shared" si="28"/>
        <v>BA-IS 95 RP7-6400.71W</v>
      </c>
      <c r="B1858" s="195" t="s">
        <v>1584</v>
      </c>
      <c r="C1858" s="196">
        <v>0</v>
      </c>
      <c r="D1858" s="196">
        <v>0.71</v>
      </c>
      <c r="E1858" s="195" t="s">
        <v>593</v>
      </c>
      <c r="F1858" s="195" t="s">
        <v>432</v>
      </c>
    </row>
    <row r="1859" spans="1:6" x14ac:dyDescent="0.25">
      <c r="A1859" s="189" t="str">
        <f t="shared" ref="A1859:A1922" si="29">B1859&amp;C1859&amp;D1859&amp;F1859</f>
        <v>BA-IS 95 RP7-6700.28N</v>
      </c>
      <c r="B1859" s="195" t="s">
        <v>1585</v>
      </c>
      <c r="C1859" s="196">
        <v>0</v>
      </c>
      <c r="D1859" s="196">
        <v>0.28000000000000003</v>
      </c>
      <c r="E1859" s="195" t="s">
        <v>589</v>
      </c>
      <c r="F1859" s="195" t="s">
        <v>430</v>
      </c>
    </row>
    <row r="1860" spans="1:6" x14ac:dyDescent="0.25">
      <c r="A1860" s="189" t="str">
        <f t="shared" si="29"/>
        <v>BA-IS 95 RP8-4700.5W</v>
      </c>
      <c r="B1860" s="195" t="s">
        <v>1586</v>
      </c>
      <c r="C1860" s="196">
        <v>0</v>
      </c>
      <c r="D1860" s="196">
        <v>0.5</v>
      </c>
      <c r="E1860" s="195" t="s">
        <v>593</v>
      </c>
      <c r="F1860" s="195" t="s">
        <v>432</v>
      </c>
    </row>
    <row r="1861" spans="1:6" x14ac:dyDescent="0.25">
      <c r="A1861" s="189" t="str">
        <f t="shared" si="29"/>
        <v>BA-IS 95 RP8-4900.56W</v>
      </c>
      <c r="B1861" s="195" t="s">
        <v>1587</v>
      </c>
      <c r="C1861" s="196">
        <v>0</v>
      </c>
      <c r="D1861" s="196">
        <v>0.56000000000000005</v>
      </c>
      <c r="E1861" s="195" t="s">
        <v>593</v>
      </c>
      <c r="F1861" s="195" t="s">
        <v>432</v>
      </c>
    </row>
    <row r="1862" spans="1:6" x14ac:dyDescent="0.25">
      <c r="A1862" s="189" t="str">
        <f t="shared" si="29"/>
        <v>BA-IS 95 RP8-490.310.37E</v>
      </c>
      <c r="B1862" s="195" t="s">
        <v>1587</v>
      </c>
      <c r="C1862" s="196">
        <v>0.31</v>
      </c>
      <c r="D1862" s="196">
        <v>0.37</v>
      </c>
      <c r="E1862" s="195" t="s">
        <v>598</v>
      </c>
      <c r="F1862" s="195" t="s">
        <v>19</v>
      </c>
    </row>
    <row r="1863" spans="1:6" x14ac:dyDescent="0.25">
      <c r="A1863" s="189" t="str">
        <f t="shared" si="29"/>
        <v>BA-IS 95 RP8-6401.11S</v>
      </c>
      <c r="B1863" s="195" t="s">
        <v>1588</v>
      </c>
      <c r="C1863" s="196">
        <v>0</v>
      </c>
      <c r="D1863" s="196">
        <v>1.1100000000000001</v>
      </c>
      <c r="E1863" s="195" t="s">
        <v>595</v>
      </c>
      <c r="F1863" s="195" t="s">
        <v>438</v>
      </c>
    </row>
    <row r="1864" spans="1:6" x14ac:dyDescent="0.25">
      <c r="A1864" s="189" t="str">
        <f t="shared" si="29"/>
        <v>BA-IS 95 RP8-640.150.44N</v>
      </c>
      <c r="B1864" s="195" t="s">
        <v>1588</v>
      </c>
      <c r="C1864" s="196">
        <v>0.15</v>
      </c>
      <c r="D1864" s="196">
        <v>0.44</v>
      </c>
      <c r="E1864" s="195" t="s">
        <v>589</v>
      </c>
      <c r="F1864" s="195" t="s">
        <v>430</v>
      </c>
    </row>
    <row r="1865" spans="1:6" x14ac:dyDescent="0.25">
      <c r="A1865" s="189" t="str">
        <f t="shared" si="29"/>
        <v>BA-IS 95 RP8-6700.5S</v>
      </c>
      <c r="B1865" s="195" t="s">
        <v>1589</v>
      </c>
      <c r="C1865" s="196">
        <v>0</v>
      </c>
      <c r="D1865" s="196">
        <v>0.5</v>
      </c>
      <c r="E1865" s="195" t="s">
        <v>595</v>
      </c>
      <c r="F1865" s="195" t="s">
        <v>438</v>
      </c>
    </row>
    <row r="1866" spans="1:6" x14ac:dyDescent="0.25">
      <c r="A1866" s="189" t="str">
        <f t="shared" si="29"/>
        <v>BA-IS 95 RP9-4900.16S</v>
      </c>
      <c r="B1866" s="195" t="s">
        <v>1590</v>
      </c>
      <c r="C1866" s="196">
        <v>0</v>
      </c>
      <c r="D1866" s="196">
        <v>0.16</v>
      </c>
      <c r="E1866" s="195" t="s">
        <v>595</v>
      </c>
      <c r="F1866" s="195" t="s">
        <v>438</v>
      </c>
    </row>
    <row r="1867" spans="1:6" x14ac:dyDescent="0.25">
      <c r="A1867" s="189" t="str">
        <f t="shared" si="29"/>
        <v>BA-MD 12500.2E</v>
      </c>
      <c r="B1867" s="195" t="s">
        <v>1591</v>
      </c>
      <c r="C1867" s="196">
        <v>0</v>
      </c>
      <c r="D1867" s="196">
        <v>0.2</v>
      </c>
      <c r="E1867" s="195" t="s">
        <v>583</v>
      </c>
      <c r="F1867" s="195" t="s">
        <v>19</v>
      </c>
    </row>
    <row r="1868" spans="1:6" x14ac:dyDescent="0.25">
      <c r="A1868" s="189" t="str">
        <f t="shared" si="29"/>
        <v>BA-MD 12500.2W</v>
      </c>
      <c r="B1868" s="195" t="s">
        <v>1591</v>
      </c>
      <c r="C1868" s="196">
        <v>0</v>
      </c>
      <c r="D1868" s="196">
        <v>0.2</v>
      </c>
      <c r="E1868" s="195" t="s">
        <v>583</v>
      </c>
      <c r="F1868" s="195" t="s">
        <v>432</v>
      </c>
    </row>
    <row r="1869" spans="1:6" x14ac:dyDescent="0.25">
      <c r="A1869" s="189" t="str">
        <f t="shared" si="29"/>
        <v>BA-MD 1250.20.4E</v>
      </c>
      <c r="B1869" s="195" t="s">
        <v>1591</v>
      </c>
      <c r="C1869" s="196">
        <v>0.2</v>
      </c>
      <c r="D1869" s="196">
        <v>0.4</v>
      </c>
      <c r="E1869" s="195" t="s">
        <v>583</v>
      </c>
      <c r="F1869" s="195" t="s">
        <v>19</v>
      </c>
    </row>
    <row r="1870" spans="1:6" x14ac:dyDescent="0.25">
      <c r="A1870" s="189" t="str">
        <f t="shared" si="29"/>
        <v>BA-MD 1250.20.4W</v>
      </c>
      <c r="B1870" s="195" t="s">
        <v>1591</v>
      </c>
      <c r="C1870" s="196">
        <v>0.2</v>
      </c>
      <c r="D1870" s="196">
        <v>0.4</v>
      </c>
      <c r="E1870" s="195" t="s">
        <v>583</v>
      </c>
      <c r="F1870" s="195" t="s">
        <v>432</v>
      </c>
    </row>
    <row r="1871" spans="1:6" x14ac:dyDescent="0.25">
      <c r="A1871" s="189" t="str">
        <f t="shared" si="29"/>
        <v>BA-MD 1250.41.55E</v>
      </c>
      <c r="B1871" s="195" t="s">
        <v>1591</v>
      </c>
      <c r="C1871" s="196">
        <v>0.4</v>
      </c>
      <c r="D1871" s="196">
        <v>1.55</v>
      </c>
      <c r="E1871" s="195" t="s">
        <v>583</v>
      </c>
      <c r="F1871" s="195" t="s">
        <v>19</v>
      </c>
    </row>
    <row r="1872" spans="1:6" x14ac:dyDescent="0.25">
      <c r="A1872" s="189" t="str">
        <f t="shared" si="29"/>
        <v>BA-MD 1250.41.55W</v>
      </c>
      <c r="B1872" s="195" t="s">
        <v>1591</v>
      </c>
      <c r="C1872" s="196">
        <v>0.4</v>
      </c>
      <c r="D1872" s="196">
        <v>1.55</v>
      </c>
      <c r="E1872" s="195" t="s">
        <v>583</v>
      </c>
      <c r="F1872" s="195" t="s">
        <v>432</v>
      </c>
    </row>
    <row r="1873" spans="1:6" x14ac:dyDescent="0.25">
      <c r="A1873" s="189" t="str">
        <f t="shared" si="29"/>
        <v>BA-MD 1251.553.5E</v>
      </c>
      <c r="B1873" s="195" t="s">
        <v>1591</v>
      </c>
      <c r="C1873" s="196">
        <v>1.55</v>
      </c>
      <c r="D1873" s="196">
        <v>3.5</v>
      </c>
      <c r="E1873" s="195" t="s">
        <v>583</v>
      </c>
      <c r="F1873" s="195" t="s">
        <v>19</v>
      </c>
    </row>
    <row r="1874" spans="1:6" x14ac:dyDescent="0.25">
      <c r="A1874" s="189" t="str">
        <f t="shared" si="29"/>
        <v>BA-MD 1251.553.5W</v>
      </c>
      <c r="B1874" s="195" t="s">
        <v>1591</v>
      </c>
      <c r="C1874" s="196">
        <v>1.55</v>
      </c>
      <c r="D1874" s="196">
        <v>3.5</v>
      </c>
      <c r="E1874" s="195" t="s">
        <v>583</v>
      </c>
      <c r="F1874" s="195" t="s">
        <v>432</v>
      </c>
    </row>
    <row r="1875" spans="1:6" x14ac:dyDescent="0.25">
      <c r="A1875" s="189" t="str">
        <f t="shared" si="29"/>
        <v>BA-MD 12800.88E</v>
      </c>
      <c r="B1875" s="195" t="s">
        <v>1592</v>
      </c>
      <c r="C1875" s="196">
        <v>0</v>
      </c>
      <c r="D1875" s="196">
        <v>0.88</v>
      </c>
      <c r="E1875" s="195" t="s">
        <v>583</v>
      </c>
      <c r="F1875" s="195" t="s">
        <v>19</v>
      </c>
    </row>
    <row r="1876" spans="1:6" x14ac:dyDescent="0.25">
      <c r="A1876" s="189" t="str">
        <f t="shared" si="29"/>
        <v>BA-MD 12800.88W</v>
      </c>
      <c r="B1876" s="195" t="s">
        <v>1592</v>
      </c>
      <c r="C1876" s="196">
        <v>0</v>
      </c>
      <c r="D1876" s="196">
        <v>0.88</v>
      </c>
      <c r="E1876" s="195" t="s">
        <v>583</v>
      </c>
      <c r="F1876" s="195" t="s">
        <v>432</v>
      </c>
    </row>
    <row r="1877" spans="1:6" x14ac:dyDescent="0.25">
      <c r="A1877" s="189" t="str">
        <f t="shared" si="29"/>
        <v>BA-MD 1280.881.27E</v>
      </c>
      <c r="B1877" s="195" t="s">
        <v>1592</v>
      </c>
      <c r="C1877" s="196">
        <v>0.88</v>
      </c>
      <c r="D1877" s="196">
        <v>1.27</v>
      </c>
      <c r="E1877" s="195" t="s">
        <v>583</v>
      </c>
      <c r="F1877" s="195" t="s">
        <v>19</v>
      </c>
    </row>
    <row r="1878" spans="1:6" x14ac:dyDescent="0.25">
      <c r="A1878" s="189" t="str">
        <f t="shared" si="29"/>
        <v>BA-MD 1280.881.27W</v>
      </c>
      <c r="B1878" s="195" t="s">
        <v>1592</v>
      </c>
      <c r="C1878" s="196">
        <v>0.88</v>
      </c>
      <c r="D1878" s="196">
        <v>1.27</v>
      </c>
      <c r="E1878" s="195" t="s">
        <v>583</v>
      </c>
      <c r="F1878" s="195" t="s">
        <v>432</v>
      </c>
    </row>
    <row r="1879" spans="1:6" x14ac:dyDescent="0.25">
      <c r="A1879" s="189" t="str">
        <f t="shared" si="29"/>
        <v>BA-MD 1281.272.14E</v>
      </c>
      <c r="B1879" s="195" t="s">
        <v>1592</v>
      </c>
      <c r="C1879" s="196">
        <v>1.27</v>
      </c>
      <c r="D1879" s="196">
        <v>2.14</v>
      </c>
      <c r="E1879" s="195" t="s">
        <v>583</v>
      </c>
      <c r="F1879" s="195" t="s">
        <v>19</v>
      </c>
    </row>
    <row r="1880" spans="1:6" x14ac:dyDescent="0.25">
      <c r="A1880" s="189" t="str">
        <f t="shared" si="29"/>
        <v>BA-MD 1281.272.14W</v>
      </c>
      <c r="B1880" s="195" t="s">
        <v>1592</v>
      </c>
      <c r="C1880" s="196">
        <v>1.27</v>
      </c>
      <c r="D1880" s="196">
        <v>2.14</v>
      </c>
      <c r="E1880" s="195" t="s">
        <v>583</v>
      </c>
      <c r="F1880" s="195" t="s">
        <v>432</v>
      </c>
    </row>
    <row r="1881" spans="1:6" x14ac:dyDescent="0.25">
      <c r="A1881" s="189" t="str">
        <f t="shared" si="29"/>
        <v>BA-MD 1282.144.7E</v>
      </c>
      <c r="B1881" s="195" t="s">
        <v>1592</v>
      </c>
      <c r="C1881" s="196">
        <v>2.14</v>
      </c>
      <c r="D1881" s="196">
        <v>4.7</v>
      </c>
      <c r="E1881" s="195" t="s">
        <v>583</v>
      </c>
      <c r="F1881" s="195" t="s">
        <v>19</v>
      </c>
    </row>
    <row r="1882" spans="1:6" x14ac:dyDescent="0.25">
      <c r="A1882" s="189" t="str">
        <f t="shared" si="29"/>
        <v>BA-MD 1282.144.7W</v>
      </c>
      <c r="B1882" s="195" t="s">
        <v>1592</v>
      </c>
      <c r="C1882" s="196">
        <v>2.14</v>
      </c>
      <c r="D1882" s="196">
        <v>4.7</v>
      </c>
      <c r="E1882" s="195" t="s">
        <v>583</v>
      </c>
      <c r="F1882" s="195" t="s">
        <v>432</v>
      </c>
    </row>
    <row r="1883" spans="1:6" x14ac:dyDescent="0.25">
      <c r="A1883" s="189" t="str">
        <f t="shared" si="29"/>
        <v>BA-MD 1284.77.62E</v>
      </c>
      <c r="B1883" s="195" t="s">
        <v>1592</v>
      </c>
      <c r="C1883" s="196">
        <v>4.7</v>
      </c>
      <c r="D1883" s="196">
        <v>7.62</v>
      </c>
      <c r="E1883" s="195" t="s">
        <v>583</v>
      </c>
      <c r="F1883" s="195" t="s">
        <v>19</v>
      </c>
    </row>
    <row r="1884" spans="1:6" x14ac:dyDescent="0.25">
      <c r="A1884" s="189" t="str">
        <f t="shared" si="29"/>
        <v>BA-MD 1284.77.62W</v>
      </c>
      <c r="B1884" s="195" t="s">
        <v>1592</v>
      </c>
      <c r="C1884" s="196">
        <v>4.7</v>
      </c>
      <c r="D1884" s="196">
        <v>7.62</v>
      </c>
      <c r="E1884" s="195" t="s">
        <v>583</v>
      </c>
      <c r="F1884" s="195" t="s">
        <v>432</v>
      </c>
    </row>
    <row r="1885" spans="1:6" x14ac:dyDescent="0.25">
      <c r="A1885" s="189" t="str">
        <f t="shared" si="29"/>
        <v>BA-MD 12900.02N</v>
      </c>
      <c r="B1885" s="195" t="s">
        <v>503</v>
      </c>
      <c r="C1885" s="196">
        <v>0</v>
      </c>
      <c r="D1885" s="196">
        <v>0.02</v>
      </c>
      <c r="E1885" s="195" t="s">
        <v>589</v>
      </c>
      <c r="F1885" s="195" t="s">
        <v>430</v>
      </c>
    </row>
    <row r="1886" spans="1:6" x14ac:dyDescent="0.25">
      <c r="A1886" s="189" t="str">
        <f t="shared" si="29"/>
        <v>BA-MD 12900.9S</v>
      </c>
      <c r="B1886" s="195" t="s">
        <v>503</v>
      </c>
      <c r="C1886" s="196">
        <v>0</v>
      </c>
      <c r="D1886" s="196">
        <v>0.9</v>
      </c>
      <c r="E1886" s="195" t="s">
        <v>595</v>
      </c>
      <c r="F1886" s="195" t="s">
        <v>438</v>
      </c>
    </row>
    <row r="1887" spans="1:6" x14ac:dyDescent="0.25">
      <c r="A1887" s="189" t="str">
        <f t="shared" si="29"/>
        <v>BA-MD 1290.020.9N</v>
      </c>
      <c r="B1887" s="195" t="s">
        <v>503</v>
      </c>
      <c r="C1887" s="196">
        <v>0.02</v>
      </c>
      <c r="D1887" s="196">
        <v>0.9</v>
      </c>
      <c r="E1887" s="195" t="s">
        <v>589</v>
      </c>
      <c r="F1887" s="195" t="s">
        <v>430</v>
      </c>
    </row>
    <row r="1888" spans="1:6" x14ac:dyDescent="0.25">
      <c r="A1888" s="189" t="str">
        <f t="shared" si="29"/>
        <v>BA-MD 1291.62.6N</v>
      </c>
      <c r="B1888" s="195" t="s">
        <v>503</v>
      </c>
      <c r="C1888" s="196">
        <v>1.6</v>
      </c>
      <c r="D1888" s="196">
        <v>2.6</v>
      </c>
      <c r="E1888" s="195" t="s">
        <v>589</v>
      </c>
      <c r="F1888" s="195" t="s">
        <v>430</v>
      </c>
    </row>
    <row r="1889" spans="1:6" x14ac:dyDescent="0.25">
      <c r="A1889" s="189" t="str">
        <f t="shared" si="29"/>
        <v>BA-MD 1291.632.6S</v>
      </c>
      <c r="B1889" s="195" t="s">
        <v>503</v>
      </c>
      <c r="C1889" s="196">
        <v>1.63</v>
      </c>
      <c r="D1889" s="196">
        <v>2.6</v>
      </c>
      <c r="E1889" s="195" t="s">
        <v>595</v>
      </c>
      <c r="F1889" s="195" t="s">
        <v>438</v>
      </c>
    </row>
    <row r="1890" spans="1:6" x14ac:dyDescent="0.25">
      <c r="A1890" s="189" t="str">
        <f t="shared" si="29"/>
        <v>BA-MD 1292.62.98N</v>
      </c>
      <c r="B1890" s="195" t="s">
        <v>503</v>
      </c>
      <c r="C1890" s="196">
        <v>2.6</v>
      </c>
      <c r="D1890" s="196">
        <v>2.98</v>
      </c>
      <c r="E1890" s="195" t="s">
        <v>583</v>
      </c>
      <c r="F1890" s="195" t="s">
        <v>430</v>
      </c>
    </row>
    <row r="1891" spans="1:6" x14ac:dyDescent="0.25">
      <c r="A1891" s="189" t="str">
        <f t="shared" si="29"/>
        <v>BA-MD 1292.62.98S</v>
      </c>
      <c r="B1891" s="195" t="s">
        <v>503</v>
      </c>
      <c r="C1891" s="196">
        <v>2.6</v>
      </c>
      <c r="D1891" s="196">
        <v>2.98</v>
      </c>
      <c r="E1891" s="195" t="s">
        <v>583</v>
      </c>
      <c r="F1891" s="195" t="s">
        <v>438</v>
      </c>
    </row>
    <row r="1892" spans="1:6" x14ac:dyDescent="0.25">
      <c r="A1892" s="189" t="str">
        <f t="shared" si="29"/>
        <v>BA-MD 12933.7N</v>
      </c>
      <c r="B1892" s="195" t="s">
        <v>503</v>
      </c>
      <c r="C1892" s="196">
        <v>3</v>
      </c>
      <c r="D1892" s="196">
        <v>3.7</v>
      </c>
      <c r="E1892" s="195" t="s">
        <v>583</v>
      </c>
      <c r="F1892" s="195" t="s">
        <v>430</v>
      </c>
    </row>
    <row r="1893" spans="1:6" x14ac:dyDescent="0.25">
      <c r="A1893" s="189" t="str">
        <f t="shared" si="29"/>
        <v>BA-MD 12933.7S</v>
      </c>
      <c r="B1893" s="195" t="s">
        <v>503</v>
      </c>
      <c r="C1893" s="196">
        <v>3</v>
      </c>
      <c r="D1893" s="196">
        <v>3.7</v>
      </c>
      <c r="E1893" s="195" t="s">
        <v>583</v>
      </c>
      <c r="F1893" s="195" t="s">
        <v>438</v>
      </c>
    </row>
    <row r="1894" spans="1:6" x14ac:dyDescent="0.25">
      <c r="A1894" s="189" t="str">
        <f t="shared" si="29"/>
        <v>BA-MD 1293.77N</v>
      </c>
      <c r="B1894" s="195" t="s">
        <v>503</v>
      </c>
      <c r="C1894" s="196">
        <v>3.7</v>
      </c>
      <c r="D1894" s="196">
        <v>7</v>
      </c>
      <c r="E1894" s="195" t="s">
        <v>583</v>
      </c>
      <c r="F1894" s="195" t="s">
        <v>430</v>
      </c>
    </row>
    <row r="1895" spans="1:6" x14ac:dyDescent="0.25">
      <c r="A1895" s="189" t="str">
        <f t="shared" si="29"/>
        <v>BA-MD 1293.77S</v>
      </c>
      <c r="B1895" s="195" t="s">
        <v>503</v>
      </c>
      <c r="C1895" s="196">
        <v>3.7</v>
      </c>
      <c r="D1895" s="196">
        <v>7</v>
      </c>
      <c r="E1895" s="195" t="s">
        <v>583</v>
      </c>
      <c r="F1895" s="195" t="s">
        <v>438</v>
      </c>
    </row>
    <row r="1896" spans="1:6" x14ac:dyDescent="0.25">
      <c r="A1896" s="189" t="str">
        <f t="shared" si="29"/>
        <v>BA-MD 12977.99N</v>
      </c>
      <c r="B1896" s="195" t="s">
        <v>503</v>
      </c>
      <c r="C1896" s="196">
        <v>7</v>
      </c>
      <c r="D1896" s="196">
        <v>7.99</v>
      </c>
      <c r="E1896" s="195" t="s">
        <v>583</v>
      </c>
      <c r="F1896" s="195" t="s">
        <v>430</v>
      </c>
    </row>
    <row r="1897" spans="1:6" x14ac:dyDescent="0.25">
      <c r="A1897" s="189" t="str">
        <f t="shared" si="29"/>
        <v>BA-MD 12977.99S</v>
      </c>
      <c r="B1897" s="195" t="s">
        <v>503</v>
      </c>
      <c r="C1897" s="196">
        <v>7</v>
      </c>
      <c r="D1897" s="196">
        <v>7.99</v>
      </c>
      <c r="E1897" s="195" t="s">
        <v>583</v>
      </c>
      <c r="F1897" s="195" t="s">
        <v>438</v>
      </c>
    </row>
    <row r="1898" spans="1:6" x14ac:dyDescent="0.25">
      <c r="A1898" s="189" t="str">
        <f t="shared" si="29"/>
        <v>BA-MD 129A00.48E</v>
      </c>
      <c r="B1898" s="195" t="s">
        <v>1593</v>
      </c>
      <c r="C1898" s="196">
        <v>0</v>
      </c>
      <c r="D1898" s="196">
        <v>0.48</v>
      </c>
      <c r="E1898" s="195" t="s">
        <v>583</v>
      </c>
      <c r="F1898" s="195" t="s">
        <v>19</v>
      </c>
    </row>
    <row r="1899" spans="1:6" x14ac:dyDescent="0.25">
      <c r="A1899" s="189" t="str">
        <f t="shared" si="29"/>
        <v>BA-MD 129A00.48W</v>
      </c>
      <c r="B1899" s="195" t="s">
        <v>1593</v>
      </c>
      <c r="C1899" s="196">
        <v>0</v>
      </c>
      <c r="D1899" s="196">
        <v>0.48</v>
      </c>
      <c r="E1899" s="195" t="s">
        <v>583</v>
      </c>
      <c r="F1899" s="195" t="s">
        <v>432</v>
      </c>
    </row>
    <row r="1900" spans="1:6" x14ac:dyDescent="0.25">
      <c r="A1900" s="189" t="str">
        <f t="shared" si="29"/>
        <v>BA-MD 13005.57E</v>
      </c>
      <c r="B1900" s="195" t="s">
        <v>1594</v>
      </c>
      <c r="C1900" s="196">
        <v>0</v>
      </c>
      <c r="D1900" s="196">
        <v>5.57</v>
      </c>
      <c r="E1900" s="195" t="s">
        <v>583</v>
      </c>
      <c r="F1900" s="195" t="s">
        <v>19</v>
      </c>
    </row>
    <row r="1901" spans="1:6" x14ac:dyDescent="0.25">
      <c r="A1901" s="189" t="str">
        <f t="shared" si="29"/>
        <v>BA-MD 13005.57W</v>
      </c>
      <c r="B1901" s="195" t="s">
        <v>1594</v>
      </c>
      <c r="C1901" s="196">
        <v>0</v>
      </c>
      <c r="D1901" s="196">
        <v>5.57</v>
      </c>
      <c r="E1901" s="195" t="s">
        <v>583</v>
      </c>
      <c r="F1901" s="195" t="s">
        <v>432</v>
      </c>
    </row>
    <row r="1902" spans="1:6" x14ac:dyDescent="0.25">
      <c r="A1902" s="189" t="str">
        <f t="shared" si="29"/>
        <v>BA-MD 13100.2E</v>
      </c>
      <c r="B1902" s="195" t="s">
        <v>1595</v>
      </c>
      <c r="C1902" s="196">
        <v>0</v>
      </c>
      <c r="D1902" s="196">
        <v>0.2</v>
      </c>
      <c r="E1902" s="195" t="s">
        <v>583</v>
      </c>
      <c r="F1902" s="195" t="s">
        <v>19</v>
      </c>
    </row>
    <row r="1903" spans="1:6" x14ac:dyDescent="0.25">
      <c r="A1903" s="189" t="str">
        <f t="shared" si="29"/>
        <v>BA-MD 13100.2W</v>
      </c>
      <c r="B1903" s="195" t="s">
        <v>1595</v>
      </c>
      <c r="C1903" s="196">
        <v>0</v>
      </c>
      <c r="D1903" s="196">
        <v>0.2</v>
      </c>
      <c r="E1903" s="195" t="s">
        <v>583</v>
      </c>
      <c r="F1903" s="195" t="s">
        <v>432</v>
      </c>
    </row>
    <row r="1904" spans="1:6" x14ac:dyDescent="0.25">
      <c r="A1904" s="189" t="str">
        <f t="shared" si="29"/>
        <v>BA-MD 1310.20.45E</v>
      </c>
      <c r="B1904" s="195" t="s">
        <v>1595</v>
      </c>
      <c r="C1904" s="196">
        <v>0.2</v>
      </c>
      <c r="D1904" s="196">
        <v>0.45</v>
      </c>
      <c r="E1904" s="195" t="s">
        <v>583</v>
      </c>
      <c r="F1904" s="195" t="s">
        <v>19</v>
      </c>
    </row>
    <row r="1905" spans="1:6" x14ac:dyDescent="0.25">
      <c r="A1905" s="189" t="str">
        <f t="shared" si="29"/>
        <v>BA-MD 1310.20.45W</v>
      </c>
      <c r="B1905" s="195" t="s">
        <v>1595</v>
      </c>
      <c r="C1905" s="196">
        <v>0.2</v>
      </c>
      <c r="D1905" s="196">
        <v>0.45</v>
      </c>
      <c r="E1905" s="195" t="s">
        <v>583</v>
      </c>
      <c r="F1905" s="195" t="s">
        <v>432</v>
      </c>
    </row>
    <row r="1906" spans="1:6" x14ac:dyDescent="0.25">
      <c r="A1906" s="189" t="str">
        <f t="shared" si="29"/>
        <v>BA-MD 1310.451.28E</v>
      </c>
      <c r="B1906" s="195" t="s">
        <v>1595</v>
      </c>
      <c r="C1906" s="196">
        <v>0.45</v>
      </c>
      <c r="D1906" s="196">
        <v>1.28</v>
      </c>
      <c r="E1906" s="195" t="s">
        <v>583</v>
      </c>
      <c r="F1906" s="195" t="s">
        <v>19</v>
      </c>
    </row>
    <row r="1907" spans="1:6" x14ac:dyDescent="0.25">
      <c r="A1907" s="189" t="str">
        <f t="shared" si="29"/>
        <v>BA-MD 1310.451.28W</v>
      </c>
      <c r="B1907" s="195" t="s">
        <v>1595</v>
      </c>
      <c r="C1907" s="196">
        <v>0.45</v>
      </c>
      <c r="D1907" s="196">
        <v>1.28</v>
      </c>
      <c r="E1907" s="195" t="s">
        <v>583</v>
      </c>
      <c r="F1907" s="195" t="s">
        <v>432</v>
      </c>
    </row>
    <row r="1908" spans="1:6" x14ac:dyDescent="0.25">
      <c r="A1908" s="189" t="str">
        <f t="shared" si="29"/>
        <v>BA-MD 1311.281.7E</v>
      </c>
      <c r="B1908" s="195" t="s">
        <v>1595</v>
      </c>
      <c r="C1908" s="196">
        <v>1.28</v>
      </c>
      <c r="D1908" s="196">
        <v>1.7</v>
      </c>
      <c r="E1908" s="195" t="s">
        <v>583</v>
      </c>
      <c r="F1908" s="195" t="s">
        <v>19</v>
      </c>
    </row>
    <row r="1909" spans="1:6" x14ac:dyDescent="0.25">
      <c r="A1909" s="189" t="str">
        <f t="shared" si="29"/>
        <v>BA-MD 1311.281.7W</v>
      </c>
      <c r="B1909" s="195" t="s">
        <v>1595</v>
      </c>
      <c r="C1909" s="196">
        <v>1.28</v>
      </c>
      <c r="D1909" s="196">
        <v>1.7</v>
      </c>
      <c r="E1909" s="195" t="s">
        <v>583</v>
      </c>
      <c r="F1909" s="195" t="s">
        <v>432</v>
      </c>
    </row>
    <row r="1910" spans="1:6" x14ac:dyDescent="0.25">
      <c r="A1910" s="189" t="str">
        <f t="shared" si="29"/>
        <v>BA-MD 1311.72.09E</v>
      </c>
      <c r="B1910" s="195" t="s">
        <v>1595</v>
      </c>
      <c r="C1910" s="196">
        <v>1.7</v>
      </c>
      <c r="D1910" s="196">
        <v>2.09</v>
      </c>
      <c r="E1910" s="195" t="s">
        <v>583</v>
      </c>
      <c r="F1910" s="195" t="s">
        <v>19</v>
      </c>
    </row>
    <row r="1911" spans="1:6" x14ac:dyDescent="0.25">
      <c r="A1911" s="189" t="str">
        <f t="shared" si="29"/>
        <v>BA-MD 1311.72.09W</v>
      </c>
      <c r="B1911" s="195" t="s">
        <v>1595</v>
      </c>
      <c r="C1911" s="196">
        <v>1.7</v>
      </c>
      <c r="D1911" s="196">
        <v>2.09</v>
      </c>
      <c r="E1911" s="195" t="s">
        <v>583</v>
      </c>
      <c r="F1911" s="195" t="s">
        <v>432</v>
      </c>
    </row>
    <row r="1912" spans="1:6" x14ac:dyDescent="0.25">
      <c r="A1912" s="189" t="str">
        <f t="shared" si="29"/>
        <v>BA-MD 1312.093.06E</v>
      </c>
      <c r="B1912" s="195" t="s">
        <v>1595</v>
      </c>
      <c r="C1912" s="196">
        <v>2.09</v>
      </c>
      <c r="D1912" s="196">
        <v>3.06</v>
      </c>
      <c r="E1912" s="195" t="s">
        <v>583</v>
      </c>
      <c r="F1912" s="195" t="s">
        <v>19</v>
      </c>
    </row>
    <row r="1913" spans="1:6" x14ac:dyDescent="0.25">
      <c r="A1913" s="189" t="str">
        <f t="shared" si="29"/>
        <v>BA-MD 1312.093.06W</v>
      </c>
      <c r="B1913" s="195" t="s">
        <v>1595</v>
      </c>
      <c r="C1913" s="196">
        <v>2.09</v>
      </c>
      <c r="D1913" s="196">
        <v>3.06</v>
      </c>
      <c r="E1913" s="195" t="s">
        <v>583</v>
      </c>
      <c r="F1913" s="195" t="s">
        <v>432</v>
      </c>
    </row>
    <row r="1914" spans="1:6" x14ac:dyDescent="0.25">
      <c r="A1914" s="189" t="str">
        <f t="shared" si="29"/>
        <v>BA-MD 13301.98E</v>
      </c>
      <c r="B1914" s="195" t="s">
        <v>1596</v>
      </c>
      <c r="C1914" s="196">
        <v>0</v>
      </c>
      <c r="D1914" s="196">
        <v>1.98</v>
      </c>
      <c r="E1914" s="195" t="s">
        <v>583</v>
      </c>
      <c r="F1914" s="195" t="s">
        <v>19</v>
      </c>
    </row>
    <row r="1915" spans="1:6" x14ac:dyDescent="0.25">
      <c r="A1915" s="189" t="str">
        <f t="shared" si="29"/>
        <v>BA-MD 13301.98W</v>
      </c>
      <c r="B1915" s="195" t="s">
        <v>1596</v>
      </c>
      <c r="C1915" s="196">
        <v>0</v>
      </c>
      <c r="D1915" s="196">
        <v>1.98</v>
      </c>
      <c r="E1915" s="195" t="s">
        <v>583</v>
      </c>
      <c r="F1915" s="195" t="s">
        <v>432</v>
      </c>
    </row>
    <row r="1916" spans="1:6" x14ac:dyDescent="0.25">
      <c r="A1916" s="189" t="str">
        <f t="shared" si="29"/>
        <v>BA-MD 1331.982E</v>
      </c>
      <c r="B1916" s="195" t="s">
        <v>1596</v>
      </c>
      <c r="C1916" s="196">
        <v>1.98</v>
      </c>
      <c r="D1916" s="196">
        <v>2</v>
      </c>
      <c r="E1916" s="195" t="s">
        <v>583</v>
      </c>
      <c r="F1916" s="195" t="s">
        <v>19</v>
      </c>
    </row>
    <row r="1917" spans="1:6" x14ac:dyDescent="0.25">
      <c r="A1917" s="189" t="str">
        <f t="shared" si="29"/>
        <v>BA-MD 1331.982W</v>
      </c>
      <c r="B1917" s="195" t="s">
        <v>1596</v>
      </c>
      <c r="C1917" s="196">
        <v>1.98</v>
      </c>
      <c r="D1917" s="196">
        <v>2</v>
      </c>
      <c r="E1917" s="195" t="s">
        <v>583</v>
      </c>
      <c r="F1917" s="195" t="s">
        <v>432</v>
      </c>
    </row>
    <row r="1918" spans="1:6" x14ac:dyDescent="0.25">
      <c r="A1918" s="189" t="str">
        <f t="shared" si="29"/>
        <v>BA-MD 13323.31E</v>
      </c>
      <c r="B1918" s="195" t="s">
        <v>1596</v>
      </c>
      <c r="C1918" s="196">
        <v>2</v>
      </c>
      <c r="D1918" s="196">
        <v>3.31</v>
      </c>
      <c r="E1918" s="195" t="s">
        <v>583</v>
      </c>
      <c r="F1918" s="195" t="s">
        <v>19</v>
      </c>
    </row>
    <row r="1919" spans="1:6" x14ac:dyDescent="0.25">
      <c r="A1919" s="189" t="str">
        <f t="shared" si="29"/>
        <v>BA-MD 13323.31W</v>
      </c>
      <c r="B1919" s="195" t="s">
        <v>1596</v>
      </c>
      <c r="C1919" s="196">
        <v>2</v>
      </c>
      <c r="D1919" s="196">
        <v>3.31</v>
      </c>
      <c r="E1919" s="195" t="s">
        <v>583</v>
      </c>
      <c r="F1919" s="195" t="s">
        <v>432</v>
      </c>
    </row>
    <row r="1920" spans="1:6" x14ac:dyDescent="0.25">
      <c r="A1920" s="189" t="str">
        <f t="shared" si="29"/>
        <v>BA-MD 13401.63N</v>
      </c>
      <c r="B1920" s="195" t="s">
        <v>1597</v>
      </c>
      <c r="C1920" s="196">
        <v>0</v>
      </c>
      <c r="D1920" s="196">
        <v>1.63</v>
      </c>
      <c r="E1920" s="195" t="s">
        <v>583</v>
      </c>
      <c r="F1920" s="195" t="s">
        <v>430</v>
      </c>
    </row>
    <row r="1921" spans="1:6" x14ac:dyDescent="0.25">
      <c r="A1921" s="189" t="str">
        <f t="shared" si="29"/>
        <v>BA-MD 13401.63S</v>
      </c>
      <c r="B1921" s="195" t="s">
        <v>1597</v>
      </c>
      <c r="C1921" s="196">
        <v>0</v>
      </c>
      <c r="D1921" s="196">
        <v>1.63</v>
      </c>
      <c r="E1921" s="195" t="s">
        <v>583</v>
      </c>
      <c r="F1921" s="195" t="s">
        <v>438</v>
      </c>
    </row>
    <row r="1922" spans="1:6" x14ac:dyDescent="0.25">
      <c r="A1922" s="189" t="str">
        <f t="shared" si="29"/>
        <v>BA-MD 13707.75E</v>
      </c>
      <c r="B1922" s="195" t="s">
        <v>1598</v>
      </c>
      <c r="C1922" s="196">
        <v>0</v>
      </c>
      <c r="D1922" s="196">
        <v>7.75</v>
      </c>
      <c r="E1922" s="195" t="s">
        <v>583</v>
      </c>
      <c r="F1922" s="195" t="s">
        <v>19</v>
      </c>
    </row>
    <row r="1923" spans="1:6" x14ac:dyDescent="0.25">
      <c r="A1923" s="189" t="str">
        <f t="shared" ref="A1923:A1986" si="30">B1923&amp;C1923&amp;D1923&amp;F1923</f>
        <v>BA-MD 13707.75W</v>
      </c>
      <c r="B1923" s="195" t="s">
        <v>1598</v>
      </c>
      <c r="C1923" s="196">
        <v>0</v>
      </c>
      <c r="D1923" s="196">
        <v>7.75</v>
      </c>
      <c r="E1923" s="195" t="s">
        <v>583</v>
      </c>
      <c r="F1923" s="195" t="s">
        <v>432</v>
      </c>
    </row>
    <row r="1924" spans="1:6" x14ac:dyDescent="0.25">
      <c r="A1924" s="189" t="str">
        <f t="shared" si="30"/>
        <v>BA-MD 1377.757.95E</v>
      </c>
      <c r="B1924" s="195" t="s">
        <v>1598</v>
      </c>
      <c r="C1924" s="196">
        <v>7.75</v>
      </c>
      <c r="D1924" s="196">
        <v>7.95</v>
      </c>
      <c r="E1924" s="195" t="s">
        <v>583</v>
      </c>
      <c r="F1924" s="195" t="s">
        <v>19</v>
      </c>
    </row>
    <row r="1925" spans="1:6" x14ac:dyDescent="0.25">
      <c r="A1925" s="189" t="str">
        <f t="shared" si="30"/>
        <v>BA-MD 1377.757.95W</v>
      </c>
      <c r="B1925" s="195" t="s">
        <v>1598</v>
      </c>
      <c r="C1925" s="196">
        <v>7.75</v>
      </c>
      <c r="D1925" s="196">
        <v>7.95</v>
      </c>
      <c r="E1925" s="195" t="s">
        <v>583</v>
      </c>
      <c r="F1925" s="195" t="s">
        <v>432</v>
      </c>
    </row>
    <row r="1926" spans="1:6" x14ac:dyDescent="0.25">
      <c r="A1926" s="189" t="str">
        <f t="shared" si="30"/>
        <v>BA-MD 1377.958.2E</v>
      </c>
      <c r="B1926" s="195" t="s">
        <v>1598</v>
      </c>
      <c r="C1926" s="196">
        <v>7.95</v>
      </c>
      <c r="D1926" s="196">
        <v>8.1999999999999993</v>
      </c>
      <c r="E1926" s="195" t="s">
        <v>583</v>
      </c>
      <c r="F1926" s="195" t="s">
        <v>19</v>
      </c>
    </row>
    <row r="1927" spans="1:6" x14ac:dyDescent="0.25">
      <c r="A1927" s="189" t="str">
        <f t="shared" si="30"/>
        <v>BA-MD 1377.958.2W</v>
      </c>
      <c r="B1927" s="195" t="s">
        <v>1598</v>
      </c>
      <c r="C1927" s="196">
        <v>7.95</v>
      </c>
      <c r="D1927" s="196">
        <v>8.1999999999999993</v>
      </c>
      <c r="E1927" s="195" t="s">
        <v>583</v>
      </c>
      <c r="F1927" s="195" t="s">
        <v>432</v>
      </c>
    </row>
    <row r="1928" spans="1:6" x14ac:dyDescent="0.25">
      <c r="A1928" s="189" t="str">
        <f t="shared" si="30"/>
        <v>BA-MD 1378.28.5E</v>
      </c>
      <c r="B1928" s="195" t="s">
        <v>1598</v>
      </c>
      <c r="C1928" s="196">
        <v>8.1999999999999993</v>
      </c>
      <c r="D1928" s="196">
        <v>8.5</v>
      </c>
      <c r="E1928" s="195" t="s">
        <v>583</v>
      </c>
      <c r="F1928" s="195" t="s">
        <v>19</v>
      </c>
    </row>
    <row r="1929" spans="1:6" x14ac:dyDescent="0.25">
      <c r="A1929" s="189" t="str">
        <f t="shared" si="30"/>
        <v>BA-MD 1378.28.5W</v>
      </c>
      <c r="B1929" s="195" t="s">
        <v>1598</v>
      </c>
      <c r="C1929" s="196">
        <v>8.1999999999999993</v>
      </c>
      <c r="D1929" s="196">
        <v>8.5</v>
      </c>
      <c r="E1929" s="195" t="s">
        <v>583</v>
      </c>
      <c r="F1929" s="195" t="s">
        <v>432</v>
      </c>
    </row>
    <row r="1930" spans="1:6" x14ac:dyDescent="0.25">
      <c r="A1930" s="189" t="str">
        <f t="shared" si="30"/>
        <v>BA-MD 13802.84E</v>
      </c>
      <c r="B1930" s="195" t="s">
        <v>500</v>
      </c>
      <c r="C1930" s="196">
        <v>0</v>
      </c>
      <c r="D1930" s="196">
        <v>2.84</v>
      </c>
      <c r="E1930" s="195" t="s">
        <v>583</v>
      </c>
      <c r="F1930" s="195" t="s">
        <v>19</v>
      </c>
    </row>
    <row r="1931" spans="1:6" x14ac:dyDescent="0.25">
      <c r="A1931" s="189" t="str">
        <f t="shared" si="30"/>
        <v>BA-MD 13802.84W</v>
      </c>
      <c r="B1931" s="195" t="s">
        <v>500</v>
      </c>
      <c r="C1931" s="196">
        <v>0</v>
      </c>
      <c r="D1931" s="196">
        <v>2.84</v>
      </c>
      <c r="E1931" s="195" t="s">
        <v>583</v>
      </c>
      <c r="F1931" s="195" t="s">
        <v>432</v>
      </c>
    </row>
    <row r="1932" spans="1:6" x14ac:dyDescent="0.25">
      <c r="A1932" s="189" t="str">
        <f t="shared" si="30"/>
        <v>BA-MD 1382.842.86E</v>
      </c>
      <c r="B1932" s="195" t="s">
        <v>500</v>
      </c>
      <c r="C1932" s="196">
        <v>2.84</v>
      </c>
      <c r="D1932" s="196">
        <v>2.86</v>
      </c>
      <c r="E1932" s="195" t="s">
        <v>583</v>
      </c>
      <c r="F1932" s="195" t="s">
        <v>19</v>
      </c>
    </row>
    <row r="1933" spans="1:6" x14ac:dyDescent="0.25">
      <c r="A1933" s="189" t="str">
        <f t="shared" si="30"/>
        <v>BA-MD 1382.842.86W</v>
      </c>
      <c r="B1933" s="195" t="s">
        <v>500</v>
      </c>
      <c r="C1933" s="196">
        <v>2.84</v>
      </c>
      <c r="D1933" s="196">
        <v>2.86</v>
      </c>
      <c r="E1933" s="195" t="s">
        <v>583</v>
      </c>
      <c r="F1933" s="195" t="s">
        <v>432</v>
      </c>
    </row>
    <row r="1934" spans="1:6" x14ac:dyDescent="0.25">
      <c r="A1934" s="189" t="str">
        <f t="shared" si="30"/>
        <v>BA-MD 1382.863.27E</v>
      </c>
      <c r="B1934" s="195" t="s">
        <v>500</v>
      </c>
      <c r="C1934" s="196">
        <v>2.86</v>
      </c>
      <c r="D1934" s="196">
        <v>3.27</v>
      </c>
      <c r="E1934" s="195" t="s">
        <v>583</v>
      </c>
      <c r="F1934" s="195" t="s">
        <v>19</v>
      </c>
    </row>
    <row r="1935" spans="1:6" x14ac:dyDescent="0.25">
      <c r="A1935" s="189" t="str">
        <f t="shared" si="30"/>
        <v>BA-MD 1382.863.27W</v>
      </c>
      <c r="B1935" s="195" t="s">
        <v>500</v>
      </c>
      <c r="C1935" s="196">
        <v>2.86</v>
      </c>
      <c r="D1935" s="196">
        <v>3.27</v>
      </c>
      <c r="E1935" s="195" t="s">
        <v>583</v>
      </c>
      <c r="F1935" s="195" t="s">
        <v>432</v>
      </c>
    </row>
    <row r="1936" spans="1:6" x14ac:dyDescent="0.25">
      <c r="A1936" s="189" t="str">
        <f t="shared" si="30"/>
        <v>BA-MD 1383.275.02E</v>
      </c>
      <c r="B1936" s="195" t="s">
        <v>500</v>
      </c>
      <c r="C1936" s="196">
        <v>3.27</v>
      </c>
      <c r="D1936" s="196">
        <v>5.0199999999999996</v>
      </c>
      <c r="E1936" s="195" t="s">
        <v>583</v>
      </c>
      <c r="F1936" s="195" t="s">
        <v>19</v>
      </c>
    </row>
    <row r="1937" spans="1:6" x14ac:dyDescent="0.25">
      <c r="A1937" s="189" t="str">
        <f t="shared" si="30"/>
        <v>BA-MD 1383.275.02W</v>
      </c>
      <c r="B1937" s="195" t="s">
        <v>500</v>
      </c>
      <c r="C1937" s="196">
        <v>3.27</v>
      </c>
      <c r="D1937" s="196">
        <v>5.0199999999999996</v>
      </c>
      <c r="E1937" s="195" t="s">
        <v>583</v>
      </c>
      <c r="F1937" s="195" t="s">
        <v>432</v>
      </c>
    </row>
    <row r="1938" spans="1:6" x14ac:dyDescent="0.25">
      <c r="A1938" s="189" t="str">
        <f t="shared" si="30"/>
        <v>BA-MD 1385.026.12E</v>
      </c>
      <c r="B1938" s="195" t="s">
        <v>500</v>
      </c>
      <c r="C1938" s="196">
        <v>5.0199999999999996</v>
      </c>
      <c r="D1938" s="196">
        <v>6.12</v>
      </c>
      <c r="E1938" s="195" t="s">
        <v>583</v>
      </c>
      <c r="F1938" s="195" t="s">
        <v>19</v>
      </c>
    </row>
    <row r="1939" spans="1:6" x14ac:dyDescent="0.25">
      <c r="A1939" s="189" t="str">
        <f t="shared" si="30"/>
        <v>BA-MD 1385.026.12W</v>
      </c>
      <c r="B1939" s="195" t="s">
        <v>500</v>
      </c>
      <c r="C1939" s="196">
        <v>5.0199999999999996</v>
      </c>
      <c r="D1939" s="196">
        <v>6.12</v>
      </c>
      <c r="E1939" s="195" t="s">
        <v>583</v>
      </c>
      <c r="F1939" s="195" t="s">
        <v>432</v>
      </c>
    </row>
    <row r="1940" spans="1:6" x14ac:dyDescent="0.25">
      <c r="A1940" s="189" t="str">
        <f t="shared" si="30"/>
        <v>BA-MD 1386.128.31E</v>
      </c>
      <c r="B1940" s="195" t="s">
        <v>500</v>
      </c>
      <c r="C1940" s="196">
        <v>6.12</v>
      </c>
      <c r="D1940" s="196">
        <v>8.31</v>
      </c>
      <c r="E1940" s="195" t="s">
        <v>583</v>
      </c>
      <c r="F1940" s="195" t="s">
        <v>19</v>
      </c>
    </row>
    <row r="1941" spans="1:6" x14ac:dyDescent="0.25">
      <c r="A1941" s="189" t="str">
        <f t="shared" si="30"/>
        <v>BA-MD 1386.128.31W</v>
      </c>
      <c r="B1941" s="195" t="s">
        <v>500</v>
      </c>
      <c r="C1941" s="196">
        <v>6.12</v>
      </c>
      <c r="D1941" s="196">
        <v>8.31</v>
      </c>
      <c r="E1941" s="195" t="s">
        <v>583</v>
      </c>
      <c r="F1941" s="195" t="s">
        <v>432</v>
      </c>
    </row>
    <row r="1942" spans="1:6" x14ac:dyDescent="0.25">
      <c r="A1942" s="189" t="str">
        <f t="shared" si="30"/>
        <v>BA-MD 13900.94N</v>
      </c>
      <c r="B1942" s="195" t="s">
        <v>501</v>
      </c>
      <c r="C1942" s="196">
        <v>0</v>
      </c>
      <c r="D1942" s="196">
        <v>0.94</v>
      </c>
      <c r="E1942" s="195" t="s">
        <v>589</v>
      </c>
      <c r="F1942" s="195" t="s">
        <v>430</v>
      </c>
    </row>
    <row r="1943" spans="1:6" x14ac:dyDescent="0.25">
      <c r="A1943" s="189" t="str">
        <f t="shared" si="30"/>
        <v>BA-MD 13901S</v>
      </c>
      <c r="B1943" s="195" t="s">
        <v>501</v>
      </c>
      <c r="C1943" s="196">
        <v>0</v>
      </c>
      <c r="D1943" s="196">
        <v>1</v>
      </c>
      <c r="E1943" s="195" t="s">
        <v>595</v>
      </c>
      <c r="F1943" s="195" t="s">
        <v>438</v>
      </c>
    </row>
    <row r="1944" spans="1:6" x14ac:dyDescent="0.25">
      <c r="A1944" s="189" t="str">
        <f t="shared" si="30"/>
        <v>BA-MD 139A00.09E</v>
      </c>
      <c r="B1944" s="195" t="s">
        <v>1599</v>
      </c>
      <c r="C1944" s="196">
        <v>0</v>
      </c>
      <c r="D1944" s="196">
        <v>0.09</v>
      </c>
      <c r="E1944" s="195" t="s">
        <v>598</v>
      </c>
      <c r="F1944" s="195" t="s">
        <v>19</v>
      </c>
    </row>
    <row r="1945" spans="1:6" x14ac:dyDescent="0.25">
      <c r="A1945" s="189" t="str">
        <f t="shared" si="30"/>
        <v>BA-MD 139A00.09W</v>
      </c>
      <c r="B1945" s="195" t="s">
        <v>1599</v>
      </c>
      <c r="C1945" s="196">
        <v>0</v>
      </c>
      <c r="D1945" s="196">
        <v>0.09</v>
      </c>
      <c r="E1945" s="195" t="s">
        <v>593</v>
      </c>
      <c r="F1945" s="195" t="s">
        <v>432</v>
      </c>
    </row>
    <row r="1946" spans="1:6" x14ac:dyDescent="0.25">
      <c r="A1946" s="189" t="str">
        <f t="shared" si="30"/>
        <v>BA-MD 14001.7N</v>
      </c>
      <c r="B1946" s="195" t="s">
        <v>504</v>
      </c>
      <c r="C1946" s="196">
        <v>0</v>
      </c>
      <c r="D1946" s="196">
        <v>1.7</v>
      </c>
      <c r="E1946" s="195" t="s">
        <v>583</v>
      </c>
      <c r="F1946" s="195" t="s">
        <v>430</v>
      </c>
    </row>
    <row r="1947" spans="1:6" x14ac:dyDescent="0.25">
      <c r="A1947" s="189" t="str">
        <f t="shared" si="30"/>
        <v>BA-MD 14001.7S</v>
      </c>
      <c r="B1947" s="195" t="s">
        <v>504</v>
      </c>
      <c r="C1947" s="196">
        <v>0</v>
      </c>
      <c r="D1947" s="196">
        <v>1.7</v>
      </c>
      <c r="E1947" s="195" t="s">
        <v>583</v>
      </c>
      <c r="F1947" s="195" t="s">
        <v>438</v>
      </c>
    </row>
    <row r="1948" spans="1:6" x14ac:dyDescent="0.25">
      <c r="A1948" s="189" t="str">
        <f t="shared" si="30"/>
        <v>BA-MD 1402.155.4S</v>
      </c>
      <c r="B1948" s="195" t="s">
        <v>504</v>
      </c>
      <c r="C1948" s="196">
        <v>2.15</v>
      </c>
      <c r="D1948" s="196">
        <v>5.4</v>
      </c>
      <c r="E1948" s="195" t="s">
        <v>595</v>
      </c>
      <c r="F1948" s="195" t="s">
        <v>438</v>
      </c>
    </row>
    <row r="1949" spans="1:6" x14ac:dyDescent="0.25">
      <c r="A1949" s="189" t="str">
        <f t="shared" si="30"/>
        <v>BA-MD 1402.172.55N</v>
      </c>
      <c r="B1949" s="195" t="s">
        <v>504</v>
      </c>
      <c r="C1949" s="196">
        <v>2.17</v>
      </c>
      <c r="D1949" s="196">
        <v>2.5499999999999998</v>
      </c>
      <c r="E1949" s="195" t="s">
        <v>589</v>
      </c>
      <c r="F1949" s="195" t="s">
        <v>430</v>
      </c>
    </row>
    <row r="1950" spans="1:6" x14ac:dyDescent="0.25">
      <c r="A1950" s="189" t="str">
        <f t="shared" si="30"/>
        <v>BA-MD 1402.554.58N</v>
      </c>
      <c r="B1950" s="195" t="s">
        <v>504</v>
      </c>
      <c r="C1950" s="196">
        <v>2.5499999999999998</v>
      </c>
      <c r="D1950" s="196">
        <v>4.58</v>
      </c>
      <c r="E1950" s="195" t="s">
        <v>589</v>
      </c>
      <c r="F1950" s="195" t="s">
        <v>430</v>
      </c>
    </row>
    <row r="1951" spans="1:6" x14ac:dyDescent="0.25">
      <c r="A1951" s="189" t="str">
        <f t="shared" si="30"/>
        <v>BA-MD 1404.585.03N</v>
      </c>
      <c r="B1951" s="195" t="s">
        <v>504</v>
      </c>
      <c r="C1951" s="196">
        <v>4.58</v>
      </c>
      <c r="D1951" s="196">
        <v>5.03</v>
      </c>
      <c r="E1951" s="195" t="s">
        <v>589</v>
      </c>
      <c r="F1951" s="195" t="s">
        <v>430</v>
      </c>
    </row>
    <row r="1952" spans="1:6" x14ac:dyDescent="0.25">
      <c r="A1952" s="189" t="str">
        <f t="shared" si="30"/>
        <v>BA-MD 1405.58.8N</v>
      </c>
      <c r="B1952" s="195" t="s">
        <v>504</v>
      </c>
      <c r="C1952" s="196">
        <v>5.5</v>
      </c>
      <c r="D1952" s="196">
        <v>8.8000000000000007</v>
      </c>
      <c r="E1952" s="195" t="s">
        <v>583</v>
      </c>
      <c r="F1952" s="195" t="s">
        <v>430</v>
      </c>
    </row>
    <row r="1953" spans="1:6" x14ac:dyDescent="0.25">
      <c r="A1953" s="189" t="str">
        <f t="shared" si="30"/>
        <v>BA-MD 1405.58.8S</v>
      </c>
      <c r="B1953" s="195" t="s">
        <v>504</v>
      </c>
      <c r="C1953" s="196">
        <v>5.5</v>
      </c>
      <c r="D1953" s="196">
        <v>8.8000000000000007</v>
      </c>
      <c r="E1953" s="195" t="s">
        <v>583</v>
      </c>
      <c r="F1953" s="195" t="s">
        <v>438</v>
      </c>
    </row>
    <row r="1954" spans="1:6" x14ac:dyDescent="0.25">
      <c r="A1954" s="189" t="str">
        <f t="shared" si="30"/>
        <v>BA-MD 1408.89.93N</v>
      </c>
      <c r="B1954" s="195" t="s">
        <v>504</v>
      </c>
      <c r="C1954" s="196">
        <v>8.8000000000000007</v>
      </c>
      <c r="D1954" s="196">
        <v>9.93</v>
      </c>
      <c r="E1954" s="195" t="s">
        <v>583</v>
      </c>
      <c r="F1954" s="195" t="s">
        <v>430</v>
      </c>
    </row>
    <row r="1955" spans="1:6" x14ac:dyDescent="0.25">
      <c r="A1955" s="189" t="str">
        <f t="shared" si="30"/>
        <v>BA-MD 1408.89.93S</v>
      </c>
      <c r="B1955" s="195" t="s">
        <v>504</v>
      </c>
      <c r="C1955" s="196">
        <v>8.8000000000000007</v>
      </c>
      <c r="D1955" s="196">
        <v>9.93</v>
      </c>
      <c r="E1955" s="195" t="s">
        <v>583</v>
      </c>
      <c r="F1955" s="195" t="s">
        <v>438</v>
      </c>
    </row>
    <row r="1956" spans="1:6" x14ac:dyDescent="0.25">
      <c r="A1956" s="189" t="str">
        <f t="shared" si="30"/>
        <v>BA-MD 1409.9310.36N</v>
      </c>
      <c r="B1956" s="195" t="s">
        <v>504</v>
      </c>
      <c r="C1956" s="196">
        <v>9.93</v>
      </c>
      <c r="D1956" s="196">
        <v>10.36</v>
      </c>
      <c r="E1956" s="195" t="s">
        <v>583</v>
      </c>
      <c r="F1956" s="195" t="s">
        <v>430</v>
      </c>
    </row>
    <row r="1957" spans="1:6" x14ac:dyDescent="0.25">
      <c r="A1957" s="189" t="str">
        <f t="shared" si="30"/>
        <v>BA-MD 1409.9310.36S</v>
      </c>
      <c r="B1957" s="195" t="s">
        <v>504</v>
      </c>
      <c r="C1957" s="196">
        <v>9.93</v>
      </c>
      <c r="D1957" s="196">
        <v>10.36</v>
      </c>
      <c r="E1957" s="195" t="s">
        <v>583</v>
      </c>
      <c r="F1957" s="195" t="s">
        <v>438</v>
      </c>
    </row>
    <row r="1958" spans="1:6" x14ac:dyDescent="0.25">
      <c r="A1958" s="189" t="str">
        <f t="shared" si="30"/>
        <v>BA-MD 140 RP1-500.14E</v>
      </c>
      <c r="B1958" s="195" t="s">
        <v>1600</v>
      </c>
      <c r="C1958" s="196">
        <v>0</v>
      </c>
      <c r="D1958" s="196">
        <v>0.14000000000000001</v>
      </c>
      <c r="E1958" s="195" t="s">
        <v>598</v>
      </c>
      <c r="F1958" s="195" t="s">
        <v>19</v>
      </c>
    </row>
    <row r="1959" spans="1:6" x14ac:dyDescent="0.25">
      <c r="A1959" s="189" t="str">
        <f t="shared" si="30"/>
        <v>BA-MD 140 RP1-50.030.05W</v>
      </c>
      <c r="B1959" s="195" t="s">
        <v>1600</v>
      </c>
      <c r="C1959" s="196">
        <v>0.03</v>
      </c>
      <c r="D1959" s="196">
        <v>0.05</v>
      </c>
      <c r="E1959" s="195" t="s">
        <v>593</v>
      </c>
      <c r="F1959" s="195" t="s">
        <v>432</v>
      </c>
    </row>
    <row r="1960" spans="1:6" x14ac:dyDescent="0.25">
      <c r="A1960" s="189" t="str">
        <f t="shared" si="30"/>
        <v>BA-MD 140 RP1-50.050.09W</v>
      </c>
      <c r="B1960" s="195" t="s">
        <v>1600</v>
      </c>
      <c r="C1960" s="196">
        <v>0.05</v>
      </c>
      <c r="D1960" s="196">
        <v>0.09</v>
      </c>
      <c r="E1960" s="195" t="s">
        <v>593</v>
      </c>
      <c r="F1960" s="195" t="s">
        <v>432</v>
      </c>
    </row>
    <row r="1961" spans="1:6" x14ac:dyDescent="0.25">
      <c r="A1961" s="189" t="str">
        <f t="shared" si="30"/>
        <v>BA-MD 140 RP1-50.090.14W</v>
      </c>
      <c r="B1961" s="195" t="s">
        <v>1600</v>
      </c>
      <c r="C1961" s="196">
        <v>0.09</v>
      </c>
      <c r="D1961" s="196">
        <v>0.14000000000000001</v>
      </c>
      <c r="E1961" s="195" t="s">
        <v>593</v>
      </c>
      <c r="F1961" s="195" t="s">
        <v>432</v>
      </c>
    </row>
    <row r="1962" spans="1:6" x14ac:dyDescent="0.25">
      <c r="A1962" s="189" t="str">
        <f t="shared" si="30"/>
        <v>BA-MD 140 RP2-500.03N</v>
      </c>
      <c r="B1962" s="195" t="s">
        <v>1601</v>
      </c>
      <c r="C1962" s="196">
        <v>0</v>
      </c>
      <c r="D1962" s="196">
        <v>0.03</v>
      </c>
      <c r="E1962" s="195" t="s">
        <v>589</v>
      </c>
      <c r="F1962" s="195" t="s">
        <v>430</v>
      </c>
    </row>
    <row r="1963" spans="1:6" x14ac:dyDescent="0.25">
      <c r="A1963" s="189" t="str">
        <f t="shared" si="30"/>
        <v>BA-MD 140 RP6-500.03S</v>
      </c>
      <c r="B1963" s="195" t="s">
        <v>1602</v>
      </c>
      <c r="C1963" s="196">
        <v>0</v>
      </c>
      <c r="D1963" s="196">
        <v>0.03</v>
      </c>
      <c r="E1963" s="195" t="s">
        <v>595</v>
      </c>
      <c r="F1963" s="195" t="s">
        <v>438</v>
      </c>
    </row>
    <row r="1964" spans="1:6" x14ac:dyDescent="0.25">
      <c r="A1964" s="189" t="str">
        <f t="shared" si="30"/>
        <v>BA-MD 140 RP7-500.12W</v>
      </c>
      <c r="B1964" s="195" t="s">
        <v>1603</v>
      </c>
      <c r="C1964" s="196">
        <v>0</v>
      </c>
      <c r="D1964" s="196">
        <v>0.12</v>
      </c>
      <c r="E1964" s="195" t="s">
        <v>593</v>
      </c>
      <c r="F1964" s="195" t="s">
        <v>432</v>
      </c>
    </row>
    <row r="1965" spans="1:6" x14ac:dyDescent="0.25">
      <c r="A1965" s="189" t="str">
        <f t="shared" si="30"/>
        <v>BA-MD 140 RP8-500.03E</v>
      </c>
      <c r="B1965" s="195" t="s">
        <v>1604</v>
      </c>
      <c r="C1965" s="196">
        <v>0</v>
      </c>
      <c r="D1965" s="196">
        <v>0.03</v>
      </c>
      <c r="E1965" s="195" t="s">
        <v>598</v>
      </c>
      <c r="F1965" s="195" t="s">
        <v>19</v>
      </c>
    </row>
    <row r="1966" spans="1:6" x14ac:dyDescent="0.25">
      <c r="A1966" s="189" t="str">
        <f t="shared" si="30"/>
        <v>BA-MD 14400.35E</v>
      </c>
      <c r="B1966" s="195" t="s">
        <v>505</v>
      </c>
      <c r="C1966" s="196">
        <v>0</v>
      </c>
      <c r="D1966" s="196">
        <v>0.35</v>
      </c>
      <c r="E1966" s="195" t="s">
        <v>583</v>
      </c>
      <c r="F1966" s="195" t="s">
        <v>19</v>
      </c>
    </row>
    <row r="1967" spans="1:6" x14ac:dyDescent="0.25">
      <c r="A1967" s="189" t="str">
        <f t="shared" si="30"/>
        <v>BA-MD 14400.35W</v>
      </c>
      <c r="B1967" s="195" t="s">
        <v>505</v>
      </c>
      <c r="C1967" s="196">
        <v>0</v>
      </c>
      <c r="D1967" s="196">
        <v>0.35</v>
      </c>
      <c r="E1967" s="195" t="s">
        <v>583</v>
      </c>
      <c r="F1967" s="195" t="s">
        <v>432</v>
      </c>
    </row>
    <row r="1968" spans="1:6" x14ac:dyDescent="0.25">
      <c r="A1968" s="189" t="str">
        <f t="shared" si="30"/>
        <v>BA-MD 1440.350.55E</v>
      </c>
      <c r="B1968" s="195" t="s">
        <v>505</v>
      </c>
      <c r="C1968" s="196">
        <v>0.35</v>
      </c>
      <c r="D1968" s="196">
        <v>0.55000000000000004</v>
      </c>
      <c r="E1968" s="195" t="s">
        <v>583</v>
      </c>
      <c r="F1968" s="195" t="s">
        <v>19</v>
      </c>
    </row>
    <row r="1969" spans="1:6" x14ac:dyDescent="0.25">
      <c r="A1969" s="189" t="str">
        <f t="shared" si="30"/>
        <v>BA-MD 1440.350.55W</v>
      </c>
      <c r="B1969" s="195" t="s">
        <v>505</v>
      </c>
      <c r="C1969" s="196">
        <v>0.35</v>
      </c>
      <c r="D1969" s="196">
        <v>0.55000000000000004</v>
      </c>
      <c r="E1969" s="195" t="s">
        <v>583</v>
      </c>
      <c r="F1969" s="195" t="s">
        <v>432</v>
      </c>
    </row>
    <row r="1970" spans="1:6" x14ac:dyDescent="0.25">
      <c r="A1970" s="189" t="str">
        <f t="shared" si="30"/>
        <v>BA-MD 1440.550.56E</v>
      </c>
      <c r="B1970" s="195" t="s">
        <v>505</v>
      </c>
      <c r="C1970" s="196">
        <v>0.55000000000000004</v>
      </c>
      <c r="D1970" s="196">
        <v>0.56000000000000005</v>
      </c>
      <c r="E1970" s="195" t="s">
        <v>583</v>
      </c>
      <c r="F1970" s="195" t="s">
        <v>19</v>
      </c>
    </row>
    <row r="1971" spans="1:6" x14ac:dyDescent="0.25">
      <c r="A1971" s="189" t="str">
        <f t="shared" si="30"/>
        <v>BA-MD 1440.550.56W</v>
      </c>
      <c r="B1971" s="195" t="s">
        <v>505</v>
      </c>
      <c r="C1971" s="196">
        <v>0.55000000000000004</v>
      </c>
      <c r="D1971" s="196">
        <v>0.56000000000000005</v>
      </c>
      <c r="E1971" s="195" t="s">
        <v>583</v>
      </c>
      <c r="F1971" s="195" t="s">
        <v>432</v>
      </c>
    </row>
    <row r="1972" spans="1:6" x14ac:dyDescent="0.25">
      <c r="A1972" s="189" t="str">
        <f t="shared" si="30"/>
        <v>BA-MD 1440.561.15W</v>
      </c>
      <c r="B1972" s="195" t="s">
        <v>505</v>
      </c>
      <c r="C1972" s="196">
        <v>0.56000000000000005</v>
      </c>
      <c r="D1972" s="196">
        <v>1.1499999999999999</v>
      </c>
      <c r="E1972" s="195" t="s">
        <v>593</v>
      </c>
      <c r="F1972" s="195" t="s">
        <v>432</v>
      </c>
    </row>
    <row r="1973" spans="1:6" x14ac:dyDescent="0.25">
      <c r="A1973" s="189" t="str">
        <f t="shared" si="30"/>
        <v>BA-MD 1440.561.85E</v>
      </c>
      <c r="B1973" s="195" t="s">
        <v>505</v>
      </c>
      <c r="C1973" s="196">
        <v>0.56000000000000005</v>
      </c>
      <c r="D1973" s="196">
        <v>1.85</v>
      </c>
      <c r="E1973" s="195" t="s">
        <v>598</v>
      </c>
      <c r="F1973" s="195" t="s">
        <v>19</v>
      </c>
    </row>
    <row r="1974" spans="1:6" x14ac:dyDescent="0.25">
      <c r="A1974" s="189" t="str">
        <f t="shared" si="30"/>
        <v>BA-MD 1441.151.85W</v>
      </c>
      <c r="B1974" s="195" t="s">
        <v>505</v>
      </c>
      <c r="C1974" s="196">
        <v>1.1499999999999999</v>
      </c>
      <c r="D1974" s="196">
        <v>1.85</v>
      </c>
      <c r="E1974" s="195" t="s">
        <v>593</v>
      </c>
      <c r="F1974" s="195" t="s">
        <v>432</v>
      </c>
    </row>
    <row r="1975" spans="1:6" x14ac:dyDescent="0.25">
      <c r="A1975" s="189" t="str">
        <f t="shared" si="30"/>
        <v>BA-MD 1441.852.15E</v>
      </c>
      <c r="B1975" s="195" t="s">
        <v>505</v>
      </c>
      <c r="C1975" s="196">
        <v>1.85</v>
      </c>
      <c r="D1975" s="196">
        <v>2.15</v>
      </c>
      <c r="E1975" s="195" t="s">
        <v>598</v>
      </c>
      <c r="F1975" s="195" t="s">
        <v>19</v>
      </c>
    </row>
    <row r="1976" spans="1:6" x14ac:dyDescent="0.25">
      <c r="A1976" s="189" t="str">
        <f t="shared" si="30"/>
        <v>BA-MD 1441.852.25W</v>
      </c>
      <c r="B1976" s="195" t="s">
        <v>505</v>
      </c>
      <c r="C1976" s="196">
        <v>1.85</v>
      </c>
      <c r="D1976" s="196">
        <v>2.25</v>
      </c>
      <c r="E1976" s="195" t="s">
        <v>593</v>
      </c>
      <c r="F1976" s="195" t="s">
        <v>432</v>
      </c>
    </row>
    <row r="1977" spans="1:6" x14ac:dyDescent="0.25">
      <c r="A1977" s="189" t="str">
        <f t="shared" si="30"/>
        <v>BA-MD 1442.152.25E</v>
      </c>
      <c r="B1977" s="195" t="s">
        <v>505</v>
      </c>
      <c r="C1977" s="196">
        <v>2.15</v>
      </c>
      <c r="D1977" s="196">
        <v>2.25</v>
      </c>
      <c r="E1977" s="195" t="s">
        <v>598</v>
      </c>
      <c r="F1977" s="195" t="s">
        <v>19</v>
      </c>
    </row>
    <row r="1978" spans="1:6" x14ac:dyDescent="0.25">
      <c r="A1978" s="189" t="str">
        <f t="shared" si="30"/>
        <v>BA-MD 1442.252.27E</v>
      </c>
      <c r="B1978" s="195" t="s">
        <v>505</v>
      </c>
      <c r="C1978" s="196">
        <v>2.25</v>
      </c>
      <c r="D1978" s="196">
        <v>2.27</v>
      </c>
      <c r="E1978" s="195" t="s">
        <v>583</v>
      </c>
      <c r="F1978" s="195" t="s">
        <v>19</v>
      </c>
    </row>
    <row r="1979" spans="1:6" x14ac:dyDescent="0.25">
      <c r="A1979" s="189" t="str">
        <f t="shared" si="30"/>
        <v>BA-MD 1442.252.27W</v>
      </c>
      <c r="B1979" s="195" t="s">
        <v>505</v>
      </c>
      <c r="C1979" s="196">
        <v>2.25</v>
      </c>
      <c r="D1979" s="196">
        <v>2.27</v>
      </c>
      <c r="E1979" s="195" t="s">
        <v>583</v>
      </c>
      <c r="F1979" s="195" t="s">
        <v>432</v>
      </c>
    </row>
    <row r="1980" spans="1:6" x14ac:dyDescent="0.25">
      <c r="A1980" s="189" t="str">
        <f t="shared" si="30"/>
        <v>BA-MD 1442.272.75E</v>
      </c>
      <c r="B1980" s="195" t="s">
        <v>505</v>
      </c>
      <c r="C1980" s="196">
        <v>2.27</v>
      </c>
      <c r="D1980" s="196">
        <v>2.75</v>
      </c>
      <c r="E1980" s="195" t="s">
        <v>583</v>
      </c>
      <c r="F1980" s="195" t="s">
        <v>19</v>
      </c>
    </row>
    <row r="1981" spans="1:6" x14ac:dyDescent="0.25">
      <c r="A1981" s="189" t="str">
        <f t="shared" si="30"/>
        <v>BA-MD 1442.272.75W</v>
      </c>
      <c r="B1981" s="195" t="s">
        <v>505</v>
      </c>
      <c r="C1981" s="196">
        <v>2.27</v>
      </c>
      <c r="D1981" s="196">
        <v>2.75</v>
      </c>
      <c r="E1981" s="195" t="s">
        <v>583</v>
      </c>
      <c r="F1981" s="195" t="s">
        <v>432</v>
      </c>
    </row>
    <row r="1982" spans="1:6" x14ac:dyDescent="0.25">
      <c r="A1982" s="189" t="str">
        <f t="shared" si="30"/>
        <v>BA-MD 1442.753.26E</v>
      </c>
      <c r="B1982" s="195" t="s">
        <v>505</v>
      </c>
      <c r="C1982" s="196">
        <v>2.75</v>
      </c>
      <c r="D1982" s="196">
        <v>3.26</v>
      </c>
      <c r="E1982" s="195" t="s">
        <v>583</v>
      </c>
      <c r="F1982" s="195" t="s">
        <v>19</v>
      </c>
    </row>
    <row r="1983" spans="1:6" x14ac:dyDescent="0.25">
      <c r="A1983" s="189" t="str">
        <f t="shared" si="30"/>
        <v>BA-MD 1442.753.26W</v>
      </c>
      <c r="B1983" s="195" t="s">
        <v>505</v>
      </c>
      <c r="C1983" s="196">
        <v>2.75</v>
      </c>
      <c r="D1983" s="196">
        <v>3.26</v>
      </c>
      <c r="E1983" s="195" t="s">
        <v>583</v>
      </c>
      <c r="F1983" s="195" t="s">
        <v>432</v>
      </c>
    </row>
    <row r="1984" spans="1:6" x14ac:dyDescent="0.25">
      <c r="A1984" s="189" t="str">
        <f t="shared" si="30"/>
        <v>BA-MD 1443.264.07E</v>
      </c>
      <c r="B1984" s="195" t="s">
        <v>505</v>
      </c>
      <c r="C1984" s="196">
        <v>3.26</v>
      </c>
      <c r="D1984" s="196">
        <v>4.07</v>
      </c>
      <c r="E1984" s="195" t="s">
        <v>583</v>
      </c>
      <c r="F1984" s="195" t="s">
        <v>19</v>
      </c>
    </row>
    <row r="1985" spans="1:6" x14ac:dyDescent="0.25">
      <c r="A1985" s="189" t="str">
        <f t="shared" si="30"/>
        <v>BA-MD 1443.264.07W</v>
      </c>
      <c r="B1985" s="195" t="s">
        <v>505</v>
      </c>
      <c r="C1985" s="196">
        <v>3.26</v>
      </c>
      <c r="D1985" s="196">
        <v>4.07</v>
      </c>
      <c r="E1985" s="195" t="s">
        <v>583</v>
      </c>
      <c r="F1985" s="195" t="s">
        <v>432</v>
      </c>
    </row>
    <row r="1986" spans="1:6" x14ac:dyDescent="0.25">
      <c r="A1986" s="189" t="str">
        <f t="shared" si="30"/>
        <v>BA-MD 1444.074.84E</v>
      </c>
      <c r="B1986" s="195" t="s">
        <v>505</v>
      </c>
      <c r="C1986" s="196">
        <v>4.07</v>
      </c>
      <c r="D1986" s="196">
        <v>4.84</v>
      </c>
      <c r="E1986" s="195" t="s">
        <v>583</v>
      </c>
      <c r="F1986" s="195" t="s">
        <v>19</v>
      </c>
    </row>
    <row r="1987" spans="1:6" x14ac:dyDescent="0.25">
      <c r="A1987" s="189" t="str">
        <f t="shared" ref="A1987:A2050" si="31">B1987&amp;C1987&amp;D1987&amp;F1987</f>
        <v>BA-MD 1444.074.84W</v>
      </c>
      <c r="B1987" s="195" t="s">
        <v>505</v>
      </c>
      <c r="C1987" s="196">
        <v>4.07</v>
      </c>
      <c r="D1987" s="196">
        <v>4.84</v>
      </c>
      <c r="E1987" s="195" t="s">
        <v>583</v>
      </c>
      <c r="F1987" s="195" t="s">
        <v>432</v>
      </c>
    </row>
    <row r="1988" spans="1:6" x14ac:dyDescent="0.25">
      <c r="A1988" s="189" t="str">
        <f t="shared" si="31"/>
        <v>BA-MD 14501E</v>
      </c>
      <c r="B1988" s="195" t="s">
        <v>1605</v>
      </c>
      <c r="C1988" s="196">
        <v>0</v>
      </c>
      <c r="D1988" s="196">
        <v>1</v>
      </c>
      <c r="E1988" s="195" t="s">
        <v>583</v>
      </c>
      <c r="F1988" s="195" t="s">
        <v>19</v>
      </c>
    </row>
    <row r="1989" spans="1:6" x14ac:dyDescent="0.25">
      <c r="A1989" s="189" t="str">
        <f t="shared" si="31"/>
        <v>BA-MD 14501W</v>
      </c>
      <c r="B1989" s="195" t="s">
        <v>1605</v>
      </c>
      <c r="C1989" s="196">
        <v>0</v>
      </c>
      <c r="D1989" s="196">
        <v>1</v>
      </c>
      <c r="E1989" s="195" t="s">
        <v>583</v>
      </c>
      <c r="F1989" s="195" t="s">
        <v>432</v>
      </c>
    </row>
    <row r="1990" spans="1:6" x14ac:dyDescent="0.25">
      <c r="A1990" s="189" t="str">
        <f t="shared" si="31"/>
        <v>BA-MD 14511.6E</v>
      </c>
      <c r="B1990" s="195" t="s">
        <v>1605</v>
      </c>
      <c r="C1990" s="196">
        <v>1</v>
      </c>
      <c r="D1990" s="196">
        <v>1.6</v>
      </c>
      <c r="E1990" s="195" t="s">
        <v>583</v>
      </c>
      <c r="F1990" s="195" t="s">
        <v>19</v>
      </c>
    </row>
    <row r="1991" spans="1:6" x14ac:dyDescent="0.25">
      <c r="A1991" s="189" t="str">
        <f t="shared" si="31"/>
        <v>BA-MD 14511.6W</v>
      </c>
      <c r="B1991" s="195" t="s">
        <v>1605</v>
      </c>
      <c r="C1991" s="196">
        <v>1</v>
      </c>
      <c r="D1991" s="196">
        <v>1.6</v>
      </c>
      <c r="E1991" s="195" t="s">
        <v>583</v>
      </c>
      <c r="F1991" s="195" t="s">
        <v>432</v>
      </c>
    </row>
    <row r="1992" spans="1:6" x14ac:dyDescent="0.25">
      <c r="A1992" s="189" t="str">
        <f t="shared" si="31"/>
        <v>BA-MD 1451.61.67E</v>
      </c>
      <c r="B1992" s="195" t="s">
        <v>1605</v>
      </c>
      <c r="C1992" s="196">
        <v>1.6</v>
      </c>
      <c r="D1992" s="196">
        <v>1.67</v>
      </c>
      <c r="E1992" s="195" t="s">
        <v>598</v>
      </c>
      <c r="F1992" s="195" t="s">
        <v>19</v>
      </c>
    </row>
    <row r="1993" spans="1:6" x14ac:dyDescent="0.25">
      <c r="A1993" s="189" t="str">
        <f t="shared" si="31"/>
        <v>BA-MD 1451.61.72W</v>
      </c>
      <c r="B1993" s="195" t="s">
        <v>1605</v>
      </c>
      <c r="C1993" s="196">
        <v>1.6</v>
      </c>
      <c r="D1993" s="196">
        <v>1.72</v>
      </c>
      <c r="E1993" s="195" t="s">
        <v>593</v>
      </c>
      <c r="F1993" s="195" t="s">
        <v>432</v>
      </c>
    </row>
    <row r="1994" spans="1:6" x14ac:dyDescent="0.25">
      <c r="A1994" s="189" t="str">
        <f t="shared" si="31"/>
        <v>BA-MD 1451.671.8E</v>
      </c>
      <c r="B1994" s="195" t="s">
        <v>1605</v>
      </c>
      <c r="C1994" s="196">
        <v>1.67</v>
      </c>
      <c r="D1994" s="196">
        <v>1.8</v>
      </c>
      <c r="E1994" s="195" t="s">
        <v>598</v>
      </c>
      <c r="F1994" s="195" t="s">
        <v>19</v>
      </c>
    </row>
    <row r="1995" spans="1:6" x14ac:dyDescent="0.25">
      <c r="A1995" s="189" t="str">
        <f t="shared" si="31"/>
        <v>BA-MD 1451.721.85W</v>
      </c>
      <c r="B1995" s="195" t="s">
        <v>1605</v>
      </c>
      <c r="C1995" s="196">
        <v>1.72</v>
      </c>
      <c r="D1995" s="196">
        <v>1.85</v>
      </c>
      <c r="E1995" s="195" t="s">
        <v>593</v>
      </c>
      <c r="F1995" s="195" t="s">
        <v>432</v>
      </c>
    </row>
    <row r="1996" spans="1:6" x14ac:dyDescent="0.25">
      <c r="A1996" s="189" t="str">
        <f t="shared" si="31"/>
        <v>BA-MD 1451.81.9E</v>
      </c>
      <c r="B1996" s="195" t="s">
        <v>1605</v>
      </c>
      <c r="C1996" s="196">
        <v>1.8</v>
      </c>
      <c r="D1996" s="196">
        <v>1.9</v>
      </c>
      <c r="E1996" s="195" t="s">
        <v>598</v>
      </c>
      <c r="F1996" s="195" t="s">
        <v>19</v>
      </c>
    </row>
    <row r="1997" spans="1:6" x14ac:dyDescent="0.25">
      <c r="A1997" s="189" t="str">
        <f t="shared" si="31"/>
        <v>BA-MD 1451.851.9W</v>
      </c>
      <c r="B1997" s="195" t="s">
        <v>1605</v>
      </c>
      <c r="C1997" s="196">
        <v>1.85</v>
      </c>
      <c r="D1997" s="196">
        <v>1.9</v>
      </c>
      <c r="E1997" s="195" t="s">
        <v>593</v>
      </c>
      <c r="F1997" s="195" t="s">
        <v>432</v>
      </c>
    </row>
    <row r="1998" spans="1:6" x14ac:dyDescent="0.25">
      <c r="A1998" s="189" t="str">
        <f t="shared" si="31"/>
        <v>BA-MD 1451.92.25E</v>
      </c>
      <c r="B1998" s="195" t="s">
        <v>1605</v>
      </c>
      <c r="C1998" s="196">
        <v>1.9</v>
      </c>
      <c r="D1998" s="196">
        <v>2.25</v>
      </c>
      <c r="E1998" s="195" t="s">
        <v>583</v>
      </c>
      <c r="F1998" s="195" t="s">
        <v>19</v>
      </c>
    </row>
    <row r="1999" spans="1:6" x14ac:dyDescent="0.25">
      <c r="A1999" s="189" t="str">
        <f t="shared" si="31"/>
        <v>BA-MD 1451.92.25W</v>
      </c>
      <c r="B1999" s="195" t="s">
        <v>1605</v>
      </c>
      <c r="C1999" s="196">
        <v>1.9</v>
      </c>
      <c r="D1999" s="196">
        <v>2.25</v>
      </c>
      <c r="E1999" s="195" t="s">
        <v>583</v>
      </c>
      <c r="F1999" s="195" t="s">
        <v>432</v>
      </c>
    </row>
    <row r="2000" spans="1:6" x14ac:dyDescent="0.25">
      <c r="A2000" s="189" t="str">
        <f t="shared" si="31"/>
        <v>BA-MD 1452.252.34E</v>
      </c>
      <c r="B2000" s="195" t="s">
        <v>1605</v>
      </c>
      <c r="C2000" s="196">
        <v>2.25</v>
      </c>
      <c r="D2000" s="196">
        <v>2.34</v>
      </c>
      <c r="E2000" s="195" t="s">
        <v>583</v>
      </c>
      <c r="F2000" s="195" t="s">
        <v>19</v>
      </c>
    </row>
    <row r="2001" spans="1:6" x14ac:dyDescent="0.25">
      <c r="A2001" s="189" t="str">
        <f t="shared" si="31"/>
        <v>BA-MD 1452.252.34W</v>
      </c>
      <c r="B2001" s="195" t="s">
        <v>1605</v>
      </c>
      <c r="C2001" s="196">
        <v>2.25</v>
      </c>
      <c r="D2001" s="196">
        <v>2.34</v>
      </c>
      <c r="E2001" s="195" t="s">
        <v>583</v>
      </c>
      <c r="F2001" s="195" t="s">
        <v>432</v>
      </c>
    </row>
    <row r="2002" spans="1:6" x14ac:dyDescent="0.25">
      <c r="A2002" s="189" t="str">
        <f t="shared" si="31"/>
        <v>BA-MD 1452.345.57E</v>
      </c>
      <c r="B2002" s="195" t="s">
        <v>1605</v>
      </c>
      <c r="C2002" s="196">
        <v>2.34</v>
      </c>
      <c r="D2002" s="196">
        <v>5.57</v>
      </c>
      <c r="E2002" s="195" t="s">
        <v>583</v>
      </c>
      <c r="F2002" s="195" t="s">
        <v>19</v>
      </c>
    </row>
    <row r="2003" spans="1:6" x14ac:dyDescent="0.25">
      <c r="A2003" s="189" t="str">
        <f t="shared" si="31"/>
        <v>BA-MD 1452.345.57W</v>
      </c>
      <c r="B2003" s="195" t="s">
        <v>1605</v>
      </c>
      <c r="C2003" s="196">
        <v>2.34</v>
      </c>
      <c r="D2003" s="196">
        <v>5.57</v>
      </c>
      <c r="E2003" s="195" t="s">
        <v>583</v>
      </c>
      <c r="F2003" s="195" t="s">
        <v>432</v>
      </c>
    </row>
    <row r="2004" spans="1:6" x14ac:dyDescent="0.25">
      <c r="A2004" s="189" t="str">
        <f t="shared" si="31"/>
        <v>BA-MD 1455.579.45E</v>
      </c>
      <c r="B2004" s="195" t="s">
        <v>1605</v>
      </c>
      <c r="C2004" s="196">
        <v>5.57</v>
      </c>
      <c r="D2004" s="196">
        <v>9.4499999999999993</v>
      </c>
      <c r="E2004" s="195" t="s">
        <v>583</v>
      </c>
      <c r="F2004" s="195" t="s">
        <v>19</v>
      </c>
    </row>
    <row r="2005" spans="1:6" x14ac:dyDescent="0.25">
      <c r="A2005" s="189" t="str">
        <f t="shared" si="31"/>
        <v>BA-MD 1455.579.45W</v>
      </c>
      <c r="B2005" s="195" t="s">
        <v>1605</v>
      </c>
      <c r="C2005" s="196">
        <v>5.57</v>
      </c>
      <c r="D2005" s="196">
        <v>9.4499999999999993</v>
      </c>
      <c r="E2005" s="195" t="s">
        <v>583</v>
      </c>
      <c r="F2005" s="195" t="s">
        <v>432</v>
      </c>
    </row>
    <row r="2006" spans="1:6" x14ac:dyDescent="0.25">
      <c r="A2006" s="189" t="str">
        <f t="shared" si="31"/>
        <v>BA-MD 1459.4510.34E</v>
      </c>
      <c r="B2006" s="195" t="s">
        <v>1605</v>
      </c>
      <c r="C2006" s="196">
        <v>9.4499999999999993</v>
      </c>
      <c r="D2006" s="196">
        <v>10.34</v>
      </c>
      <c r="E2006" s="195" t="s">
        <v>583</v>
      </c>
      <c r="F2006" s="195" t="s">
        <v>19</v>
      </c>
    </row>
    <row r="2007" spans="1:6" x14ac:dyDescent="0.25">
      <c r="A2007" s="189" t="str">
        <f t="shared" si="31"/>
        <v>BA-MD 1459.4510.34W</v>
      </c>
      <c r="B2007" s="195" t="s">
        <v>1605</v>
      </c>
      <c r="C2007" s="196">
        <v>9.4499999999999993</v>
      </c>
      <c r="D2007" s="196">
        <v>10.34</v>
      </c>
      <c r="E2007" s="195" t="s">
        <v>583</v>
      </c>
      <c r="F2007" s="195" t="s">
        <v>432</v>
      </c>
    </row>
    <row r="2008" spans="1:6" x14ac:dyDescent="0.25">
      <c r="A2008" s="189" t="str">
        <f t="shared" si="31"/>
        <v>BA-MD 1460.720.85N</v>
      </c>
      <c r="B2008" s="195" t="s">
        <v>502</v>
      </c>
      <c r="C2008" s="196">
        <v>0.72</v>
      </c>
      <c r="D2008" s="196">
        <v>0.85</v>
      </c>
      <c r="E2008" s="195" t="s">
        <v>583</v>
      </c>
      <c r="F2008" s="195" t="s">
        <v>430</v>
      </c>
    </row>
    <row r="2009" spans="1:6" x14ac:dyDescent="0.25">
      <c r="A2009" s="189" t="str">
        <f t="shared" si="31"/>
        <v>BA-MD 1460.720.85S</v>
      </c>
      <c r="B2009" s="195" t="s">
        <v>502</v>
      </c>
      <c r="C2009" s="196">
        <v>0.72</v>
      </c>
      <c r="D2009" s="196">
        <v>0.85</v>
      </c>
      <c r="E2009" s="195" t="s">
        <v>583</v>
      </c>
      <c r="F2009" s="195" t="s">
        <v>438</v>
      </c>
    </row>
    <row r="2010" spans="1:6" x14ac:dyDescent="0.25">
      <c r="A2010" s="189" t="str">
        <f t="shared" si="31"/>
        <v>BA-MD 1460.850.95N</v>
      </c>
      <c r="B2010" s="195" t="s">
        <v>502</v>
      </c>
      <c r="C2010" s="196">
        <v>0.85</v>
      </c>
      <c r="D2010" s="196">
        <v>0.95</v>
      </c>
      <c r="E2010" s="195" t="s">
        <v>589</v>
      </c>
      <c r="F2010" s="195" t="s">
        <v>430</v>
      </c>
    </row>
    <row r="2011" spans="1:6" x14ac:dyDescent="0.25">
      <c r="A2011" s="189" t="str">
        <f t="shared" si="31"/>
        <v>BA-MD 1460.851.9S</v>
      </c>
      <c r="B2011" s="195" t="s">
        <v>502</v>
      </c>
      <c r="C2011" s="196">
        <v>0.85</v>
      </c>
      <c r="D2011" s="196">
        <v>1.9</v>
      </c>
      <c r="E2011" s="195" t="s">
        <v>595</v>
      </c>
      <c r="F2011" s="195" t="s">
        <v>438</v>
      </c>
    </row>
    <row r="2012" spans="1:6" x14ac:dyDescent="0.25">
      <c r="A2012" s="189" t="str">
        <f t="shared" si="31"/>
        <v>BA-MD 1460.951.57N</v>
      </c>
      <c r="B2012" s="195" t="s">
        <v>502</v>
      </c>
      <c r="C2012" s="196">
        <v>0.95</v>
      </c>
      <c r="D2012" s="196">
        <v>1.57</v>
      </c>
      <c r="E2012" s="195" t="s">
        <v>589</v>
      </c>
      <c r="F2012" s="195" t="s">
        <v>430</v>
      </c>
    </row>
    <row r="2013" spans="1:6" x14ac:dyDescent="0.25">
      <c r="A2013" s="189" t="str">
        <f t="shared" si="31"/>
        <v>BA-MD 1461.571.9N</v>
      </c>
      <c r="B2013" s="195" t="s">
        <v>502</v>
      </c>
      <c r="C2013" s="196">
        <v>1.57</v>
      </c>
      <c r="D2013" s="196">
        <v>1.9</v>
      </c>
      <c r="E2013" s="195" t="s">
        <v>589</v>
      </c>
      <c r="F2013" s="195" t="s">
        <v>430</v>
      </c>
    </row>
    <row r="2014" spans="1:6" x14ac:dyDescent="0.25">
      <c r="A2014" s="189" t="str">
        <f t="shared" si="31"/>
        <v>BA-MD 1461.92S</v>
      </c>
      <c r="B2014" s="195" t="s">
        <v>502</v>
      </c>
      <c r="C2014" s="196">
        <v>1.9</v>
      </c>
      <c r="D2014" s="196">
        <v>2</v>
      </c>
      <c r="E2014" s="195" t="s">
        <v>595</v>
      </c>
      <c r="F2014" s="195" t="s">
        <v>438</v>
      </c>
    </row>
    <row r="2015" spans="1:6" x14ac:dyDescent="0.25">
      <c r="A2015" s="189" t="str">
        <f t="shared" si="31"/>
        <v>BA-MD 1461.93.5N</v>
      </c>
      <c r="B2015" s="195" t="s">
        <v>502</v>
      </c>
      <c r="C2015" s="196">
        <v>1.9</v>
      </c>
      <c r="D2015" s="196">
        <v>3.5</v>
      </c>
      <c r="E2015" s="195" t="s">
        <v>589</v>
      </c>
      <c r="F2015" s="195" t="s">
        <v>430</v>
      </c>
    </row>
    <row r="2016" spans="1:6" x14ac:dyDescent="0.25">
      <c r="A2016" s="189" t="str">
        <f t="shared" si="31"/>
        <v>BA-MD 14623.5S</v>
      </c>
      <c r="B2016" s="195" t="s">
        <v>502</v>
      </c>
      <c r="C2016" s="196">
        <v>2</v>
      </c>
      <c r="D2016" s="196">
        <v>3.5</v>
      </c>
      <c r="E2016" s="195" t="s">
        <v>595</v>
      </c>
      <c r="F2016" s="195" t="s">
        <v>438</v>
      </c>
    </row>
    <row r="2017" spans="1:6" x14ac:dyDescent="0.25">
      <c r="A2017" s="189" t="str">
        <f t="shared" si="31"/>
        <v>BA-MD 1463.54.5N</v>
      </c>
      <c r="B2017" s="195" t="s">
        <v>502</v>
      </c>
      <c r="C2017" s="196">
        <v>3.5</v>
      </c>
      <c r="D2017" s="196">
        <v>4.5</v>
      </c>
      <c r="E2017" s="195" t="s">
        <v>583</v>
      </c>
      <c r="F2017" s="195" t="s">
        <v>430</v>
      </c>
    </row>
    <row r="2018" spans="1:6" x14ac:dyDescent="0.25">
      <c r="A2018" s="189" t="str">
        <f t="shared" si="31"/>
        <v>BA-MD 1463.54.5S</v>
      </c>
      <c r="B2018" s="195" t="s">
        <v>502</v>
      </c>
      <c r="C2018" s="196">
        <v>3.5</v>
      </c>
      <c r="D2018" s="196">
        <v>4.5</v>
      </c>
      <c r="E2018" s="195" t="s">
        <v>583</v>
      </c>
      <c r="F2018" s="195" t="s">
        <v>438</v>
      </c>
    </row>
    <row r="2019" spans="1:6" x14ac:dyDescent="0.25">
      <c r="A2019" s="189" t="str">
        <f t="shared" si="31"/>
        <v>BA-MD 1464.54.61N</v>
      </c>
      <c r="B2019" s="195" t="s">
        <v>502</v>
      </c>
      <c r="C2019" s="196">
        <v>4.5</v>
      </c>
      <c r="D2019" s="196">
        <v>4.6100000000000003</v>
      </c>
      <c r="E2019" s="195" t="s">
        <v>589</v>
      </c>
      <c r="F2019" s="195" t="s">
        <v>430</v>
      </c>
    </row>
    <row r="2020" spans="1:6" x14ac:dyDescent="0.25">
      <c r="A2020" s="189" t="str">
        <f t="shared" si="31"/>
        <v>BA-MD 1464.54.65S</v>
      </c>
      <c r="B2020" s="195" t="s">
        <v>502</v>
      </c>
      <c r="C2020" s="196">
        <v>4.5</v>
      </c>
      <c r="D2020" s="196">
        <v>4.6500000000000004</v>
      </c>
      <c r="E2020" s="195" t="s">
        <v>595</v>
      </c>
      <c r="F2020" s="195" t="s">
        <v>438</v>
      </c>
    </row>
    <row r="2021" spans="1:6" x14ac:dyDescent="0.25">
      <c r="A2021" s="189" t="str">
        <f t="shared" si="31"/>
        <v>BA-MD 1464.614.65N</v>
      </c>
      <c r="B2021" s="195" t="s">
        <v>502</v>
      </c>
      <c r="C2021" s="196">
        <v>4.6100000000000003</v>
      </c>
      <c r="D2021" s="196">
        <v>4.6500000000000004</v>
      </c>
      <c r="E2021" s="195" t="s">
        <v>589</v>
      </c>
      <c r="F2021" s="195" t="s">
        <v>430</v>
      </c>
    </row>
    <row r="2022" spans="1:6" x14ac:dyDescent="0.25">
      <c r="A2022" s="189" t="str">
        <f t="shared" si="31"/>
        <v>BA-MD 1464.654.69S</v>
      </c>
      <c r="B2022" s="195" t="s">
        <v>502</v>
      </c>
      <c r="C2022" s="196">
        <v>4.6500000000000004</v>
      </c>
      <c r="D2022" s="196">
        <v>4.6900000000000004</v>
      </c>
      <c r="E2022" s="195" t="s">
        <v>595</v>
      </c>
      <c r="F2022" s="195" t="s">
        <v>438</v>
      </c>
    </row>
    <row r="2023" spans="1:6" x14ac:dyDescent="0.25">
      <c r="A2023" s="189" t="str">
        <f t="shared" si="31"/>
        <v>BA-MD 1464.654.84N</v>
      </c>
      <c r="B2023" s="195" t="s">
        <v>502</v>
      </c>
      <c r="C2023" s="196">
        <v>4.6500000000000004</v>
      </c>
      <c r="D2023" s="196">
        <v>4.84</v>
      </c>
      <c r="E2023" s="195" t="s">
        <v>589</v>
      </c>
      <c r="F2023" s="195" t="s">
        <v>430</v>
      </c>
    </row>
    <row r="2024" spans="1:6" x14ac:dyDescent="0.25">
      <c r="A2024" s="189" t="str">
        <f t="shared" si="31"/>
        <v>BA-MD 1464.694.91S</v>
      </c>
      <c r="B2024" s="195" t="s">
        <v>502</v>
      </c>
      <c r="C2024" s="196">
        <v>4.6900000000000004</v>
      </c>
      <c r="D2024" s="196">
        <v>4.91</v>
      </c>
      <c r="E2024" s="195" t="s">
        <v>595</v>
      </c>
      <c r="F2024" s="195" t="s">
        <v>438</v>
      </c>
    </row>
    <row r="2025" spans="1:6" x14ac:dyDescent="0.25">
      <c r="A2025" s="189" t="str">
        <f t="shared" si="31"/>
        <v>BA-MD 1464.845.96N</v>
      </c>
      <c r="B2025" s="195" t="s">
        <v>502</v>
      </c>
      <c r="C2025" s="196">
        <v>4.84</v>
      </c>
      <c r="D2025" s="196">
        <v>5.96</v>
      </c>
      <c r="E2025" s="195" t="s">
        <v>589</v>
      </c>
      <c r="F2025" s="195" t="s">
        <v>430</v>
      </c>
    </row>
    <row r="2026" spans="1:6" x14ac:dyDescent="0.25">
      <c r="A2026" s="189" t="str">
        <f t="shared" si="31"/>
        <v>BA-MD 1464.915.96S</v>
      </c>
      <c r="B2026" s="195" t="s">
        <v>502</v>
      </c>
      <c r="C2026" s="196">
        <v>4.91</v>
      </c>
      <c r="D2026" s="196">
        <v>5.96</v>
      </c>
      <c r="E2026" s="195" t="s">
        <v>595</v>
      </c>
      <c r="F2026" s="195" t="s">
        <v>438</v>
      </c>
    </row>
    <row r="2027" spans="1:6" x14ac:dyDescent="0.25">
      <c r="A2027" s="189" t="str">
        <f t="shared" si="31"/>
        <v>BA-MD 1465.966.82N</v>
      </c>
      <c r="B2027" s="195" t="s">
        <v>502</v>
      </c>
      <c r="C2027" s="196">
        <v>5.96</v>
      </c>
      <c r="D2027" s="196">
        <v>6.82</v>
      </c>
      <c r="E2027" s="195" t="s">
        <v>583</v>
      </c>
      <c r="F2027" s="195" t="s">
        <v>430</v>
      </c>
    </row>
    <row r="2028" spans="1:6" x14ac:dyDescent="0.25">
      <c r="A2028" s="189" t="str">
        <f t="shared" si="31"/>
        <v>BA-MD 1465.966.82S</v>
      </c>
      <c r="B2028" s="195" t="s">
        <v>502</v>
      </c>
      <c r="C2028" s="196">
        <v>5.96</v>
      </c>
      <c r="D2028" s="196">
        <v>6.82</v>
      </c>
      <c r="E2028" s="195" t="s">
        <v>583</v>
      </c>
      <c r="F2028" s="195" t="s">
        <v>438</v>
      </c>
    </row>
    <row r="2029" spans="1:6" x14ac:dyDescent="0.25">
      <c r="A2029" s="189" t="str">
        <f t="shared" si="31"/>
        <v>BA-MD 1466.829.06N</v>
      </c>
      <c r="B2029" s="195" t="s">
        <v>502</v>
      </c>
      <c r="C2029" s="196">
        <v>6.82</v>
      </c>
      <c r="D2029" s="196">
        <v>9.06</v>
      </c>
      <c r="E2029" s="195" t="s">
        <v>583</v>
      </c>
      <c r="F2029" s="195" t="s">
        <v>430</v>
      </c>
    </row>
    <row r="2030" spans="1:6" x14ac:dyDescent="0.25">
      <c r="A2030" s="189" t="str">
        <f t="shared" si="31"/>
        <v>BA-MD 1466.829.06S</v>
      </c>
      <c r="B2030" s="195" t="s">
        <v>502</v>
      </c>
      <c r="C2030" s="196">
        <v>6.82</v>
      </c>
      <c r="D2030" s="196">
        <v>9.06</v>
      </c>
      <c r="E2030" s="195" t="s">
        <v>583</v>
      </c>
      <c r="F2030" s="195" t="s">
        <v>438</v>
      </c>
    </row>
    <row r="2031" spans="1:6" x14ac:dyDescent="0.25">
      <c r="A2031" s="189" t="str">
        <f t="shared" si="31"/>
        <v>BA-MD 1469.069.17N</v>
      </c>
      <c r="B2031" s="195" t="s">
        <v>502</v>
      </c>
      <c r="C2031" s="196">
        <v>9.06</v>
      </c>
      <c r="D2031" s="196">
        <v>9.17</v>
      </c>
      <c r="E2031" s="195" t="s">
        <v>589</v>
      </c>
      <c r="F2031" s="195" t="s">
        <v>430</v>
      </c>
    </row>
    <row r="2032" spans="1:6" x14ac:dyDescent="0.25">
      <c r="A2032" s="189" t="str">
        <f t="shared" si="31"/>
        <v>BA-MD 1469.069.24S</v>
      </c>
      <c r="B2032" s="195" t="s">
        <v>502</v>
      </c>
      <c r="C2032" s="196">
        <v>9.06</v>
      </c>
      <c r="D2032" s="196">
        <v>9.24</v>
      </c>
      <c r="E2032" s="195" t="s">
        <v>595</v>
      </c>
      <c r="F2032" s="195" t="s">
        <v>438</v>
      </c>
    </row>
    <row r="2033" spans="1:6" x14ac:dyDescent="0.25">
      <c r="A2033" s="189" t="str">
        <f t="shared" si="31"/>
        <v>BA-MD 1469.179.24N</v>
      </c>
      <c r="B2033" s="195" t="s">
        <v>502</v>
      </c>
      <c r="C2033" s="196">
        <v>9.17</v>
      </c>
      <c r="D2033" s="196">
        <v>9.24</v>
      </c>
      <c r="E2033" s="195" t="s">
        <v>589</v>
      </c>
      <c r="F2033" s="195" t="s">
        <v>430</v>
      </c>
    </row>
    <row r="2034" spans="1:6" x14ac:dyDescent="0.25">
      <c r="A2034" s="189" t="str">
        <f t="shared" si="31"/>
        <v>BA-MD 1469.249.35N</v>
      </c>
      <c r="B2034" s="195" t="s">
        <v>502</v>
      </c>
      <c r="C2034" s="196">
        <v>9.24</v>
      </c>
      <c r="D2034" s="196">
        <v>9.35</v>
      </c>
      <c r="E2034" s="195" t="s">
        <v>583</v>
      </c>
      <c r="F2034" s="195" t="s">
        <v>430</v>
      </c>
    </row>
    <row r="2035" spans="1:6" x14ac:dyDescent="0.25">
      <c r="A2035" s="189" t="str">
        <f t="shared" si="31"/>
        <v>BA-MD 1469.249.35S</v>
      </c>
      <c r="B2035" s="195" t="s">
        <v>502</v>
      </c>
      <c r="C2035" s="196">
        <v>9.24</v>
      </c>
      <c r="D2035" s="196">
        <v>9.35</v>
      </c>
      <c r="E2035" s="195" t="s">
        <v>583</v>
      </c>
      <c r="F2035" s="195" t="s">
        <v>438</v>
      </c>
    </row>
    <row r="2036" spans="1:6" x14ac:dyDescent="0.25">
      <c r="A2036" s="189" t="str">
        <f t="shared" si="31"/>
        <v>BA-MD 1469.3511.67N</v>
      </c>
      <c r="B2036" s="195" t="s">
        <v>502</v>
      </c>
      <c r="C2036" s="196">
        <v>9.35</v>
      </c>
      <c r="D2036" s="196">
        <v>11.67</v>
      </c>
      <c r="E2036" s="195" t="s">
        <v>583</v>
      </c>
      <c r="F2036" s="195" t="s">
        <v>430</v>
      </c>
    </row>
    <row r="2037" spans="1:6" x14ac:dyDescent="0.25">
      <c r="A2037" s="189" t="str">
        <f t="shared" si="31"/>
        <v>BA-MD 1469.3511.67S</v>
      </c>
      <c r="B2037" s="195" t="s">
        <v>502</v>
      </c>
      <c r="C2037" s="196">
        <v>9.35</v>
      </c>
      <c r="D2037" s="196">
        <v>11.67</v>
      </c>
      <c r="E2037" s="195" t="s">
        <v>583</v>
      </c>
      <c r="F2037" s="195" t="s">
        <v>438</v>
      </c>
    </row>
    <row r="2038" spans="1:6" x14ac:dyDescent="0.25">
      <c r="A2038" s="189" t="str">
        <f t="shared" si="31"/>
        <v>BA-MD 146A3.583.8E</v>
      </c>
      <c r="B2038" s="195" t="s">
        <v>1606</v>
      </c>
      <c r="C2038" s="196">
        <v>3.58</v>
      </c>
      <c r="D2038" s="196">
        <v>3.8</v>
      </c>
      <c r="E2038" s="195" t="s">
        <v>583</v>
      </c>
      <c r="F2038" s="195" t="s">
        <v>19</v>
      </c>
    </row>
    <row r="2039" spans="1:6" x14ac:dyDescent="0.25">
      <c r="A2039" s="189" t="str">
        <f t="shared" si="31"/>
        <v>BA-MD 146A3.583.8W</v>
      </c>
      <c r="B2039" s="195" t="s">
        <v>1606</v>
      </c>
      <c r="C2039" s="196">
        <v>3.58</v>
      </c>
      <c r="D2039" s="196">
        <v>3.8</v>
      </c>
      <c r="E2039" s="195" t="s">
        <v>583</v>
      </c>
      <c r="F2039" s="195" t="s">
        <v>432</v>
      </c>
    </row>
    <row r="2040" spans="1:6" x14ac:dyDescent="0.25">
      <c r="A2040" s="189" t="str">
        <f t="shared" si="31"/>
        <v>BA-MD 14701.23N</v>
      </c>
      <c r="B2040" s="195" t="s">
        <v>1607</v>
      </c>
      <c r="C2040" s="196">
        <v>0</v>
      </c>
      <c r="D2040" s="196">
        <v>1.23</v>
      </c>
      <c r="E2040" s="195" t="s">
        <v>583</v>
      </c>
      <c r="F2040" s="195" t="s">
        <v>430</v>
      </c>
    </row>
    <row r="2041" spans="1:6" x14ac:dyDescent="0.25">
      <c r="A2041" s="189" t="str">
        <f t="shared" si="31"/>
        <v>BA-MD 14701.23S</v>
      </c>
      <c r="B2041" s="195" t="s">
        <v>1607</v>
      </c>
      <c r="C2041" s="196">
        <v>0</v>
      </c>
      <c r="D2041" s="196">
        <v>1.23</v>
      </c>
      <c r="E2041" s="195" t="s">
        <v>583</v>
      </c>
      <c r="F2041" s="195" t="s">
        <v>438</v>
      </c>
    </row>
    <row r="2042" spans="1:6" x14ac:dyDescent="0.25">
      <c r="A2042" s="189" t="str">
        <f t="shared" si="31"/>
        <v>BA-MD 1471.51.67N</v>
      </c>
      <c r="B2042" s="195" t="s">
        <v>1607</v>
      </c>
      <c r="C2042" s="196">
        <v>1.5</v>
      </c>
      <c r="D2042" s="196">
        <v>1.67</v>
      </c>
      <c r="E2042" s="195" t="s">
        <v>583</v>
      </c>
      <c r="F2042" s="195" t="s">
        <v>430</v>
      </c>
    </row>
    <row r="2043" spans="1:6" x14ac:dyDescent="0.25">
      <c r="A2043" s="189" t="str">
        <f t="shared" si="31"/>
        <v>BA-MD 1471.51.67S</v>
      </c>
      <c r="B2043" s="195" t="s">
        <v>1607</v>
      </c>
      <c r="C2043" s="196">
        <v>1.5</v>
      </c>
      <c r="D2043" s="196">
        <v>1.67</v>
      </c>
      <c r="E2043" s="195" t="s">
        <v>583</v>
      </c>
      <c r="F2043" s="195" t="s">
        <v>438</v>
      </c>
    </row>
    <row r="2044" spans="1:6" x14ac:dyDescent="0.25">
      <c r="A2044" s="189" t="str">
        <f t="shared" si="31"/>
        <v>BA-MD 1471.671.96N</v>
      </c>
      <c r="B2044" s="195" t="s">
        <v>1607</v>
      </c>
      <c r="C2044" s="196">
        <v>1.67</v>
      </c>
      <c r="D2044" s="196">
        <v>1.96</v>
      </c>
      <c r="E2044" s="195" t="s">
        <v>583</v>
      </c>
      <c r="F2044" s="195" t="s">
        <v>430</v>
      </c>
    </row>
    <row r="2045" spans="1:6" x14ac:dyDescent="0.25">
      <c r="A2045" s="189" t="str">
        <f t="shared" si="31"/>
        <v>BA-MD 1471.671.96S</v>
      </c>
      <c r="B2045" s="195" t="s">
        <v>1607</v>
      </c>
      <c r="C2045" s="196">
        <v>1.67</v>
      </c>
      <c r="D2045" s="196">
        <v>1.96</v>
      </c>
      <c r="E2045" s="195" t="s">
        <v>583</v>
      </c>
      <c r="F2045" s="195" t="s">
        <v>438</v>
      </c>
    </row>
    <row r="2046" spans="1:6" x14ac:dyDescent="0.25">
      <c r="A2046" s="189" t="str">
        <f t="shared" si="31"/>
        <v>BA-MD 1471.962.04N</v>
      </c>
      <c r="B2046" s="195" t="s">
        <v>1607</v>
      </c>
      <c r="C2046" s="196">
        <v>1.96</v>
      </c>
      <c r="D2046" s="196">
        <v>2.04</v>
      </c>
      <c r="E2046" s="195" t="s">
        <v>589</v>
      </c>
      <c r="F2046" s="195" t="s">
        <v>430</v>
      </c>
    </row>
    <row r="2047" spans="1:6" x14ac:dyDescent="0.25">
      <c r="A2047" s="189" t="str">
        <f t="shared" si="31"/>
        <v>BA-MD 1471.962.3S</v>
      </c>
      <c r="B2047" s="195" t="s">
        <v>1607</v>
      </c>
      <c r="C2047" s="196">
        <v>1.96</v>
      </c>
      <c r="D2047" s="196">
        <v>2.2999999999999998</v>
      </c>
      <c r="E2047" s="195" t="s">
        <v>595</v>
      </c>
      <c r="F2047" s="195" t="s">
        <v>438</v>
      </c>
    </row>
    <row r="2048" spans="1:6" x14ac:dyDescent="0.25">
      <c r="A2048" s="189" t="str">
        <f t="shared" si="31"/>
        <v>BA-MD 1472.042.1N</v>
      </c>
      <c r="B2048" s="195" t="s">
        <v>1607</v>
      </c>
      <c r="C2048" s="196">
        <v>2.04</v>
      </c>
      <c r="D2048" s="196">
        <v>2.1</v>
      </c>
      <c r="E2048" s="195" t="s">
        <v>589</v>
      </c>
      <c r="F2048" s="195" t="s">
        <v>430</v>
      </c>
    </row>
    <row r="2049" spans="1:6" x14ac:dyDescent="0.25">
      <c r="A2049" s="189" t="str">
        <f t="shared" si="31"/>
        <v>BA-MD 1472.12.3N</v>
      </c>
      <c r="B2049" s="195" t="s">
        <v>1607</v>
      </c>
      <c r="C2049" s="196">
        <v>2.1</v>
      </c>
      <c r="D2049" s="196">
        <v>2.2999999999999998</v>
      </c>
      <c r="E2049" s="195" t="s">
        <v>589</v>
      </c>
      <c r="F2049" s="195" t="s">
        <v>430</v>
      </c>
    </row>
    <row r="2050" spans="1:6" x14ac:dyDescent="0.25">
      <c r="A2050" s="189" t="str">
        <f t="shared" si="31"/>
        <v>BA-MD 1472.32.72N</v>
      </c>
      <c r="B2050" s="195" t="s">
        <v>1607</v>
      </c>
      <c r="C2050" s="196">
        <v>2.2999999999999998</v>
      </c>
      <c r="D2050" s="196">
        <v>2.72</v>
      </c>
      <c r="E2050" s="195" t="s">
        <v>583</v>
      </c>
      <c r="F2050" s="195" t="s">
        <v>430</v>
      </c>
    </row>
    <row r="2051" spans="1:6" x14ac:dyDescent="0.25">
      <c r="A2051" s="189" t="str">
        <f t="shared" ref="A2051:A2114" si="32">B2051&amp;C2051&amp;D2051&amp;F2051</f>
        <v>BA-MD 1472.32.72S</v>
      </c>
      <c r="B2051" s="195" t="s">
        <v>1607</v>
      </c>
      <c r="C2051" s="196">
        <v>2.2999999999999998</v>
      </c>
      <c r="D2051" s="196">
        <v>2.72</v>
      </c>
      <c r="E2051" s="195" t="s">
        <v>583</v>
      </c>
      <c r="F2051" s="195" t="s">
        <v>438</v>
      </c>
    </row>
    <row r="2052" spans="1:6" x14ac:dyDescent="0.25">
      <c r="A2052" s="189" t="str">
        <f t="shared" si="32"/>
        <v>BA-MD 1472.722.9N</v>
      </c>
      <c r="B2052" s="195" t="s">
        <v>1607</v>
      </c>
      <c r="C2052" s="196">
        <v>2.72</v>
      </c>
      <c r="D2052" s="196">
        <v>2.9</v>
      </c>
      <c r="E2052" s="195" t="s">
        <v>583</v>
      </c>
      <c r="F2052" s="195" t="s">
        <v>430</v>
      </c>
    </row>
    <row r="2053" spans="1:6" x14ac:dyDescent="0.25">
      <c r="A2053" s="189" t="str">
        <f t="shared" si="32"/>
        <v>BA-MD 1472.722.9S</v>
      </c>
      <c r="B2053" s="195" t="s">
        <v>1607</v>
      </c>
      <c r="C2053" s="196">
        <v>2.72</v>
      </c>
      <c r="D2053" s="196">
        <v>2.9</v>
      </c>
      <c r="E2053" s="195" t="s">
        <v>583</v>
      </c>
      <c r="F2053" s="195" t="s">
        <v>438</v>
      </c>
    </row>
    <row r="2054" spans="1:6" x14ac:dyDescent="0.25">
      <c r="A2054" s="189" t="str">
        <f t="shared" si="32"/>
        <v>BA-MD 1472.93.1N</v>
      </c>
      <c r="B2054" s="195" t="s">
        <v>1607</v>
      </c>
      <c r="C2054" s="196">
        <v>2.9</v>
      </c>
      <c r="D2054" s="196">
        <v>3.1</v>
      </c>
      <c r="E2054" s="195" t="s">
        <v>583</v>
      </c>
      <c r="F2054" s="195" t="s">
        <v>430</v>
      </c>
    </row>
    <row r="2055" spans="1:6" x14ac:dyDescent="0.25">
      <c r="A2055" s="189" t="str">
        <f t="shared" si="32"/>
        <v>BA-MD 1472.93.1S</v>
      </c>
      <c r="B2055" s="195" t="s">
        <v>1607</v>
      </c>
      <c r="C2055" s="196">
        <v>2.9</v>
      </c>
      <c r="D2055" s="196">
        <v>3.1</v>
      </c>
      <c r="E2055" s="195" t="s">
        <v>583</v>
      </c>
      <c r="F2055" s="195" t="s">
        <v>438</v>
      </c>
    </row>
    <row r="2056" spans="1:6" x14ac:dyDescent="0.25">
      <c r="A2056" s="189" t="str">
        <f t="shared" si="32"/>
        <v>BA-MD 1473.14.21N</v>
      </c>
      <c r="B2056" s="195" t="s">
        <v>1607</v>
      </c>
      <c r="C2056" s="196">
        <v>3.1</v>
      </c>
      <c r="D2056" s="196">
        <v>4.21</v>
      </c>
      <c r="E2056" s="195" t="s">
        <v>583</v>
      </c>
      <c r="F2056" s="195" t="s">
        <v>430</v>
      </c>
    </row>
    <row r="2057" spans="1:6" x14ac:dyDescent="0.25">
      <c r="A2057" s="189" t="str">
        <f t="shared" si="32"/>
        <v>BA-MD 1473.14.21S</v>
      </c>
      <c r="B2057" s="195" t="s">
        <v>1607</v>
      </c>
      <c r="C2057" s="196">
        <v>3.1</v>
      </c>
      <c r="D2057" s="196">
        <v>4.21</v>
      </c>
      <c r="E2057" s="195" t="s">
        <v>583</v>
      </c>
      <c r="F2057" s="195" t="s">
        <v>438</v>
      </c>
    </row>
    <row r="2058" spans="1:6" x14ac:dyDescent="0.25">
      <c r="A2058" s="189" t="str">
        <f t="shared" si="32"/>
        <v>BA-MD 1474.218.26N</v>
      </c>
      <c r="B2058" s="195" t="s">
        <v>1607</v>
      </c>
      <c r="C2058" s="196">
        <v>4.21</v>
      </c>
      <c r="D2058" s="196">
        <v>8.26</v>
      </c>
      <c r="E2058" s="195" t="s">
        <v>583</v>
      </c>
      <c r="F2058" s="195" t="s">
        <v>430</v>
      </c>
    </row>
    <row r="2059" spans="1:6" x14ac:dyDescent="0.25">
      <c r="A2059" s="189" t="str">
        <f t="shared" si="32"/>
        <v>BA-MD 1474.218.26S</v>
      </c>
      <c r="B2059" s="195" t="s">
        <v>1607</v>
      </c>
      <c r="C2059" s="196">
        <v>4.21</v>
      </c>
      <c r="D2059" s="196">
        <v>8.26</v>
      </c>
      <c r="E2059" s="195" t="s">
        <v>583</v>
      </c>
      <c r="F2059" s="195" t="s">
        <v>438</v>
      </c>
    </row>
    <row r="2060" spans="1:6" x14ac:dyDescent="0.25">
      <c r="A2060" s="189" t="str">
        <f t="shared" si="32"/>
        <v>BA-MD 1478.268.29N</v>
      </c>
      <c r="B2060" s="195" t="s">
        <v>1607</v>
      </c>
      <c r="C2060" s="196">
        <v>8.26</v>
      </c>
      <c r="D2060" s="196">
        <v>8.2899999999999991</v>
      </c>
      <c r="E2060" s="195" t="s">
        <v>583</v>
      </c>
      <c r="F2060" s="195" t="s">
        <v>430</v>
      </c>
    </row>
    <row r="2061" spans="1:6" x14ac:dyDescent="0.25">
      <c r="A2061" s="189" t="str">
        <f t="shared" si="32"/>
        <v>BA-MD 1478.268.29S</v>
      </c>
      <c r="B2061" s="195" t="s">
        <v>1607</v>
      </c>
      <c r="C2061" s="196">
        <v>8.26</v>
      </c>
      <c r="D2061" s="196">
        <v>8.2899999999999991</v>
      </c>
      <c r="E2061" s="195" t="s">
        <v>583</v>
      </c>
      <c r="F2061" s="195" t="s">
        <v>438</v>
      </c>
    </row>
    <row r="2062" spans="1:6" x14ac:dyDescent="0.25">
      <c r="A2062" s="189" t="str">
        <f t="shared" si="32"/>
        <v>BA-MD 1478.298.34N</v>
      </c>
      <c r="B2062" s="195" t="s">
        <v>1607</v>
      </c>
      <c r="C2062" s="196">
        <v>8.2899999999999991</v>
      </c>
      <c r="D2062" s="196">
        <v>8.34</v>
      </c>
      <c r="E2062" s="195" t="s">
        <v>583</v>
      </c>
      <c r="F2062" s="195" t="s">
        <v>430</v>
      </c>
    </row>
    <row r="2063" spans="1:6" x14ac:dyDescent="0.25">
      <c r="A2063" s="189" t="str">
        <f t="shared" si="32"/>
        <v>BA-MD 1478.298.34S</v>
      </c>
      <c r="B2063" s="195" t="s">
        <v>1607</v>
      </c>
      <c r="C2063" s="196">
        <v>8.2899999999999991</v>
      </c>
      <c r="D2063" s="196">
        <v>8.34</v>
      </c>
      <c r="E2063" s="195" t="s">
        <v>583</v>
      </c>
      <c r="F2063" s="195" t="s">
        <v>438</v>
      </c>
    </row>
    <row r="2064" spans="1:6" x14ac:dyDescent="0.25">
      <c r="A2064" s="189" t="str">
        <f t="shared" si="32"/>
        <v>BA-MD 1478.349.2N</v>
      </c>
      <c r="B2064" s="195" t="s">
        <v>1607</v>
      </c>
      <c r="C2064" s="196">
        <v>8.34</v>
      </c>
      <c r="D2064" s="196">
        <v>9.1999999999999993</v>
      </c>
      <c r="E2064" s="195" t="s">
        <v>583</v>
      </c>
      <c r="F2064" s="195" t="s">
        <v>430</v>
      </c>
    </row>
    <row r="2065" spans="1:6" x14ac:dyDescent="0.25">
      <c r="A2065" s="189" t="str">
        <f t="shared" si="32"/>
        <v>BA-MD 1478.349.2S</v>
      </c>
      <c r="B2065" s="195" t="s">
        <v>1607</v>
      </c>
      <c r="C2065" s="196">
        <v>8.34</v>
      </c>
      <c r="D2065" s="196">
        <v>9.1999999999999993</v>
      </c>
      <c r="E2065" s="195" t="s">
        <v>583</v>
      </c>
      <c r="F2065" s="195" t="s">
        <v>438</v>
      </c>
    </row>
    <row r="2066" spans="1:6" x14ac:dyDescent="0.25">
      <c r="A2066" s="189" t="str">
        <f t="shared" si="32"/>
        <v>BA-MD 1479.29.22N</v>
      </c>
      <c r="B2066" s="195" t="s">
        <v>1607</v>
      </c>
      <c r="C2066" s="196">
        <v>9.1999999999999993</v>
      </c>
      <c r="D2066" s="196">
        <v>9.2200000000000006</v>
      </c>
      <c r="E2066" s="195" t="s">
        <v>583</v>
      </c>
      <c r="F2066" s="195" t="s">
        <v>430</v>
      </c>
    </row>
    <row r="2067" spans="1:6" x14ac:dyDescent="0.25">
      <c r="A2067" s="189" t="str">
        <f t="shared" si="32"/>
        <v>BA-MD 1479.29.22S</v>
      </c>
      <c r="B2067" s="195" t="s">
        <v>1607</v>
      </c>
      <c r="C2067" s="196">
        <v>9.1999999999999993</v>
      </c>
      <c r="D2067" s="196">
        <v>9.2200000000000006</v>
      </c>
      <c r="E2067" s="195" t="s">
        <v>583</v>
      </c>
      <c r="F2067" s="195" t="s">
        <v>438</v>
      </c>
    </row>
    <row r="2068" spans="1:6" x14ac:dyDescent="0.25">
      <c r="A2068" s="189" t="str">
        <f t="shared" si="32"/>
        <v>BA-MD 1479.2210.69N</v>
      </c>
      <c r="B2068" s="195" t="s">
        <v>1607</v>
      </c>
      <c r="C2068" s="196">
        <v>9.2200000000000006</v>
      </c>
      <c r="D2068" s="196">
        <v>10.69</v>
      </c>
      <c r="E2068" s="195" t="s">
        <v>583</v>
      </c>
      <c r="F2068" s="195" t="s">
        <v>430</v>
      </c>
    </row>
    <row r="2069" spans="1:6" x14ac:dyDescent="0.25">
      <c r="A2069" s="189" t="str">
        <f t="shared" si="32"/>
        <v>BA-MD 1479.2210.69S</v>
      </c>
      <c r="B2069" s="195" t="s">
        <v>1607</v>
      </c>
      <c r="C2069" s="196">
        <v>9.2200000000000006</v>
      </c>
      <c r="D2069" s="196">
        <v>10.69</v>
      </c>
      <c r="E2069" s="195" t="s">
        <v>583</v>
      </c>
      <c r="F2069" s="195" t="s">
        <v>438</v>
      </c>
    </row>
    <row r="2070" spans="1:6" x14ac:dyDescent="0.25">
      <c r="A2070" s="189" t="str">
        <f t="shared" si="32"/>
        <v>BA-MD 1507.67.99E</v>
      </c>
      <c r="B2070" s="195" t="s">
        <v>1608</v>
      </c>
      <c r="C2070" s="196">
        <v>7.6</v>
      </c>
      <c r="D2070" s="196">
        <v>7.99</v>
      </c>
      <c r="E2070" s="195" t="s">
        <v>583</v>
      </c>
      <c r="F2070" s="195" t="s">
        <v>19</v>
      </c>
    </row>
    <row r="2071" spans="1:6" x14ac:dyDescent="0.25">
      <c r="A2071" s="189" t="str">
        <f t="shared" si="32"/>
        <v>BA-MD 1507.67.99W</v>
      </c>
      <c r="B2071" s="195" t="s">
        <v>1608</v>
      </c>
      <c r="C2071" s="196">
        <v>7.6</v>
      </c>
      <c r="D2071" s="196">
        <v>7.99</v>
      </c>
      <c r="E2071" s="195" t="s">
        <v>583</v>
      </c>
      <c r="F2071" s="195" t="s">
        <v>432</v>
      </c>
    </row>
    <row r="2072" spans="1:6" x14ac:dyDescent="0.25">
      <c r="A2072" s="189" t="str">
        <f t="shared" si="32"/>
        <v>BA-MD 1507.998.6E</v>
      </c>
      <c r="B2072" s="195" t="s">
        <v>1608</v>
      </c>
      <c r="C2072" s="196">
        <v>7.99</v>
      </c>
      <c r="D2072" s="196">
        <v>8.6</v>
      </c>
      <c r="E2072" s="195" t="s">
        <v>583</v>
      </c>
      <c r="F2072" s="195" t="s">
        <v>19</v>
      </c>
    </row>
    <row r="2073" spans="1:6" x14ac:dyDescent="0.25">
      <c r="A2073" s="189" t="str">
        <f t="shared" si="32"/>
        <v>BA-MD 1507.998.6W</v>
      </c>
      <c r="B2073" s="195" t="s">
        <v>1608</v>
      </c>
      <c r="C2073" s="196">
        <v>7.99</v>
      </c>
      <c r="D2073" s="196">
        <v>8.6</v>
      </c>
      <c r="E2073" s="195" t="s">
        <v>583</v>
      </c>
      <c r="F2073" s="195" t="s">
        <v>432</v>
      </c>
    </row>
    <row r="2074" spans="1:6" x14ac:dyDescent="0.25">
      <c r="A2074" s="189" t="str">
        <f t="shared" si="32"/>
        <v>BA-MD 1508.610.58E</v>
      </c>
      <c r="B2074" s="195" t="s">
        <v>1608</v>
      </c>
      <c r="C2074" s="196">
        <v>8.6</v>
      </c>
      <c r="D2074" s="196">
        <v>10.58</v>
      </c>
      <c r="E2074" s="195" t="s">
        <v>583</v>
      </c>
      <c r="F2074" s="195" t="s">
        <v>19</v>
      </c>
    </row>
    <row r="2075" spans="1:6" x14ac:dyDescent="0.25">
      <c r="A2075" s="189" t="str">
        <f t="shared" si="32"/>
        <v>BA-MD 1508.610.58W</v>
      </c>
      <c r="B2075" s="195" t="s">
        <v>1608</v>
      </c>
      <c r="C2075" s="196">
        <v>8.6</v>
      </c>
      <c r="D2075" s="196">
        <v>10.58</v>
      </c>
      <c r="E2075" s="195" t="s">
        <v>583</v>
      </c>
      <c r="F2075" s="195" t="s">
        <v>432</v>
      </c>
    </row>
    <row r="2076" spans="1:6" x14ac:dyDescent="0.25">
      <c r="A2076" s="189" t="str">
        <f t="shared" si="32"/>
        <v>BA-MD 150 RP1-100.11E</v>
      </c>
      <c r="B2076" s="195" t="s">
        <v>1609</v>
      </c>
      <c r="C2076" s="196">
        <v>0</v>
      </c>
      <c r="D2076" s="196">
        <v>0.11</v>
      </c>
      <c r="E2076" s="195" t="s">
        <v>598</v>
      </c>
      <c r="F2076" s="195" t="s">
        <v>19</v>
      </c>
    </row>
    <row r="2077" spans="1:6" x14ac:dyDescent="0.25">
      <c r="A2077" s="189" t="str">
        <f t="shared" si="32"/>
        <v>BA-MD 150 RP1-500.12E</v>
      </c>
      <c r="B2077" s="195" t="s">
        <v>1610</v>
      </c>
      <c r="C2077" s="196">
        <v>0</v>
      </c>
      <c r="D2077" s="196">
        <v>0.12</v>
      </c>
      <c r="E2077" s="195" t="s">
        <v>598</v>
      </c>
      <c r="F2077" s="195" t="s">
        <v>19</v>
      </c>
    </row>
    <row r="2078" spans="1:6" x14ac:dyDescent="0.25">
      <c r="A2078" s="189" t="str">
        <f t="shared" si="32"/>
        <v>BA-MD 150 RP2-100.13E</v>
      </c>
      <c r="B2078" s="195" t="s">
        <v>1611</v>
      </c>
      <c r="C2078" s="196">
        <v>0</v>
      </c>
      <c r="D2078" s="196">
        <v>0.13</v>
      </c>
      <c r="E2078" s="195" t="s">
        <v>598</v>
      </c>
      <c r="F2078" s="195" t="s">
        <v>19</v>
      </c>
    </row>
    <row r="2079" spans="1:6" x14ac:dyDescent="0.25">
      <c r="A2079" s="189" t="str">
        <f t="shared" si="32"/>
        <v>BA-MD 150 RP2-500.19N</v>
      </c>
      <c r="B2079" s="195" t="s">
        <v>1612</v>
      </c>
      <c r="C2079" s="196">
        <v>0</v>
      </c>
      <c r="D2079" s="196">
        <v>0.19</v>
      </c>
      <c r="E2079" s="195" t="s">
        <v>589</v>
      </c>
      <c r="F2079" s="195" t="s">
        <v>430</v>
      </c>
    </row>
    <row r="2080" spans="1:6" x14ac:dyDescent="0.25">
      <c r="A2080" s="189" t="str">
        <f t="shared" si="32"/>
        <v>BA-MD 150 RP3-100.14S</v>
      </c>
      <c r="B2080" s="195" t="s">
        <v>1613</v>
      </c>
      <c r="C2080" s="196">
        <v>0</v>
      </c>
      <c r="D2080" s="196">
        <v>0.14000000000000001</v>
      </c>
      <c r="E2080" s="195" t="s">
        <v>595</v>
      </c>
      <c r="F2080" s="195" t="s">
        <v>438</v>
      </c>
    </row>
    <row r="2081" spans="1:6" x14ac:dyDescent="0.25">
      <c r="A2081" s="189" t="str">
        <f t="shared" si="32"/>
        <v>BA-MD 150 RP3-500.11S</v>
      </c>
      <c r="B2081" s="195" t="s">
        <v>1614</v>
      </c>
      <c r="C2081" s="196">
        <v>0</v>
      </c>
      <c r="D2081" s="196">
        <v>0.11</v>
      </c>
      <c r="E2081" s="195" t="s">
        <v>595</v>
      </c>
      <c r="F2081" s="195" t="s">
        <v>438</v>
      </c>
    </row>
    <row r="2082" spans="1:6" x14ac:dyDescent="0.25">
      <c r="A2082" s="189" t="str">
        <f t="shared" si="32"/>
        <v>BA-MD 150 RP4-100.23E</v>
      </c>
      <c r="B2082" s="195" t="s">
        <v>1615</v>
      </c>
      <c r="C2082" s="196">
        <v>0</v>
      </c>
      <c r="D2082" s="196">
        <v>0.23</v>
      </c>
      <c r="E2082" s="195" t="s">
        <v>598</v>
      </c>
      <c r="F2082" s="195" t="s">
        <v>19</v>
      </c>
    </row>
    <row r="2083" spans="1:6" x14ac:dyDescent="0.25">
      <c r="A2083" s="189" t="str">
        <f t="shared" si="32"/>
        <v>BA-MD 150 RP5-100.15W</v>
      </c>
      <c r="B2083" s="195" t="s">
        <v>1616</v>
      </c>
      <c r="C2083" s="196">
        <v>0</v>
      </c>
      <c r="D2083" s="196">
        <v>0.15</v>
      </c>
      <c r="E2083" s="195" t="s">
        <v>593</v>
      </c>
      <c r="F2083" s="195" t="s">
        <v>432</v>
      </c>
    </row>
    <row r="2084" spans="1:6" x14ac:dyDescent="0.25">
      <c r="A2084" s="189" t="str">
        <f t="shared" si="32"/>
        <v>BA-MD 150 RP5-500.1S</v>
      </c>
      <c r="B2084" s="195" t="s">
        <v>1617</v>
      </c>
      <c r="C2084" s="196">
        <v>0</v>
      </c>
      <c r="D2084" s="196">
        <v>0.1</v>
      </c>
      <c r="E2084" s="195" t="s">
        <v>595</v>
      </c>
      <c r="F2084" s="195" t="s">
        <v>438</v>
      </c>
    </row>
    <row r="2085" spans="1:6" x14ac:dyDescent="0.25">
      <c r="A2085" s="189" t="str">
        <f t="shared" si="32"/>
        <v>BA-MD 150 RP6-100.15S</v>
      </c>
      <c r="B2085" s="195" t="s">
        <v>1618</v>
      </c>
      <c r="C2085" s="196">
        <v>0</v>
      </c>
      <c r="D2085" s="196">
        <v>0.15</v>
      </c>
      <c r="E2085" s="195" t="s">
        <v>595</v>
      </c>
      <c r="F2085" s="195" t="s">
        <v>438</v>
      </c>
    </row>
    <row r="2086" spans="1:6" x14ac:dyDescent="0.25">
      <c r="A2086" s="189" t="str">
        <f t="shared" si="32"/>
        <v>BA-MD 150 RP7-100.16N</v>
      </c>
      <c r="B2086" s="195" t="s">
        <v>1619</v>
      </c>
      <c r="C2086" s="196">
        <v>0</v>
      </c>
      <c r="D2086" s="196">
        <v>0.16</v>
      </c>
      <c r="E2086" s="195" t="s">
        <v>589</v>
      </c>
      <c r="F2086" s="195" t="s">
        <v>430</v>
      </c>
    </row>
    <row r="2087" spans="1:6" x14ac:dyDescent="0.25">
      <c r="A2087" s="189" t="str">
        <f t="shared" si="32"/>
        <v>BA-MD 150 RP8-100.26W</v>
      </c>
      <c r="B2087" s="195" t="s">
        <v>1620</v>
      </c>
      <c r="C2087" s="196">
        <v>0</v>
      </c>
      <c r="D2087" s="196">
        <v>0.26</v>
      </c>
      <c r="E2087" s="195" t="s">
        <v>593</v>
      </c>
      <c r="F2087" s="195" t="s">
        <v>432</v>
      </c>
    </row>
    <row r="2088" spans="1:6" x14ac:dyDescent="0.25">
      <c r="A2088" s="189" t="str">
        <f t="shared" si="32"/>
        <v>BA-MD 150 RP8-500.13S</v>
      </c>
      <c r="B2088" s="195" t="s">
        <v>1621</v>
      </c>
      <c r="C2088" s="196">
        <v>0</v>
      </c>
      <c r="D2088" s="196">
        <v>0.13</v>
      </c>
      <c r="E2088" s="195" t="s">
        <v>595</v>
      </c>
      <c r="F2088" s="195" t="s">
        <v>438</v>
      </c>
    </row>
    <row r="2089" spans="1:6" x14ac:dyDescent="0.25">
      <c r="A2089" s="189" t="str">
        <f t="shared" si="32"/>
        <v>BA-MD 151 RP1-600.18N</v>
      </c>
      <c r="B2089" s="195" t="s">
        <v>1622</v>
      </c>
      <c r="C2089" s="196">
        <v>0</v>
      </c>
      <c r="D2089" s="196">
        <v>0.18</v>
      </c>
      <c r="E2089" s="195" t="s">
        <v>589</v>
      </c>
      <c r="F2089" s="195" t="s">
        <v>430</v>
      </c>
    </row>
    <row r="2090" spans="1:6" x14ac:dyDescent="0.25">
      <c r="A2090" s="189" t="str">
        <f t="shared" si="32"/>
        <v>BA-MD 151 RP2-100.12W</v>
      </c>
      <c r="B2090" s="195" t="s">
        <v>1623</v>
      </c>
      <c r="C2090" s="196">
        <v>0</v>
      </c>
      <c r="D2090" s="196">
        <v>0.12</v>
      </c>
      <c r="E2090" s="195" t="s">
        <v>593</v>
      </c>
      <c r="F2090" s="195" t="s">
        <v>432</v>
      </c>
    </row>
    <row r="2091" spans="1:6" x14ac:dyDescent="0.25">
      <c r="A2091" s="189" t="str">
        <f t="shared" si="32"/>
        <v>BA-MD 151 RP3-100.18E</v>
      </c>
      <c r="B2091" s="195" t="s">
        <v>1624</v>
      </c>
      <c r="C2091" s="196">
        <v>0</v>
      </c>
      <c r="D2091" s="196">
        <v>0.18</v>
      </c>
      <c r="E2091" s="195" t="s">
        <v>598</v>
      </c>
      <c r="F2091" s="195" t="s">
        <v>19</v>
      </c>
    </row>
    <row r="2092" spans="1:6" x14ac:dyDescent="0.25">
      <c r="A2092" s="189" t="str">
        <f t="shared" si="32"/>
        <v>BA-MD 151 RP4-100.2N</v>
      </c>
      <c r="B2092" s="195" t="s">
        <v>1625</v>
      </c>
      <c r="C2092" s="196">
        <v>0</v>
      </c>
      <c r="D2092" s="196">
        <v>0.2</v>
      </c>
      <c r="E2092" s="195" t="s">
        <v>589</v>
      </c>
      <c r="F2092" s="195" t="s">
        <v>430</v>
      </c>
    </row>
    <row r="2093" spans="1:6" x14ac:dyDescent="0.25">
      <c r="A2093" s="189" t="str">
        <f t="shared" si="32"/>
        <v>BA-MD 151 RP4-600.09N</v>
      </c>
      <c r="B2093" s="195" t="s">
        <v>1626</v>
      </c>
      <c r="C2093" s="196">
        <v>0</v>
      </c>
      <c r="D2093" s="196">
        <v>0.09</v>
      </c>
      <c r="E2093" s="195" t="s">
        <v>589</v>
      </c>
      <c r="F2093" s="195" t="s">
        <v>430</v>
      </c>
    </row>
    <row r="2094" spans="1:6" x14ac:dyDescent="0.25">
      <c r="A2094" s="189" t="str">
        <f t="shared" si="32"/>
        <v>BA-MD 151 RP5-100.03W</v>
      </c>
      <c r="B2094" s="195" t="s">
        <v>1627</v>
      </c>
      <c r="C2094" s="196">
        <v>0</v>
      </c>
      <c r="D2094" s="196">
        <v>0.03</v>
      </c>
      <c r="E2094" s="195" t="s">
        <v>593</v>
      </c>
      <c r="F2094" s="195" t="s">
        <v>432</v>
      </c>
    </row>
    <row r="2095" spans="1:6" x14ac:dyDescent="0.25">
      <c r="A2095" s="189" t="str">
        <f t="shared" si="32"/>
        <v>BA-MD 151 RP6-600.13S</v>
      </c>
      <c r="B2095" s="195" t="s">
        <v>1628</v>
      </c>
      <c r="C2095" s="196">
        <v>0</v>
      </c>
      <c r="D2095" s="196">
        <v>0.13</v>
      </c>
      <c r="E2095" s="195" t="s">
        <v>595</v>
      </c>
      <c r="F2095" s="195" t="s">
        <v>438</v>
      </c>
    </row>
    <row r="2096" spans="1:6" x14ac:dyDescent="0.25">
      <c r="A2096" s="189" t="str">
        <f t="shared" si="32"/>
        <v>BA-MD 151 RP7-100.06W</v>
      </c>
      <c r="B2096" s="195" t="s">
        <v>1629</v>
      </c>
      <c r="C2096" s="196">
        <v>0</v>
      </c>
      <c r="D2096" s="196">
        <v>0.06</v>
      </c>
      <c r="E2096" s="195" t="s">
        <v>593</v>
      </c>
      <c r="F2096" s="195" t="s">
        <v>432</v>
      </c>
    </row>
    <row r="2097" spans="1:6" x14ac:dyDescent="0.25">
      <c r="A2097" s="189" t="str">
        <f t="shared" si="32"/>
        <v>BA-MD 151 RP8-100.14S</v>
      </c>
      <c r="B2097" s="195" t="s">
        <v>1630</v>
      </c>
      <c r="C2097" s="196">
        <v>0</v>
      </c>
      <c r="D2097" s="196">
        <v>0.14000000000000001</v>
      </c>
      <c r="E2097" s="195" t="s">
        <v>595</v>
      </c>
      <c r="F2097" s="195" t="s">
        <v>438</v>
      </c>
    </row>
    <row r="2098" spans="1:6" x14ac:dyDescent="0.25">
      <c r="A2098" s="189" t="str">
        <f t="shared" si="32"/>
        <v>BA-MD 151 RP8-600.16S</v>
      </c>
      <c r="B2098" s="195" t="s">
        <v>1631</v>
      </c>
      <c r="C2098" s="196">
        <v>0</v>
      </c>
      <c r="D2098" s="196">
        <v>0.16</v>
      </c>
      <c r="E2098" s="195" t="s">
        <v>595</v>
      </c>
      <c r="F2098" s="195" t="s">
        <v>438</v>
      </c>
    </row>
    <row r="2099" spans="1:6" x14ac:dyDescent="0.25">
      <c r="A2099" s="189" t="str">
        <f t="shared" si="32"/>
        <v>BA-MD 151 RP9-100.07S</v>
      </c>
      <c r="B2099" s="195" t="s">
        <v>1632</v>
      </c>
      <c r="C2099" s="196">
        <v>0</v>
      </c>
      <c r="D2099" s="196">
        <v>7.0000000000000007E-2</v>
      </c>
      <c r="E2099" s="195" t="s">
        <v>595</v>
      </c>
      <c r="F2099" s="195" t="s">
        <v>438</v>
      </c>
    </row>
    <row r="2100" spans="1:6" x14ac:dyDescent="0.25">
      <c r="A2100" s="189" t="str">
        <f t="shared" si="32"/>
        <v>BA-MD 151A00.07N</v>
      </c>
      <c r="B2100" s="195" t="s">
        <v>1633</v>
      </c>
      <c r="C2100" s="196">
        <v>0</v>
      </c>
      <c r="D2100" s="196">
        <v>7.0000000000000007E-2</v>
      </c>
      <c r="E2100" s="195" t="s">
        <v>589</v>
      </c>
      <c r="F2100" s="195" t="s">
        <v>430</v>
      </c>
    </row>
    <row r="2101" spans="1:6" x14ac:dyDescent="0.25">
      <c r="A2101" s="189" t="str">
        <f t="shared" si="32"/>
        <v>BA-MD 15701.23S</v>
      </c>
      <c r="B2101" s="195" t="s">
        <v>493</v>
      </c>
      <c r="C2101" s="196">
        <v>0</v>
      </c>
      <c r="D2101" s="196">
        <v>1.23</v>
      </c>
      <c r="E2101" s="195" t="s">
        <v>595</v>
      </c>
      <c r="F2101" s="195" t="s">
        <v>438</v>
      </c>
    </row>
    <row r="2102" spans="1:6" x14ac:dyDescent="0.25">
      <c r="A2102" s="189" t="str">
        <f t="shared" si="32"/>
        <v>BA-MD 1570.21.23N</v>
      </c>
      <c r="B2102" s="195" t="s">
        <v>493</v>
      </c>
      <c r="C2102" s="196">
        <v>0.2</v>
      </c>
      <c r="D2102" s="196">
        <v>1.23</v>
      </c>
      <c r="E2102" s="195" t="s">
        <v>589</v>
      </c>
      <c r="F2102" s="195" t="s">
        <v>430</v>
      </c>
    </row>
    <row r="2103" spans="1:6" x14ac:dyDescent="0.25">
      <c r="A2103" s="189" t="str">
        <f t="shared" si="32"/>
        <v>BA-MD 15800.7E</v>
      </c>
      <c r="B2103" s="195" t="s">
        <v>1634</v>
      </c>
      <c r="C2103" s="196">
        <v>0</v>
      </c>
      <c r="D2103" s="196">
        <v>0.7</v>
      </c>
      <c r="E2103" s="195" t="s">
        <v>598</v>
      </c>
      <c r="F2103" s="195" t="s">
        <v>19</v>
      </c>
    </row>
    <row r="2104" spans="1:6" x14ac:dyDescent="0.25">
      <c r="A2104" s="189" t="str">
        <f t="shared" si="32"/>
        <v>BA-MD 15800.72W</v>
      </c>
      <c r="B2104" s="195" t="s">
        <v>1634</v>
      </c>
      <c r="C2104" s="196">
        <v>0</v>
      </c>
      <c r="D2104" s="196">
        <v>0.72</v>
      </c>
      <c r="E2104" s="195" t="s">
        <v>593</v>
      </c>
      <c r="F2104" s="195" t="s">
        <v>432</v>
      </c>
    </row>
    <row r="2105" spans="1:6" x14ac:dyDescent="0.25">
      <c r="A2105" s="189" t="str">
        <f t="shared" si="32"/>
        <v>BA-MD 1580.70.86E</v>
      </c>
      <c r="B2105" s="195" t="s">
        <v>1634</v>
      </c>
      <c r="C2105" s="196">
        <v>0.7</v>
      </c>
      <c r="D2105" s="196">
        <v>0.86</v>
      </c>
      <c r="E2105" s="195" t="s">
        <v>598</v>
      </c>
      <c r="F2105" s="195" t="s">
        <v>19</v>
      </c>
    </row>
    <row r="2106" spans="1:6" x14ac:dyDescent="0.25">
      <c r="A2106" s="189" t="str">
        <f t="shared" si="32"/>
        <v>BA-MD 1580.720.88W</v>
      </c>
      <c r="B2106" s="195" t="s">
        <v>1634</v>
      </c>
      <c r="C2106" s="196">
        <v>0.72</v>
      </c>
      <c r="D2106" s="196">
        <v>0.88</v>
      </c>
      <c r="E2106" s="195" t="s">
        <v>593</v>
      </c>
      <c r="F2106" s="195" t="s">
        <v>432</v>
      </c>
    </row>
    <row r="2107" spans="1:6" x14ac:dyDescent="0.25">
      <c r="A2107" s="189" t="str">
        <f t="shared" si="32"/>
        <v>BA-MD 16501.4N</v>
      </c>
      <c r="B2107" s="195" t="s">
        <v>1635</v>
      </c>
      <c r="C2107" s="196">
        <v>0</v>
      </c>
      <c r="D2107" s="196">
        <v>1.4</v>
      </c>
      <c r="E2107" s="195" t="s">
        <v>583</v>
      </c>
      <c r="F2107" s="195" t="s">
        <v>430</v>
      </c>
    </row>
    <row r="2108" spans="1:6" x14ac:dyDescent="0.25">
      <c r="A2108" s="189" t="str">
        <f t="shared" si="32"/>
        <v>BA-MD 16501.4S</v>
      </c>
      <c r="B2108" s="195" t="s">
        <v>1635</v>
      </c>
      <c r="C2108" s="196">
        <v>0</v>
      </c>
      <c r="D2108" s="196">
        <v>1.4</v>
      </c>
      <c r="E2108" s="195" t="s">
        <v>583</v>
      </c>
      <c r="F2108" s="195" t="s">
        <v>438</v>
      </c>
    </row>
    <row r="2109" spans="1:6" x14ac:dyDescent="0.25">
      <c r="A2109" s="189" t="str">
        <f t="shared" si="32"/>
        <v>BA-MD 1660.721.74N</v>
      </c>
      <c r="B2109" s="195" t="s">
        <v>1636</v>
      </c>
      <c r="C2109" s="196">
        <v>0.72</v>
      </c>
      <c r="D2109" s="196">
        <v>1.74</v>
      </c>
      <c r="E2109" s="195" t="s">
        <v>583</v>
      </c>
      <c r="F2109" s="195" t="s">
        <v>430</v>
      </c>
    </row>
    <row r="2110" spans="1:6" x14ac:dyDescent="0.25">
      <c r="A2110" s="189" t="str">
        <f t="shared" si="32"/>
        <v>BA-MD 1660.721.74S</v>
      </c>
      <c r="B2110" s="195" t="s">
        <v>1636</v>
      </c>
      <c r="C2110" s="196">
        <v>0.72</v>
      </c>
      <c r="D2110" s="196">
        <v>1.74</v>
      </c>
      <c r="E2110" s="195" t="s">
        <v>583</v>
      </c>
      <c r="F2110" s="195" t="s">
        <v>438</v>
      </c>
    </row>
    <row r="2111" spans="1:6" x14ac:dyDescent="0.25">
      <c r="A2111" s="189" t="str">
        <f t="shared" si="32"/>
        <v>BA-MD 1661.742.71N</v>
      </c>
      <c r="B2111" s="195" t="s">
        <v>1636</v>
      </c>
      <c r="C2111" s="196">
        <v>1.74</v>
      </c>
      <c r="D2111" s="196">
        <v>2.71</v>
      </c>
      <c r="E2111" s="195" t="s">
        <v>583</v>
      </c>
      <c r="F2111" s="195" t="s">
        <v>430</v>
      </c>
    </row>
    <row r="2112" spans="1:6" x14ac:dyDescent="0.25">
      <c r="A2112" s="189" t="str">
        <f t="shared" si="32"/>
        <v>BA-MD 1661.742.71S</v>
      </c>
      <c r="B2112" s="195" t="s">
        <v>1636</v>
      </c>
      <c r="C2112" s="196">
        <v>1.74</v>
      </c>
      <c r="D2112" s="196">
        <v>2.71</v>
      </c>
      <c r="E2112" s="195" t="s">
        <v>583</v>
      </c>
      <c r="F2112" s="195" t="s">
        <v>438</v>
      </c>
    </row>
    <row r="2113" spans="1:6" x14ac:dyDescent="0.25">
      <c r="A2113" s="189" t="str">
        <f t="shared" si="32"/>
        <v>BA-MD 166 RP2-100.26S</v>
      </c>
      <c r="B2113" s="195" t="s">
        <v>1637</v>
      </c>
      <c r="C2113" s="196">
        <v>0</v>
      </c>
      <c r="D2113" s="196">
        <v>0.26</v>
      </c>
      <c r="E2113" s="195" t="s">
        <v>595</v>
      </c>
      <c r="F2113" s="195" t="s">
        <v>438</v>
      </c>
    </row>
    <row r="2114" spans="1:6" x14ac:dyDescent="0.25">
      <c r="A2114" s="189" t="str">
        <f t="shared" si="32"/>
        <v>BA-MD 166 RP4-100.15N</v>
      </c>
      <c r="B2114" s="195" t="s">
        <v>1638</v>
      </c>
      <c r="C2114" s="196">
        <v>0</v>
      </c>
      <c r="D2114" s="196">
        <v>0.15</v>
      </c>
      <c r="E2114" s="195" t="s">
        <v>589</v>
      </c>
      <c r="F2114" s="195" t="s">
        <v>430</v>
      </c>
    </row>
    <row r="2115" spans="1:6" x14ac:dyDescent="0.25">
      <c r="A2115" s="189" t="str">
        <f t="shared" ref="A2115:A2178" si="33">B2115&amp;C2115&amp;D2115&amp;F2115</f>
        <v>BA-MD 166 RP5-100.47S</v>
      </c>
      <c r="B2115" s="195" t="s">
        <v>1639</v>
      </c>
      <c r="C2115" s="196">
        <v>0</v>
      </c>
      <c r="D2115" s="196">
        <v>0.47</v>
      </c>
      <c r="E2115" s="195" t="s">
        <v>595</v>
      </c>
      <c r="F2115" s="195" t="s">
        <v>438</v>
      </c>
    </row>
    <row r="2116" spans="1:6" x14ac:dyDescent="0.25">
      <c r="A2116" s="189" t="str">
        <f t="shared" si="33"/>
        <v>BA-MD 166 RP7-100.05W</v>
      </c>
      <c r="B2116" s="195" t="s">
        <v>1640</v>
      </c>
      <c r="C2116" s="196">
        <v>0</v>
      </c>
      <c r="D2116" s="196">
        <v>0.05</v>
      </c>
      <c r="E2116" s="195" t="s">
        <v>593</v>
      </c>
      <c r="F2116" s="195" t="s">
        <v>432</v>
      </c>
    </row>
    <row r="2117" spans="1:6" x14ac:dyDescent="0.25">
      <c r="A2117" s="189" t="str">
        <f t="shared" si="33"/>
        <v>BA-MD 166 RP7-10.050.12W</v>
      </c>
      <c r="B2117" s="195" t="s">
        <v>1640</v>
      </c>
      <c r="C2117" s="196">
        <v>0.05</v>
      </c>
      <c r="D2117" s="196">
        <v>0.12</v>
      </c>
      <c r="E2117" s="195" t="s">
        <v>593</v>
      </c>
      <c r="F2117" s="195" t="s">
        <v>432</v>
      </c>
    </row>
    <row r="2118" spans="1:6" x14ac:dyDescent="0.25">
      <c r="A2118" s="189" t="str">
        <f t="shared" si="33"/>
        <v>BA-MD 166 RP7-10.090.12E</v>
      </c>
      <c r="B2118" s="195" t="s">
        <v>1640</v>
      </c>
      <c r="C2118" s="196">
        <v>0.09</v>
      </c>
      <c r="D2118" s="196">
        <v>0.12</v>
      </c>
      <c r="E2118" s="195" t="s">
        <v>598</v>
      </c>
      <c r="F2118" s="195" t="s">
        <v>19</v>
      </c>
    </row>
    <row r="2119" spans="1:6" x14ac:dyDescent="0.25">
      <c r="A2119" s="189" t="str">
        <f t="shared" si="33"/>
        <v>BA-MD 2500.1N</v>
      </c>
      <c r="B2119" s="195" t="s">
        <v>1641</v>
      </c>
      <c r="C2119" s="196">
        <v>0</v>
      </c>
      <c r="D2119" s="196">
        <v>0.1</v>
      </c>
      <c r="E2119" s="195" t="s">
        <v>583</v>
      </c>
      <c r="F2119" s="195" t="s">
        <v>430</v>
      </c>
    </row>
    <row r="2120" spans="1:6" x14ac:dyDescent="0.25">
      <c r="A2120" s="189" t="str">
        <f t="shared" si="33"/>
        <v>BA-MD 2500.1S</v>
      </c>
      <c r="B2120" s="195" t="s">
        <v>1641</v>
      </c>
      <c r="C2120" s="196">
        <v>0</v>
      </c>
      <c r="D2120" s="196">
        <v>0.1</v>
      </c>
      <c r="E2120" s="195" t="s">
        <v>583</v>
      </c>
      <c r="F2120" s="195" t="s">
        <v>438</v>
      </c>
    </row>
    <row r="2121" spans="1:6" x14ac:dyDescent="0.25">
      <c r="A2121" s="189" t="str">
        <f t="shared" si="33"/>
        <v>BA-MD 250.10.18N</v>
      </c>
      <c r="B2121" s="195" t="s">
        <v>1641</v>
      </c>
      <c r="C2121" s="196">
        <v>0.1</v>
      </c>
      <c r="D2121" s="196">
        <v>0.18</v>
      </c>
      <c r="E2121" s="195" t="s">
        <v>589</v>
      </c>
      <c r="F2121" s="195" t="s">
        <v>430</v>
      </c>
    </row>
    <row r="2122" spans="1:6" x14ac:dyDescent="0.25">
      <c r="A2122" s="189" t="str">
        <f t="shared" si="33"/>
        <v>BA-MD 250.10.25S</v>
      </c>
      <c r="B2122" s="195" t="s">
        <v>1641</v>
      </c>
      <c r="C2122" s="196">
        <v>0.1</v>
      </c>
      <c r="D2122" s="196">
        <v>0.25</v>
      </c>
      <c r="E2122" s="195" t="s">
        <v>595</v>
      </c>
      <c r="F2122" s="195" t="s">
        <v>438</v>
      </c>
    </row>
    <row r="2123" spans="1:6" x14ac:dyDescent="0.25">
      <c r="A2123" s="189" t="str">
        <f t="shared" si="33"/>
        <v>BA-MD 250.180.3N</v>
      </c>
      <c r="B2123" s="195" t="s">
        <v>1641</v>
      </c>
      <c r="C2123" s="196">
        <v>0.18</v>
      </c>
      <c r="D2123" s="196">
        <v>0.3</v>
      </c>
      <c r="E2123" s="195" t="s">
        <v>589</v>
      </c>
      <c r="F2123" s="195" t="s">
        <v>430</v>
      </c>
    </row>
    <row r="2124" spans="1:6" x14ac:dyDescent="0.25">
      <c r="A2124" s="189" t="str">
        <f t="shared" si="33"/>
        <v>BA-MD 250.250.37S</v>
      </c>
      <c r="B2124" s="195" t="s">
        <v>1641</v>
      </c>
      <c r="C2124" s="196">
        <v>0.25</v>
      </c>
      <c r="D2124" s="196">
        <v>0.37</v>
      </c>
      <c r="E2124" s="195" t="s">
        <v>595</v>
      </c>
      <c r="F2124" s="195" t="s">
        <v>438</v>
      </c>
    </row>
    <row r="2125" spans="1:6" x14ac:dyDescent="0.25">
      <c r="A2125" s="189" t="str">
        <f t="shared" si="33"/>
        <v>BA-MD 250.30.4N</v>
      </c>
      <c r="B2125" s="195" t="s">
        <v>1641</v>
      </c>
      <c r="C2125" s="196">
        <v>0.3</v>
      </c>
      <c r="D2125" s="196">
        <v>0.4</v>
      </c>
      <c r="E2125" s="195" t="s">
        <v>589</v>
      </c>
      <c r="F2125" s="195" t="s">
        <v>430</v>
      </c>
    </row>
    <row r="2126" spans="1:6" x14ac:dyDescent="0.25">
      <c r="A2126" s="189" t="str">
        <f t="shared" si="33"/>
        <v>BA-MD 250.370.4S</v>
      </c>
      <c r="B2126" s="195" t="s">
        <v>1641</v>
      </c>
      <c r="C2126" s="196">
        <v>0.37</v>
      </c>
      <c r="D2126" s="196">
        <v>0.4</v>
      </c>
      <c r="E2126" s="195" t="s">
        <v>595</v>
      </c>
      <c r="F2126" s="195" t="s">
        <v>438</v>
      </c>
    </row>
    <row r="2127" spans="1:6" x14ac:dyDescent="0.25">
      <c r="A2127" s="189" t="str">
        <f t="shared" si="33"/>
        <v>BA-MD 250.42.65N</v>
      </c>
      <c r="B2127" s="195" t="s">
        <v>1641</v>
      </c>
      <c r="C2127" s="196">
        <v>0.4</v>
      </c>
      <c r="D2127" s="196">
        <v>2.65</v>
      </c>
      <c r="E2127" s="195" t="s">
        <v>583</v>
      </c>
      <c r="F2127" s="195" t="s">
        <v>430</v>
      </c>
    </row>
    <row r="2128" spans="1:6" x14ac:dyDescent="0.25">
      <c r="A2128" s="189" t="str">
        <f t="shared" si="33"/>
        <v>BA-MD 250.42.65S</v>
      </c>
      <c r="B2128" s="195" t="s">
        <v>1641</v>
      </c>
      <c r="C2128" s="196">
        <v>0.4</v>
      </c>
      <c r="D2128" s="196">
        <v>2.65</v>
      </c>
      <c r="E2128" s="195" t="s">
        <v>583</v>
      </c>
      <c r="F2128" s="195" t="s">
        <v>438</v>
      </c>
    </row>
    <row r="2129" spans="1:6" x14ac:dyDescent="0.25">
      <c r="A2129" s="189" t="str">
        <f t="shared" si="33"/>
        <v>BA-MD 252.652.9N</v>
      </c>
      <c r="B2129" s="195" t="s">
        <v>1641</v>
      </c>
      <c r="C2129" s="196">
        <v>2.65</v>
      </c>
      <c r="D2129" s="196">
        <v>2.9</v>
      </c>
      <c r="E2129" s="195" t="s">
        <v>583</v>
      </c>
      <c r="F2129" s="195" t="s">
        <v>430</v>
      </c>
    </row>
    <row r="2130" spans="1:6" x14ac:dyDescent="0.25">
      <c r="A2130" s="189" t="str">
        <f t="shared" si="33"/>
        <v>BA-MD 252.652.9S</v>
      </c>
      <c r="B2130" s="195" t="s">
        <v>1641</v>
      </c>
      <c r="C2130" s="196">
        <v>2.65</v>
      </c>
      <c r="D2130" s="196">
        <v>2.9</v>
      </c>
      <c r="E2130" s="195" t="s">
        <v>583</v>
      </c>
      <c r="F2130" s="195" t="s">
        <v>438</v>
      </c>
    </row>
    <row r="2131" spans="1:6" x14ac:dyDescent="0.25">
      <c r="A2131" s="189" t="str">
        <f t="shared" si="33"/>
        <v>BA-MD 252.93.35N</v>
      </c>
      <c r="B2131" s="195" t="s">
        <v>1641</v>
      </c>
      <c r="C2131" s="196">
        <v>2.9</v>
      </c>
      <c r="D2131" s="196">
        <v>3.35</v>
      </c>
      <c r="E2131" s="195" t="s">
        <v>583</v>
      </c>
      <c r="F2131" s="195" t="s">
        <v>430</v>
      </c>
    </row>
    <row r="2132" spans="1:6" x14ac:dyDescent="0.25">
      <c r="A2132" s="189" t="str">
        <f t="shared" si="33"/>
        <v>BA-MD 252.93.35S</v>
      </c>
      <c r="B2132" s="195" t="s">
        <v>1641</v>
      </c>
      <c r="C2132" s="196">
        <v>2.9</v>
      </c>
      <c r="D2132" s="196">
        <v>3.35</v>
      </c>
      <c r="E2132" s="195" t="s">
        <v>583</v>
      </c>
      <c r="F2132" s="195" t="s">
        <v>438</v>
      </c>
    </row>
    <row r="2133" spans="1:6" x14ac:dyDescent="0.25">
      <c r="A2133" s="189" t="str">
        <f t="shared" si="33"/>
        <v>BA-MD 253.353.61N</v>
      </c>
      <c r="B2133" s="195" t="s">
        <v>1641</v>
      </c>
      <c r="C2133" s="196">
        <v>3.35</v>
      </c>
      <c r="D2133" s="196">
        <v>3.61</v>
      </c>
      <c r="E2133" s="195" t="s">
        <v>583</v>
      </c>
      <c r="F2133" s="195" t="s">
        <v>430</v>
      </c>
    </row>
    <row r="2134" spans="1:6" x14ac:dyDescent="0.25">
      <c r="A2134" s="189" t="str">
        <f t="shared" si="33"/>
        <v>BA-MD 253.353.61S</v>
      </c>
      <c r="B2134" s="195" t="s">
        <v>1641</v>
      </c>
      <c r="C2134" s="196">
        <v>3.35</v>
      </c>
      <c r="D2134" s="196">
        <v>3.61</v>
      </c>
      <c r="E2134" s="195" t="s">
        <v>583</v>
      </c>
      <c r="F2134" s="195" t="s">
        <v>438</v>
      </c>
    </row>
    <row r="2135" spans="1:6" x14ac:dyDescent="0.25">
      <c r="A2135" s="189" t="str">
        <f t="shared" si="33"/>
        <v>BA-MD 253.834.16N</v>
      </c>
      <c r="B2135" s="195" t="s">
        <v>1641</v>
      </c>
      <c r="C2135" s="196">
        <v>3.83</v>
      </c>
      <c r="D2135" s="196">
        <v>4.16</v>
      </c>
      <c r="E2135" s="195" t="s">
        <v>589</v>
      </c>
      <c r="F2135" s="195" t="s">
        <v>430</v>
      </c>
    </row>
    <row r="2136" spans="1:6" x14ac:dyDescent="0.25">
      <c r="A2136" s="189" t="str">
        <f t="shared" si="33"/>
        <v>BA-MD 253.884.16S</v>
      </c>
      <c r="B2136" s="195" t="s">
        <v>1641</v>
      </c>
      <c r="C2136" s="196">
        <v>3.88</v>
      </c>
      <c r="D2136" s="196">
        <v>4.16</v>
      </c>
      <c r="E2136" s="195" t="s">
        <v>595</v>
      </c>
      <c r="F2136" s="195" t="s">
        <v>438</v>
      </c>
    </row>
    <row r="2137" spans="1:6" x14ac:dyDescent="0.25">
      <c r="A2137" s="189" t="str">
        <f t="shared" si="33"/>
        <v>BA-MD 254.164.45N</v>
      </c>
      <c r="B2137" s="195" t="s">
        <v>1641</v>
      </c>
      <c r="C2137" s="196">
        <v>4.16</v>
      </c>
      <c r="D2137" s="196">
        <v>4.45</v>
      </c>
      <c r="E2137" s="195" t="s">
        <v>583</v>
      </c>
      <c r="F2137" s="195" t="s">
        <v>430</v>
      </c>
    </row>
    <row r="2138" spans="1:6" x14ac:dyDescent="0.25">
      <c r="A2138" s="189" t="str">
        <f t="shared" si="33"/>
        <v>BA-MD 254.164.45S</v>
      </c>
      <c r="B2138" s="195" t="s">
        <v>1641</v>
      </c>
      <c r="C2138" s="196">
        <v>4.16</v>
      </c>
      <c r="D2138" s="196">
        <v>4.45</v>
      </c>
      <c r="E2138" s="195" t="s">
        <v>583</v>
      </c>
      <c r="F2138" s="195" t="s">
        <v>438</v>
      </c>
    </row>
    <row r="2139" spans="1:6" x14ac:dyDescent="0.25">
      <c r="A2139" s="189" t="str">
        <f t="shared" si="33"/>
        <v>BA-MD 254.454.75N</v>
      </c>
      <c r="B2139" s="195" t="s">
        <v>1641</v>
      </c>
      <c r="C2139" s="196">
        <v>4.45</v>
      </c>
      <c r="D2139" s="196">
        <v>4.75</v>
      </c>
      <c r="E2139" s="195" t="s">
        <v>583</v>
      </c>
      <c r="F2139" s="195" t="s">
        <v>430</v>
      </c>
    </row>
    <row r="2140" spans="1:6" x14ac:dyDescent="0.25">
      <c r="A2140" s="189" t="str">
        <f t="shared" si="33"/>
        <v>BA-MD 254.454.75S</v>
      </c>
      <c r="B2140" s="195" t="s">
        <v>1641</v>
      </c>
      <c r="C2140" s="196">
        <v>4.45</v>
      </c>
      <c r="D2140" s="196">
        <v>4.75</v>
      </c>
      <c r="E2140" s="195" t="s">
        <v>583</v>
      </c>
      <c r="F2140" s="195" t="s">
        <v>438</v>
      </c>
    </row>
    <row r="2141" spans="1:6" x14ac:dyDescent="0.25">
      <c r="A2141" s="189" t="str">
        <f t="shared" si="33"/>
        <v>BA-MD 254.755.8N</v>
      </c>
      <c r="B2141" s="195" t="s">
        <v>1641</v>
      </c>
      <c r="C2141" s="196">
        <v>4.75</v>
      </c>
      <c r="D2141" s="196">
        <v>5.8</v>
      </c>
      <c r="E2141" s="195" t="s">
        <v>583</v>
      </c>
      <c r="F2141" s="195" t="s">
        <v>430</v>
      </c>
    </row>
    <row r="2142" spans="1:6" x14ac:dyDescent="0.25">
      <c r="A2142" s="189" t="str">
        <f t="shared" si="33"/>
        <v>BA-MD 254.755.8S</v>
      </c>
      <c r="B2142" s="195" t="s">
        <v>1641</v>
      </c>
      <c r="C2142" s="196">
        <v>4.75</v>
      </c>
      <c r="D2142" s="196">
        <v>5.8</v>
      </c>
      <c r="E2142" s="195" t="s">
        <v>583</v>
      </c>
      <c r="F2142" s="195" t="s">
        <v>438</v>
      </c>
    </row>
    <row r="2143" spans="1:6" x14ac:dyDescent="0.25">
      <c r="A2143" s="189" t="str">
        <f t="shared" si="33"/>
        <v>BA-MD 255.86N</v>
      </c>
      <c r="B2143" s="195" t="s">
        <v>1641</v>
      </c>
      <c r="C2143" s="196">
        <v>5.8</v>
      </c>
      <c r="D2143" s="196">
        <v>6</v>
      </c>
      <c r="E2143" s="195" t="s">
        <v>583</v>
      </c>
      <c r="F2143" s="195" t="s">
        <v>430</v>
      </c>
    </row>
    <row r="2144" spans="1:6" x14ac:dyDescent="0.25">
      <c r="A2144" s="189" t="str">
        <f t="shared" si="33"/>
        <v>BA-MD 255.86S</v>
      </c>
      <c r="B2144" s="195" t="s">
        <v>1641</v>
      </c>
      <c r="C2144" s="196">
        <v>5.8</v>
      </c>
      <c r="D2144" s="196">
        <v>6</v>
      </c>
      <c r="E2144" s="195" t="s">
        <v>583</v>
      </c>
      <c r="F2144" s="195" t="s">
        <v>438</v>
      </c>
    </row>
    <row r="2145" spans="1:6" x14ac:dyDescent="0.25">
      <c r="A2145" s="189" t="str">
        <f t="shared" si="33"/>
        <v>BA-MD 2566.67N</v>
      </c>
      <c r="B2145" s="195" t="s">
        <v>1641</v>
      </c>
      <c r="C2145" s="196">
        <v>6</v>
      </c>
      <c r="D2145" s="196">
        <v>6.67</v>
      </c>
      <c r="E2145" s="195" t="s">
        <v>583</v>
      </c>
      <c r="F2145" s="195" t="s">
        <v>430</v>
      </c>
    </row>
    <row r="2146" spans="1:6" x14ac:dyDescent="0.25">
      <c r="A2146" s="189" t="str">
        <f t="shared" si="33"/>
        <v>BA-MD 2566.67S</v>
      </c>
      <c r="B2146" s="195" t="s">
        <v>1641</v>
      </c>
      <c r="C2146" s="196">
        <v>6</v>
      </c>
      <c r="D2146" s="196">
        <v>6.67</v>
      </c>
      <c r="E2146" s="195" t="s">
        <v>583</v>
      </c>
      <c r="F2146" s="195" t="s">
        <v>438</v>
      </c>
    </row>
    <row r="2147" spans="1:6" x14ac:dyDescent="0.25">
      <c r="A2147" s="189" t="str">
        <f t="shared" si="33"/>
        <v>BA-MD 256.6712.15N</v>
      </c>
      <c r="B2147" s="195" t="s">
        <v>1641</v>
      </c>
      <c r="C2147" s="196">
        <v>6.67</v>
      </c>
      <c r="D2147" s="196">
        <v>12.15</v>
      </c>
      <c r="E2147" s="195" t="s">
        <v>583</v>
      </c>
      <c r="F2147" s="195" t="s">
        <v>430</v>
      </c>
    </row>
    <row r="2148" spans="1:6" x14ac:dyDescent="0.25">
      <c r="A2148" s="189" t="str">
        <f t="shared" si="33"/>
        <v>BA-MD 256.6712.15S</v>
      </c>
      <c r="B2148" s="195" t="s">
        <v>1641</v>
      </c>
      <c r="C2148" s="196">
        <v>6.67</v>
      </c>
      <c r="D2148" s="196">
        <v>12.15</v>
      </c>
      <c r="E2148" s="195" t="s">
        <v>583</v>
      </c>
      <c r="F2148" s="195" t="s">
        <v>438</v>
      </c>
    </row>
    <row r="2149" spans="1:6" x14ac:dyDescent="0.25">
      <c r="A2149" s="189" t="str">
        <f t="shared" si="33"/>
        <v>BA-MD 2512.1512.4N</v>
      </c>
      <c r="B2149" s="195" t="s">
        <v>1641</v>
      </c>
      <c r="C2149" s="196">
        <v>12.15</v>
      </c>
      <c r="D2149" s="196">
        <v>12.4</v>
      </c>
      <c r="E2149" s="195" t="s">
        <v>583</v>
      </c>
      <c r="F2149" s="195" t="s">
        <v>430</v>
      </c>
    </row>
    <row r="2150" spans="1:6" x14ac:dyDescent="0.25">
      <c r="A2150" s="189" t="str">
        <f t="shared" si="33"/>
        <v>BA-MD 2512.1512.4S</v>
      </c>
      <c r="B2150" s="195" t="s">
        <v>1641</v>
      </c>
      <c r="C2150" s="196">
        <v>12.15</v>
      </c>
      <c r="D2150" s="196">
        <v>12.4</v>
      </c>
      <c r="E2150" s="195" t="s">
        <v>583</v>
      </c>
      <c r="F2150" s="195" t="s">
        <v>438</v>
      </c>
    </row>
    <row r="2151" spans="1:6" x14ac:dyDescent="0.25">
      <c r="A2151" s="189" t="str">
        <f t="shared" si="33"/>
        <v>BA-MD 2512.413.48S</v>
      </c>
      <c r="B2151" s="195" t="s">
        <v>1641</v>
      </c>
      <c r="C2151" s="196">
        <v>12.4</v>
      </c>
      <c r="D2151" s="196">
        <v>13.48</v>
      </c>
      <c r="E2151" s="195" t="s">
        <v>595</v>
      </c>
      <c r="F2151" s="195" t="s">
        <v>438</v>
      </c>
    </row>
    <row r="2152" spans="1:6" x14ac:dyDescent="0.25">
      <c r="A2152" s="189" t="str">
        <f t="shared" si="33"/>
        <v>BA-MD 2512.418.24N</v>
      </c>
      <c r="B2152" s="195" t="s">
        <v>1641</v>
      </c>
      <c r="C2152" s="196">
        <v>12.4</v>
      </c>
      <c r="D2152" s="196">
        <v>18.239999999999998</v>
      </c>
      <c r="E2152" s="195" t="s">
        <v>589</v>
      </c>
      <c r="F2152" s="195" t="s">
        <v>430</v>
      </c>
    </row>
    <row r="2153" spans="1:6" x14ac:dyDescent="0.25">
      <c r="A2153" s="189" t="str">
        <f t="shared" si="33"/>
        <v>BA-MD 2513.4818.24S</v>
      </c>
      <c r="B2153" s="195" t="s">
        <v>1641</v>
      </c>
      <c r="C2153" s="196">
        <v>13.48</v>
      </c>
      <c r="D2153" s="196">
        <v>18.239999999999998</v>
      </c>
      <c r="E2153" s="195" t="s">
        <v>595</v>
      </c>
      <c r="F2153" s="195" t="s">
        <v>438</v>
      </c>
    </row>
    <row r="2154" spans="1:6" x14ac:dyDescent="0.25">
      <c r="A2154" s="189" t="str">
        <f t="shared" si="33"/>
        <v>BA-MD 2518.2421.83N</v>
      </c>
      <c r="B2154" s="195" t="s">
        <v>1641</v>
      </c>
      <c r="C2154" s="196">
        <v>18.239999999999998</v>
      </c>
      <c r="D2154" s="196">
        <v>21.83</v>
      </c>
      <c r="E2154" s="195" t="s">
        <v>583</v>
      </c>
      <c r="F2154" s="195" t="s">
        <v>430</v>
      </c>
    </row>
    <row r="2155" spans="1:6" x14ac:dyDescent="0.25">
      <c r="A2155" s="189" t="str">
        <f t="shared" si="33"/>
        <v>BA-MD 2518.2421.83S</v>
      </c>
      <c r="B2155" s="195" t="s">
        <v>1641</v>
      </c>
      <c r="C2155" s="196">
        <v>18.239999999999998</v>
      </c>
      <c r="D2155" s="196">
        <v>21.83</v>
      </c>
      <c r="E2155" s="195" t="s">
        <v>583</v>
      </c>
      <c r="F2155" s="195" t="s">
        <v>438</v>
      </c>
    </row>
    <row r="2156" spans="1:6" x14ac:dyDescent="0.25">
      <c r="A2156" s="189" t="str">
        <f t="shared" si="33"/>
        <v>BA-MD 2600.05W</v>
      </c>
      <c r="B2156" s="195" t="s">
        <v>506</v>
      </c>
      <c r="C2156" s="196">
        <v>0</v>
      </c>
      <c r="D2156" s="196">
        <v>0.05</v>
      </c>
      <c r="E2156" s="195" t="s">
        <v>593</v>
      </c>
      <c r="F2156" s="195" t="s">
        <v>432</v>
      </c>
    </row>
    <row r="2157" spans="1:6" x14ac:dyDescent="0.25">
      <c r="A2157" s="189" t="str">
        <f t="shared" si="33"/>
        <v>BA-MD 2600.12E</v>
      </c>
      <c r="B2157" s="195" t="s">
        <v>506</v>
      </c>
      <c r="C2157" s="196">
        <v>0</v>
      </c>
      <c r="D2157" s="196">
        <v>0.12</v>
      </c>
      <c r="E2157" s="195" t="s">
        <v>598</v>
      </c>
      <c r="F2157" s="195" t="s">
        <v>19</v>
      </c>
    </row>
    <row r="2158" spans="1:6" x14ac:dyDescent="0.25">
      <c r="A2158" s="189" t="str">
        <f t="shared" si="33"/>
        <v>BA-MD 260.050.16W</v>
      </c>
      <c r="B2158" s="195" t="s">
        <v>506</v>
      </c>
      <c r="C2158" s="196">
        <v>0.05</v>
      </c>
      <c r="D2158" s="196">
        <v>0.16</v>
      </c>
      <c r="E2158" s="195" t="s">
        <v>593</v>
      </c>
      <c r="F2158" s="195" t="s">
        <v>432</v>
      </c>
    </row>
    <row r="2159" spans="1:6" x14ac:dyDescent="0.25">
      <c r="A2159" s="189" t="str">
        <f t="shared" si="33"/>
        <v>BA-MD 260.120.16E</v>
      </c>
      <c r="B2159" s="195" t="s">
        <v>506</v>
      </c>
      <c r="C2159" s="196">
        <v>0.12</v>
      </c>
      <c r="D2159" s="196">
        <v>0.16</v>
      </c>
      <c r="E2159" s="195" t="s">
        <v>598</v>
      </c>
      <c r="F2159" s="195" t="s">
        <v>19</v>
      </c>
    </row>
    <row r="2160" spans="1:6" x14ac:dyDescent="0.25">
      <c r="A2160" s="189" t="str">
        <f t="shared" si="33"/>
        <v>BA-MD 260.160.17E</v>
      </c>
      <c r="B2160" s="195" t="s">
        <v>506</v>
      </c>
      <c r="C2160" s="196">
        <v>0.16</v>
      </c>
      <c r="D2160" s="196">
        <v>0.17</v>
      </c>
      <c r="E2160" s="195" t="s">
        <v>583</v>
      </c>
      <c r="F2160" s="195" t="s">
        <v>19</v>
      </c>
    </row>
    <row r="2161" spans="1:6" x14ac:dyDescent="0.25">
      <c r="A2161" s="189" t="str">
        <f t="shared" si="33"/>
        <v>BA-MD 260.160.17W</v>
      </c>
      <c r="B2161" s="195" t="s">
        <v>506</v>
      </c>
      <c r="C2161" s="196">
        <v>0.16</v>
      </c>
      <c r="D2161" s="196">
        <v>0.17</v>
      </c>
      <c r="E2161" s="195" t="s">
        <v>583</v>
      </c>
      <c r="F2161" s="195" t="s">
        <v>432</v>
      </c>
    </row>
    <row r="2162" spans="1:6" x14ac:dyDescent="0.25">
      <c r="A2162" s="189" t="str">
        <f t="shared" si="33"/>
        <v>BA-MD 260.170.17W</v>
      </c>
      <c r="B2162" s="195" t="s">
        <v>506</v>
      </c>
      <c r="C2162" s="196">
        <v>0.17</v>
      </c>
      <c r="D2162" s="196">
        <v>0.17</v>
      </c>
      <c r="E2162" s="195" t="s">
        <v>593</v>
      </c>
      <c r="F2162" s="195" t="s">
        <v>432</v>
      </c>
    </row>
    <row r="2163" spans="1:6" x14ac:dyDescent="0.25">
      <c r="A2163" s="189" t="str">
        <f t="shared" si="33"/>
        <v>BA-MD 260.170.87E</v>
      </c>
      <c r="B2163" s="195" t="s">
        <v>506</v>
      </c>
      <c r="C2163" s="196">
        <v>0.17</v>
      </c>
      <c r="D2163" s="196">
        <v>0.87</v>
      </c>
      <c r="E2163" s="195" t="s">
        <v>583</v>
      </c>
      <c r="F2163" s="195" t="s">
        <v>19</v>
      </c>
    </row>
    <row r="2164" spans="1:6" x14ac:dyDescent="0.25">
      <c r="A2164" s="189" t="str">
        <f t="shared" si="33"/>
        <v>BA-MD 260.170.87W</v>
      </c>
      <c r="B2164" s="195" t="s">
        <v>506</v>
      </c>
      <c r="C2164" s="196">
        <v>0.17</v>
      </c>
      <c r="D2164" s="196">
        <v>0.87</v>
      </c>
      <c r="E2164" s="195" t="s">
        <v>583</v>
      </c>
      <c r="F2164" s="195" t="s">
        <v>432</v>
      </c>
    </row>
    <row r="2165" spans="1:6" x14ac:dyDescent="0.25">
      <c r="A2165" s="189" t="str">
        <f t="shared" si="33"/>
        <v>BA-MD 260.870.99E</v>
      </c>
      <c r="B2165" s="195" t="s">
        <v>506</v>
      </c>
      <c r="C2165" s="196">
        <v>0.87</v>
      </c>
      <c r="D2165" s="196">
        <v>0.99</v>
      </c>
      <c r="E2165" s="195" t="s">
        <v>583</v>
      </c>
      <c r="F2165" s="195" t="s">
        <v>19</v>
      </c>
    </row>
    <row r="2166" spans="1:6" x14ac:dyDescent="0.25">
      <c r="A2166" s="189" t="str">
        <f t="shared" si="33"/>
        <v>BA-MD 260.870.99W</v>
      </c>
      <c r="B2166" s="195" t="s">
        <v>506</v>
      </c>
      <c r="C2166" s="196">
        <v>0.87</v>
      </c>
      <c r="D2166" s="196">
        <v>0.99</v>
      </c>
      <c r="E2166" s="195" t="s">
        <v>583</v>
      </c>
      <c r="F2166" s="195" t="s">
        <v>432</v>
      </c>
    </row>
    <row r="2167" spans="1:6" x14ac:dyDescent="0.25">
      <c r="A2167" s="189" t="str">
        <f t="shared" si="33"/>
        <v>BA-MD 260.991E</v>
      </c>
      <c r="B2167" s="195" t="s">
        <v>506</v>
      </c>
      <c r="C2167" s="196">
        <v>0.99</v>
      </c>
      <c r="D2167" s="196">
        <v>1</v>
      </c>
      <c r="E2167" s="195" t="s">
        <v>598</v>
      </c>
      <c r="F2167" s="195" t="s">
        <v>19</v>
      </c>
    </row>
    <row r="2168" spans="1:6" x14ac:dyDescent="0.25">
      <c r="A2168" s="189" t="str">
        <f t="shared" si="33"/>
        <v>BA-MD 260.992.31W</v>
      </c>
      <c r="B2168" s="195" t="s">
        <v>506</v>
      </c>
      <c r="C2168" s="196">
        <v>0.99</v>
      </c>
      <c r="D2168" s="196">
        <v>2.31</v>
      </c>
      <c r="E2168" s="195" t="s">
        <v>593</v>
      </c>
      <c r="F2168" s="195" t="s">
        <v>432</v>
      </c>
    </row>
    <row r="2169" spans="1:6" x14ac:dyDescent="0.25">
      <c r="A2169" s="189" t="str">
        <f t="shared" si="33"/>
        <v>BA-MD 2611.4E</v>
      </c>
      <c r="B2169" s="195" t="s">
        <v>506</v>
      </c>
      <c r="C2169" s="196">
        <v>1</v>
      </c>
      <c r="D2169" s="196">
        <v>1.4</v>
      </c>
      <c r="E2169" s="195" t="s">
        <v>598</v>
      </c>
      <c r="F2169" s="195" t="s">
        <v>19</v>
      </c>
    </row>
    <row r="2170" spans="1:6" x14ac:dyDescent="0.25">
      <c r="A2170" s="189" t="str">
        <f t="shared" si="33"/>
        <v>BA-MD 261.42.31E</v>
      </c>
      <c r="B2170" s="195" t="s">
        <v>506</v>
      </c>
      <c r="C2170" s="196">
        <v>1.4</v>
      </c>
      <c r="D2170" s="196">
        <v>2.31</v>
      </c>
      <c r="E2170" s="195" t="s">
        <v>598</v>
      </c>
      <c r="F2170" s="195" t="s">
        <v>19</v>
      </c>
    </row>
    <row r="2171" spans="1:6" x14ac:dyDescent="0.25">
      <c r="A2171" s="189" t="str">
        <f t="shared" si="33"/>
        <v>BA-MD 262.323.43E</v>
      </c>
      <c r="B2171" s="195" t="s">
        <v>506</v>
      </c>
      <c r="C2171" s="196">
        <v>2.3199999999999998</v>
      </c>
      <c r="D2171" s="196">
        <v>3.43</v>
      </c>
      <c r="E2171" s="195" t="s">
        <v>583</v>
      </c>
      <c r="F2171" s="195" t="s">
        <v>19</v>
      </c>
    </row>
    <row r="2172" spans="1:6" x14ac:dyDescent="0.25">
      <c r="A2172" s="189" t="str">
        <f t="shared" si="33"/>
        <v>BA-MD 262.323.43W</v>
      </c>
      <c r="B2172" s="195" t="s">
        <v>506</v>
      </c>
      <c r="C2172" s="196">
        <v>2.3199999999999998</v>
      </c>
      <c r="D2172" s="196">
        <v>3.43</v>
      </c>
      <c r="E2172" s="195" t="s">
        <v>583</v>
      </c>
      <c r="F2172" s="195" t="s">
        <v>432</v>
      </c>
    </row>
    <row r="2173" spans="1:6" x14ac:dyDescent="0.25">
      <c r="A2173" s="189" t="str">
        <f t="shared" si="33"/>
        <v>BA-MD 263.434.12E</v>
      </c>
      <c r="B2173" s="195" t="s">
        <v>506</v>
      </c>
      <c r="C2173" s="196">
        <v>3.43</v>
      </c>
      <c r="D2173" s="196">
        <v>4.12</v>
      </c>
      <c r="E2173" s="195" t="s">
        <v>583</v>
      </c>
      <c r="F2173" s="195" t="s">
        <v>19</v>
      </c>
    </row>
    <row r="2174" spans="1:6" x14ac:dyDescent="0.25">
      <c r="A2174" s="189" t="str">
        <f t="shared" si="33"/>
        <v>BA-MD 263.434.12W</v>
      </c>
      <c r="B2174" s="195" t="s">
        <v>506</v>
      </c>
      <c r="C2174" s="196">
        <v>3.43</v>
      </c>
      <c r="D2174" s="196">
        <v>4.12</v>
      </c>
      <c r="E2174" s="195" t="s">
        <v>583</v>
      </c>
      <c r="F2174" s="195" t="s">
        <v>432</v>
      </c>
    </row>
    <row r="2175" spans="1:6" x14ac:dyDescent="0.25">
      <c r="A2175" s="189" t="str">
        <f t="shared" si="33"/>
        <v>BA-MD 264.125.19E</v>
      </c>
      <c r="B2175" s="195" t="s">
        <v>506</v>
      </c>
      <c r="C2175" s="196">
        <v>4.12</v>
      </c>
      <c r="D2175" s="196">
        <v>5.19</v>
      </c>
      <c r="E2175" s="195" t="s">
        <v>583</v>
      </c>
      <c r="F2175" s="195" t="s">
        <v>19</v>
      </c>
    </row>
    <row r="2176" spans="1:6" x14ac:dyDescent="0.25">
      <c r="A2176" s="189" t="str">
        <f t="shared" si="33"/>
        <v>BA-MD 264.125.19W</v>
      </c>
      <c r="B2176" s="195" t="s">
        <v>506</v>
      </c>
      <c r="C2176" s="196">
        <v>4.12</v>
      </c>
      <c r="D2176" s="196">
        <v>5.19</v>
      </c>
      <c r="E2176" s="195" t="s">
        <v>583</v>
      </c>
      <c r="F2176" s="195" t="s">
        <v>432</v>
      </c>
    </row>
    <row r="2177" spans="1:6" x14ac:dyDescent="0.25">
      <c r="A2177" s="189" t="str">
        <f t="shared" si="33"/>
        <v>BA-MD 265.195.96E</v>
      </c>
      <c r="B2177" s="195" t="s">
        <v>506</v>
      </c>
      <c r="C2177" s="196">
        <v>5.19</v>
      </c>
      <c r="D2177" s="196">
        <v>5.96</v>
      </c>
      <c r="E2177" s="195" t="s">
        <v>583</v>
      </c>
      <c r="F2177" s="195" t="s">
        <v>19</v>
      </c>
    </row>
    <row r="2178" spans="1:6" x14ac:dyDescent="0.25">
      <c r="A2178" s="189" t="str">
        <f t="shared" si="33"/>
        <v>BA-MD 265.195.96W</v>
      </c>
      <c r="B2178" s="195" t="s">
        <v>506</v>
      </c>
      <c r="C2178" s="196">
        <v>5.19</v>
      </c>
      <c r="D2178" s="196">
        <v>5.96</v>
      </c>
      <c r="E2178" s="195" t="s">
        <v>583</v>
      </c>
      <c r="F2178" s="195" t="s">
        <v>432</v>
      </c>
    </row>
    <row r="2179" spans="1:6" x14ac:dyDescent="0.25">
      <c r="A2179" s="189" t="str">
        <f t="shared" ref="A2179:A2242" si="34">B2179&amp;C2179&amp;D2179&amp;F2179</f>
        <v>BA-MD 265.968.3W</v>
      </c>
      <c r="B2179" s="195" t="s">
        <v>506</v>
      </c>
      <c r="C2179" s="196">
        <v>5.96</v>
      </c>
      <c r="D2179" s="196">
        <v>8.3000000000000007</v>
      </c>
      <c r="E2179" s="195" t="s">
        <v>593</v>
      </c>
      <c r="F2179" s="195" t="s">
        <v>432</v>
      </c>
    </row>
    <row r="2180" spans="1:6" x14ac:dyDescent="0.25">
      <c r="A2180" s="189" t="str">
        <f t="shared" si="34"/>
        <v>BA-MD 265.968.39E</v>
      </c>
      <c r="B2180" s="195" t="s">
        <v>506</v>
      </c>
      <c r="C2180" s="196">
        <v>5.96</v>
      </c>
      <c r="D2180" s="196">
        <v>8.39</v>
      </c>
      <c r="E2180" s="195" t="s">
        <v>598</v>
      </c>
      <c r="F2180" s="195" t="s">
        <v>19</v>
      </c>
    </row>
    <row r="2181" spans="1:6" x14ac:dyDescent="0.25">
      <c r="A2181" s="189" t="str">
        <f t="shared" si="34"/>
        <v>BA-MD 268.310.47W</v>
      </c>
      <c r="B2181" s="195" t="s">
        <v>506</v>
      </c>
      <c r="C2181" s="196">
        <v>8.3000000000000007</v>
      </c>
      <c r="D2181" s="196">
        <v>10.47</v>
      </c>
      <c r="E2181" s="195" t="s">
        <v>593</v>
      </c>
      <c r="F2181" s="195" t="s">
        <v>432</v>
      </c>
    </row>
    <row r="2182" spans="1:6" x14ac:dyDescent="0.25">
      <c r="A2182" s="189" t="str">
        <f t="shared" si="34"/>
        <v>BA-MD 268.3910.47E</v>
      </c>
      <c r="B2182" s="195" t="s">
        <v>506</v>
      </c>
      <c r="C2182" s="196">
        <v>8.39</v>
      </c>
      <c r="D2182" s="196">
        <v>10.47</v>
      </c>
      <c r="E2182" s="195" t="s">
        <v>598</v>
      </c>
      <c r="F2182" s="195" t="s">
        <v>19</v>
      </c>
    </row>
    <row r="2183" spans="1:6" x14ac:dyDescent="0.25">
      <c r="A2183" s="189" t="str">
        <f t="shared" si="34"/>
        <v>BA-MD 3000.5N</v>
      </c>
      <c r="B2183" s="195" t="s">
        <v>1642</v>
      </c>
      <c r="C2183" s="196">
        <v>0</v>
      </c>
      <c r="D2183" s="196">
        <v>0.5</v>
      </c>
      <c r="E2183" s="195" t="s">
        <v>583</v>
      </c>
      <c r="F2183" s="195" t="s">
        <v>430</v>
      </c>
    </row>
    <row r="2184" spans="1:6" x14ac:dyDescent="0.25">
      <c r="A2184" s="189" t="str">
        <f t="shared" si="34"/>
        <v>BA-MD 3000.5S</v>
      </c>
      <c r="B2184" s="195" t="s">
        <v>1642</v>
      </c>
      <c r="C2184" s="196">
        <v>0</v>
      </c>
      <c r="D2184" s="196">
        <v>0.5</v>
      </c>
      <c r="E2184" s="195" t="s">
        <v>583</v>
      </c>
      <c r="F2184" s="195" t="s">
        <v>438</v>
      </c>
    </row>
    <row r="2185" spans="1:6" x14ac:dyDescent="0.25">
      <c r="A2185" s="189" t="str">
        <f t="shared" si="34"/>
        <v>BA-MD 300.54.9N</v>
      </c>
      <c r="B2185" s="195" t="s">
        <v>1642</v>
      </c>
      <c r="C2185" s="196">
        <v>0.5</v>
      </c>
      <c r="D2185" s="196">
        <v>4.9000000000000004</v>
      </c>
      <c r="E2185" s="195" t="s">
        <v>583</v>
      </c>
      <c r="F2185" s="195" t="s">
        <v>430</v>
      </c>
    </row>
    <row r="2186" spans="1:6" x14ac:dyDescent="0.25">
      <c r="A2186" s="189" t="str">
        <f t="shared" si="34"/>
        <v>BA-MD 300.54.9S</v>
      </c>
      <c r="B2186" s="195" t="s">
        <v>1642</v>
      </c>
      <c r="C2186" s="196">
        <v>0.5</v>
      </c>
      <c r="D2186" s="196">
        <v>4.9000000000000004</v>
      </c>
      <c r="E2186" s="195" t="s">
        <v>583</v>
      </c>
      <c r="F2186" s="195" t="s">
        <v>438</v>
      </c>
    </row>
    <row r="2187" spans="1:6" x14ac:dyDescent="0.25">
      <c r="A2187" s="189" t="str">
        <f t="shared" si="34"/>
        <v>BA-MD 304.94.95S</v>
      </c>
      <c r="B2187" s="195" t="s">
        <v>1642</v>
      </c>
      <c r="C2187" s="196">
        <v>4.9000000000000004</v>
      </c>
      <c r="D2187" s="196">
        <v>4.95</v>
      </c>
      <c r="E2187" s="195" t="s">
        <v>595</v>
      </c>
      <c r="F2187" s="195" t="s">
        <v>438</v>
      </c>
    </row>
    <row r="2188" spans="1:6" x14ac:dyDescent="0.25">
      <c r="A2188" s="189" t="str">
        <f t="shared" si="34"/>
        <v>BA-MD 304.95.2N</v>
      </c>
      <c r="B2188" s="195" t="s">
        <v>1642</v>
      </c>
      <c r="C2188" s="196">
        <v>4.9000000000000004</v>
      </c>
      <c r="D2188" s="196">
        <v>5.2</v>
      </c>
      <c r="E2188" s="195" t="s">
        <v>589</v>
      </c>
      <c r="F2188" s="195" t="s">
        <v>430</v>
      </c>
    </row>
    <row r="2189" spans="1:6" x14ac:dyDescent="0.25">
      <c r="A2189" s="189" t="str">
        <f t="shared" si="34"/>
        <v>BA-MD 304.955.2S</v>
      </c>
      <c r="B2189" s="195" t="s">
        <v>1642</v>
      </c>
      <c r="C2189" s="196">
        <v>4.95</v>
      </c>
      <c r="D2189" s="196">
        <v>5.2</v>
      </c>
      <c r="E2189" s="195" t="s">
        <v>595</v>
      </c>
      <c r="F2189" s="195" t="s">
        <v>438</v>
      </c>
    </row>
    <row r="2190" spans="1:6" x14ac:dyDescent="0.25">
      <c r="A2190" s="189" t="str">
        <f t="shared" si="34"/>
        <v>BA-MD 305.27.4N</v>
      </c>
      <c r="B2190" s="195" t="s">
        <v>1642</v>
      </c>
      <c r="C2190" s="196">
        <v>5.2</v>
      </c>
      <c r="D2190" s="196">
        <v>7.4</v>
      </c>
      <c r="E2190" s="195" t="s">
        <v>589</v>
      </c>
      <c r="F2190" s="195" t="s">
        <v>430</v>
      </c>
    </row>
    <row r="2191" spans="1:6" x14ac:dyDescent="0.25">
      <c r="A2191" s="189" t="str">
        <f t="shared" si="34"/>
        <v>BA-MD 305.37.4S</v>
      </c>
      <c r="B2191" s="195" t="s">
        <v>1642</v>
      </c>
      <c r="C2191" s="196">
        <v>5.3</v>
      </c>
      <c r="D2191" s="196">
        <v>7.4</v>
      </c>
      <c r="E2191" s="195" t="s">
        <v>595</v>
      </c>
      <c r="F2191" s="195" t="s">
        <v>438</v>
      </c>
    </row>
    <row r="2192" spans="1:6" x14ac:dyDescent="0.25">
      <c r="A2192" s="189" t="str">
        <f t="shared" si="34"/>
        <v>BA-MD 37200.75E</v>
      </c>
      <c r="B2192" s="195" t="s">
        <v>1643</v>
      </c>
      <c r="C2192" s="196">
        <v>0</v>
      </c>
      <c r="D2192" s="196">
        <v>0.75</v>
      </c>
      <c r="E2192" s="195" t="s">
        <v>583</v>
      </c>
      <c r="F2192" s="195" t="s">
        <v>19</v>
      </c>
    </row>
    <row r="2193" spans="1:6" x14ac:dyDescent="0.25">
      <c r="A2193" s="189" t="str">
        <f t="shared" si="34"/>
        <v>BA-MD 37200.75W</v>
      </c>
      <c r="B2193" s="195" t="s">
        <v>1643</v>
      </c>
      <c r="C2193" s="196">
        <v>0</v>
      </c>
      <c r="D2193" s="196">
        <v>0.75</v>
      </c>
      <c r="E2193" s="195" t="s">
        <v>583</v>
      </c>
      <c r="F2193" s="195" t="s">
        <v>432</v>
      </c>
    </row>
    <row r="2194" spans="1:6" x14ac:dyDescent="0.25">
      <c r="A2194" s="189" t="str">
        <f t="shared" si="34"/>
        <v>BA-MD 3722.432.47W</v>
      </c>
      <c r="B2194" s="195" t="s">
        <v>1643</v>
      </c>
      <c r="C2194" s="196">
        <v>2.4300000000000002</v>
      </c>
      <c r="D2194" s="196">
        <v>2.4700000000000002</v>
      </c>
      <c r="E2194" s="195" t="s">
        <v>593</v>
      </c>
      <c r="F2194" s="195" t="s">
        <v>432</v>
      </c>
    </row>
    <row r="2195" spans="1:6" x14ac:dyDescent="0.25">
      <c r="A2195" s="189" t="str">
        <f t="shared" si="34"/>
        <v>BA-MD 412.52.97N</v>
      </c>
      <c r="B2195" s="195" t="s">
        <v>494</v>
      </c>
      <c r="C2195" s="196">
        <v>2.5</v>
      </c>
      <c r="D2195" s="196">
        <v>2.97</v>
      </c>
      <c r="E2195" s="195" t="s">
        <v>583</v>
      </c>
      <c r="F2195" s="195" t="s">
        <v>430</v>
      </c>
    </row>
    <row r="2196" spans="1:6" x14ac:dyDescent="0.25">
      <c r="A2196" s="189" t="str">
        <f t="shared" si="34"/>
        <v>BA-MD 412.52.97S</v>
      </c>
      <c r="B2196" s="195" t="s">
        <v>494</v>
      </c>
      <c r="C2196" s="196">
        <v>2.5</v>
      </c>
      <c r="D2196" s="196">
        <v>2.97</v>
      </c>
      <c r="E2196" s="195" t="s">
        <v>583</v>
      </c>
      <c r="F2196" s="195" t="s">
        <v>438</v>
      </c>
    </row>
    <row r="2197" spans="1:6" x14ac:dyDescent="0.25">
      <c r="A2197" s="189" t="str">
        <f t="shared" si="34"/>
        <v>BA-MD 43 RP1-100.04N</v>
      </c>
      <c r="B2197" s="195" t="s">
        <v>1644</v>
      </c>
      <c r="C2197" s="196">
        <v>0</v>
      </c>
      <c r="D2197" s="196">
        <v>0.04</v>
      </c>
      <c r="E2197" s="195" t="s">
        <v>589</v>
      </c>
      <c r="F2197" s="195" t="s">
        <v>430</v>
      </c>
    </row>
    <row r="2198" spans="1:6" x14ac:dyDescent="0.25">
      <c r="A2198" s="189" t="str">
        <f t="shared" si="34"/>
        <v>BA-MD 43 RP1-400.27E</v>
      </c>
      <c r="B2198" s="195" t="s">
        <v>1645</v>
      </c>
      <c r="C2198" s="196">
        <v>0</v>
      </c>
      <c r="D2198" s="196">
        <v>0.27</v>
      </c>
      <c r="E2198" s="195" t="s">
        <v>598</v>
      </c>
      <c r="F2198" s="195" t="s">
        <v>19</v>
      </c>
    </row>
    <row r="2199" spans="1:6" x14ac:dyDescent="0.25">
      <c r="A2199" s="189" t="str">
        <f t="shared" si="34"/>
        <v>BA-MD 43 RP2-100.02W</v>
      </c>
      <c r="B2199" s="195" t="s">
        <v>1646</v>
      </c>
      <c r="C2199" s="196">
        <v>0</v>
      </c>
      <c r="D2199" s="196">
        <v>0.02</v>
      </c>
      <c r="E2199" s="195" t="s">
        <v>593</v>
      </c>
      <c r="F2199" s="195" t="s">
        <v>432</v>
      </c>
    </row>
    <row r="2200" spans="1:6" x14ac:dyDescent="0.25">
      <c r="A2200" s="189" t="str">
        <f t="shared" si="34"/>
        <v>BA-MD 43 RP3-100.33N</v>
      </c>
      <c r="B2200" s="195" t="s">
        <v>1647</v>
      </c>
      <c r="C2200" s="196">
        <v>0</v>
      </c>
      <c r="D2200" s="196">
        <v>0.33</v>
      </c>
      <c r="E2200" s="195" t="s">
        <v>589</v>
      </c>
      <c r="F2200" s="195" t="s">
        <v>430</v>
      </c>
    </row>
    <row r="2201" spans="1:6" x14ac:dyDescent="0.25">
      <c r="A2201" s="189" t="str">
        <f t="shared" si="34"/>
        <v>BA-MD 43 RP3-400.28S</v>
      </c>
      <c r="B2201" s="195" t="s">
        <v>1648</v>
      </c>
      <c r="C2201" s="196">
        <v>0</v>
      </c>
      <c r="D2201" s="196">
        <v>0.28000000000000003</v>
      </c>
      <c r="E2201" s="195" t="s">
        <v>595</v>
      </c>
      <c r="F2201" s="195" t="s">
        <v>438</v>
      </c>
    </row>
    <row r="2202" spans="1:6" x14ac:dyDescent="0.25">
      <c r="A2202" s="189" t="str">
        <f t="shared" si="34"/>
        <v>BA-MD 43 RP4-100.34E</v>
      </c>
      <c r="B2202" s="195" t="s">
        <v>1649</v>
      </c>
      <c r="C2202" s="196">
        <v>0</v>
      </c>
      <c r="D2202" s="196">
        <v>0.34</v>
      </c>
      <c r="E2202" s="195" t="s">
        <v>598</v>
      </c>
      <c r="F2202" s="195" t="s">
        <v>19</v>
      </c>
    </row>
    <row r="2203" spans="1:6" x14ac:dyDescent="0.25">
      <c r="A2203" s="189" t="str">
        <f t="shared" si="34"/>
        <v>BA-MD 43 RP5-100.25W</v>
      </c>
      <c r="B2203" s="195" t="s">
        <v>1650</v>
      </c>
      <c r="C2203" s="196">
        <v>0</v>
      </c>
      <c r="D2203" s="196">
        <v>0.25</v>
      </c>
      <c r="E2203" s="195" t="s">
        <v>593</v>
      </c>
      <c r="F2203" s="195" t="s">
        <v>432</v>
      </c>
    </row>
    <row r="2204" spans="1:6" x14ac:dyDescent="0.25">
      <c r="A2204" s="189" t="str">
        <f t="shared" si="34"/>
        <v>BA-MD 43 RP6-100.22N</v>
      </c>
      <c r="B2204" s="195" t="s">
        <v>1651</v>
      </c>
      <c r="C2204" s="196">
        <v>0</v>
      </c>
      <c r="D2204" s="196">
        <v>0.22</v>
      </c>
      <c r="E2204" s="195" t="s">
        <v>589</v>
      </c>
      <c r="F2204" s="195" t="s">
        <v>430</v>
      </c>
    </row>
    <row r="2205" spans="1:6" x14ac:dyDescent="0.25">
      <c r="A2205" s="189" t="str">
        <f t="shared" si="34"/>
        <v>BA-MD 43 RP6-400.02S</v>
      </c>
      <c r="B2205" s="195" t="s">
        <v>1652</v>
      </c>
      <c r="C2205" s="196">
        <v>0</v>
      </c>
      <c r="D2205" s="196">
        <v>0.02</v>
      </c>
      <c r="E2205" s="195" t="s">
        <v>595</v>
      </c>
      <c r="F2205" s="195" t="s">
        <v>438</v>
      </c>
    </row>
    <row r="2206" spans="1:6" x14ac:dyDescent="0.25">
      <c r="A2206" s="189" t="str">
        <f t="shared" si="34"/>
        <v>BA-MD 43 RP7-100.04W</v>
      </c>
      <c r="B2206" s="195" t="s">
        <v>1653</v>
      </c>
      <c r="C2206" s="196">
        <v>0</v>
      </c>
      <c r="D2206" s="196">
        <v>0.04</v>
      </c>
      <c r="E2206" s="195" t="s">
        <v>593</v>
      </c>
      <c r="F2206" s="195" t="s">
        <v>432</v>
      </c>
    </row>
    <row r="2207" spans="1:6" x14ac:dyDescent="0.25">
      <c r="A2207" s="189" t="str">
        <f t="shared" si="34"/>
        <v>BA-MD 43 RP8-100.03S</v>
      </c>
      <c r="B2207" s="195" t="s">
        <v>1654</v>
      </c>
      <c r="C2207" s="196">
        <v>0</v>
      </c>
      <c r="D2207" s="196">
        <v>0.03</v>
      </c>
      <c r="E2207" s="195" t="s">
        <v>595</v>
      </c>
      <c r="F2207" s="195" t="s">
        <v>438</v>
      </c>
    </row>
    <row r="2208" spans="1:6" x14ac:dyDescent="0.25">
      <c r="A2208" s="189" t="str">
        <f t="shared" si="34"/>
        <v>BA-MD 43 RP8-400.03S</v>
      </c>
      <c r="B2208" s="195" t="s">
        <v>1655</v>
      </c>
      <c r="C2208" s="196">
        <v>0</v>
      </c>
      <c r="D2208" s="196">
        <v>0.03</v>
      </c>
      <c r="E2208" s="195" t="s">
        <v>595</v>
      </c>
      <c r="F2208" s="195" t="s">
        <v>438</v>
      </c>
    </row>
    <row r="2209" spans="1:6" x14ac:dyDescent="0.25">
      <c r="A2209" s="189" t="str">
        <f t="shared" si="34"/>
        <v>BA-MD 43 RP9-100.02W</v>
      </c>
      <c r="B2209" s="195" t="s">
        <v>1656</v>
      </c>
      <c r="C2209" s="196">
        <v>0</v>
      </c>
      <c r="D2209" s="196">
        <v>0.02</v>
      </c>
      <c r="E2209" s="195" t="s">
        <v>593</v>
      </c>
      <c r="F2209" s="195" t="s">
        <v>432</v>
      </c>
    </row>
    <row r="2210" spans="1:6" x14ac:dyDescent="0.25">
      <c r="A2210" s="189" t="str">
        <f t="shared" si="34"/>
        <v>BA-MD 43900.33E</v>
      </c>
      <c r="B2210" s="195" t="s">
        <v>1657</v>
      </c>
      <c r="C2210" s="196">
        <v>0</v>
      </c>
      <c r="D2210" s="196">
        <v>0.33</v>
      </c>
      <c r="E2210" s="195" t="s">
        <v>583</v>
      </c>
      <c r="F2210" s="195" t="s">
        <v>19</v>
      </c>
    </row>
    <row r="2211" spans="1:6" x14ac:dyDescent="0.25">
      <c r="A2211" s="189" t="str">
        <f t="shared" si="34"/>
        <v>BA-MD 43900.33W</v>
      </c>
      <c r="B2211" s="195" t="s">
        <v>1657</v>
      </c>
      <c r="C2211" s="196">
        <v>0</v>
      </c>
      <c r="D2211" s="196">
        <v>0.33</v>
      </c>
      <c r="E2211" s="195" t="s">
        <v>583</v>
      </c>
      <c r="F2211" s="195" t="s">
        <v>432</v>
      </c>
    </row>
    <row r="2212" spans="1:6" x14ac:dyDescent="0.25">
      <c r="A2212" s="189" t="str">
        <f t="shared" si="34"/>
        <v>BA-MD 4390.330.7E</v>
      </c>
      <c r="B2212" s="195" t="s">
        <v>1657</v>
      </c>
      <c r="C2212" s="196">
        <v>0.33</v>
      </c>
      <c r="D2212" s="196">
        <v>0.7</v>
      </c>
      <c r="E2212" s="195" t="s">
        <v>583</v>
      </c>
      <c r="F2212" s="195" t="s">
        <v>19</v>
      </c>
    </row>
    <row r="2213" spans="1:6" x14ac:dyDescent="0.25">
      <c r="A2213" s="189" t="str">
        <f t="shared" si="34"/>
        <v>BA-MD 4390.330.7W</v>
      </c>
      <c r="B2213" s="195" t="s">
        <v>1657</v>
      </c>
      <c r="C2213" s="196">
        <v>0.33</v>
      </c>
      <c r="D2213" s="196">
        <v>0.7</v>
      </c>
      <c r="E2213" s="195" t="s">
        <v>583</v>
      </c>
      <c r="F2213" s="195" t="s">
        <v>432</v>
      </c>
    </row>
    <row r="2214" spans="1:6" x14ac:dyDescent="0.25">
      <c r="A2214" s="189" t="str">
        <f t="shared" si="34"/>
        <v>BA-MD 4390.70.75W</v>
      </c>
      <c r="B2214" s="195" t="s">
        <v>1657</v>
      </c>
      <c r="C2214" s="196">
        <v>0.7</v>
      </c>
      <c r="D2214" s="196">
        <v>0.75</v>
      </c>
      <c r="E2214" s="195" t="s">
        <v>593</v>
      </c>
      <c r="F2214" s="195" t="s">
        <v>432</v>
      </c>
    </row>
    <row r="2215" spans="1:6" x14ac:dyDescent="0.25">
      <c r="A2215" s="189" t="str">
        <f t="shared" si="34"/>
        <v>BA-MD 4390.70.82E</v>
      </c>
      <c r="B2215" s="195" t="s">
        <v>1657</v>
      </c>
      <c r="C2215" s="196">
        <v>0.7</v>
      </c>
      <c r="D2215" s="196">
        <v>0.82</v>
      </c>
      <c r="E2215" s="195" t="s">
        <v>598</v>
      </c>
      <c r="F2215" s="195" t="s">
        <v>19</v>
      </c>
    </row>
    <row r="2216" spans="1:6" x14ac:dyDescent="0.25">
      <c r="A2216" s="189" t="str">
        <f t="shared" si="34"/>
        <v>BA-MD 4390.755.25W</v>
      </c>
      <c r="B2216" s="195" t="s">
        <v>1657</v>
      </c>
      <c r="C2216" s="196">
        <v>0.75</v>
      </c>
      <c r="D2216" s="196">
        <v>5.25</v>
      </c>
      <c r="E2216" s="195" t="s">
        <v>593</v>
      </c>
      <c r="F2216" s="195" t="s">
        <v>432</v>
      </c>
    </row>
    <row r="2217" spans="1:6" x14ac:dyDescent="0.25">
      <c r="A2217" s="189" t="str">
        <f t="shared" si="34"/>
        <v>BA-MD 4390.821.36E</v>
      </c>
      <c r="B2217" s="195" t="s">
        <v>1657</v>
      </c>
      <c r="C2217" s="196">
        <v>0.82</v>
      </c>
      <c r="D2217" s="196">
        <v>1.36</v>
      </c>
      <c r="E2217" s="195" t="s">
        <v>598</v>
      </c>
      <c r="F2217" s="195" t="s">
        <v>19</v>
      </c>
    </row>
    <row r="2218" spans="1:6" x14ac:dyDescent="0.25">
      <c r="A2218" s="189" t="str">
        <f t="shared" si="34"/>
        <v>BA-MD 4391.365.25E</v>
      </c>
      <c r="B2218" s="195" t="s">
        <v>1657</v>
      </c>
      <c r="C2218" s="196">
        <v>1.36</v>
      </c>
      <c r="D2218" s="196">
        <v>5.25</v>
      </c>
      <c r="E2218" s="195" t="s">
        <v>598</v>
      </c>
      <c r="F2218" s="195" t="s">
        <v>19</v>
      </c>
    </row>
    <row r="2219" spans="1:6" x14ac:dyDescent="0.25">
      <c r="A2219" s="189" t="str">
        <f t="shared" si="34"/>
        <v>BA-MD 4395.255.55E</v>
      </c>
      <c r="B2219" s="195" t="s">
        <v>1657</v>
      </c>
      <c r="C2219" s="196">
        <v>5.25</v>
      </c>
      <c r="D2219" s="196">
        <v>5.55</v>
      </c>
      <c r="E2219" s="195" t="s">
        <v>583</v>
      </c>
      <c r="F2219" s="195" t="s">
        <v>19</v>
      </c>
    </row>
    <row r="2220" spans="1:6" x14ac:dyDescent="0.25">
      <c r="A2220" s="189" t="str">
        <f t="shared" si="34"/>
        <v>BA-MD 4395.255.55W</v>
      </c>
      <c r="B2220" s="195" t="s">
        <v>1657</v>
      </c>
      <c r="C2220" s="196">
        <v>5.25</v>
      </c>
      <c r="D2220" s="196">
        <v>5.55</v>
      </c>
      <c r="E2220" s="195" t="s">
        <v>583</v>
      </c>
      <c r="F2220" s="195" t="s">
        <v>432</v>
      </c>
    </row>
    <row r="2221" spans="1:6" x14ac:dyDescent="0.25">
      <c r="A2221" s="189" t="str">
        <f t="shared" si="34"/>
        <v>BA-MD 4395.555.97E</v>
      </c>
      <c r="B2221" s="195" t="s">
        <v>1657</v>
      </c>
      <c r="C2221" s="196">
        <v>5.55</v>
      </c>
      <c r="D2221" s="196">
        <v>5.97</v>
      </c>
      <c r="E2221" s="195" t="s">
        <v>583</v>
      </c>
      <c r="F2221" s="195" t="s">
        <v>19</v>
      </c>
    </row>
    <row r="2222" spans="1:6" x14ac:dyDescent="0.25">
      <c r="A2222" s="189" t="str">
        <f t="shared" si="34"/>
        <v>BA-MD 4395.555.97W</v>
      </c>
      <c r="B2222" s="195" t="s">
        <v>1657</v>
      </c>
      <c r="C2222" s="196">
        <v>5.55</v>
      </c>
      <c r="D2222" s="196">
        <v>5.97</v>
      </c>
      <c r="E2222" s="195" t="s">
        <v>583</v>
      </c>
      <c r="F2222" s="195" t="s">
        <v>432</v>
      </c>
    </row>
    <row r="2223" spans="1:6" x14ac:dyDescent="0.25">
      <c r="A2223" s="189" t="str">
        <f t="shared" si="34"/>
        <v>BA-MD 4500.85N</v>
      </c>
      <c r="B2223" s="195" t="s">
        <v>495</v>
      </c>
      <c r="C2223" s="196">
        <v>0</v>
      </c>
      <c r="D2223" s="196">
        <v>0.85</v>
      </c>
      <c r="E2223" s="195" t="s">
        <v>583</v>
      </c>
      <c r="F2223" s="195" t="s">
        <v>430</v>
      </c>
    </row>
    <row r="2224" spans="1:6" x14ac:dyDescent="0.25">
      <c r="A2224" s="189" t="str">
        <f t="shared" si="34"/>
        <v>BA-MD 4500.85S</v>
      </c>
      <c r="B2224" s="195" t="s">
        <v>495</v>
      </c>
      <c r="C2224" s="196">
        <v>0</v>
      </c>
      <c r="D2224" s="196">
        <v>0.85</v>
      </c>
      <c r="E2224" s="195" t="s">
        <v>583</v>
      </c>
      <c r="F2224" s="195" t="s">
        <v>438</v>
      </c>
    </row>
    <row r="2225" spans="1:6" x14ac:dyDescent="0.25">
      <c r="A2225" s="189" t="str">
        <f t="shared" si="34"/>
        <v>BA-MD 450.851.86N</v>
      </c>
      <c r="B2225" s="195" t="s">
        <v>495</v>
      </c>
      <c r="C2225" s="196">
        <v>0.85</v>
      </c>
      <c r="D2225" s="196">
        <v>1.86</v>
      </c>
      <c r="E2225" s="195" t="s">
        <v>583</v>
      </c>
      <c r="F2225" s="195" t="s">
        <v>430</v>
      </c>
    </row>
    <row r="2226" spans="1:6" x14ac:dyDescent="0.25">
      <c r="A2226" s="189" t="str">
        <f t="shared" si="34"/>
        <v>BA-MD 450.851.86S</v>
      </c>
      <c r="B2226" s="195" t="s">
        <v>495</v>
      </c>
      <c r="C2226" s="196">
        <v>0.85</v>
      </c>
      <c r="D2226" s="196">
        <v>1.86</v>
      </c>
      <c r="E2226" s="195" t="s">
        <v>583</v>
      </c>
      <c r="F2226" s="195" t="s">
        <v>438</v>
      </c>
    </row>
    <row r="2227" spans="1:6" x14ac:dyDescent="0.25">
      <c r="A2227" s="189" t="str">
        <f t="shared" si="34"/>
        <v>BA-MD 451.862N</v>
      </c>
      <c r="B2227" s="195" t="s">
        <v>495</v>
      </c>
      <c r="C2227" s="196">
        <v>1.86</v>
      </c>
      <c r="D2227" s="196">
        <v>2</v>
      </c>
      <c r="E2227" s="195" t="s">
        <v>583</v>
      </c>
      <c r="F2227" s="195" t="s">
        <v>430</v>
      </c>
    </row>
    <row r="2228" spans="1:6" x14ac:dyDescent="0.25">
      <c r="A2228" s="189" t="str">
        <f t="shared" si="34"/>
        <v>BA-MD 451.862S</v>
      </c>
      <c r="B2228" s="195" t="s">
        <v>495</v>
      </c>
      <c r="C2228" s="196">
        <v>1.86</v>
      </c>
      <c r="D2228" s="196">
        <v>2</v>
      </c>
      <c r="E2228" s="195" t="s">
        <v>583</v>
      </c>
      <c r="F2228" s="195" t="s">
        <v>438</v>
      </c>
    </row>
    <row r="2229" spans="1:6" x14ac:dyDescent="0.25">
      <c r="A2229" s="189" t="str">
        <f t="shared" si="34"/>
        <v>BA-MD 452.172.2N</v>
      </c>
      <c r="B2229" s="195" t="s">
        <v>495</v>
      </c>
      <c r="C2229" s="196">
        <v>2.17</v>
      </c>
      <c r="D2229" s="196">
        <v>2.2000000000000002</v>
      </c>
      <c r="E2229" s="195" t="s">
        <v>583</v>
      </c>
      <c r="F2229" s="195" t="s">
        <v>430</v>
      </c>
    </row>
    <row r="2230" spans="1:6" x14ac:dyDescent="0.25">
      <c r="A2230" s="189" t="str">
        <f t="shared" si="34"/>
        <v>BA-MD 452.172.2S</v>
      </c>
      <c r="B2230" s="195" t="s">
        <v>495</v>
      </c>
      <c r="C2230" s="196">
        <v>2.17</v>
      </c>
      <c r="D2230" s="196">
        <v>2.2000000000000002</v>
      </c>
      <c r="E2230" s="195" t="s">
        <v>583</v>
      </c>
      <c r="F2230" s="195" t="s">
        <v>438</v>
      </c>
    </row>
    <row r="2231" spans="1:6" x14ac:dyDescent="0.25">
      <c r="A2231" s="189" t="str">
        <f t="shared" si="34"/>
        <v>BA-MD 452.22.44S</v>
      </c>
      <c r="B2231" s="195" t="s">
        <v>495</v>
      </c>
      <c r="C2231" s="196">
        <v>2.2000000000000002</v>
      </c>
      <c r="D2231" s="196">
        <v>2.44</v>
      </c>
      <c r="E2231" s="195" t="s">
        <v>595</v>
      </c>
      <c r="F2231" s="195" t="s">
        <v>438</v>
      </c>
    </row>
    <row r="2232" spans="1:6" x14ac:dyDescent="0.25">
      <c r="A2232" s="189" t="str">
        <f t="shared" si="34"/>
        <v>BA-MD 452.22.59N</v>
      </c>
      <c r="B2232" s="195" t="s">
        <v>495</v>
      </c>
      <c r="C2232" s="196">
        <v>2.2000000000000002</v>
      </c>
      <c r="D2232" s="196">
        <v>2.59</v>
      </c>
      <c r="E2232" s="195" t="s">
        <v>589</v>
      </c>
      <c r="F2232" s="195" t="s">
        <v>430</v>
      </c>
    </row>
    <row r="2233" spans="1:6" x14ac:dyDescent="0.25">
      <c r="A2233" s="189" t="str">
        <f t="shared" si="34"/>
        <v>BA-MD 452.442.44S</v>
      </c>
      <c r="B2233" s="195" t="s">
        <v>495</v>
      </c>
      <c r="C2233" s="196">
        <v>2.44</v>
      </c>
      <c r="D2233" s="196">
        <v>2.44</v>
      </c>
      <c r="E2233" s="195" t="s">
        <v>595</v>
      </c>
      <c r="F2233" s="195" t="s">
        <v>438</v>
      </c>
    </row>
    <row r="2234" spans="1:6" x14ac:dyDescent="0.25">
      <c r="A2234" s="189" t="str">
        <f t="shared" si="34"/>
        <v>BA-MD 452.442.59S</v>
      </c>
      <c r="B2234" s="195" t="s">
        <v>495</v>
      </c>
      <c r="C2234" s="196">
        <v>2.44</v>
      </c>
      <c r="D2234" s="196">
        <v>2.59</v>
      </c>
      <c r="E2234" s="195" t="s">
        <v>595</v>
      </c>
      <c r="F2234" s="195" t="s">
        <v>438</v>
      </c>
    </row>
    <row r="2235" spans="1:6" x14ac:dyDescent="0.25">
      <c r="A2235" s="189" t="str">
        <f t="shared" si="34"/>
        <v>BA-MD 452.592.62S</v>
      </c>
      <c r="B2235" s="195" t="s">
        <v>495</v>
      </c>
      <c r="C2235" s="196">
        <v>2.59</v>
      </c>
      <c r="D2235" s="196">
        <v>2.62</v>
      </c>
      <c r="E2235" s="195" t="s">
        <v>595</v>
      </c>
      <c r="F2235" s="195" t="s">
        <v>438</v>
      </c>
    </row>
    <row r="2236" spans="1:6" x14ac:dyDescent="0.25">
      <c r="A2236" s="189" t="str">
        <f t="shared" si="34"/>
        <v>BA-MD 452.592.73N</v>
      </c>
      <c r="B2236" s="195" t="s">
        <v>495</v>
      </c>
      <c r="C2236" s="196">
        <v>2.59</v>
      </c>
      <c r="D2236" s="196">
        <v>2.73</v>
      </c>
      <c r="E2236" s="195" t="s">
        <v>589</v>
      </c>
      <c r="F2236" s="195" t="s">
        <v>430</v>
      </c>
    </row>
    <row r="2237" spans="1:6" x14ac:dyDescent="0.25">
      <c r="A2237" s="189" t="str">
        <f t="shared" si="34"/>
        <v>BA-MD 452.622.62S</v>
      </c>
      <c r="B2237" s="195" t="s">
        <v>495</v>
      </c>
      <c r="C2237" s="196">
        <v>2.62</v>
      </c>
      <c r="D2237" s="196">
        <v>2.62</v>
      </c>
      <c r="E2237" s="195" t="s">
        <v>595</v>
      </c>
      <c r="F2237" s="195" t="s">
        <v>438</v>
      </c>
    </row>
    <row r="2238" spans="1:6" x14ac:dyDescent="0.25">
      <c r="A2238" s="189" t="str">
        <f t="shared" si="34"/>
        <v>BA-MD 452.622.74S</v>
      </c>
      <c r="B2238" s="195" t="s">
        <v>495</v>
      </c>
      <c r="C2238" s="196">
        <v>2.62</v>
      </c>
      <c r="D2238" s="196">
        <v>2.74</v>
      </c>
      <c r="E2238" s="195" t="s">
        <v>595</v>
      </c>
      <c r="F2238" s="195" t="s">
        <v>438</v>
      </c>
    </row>
    <row r="2239" spans="1:6" x14ac:dyDescent="0.25">
      <c r="A2239" s="189" t="str">
        <f t="shared" si="34"/>
        <v>BA-MD 452.732.85N</v>
      </c>
      <c r="B2239" s="195" t="s">
        <v>495</v>
      </c>
      <c r="C2239" s="196">
        <v>2.73</v>
      </c>
      <c r="D2239" s="196">
        <v>2.85</v>
      </c>
      <c r="E2239" s="195" t="s">
        <v>589</v>
      </c>
      <c r="F2239" s="195" t="s">
        <v>430</v>
      </c>
    </row>
    <row r="2240" spans="1:6" x14ac:dyDescent="0.25">
      <c r="A2240" s="189" t="str">
        <f t="shared" si="34"/>
        <v>BA-MD 453.13.85S</v>
      </c>
      <c r="B2240" s="195" t="s">
        <v>495</v>
      </c>
      <c r="C2240" s="196">
        <v>3.1</v>
      </c>
      <c r="D2240" s="196">
        <v>3.85</v>
      </c>
      <c r="E2240" s="195" t="s">
        <v>595</v>
      </c>
      <c r="F2240" s="195" t="s">
        <v>438</v>
      </c>
    </row>
    <row r="2241" spans="1:6" x14ac:dyDescent="0.25">
      <c r="A2241" s="189" t="str">
        <f t="shared" si="34"/>
        <v>BA-MD 453.313.4N</v>
      </c>
      <c r="B2241" s="195" t="s">
        <v>495</v>
      </c>
      <c r="C2241" s="196">
        <v>3.31</v>
      </c>
      <c r="D2241" s="196">
        <v>3.4</v>
      </c>
      <c r="E2241" s="195" t="s">
        <v>589</v>
      </c>
      <c r="F2241" s="195" t="s">
        <v>430</v>
      </c>
    </row>
    <row r="2242" spans="1:6" x14ac:dyDescent="0.25">
      <c r="A2242" s="189" t="str">
        <f t="shared" si="34"/>
        <v>BA-MD 453.43.85N</v>
      </c>
      <c r="B2242" s="195" t="s">
        <v>495</v>
      </c>
      <c r="C2242" s="196">
        <v>3.4</v>
      </c>
      <c r="D2242" s="196">
        <v>3.85</v>
      </c>
      <c r="E2242" s="195" t="s">
        <v>589</v>
      </c>
      <c r="F2242" s="195" t="s">
        <v>430</v>
      </c>
    </row>
    <row r="2243" spans="1:6" x14ac:dyDescent="0.25">
      <c r="A2243" s="189" t="str">
        <f t="shared" ref="A2243:A2306" si="35">B2243&amp;C2243&amp;D2243&amp;F2243</f>
        <v>BA-MD 453.855.12N</v>
      </c>
      <c r="B2243" s="195" t="s">
        <v>495</v>
      </c>
      <c r="C2243" s="196">
        <v>3.85</v>
      </c>
      <c r="D2243" s="196">
        <v>5.12</v>
      </c>
      <c r="E2243" s="195" t="s">
        <v>583</v>
      </c>
      <c r="F2243" s="195" t="s">
        <v>430</v>
      </c>
    </row>
    <row r="2244" spans="1:6" x14ac:dyDescent="0.25">
      <c r="A2244" s="189" t="str">
        <f t="shared" si="35"/>
        <v>BA-MD 453.855.12S</v>
      </c>
      <c r="B2244" s="195" t="s">
        <v>495</v>
      </c>
      <c r="C2244" s="196">
        <v>3.85</v>
      </c>
      <c r="D2244" s="196">
        <v>5.12</v>
      </c>
      <c r="E2244" s="195" t="s">
        <v>583</v>
      </c>
      <c r="F2244" s="195" t="s">
        <v>438</v>
      </c>
    </row>
    <row r="2245" spans="1:6" x14ac:dyDescent="0.25">
      <c r="A2245" s="189" t="str">
        <f t="shared" si="35"/>
        <v>BA-MD 455.125.25N</v>
      </c>
      <c r="B2245" s="195" t="s">
        <v>495</v>
      </c>
      <c r="C2245" s="196">
        <v>5.12</v>
      </c>
      <c r="D2245" s="196">
        <v>5.25</v>
      </c>
      <c r="E2245" s="195" t="s">
        <v>583</v>
      </c>
      <c r="F2245" s="195" t="s">
        <v>430</v>
      </c>
    </row>
    <row r="2246" spans="1:6" x14ac:dyDescent="0.25">
      <c r="A2246" s="189" t="str">
        <f t="shared" si="35"/>
        <v>BA-MD 455.125.25S</v>
      </c>
      <c r="B2246" s="195" t="s">
        <v>495</v>
      </c>
      <c r="C2246" s="196">
        <v>5.12</v>
      </c>
      <c r="D2246" s="196">
        <v>5.25</v>
      </c>
      <c r="E2246" s="195" t="s">
        <v>583</v>
      </c>
      <c r="F2246" s="195" t="s">
        <v>438</v>
      </c>
    </row>
    <row r="2247" spans="1:6" x14ac:dyDescent="0.25">
      <c r="A2247" s="189" t="str">
        <f t="shared" si="35"/>
        <v>BA-MD 455.256.15S</v>
      </c>
      <c r="B2247" s="195" t="s">
        <v>495</v>
      </c>
      <c r="C2247" s="196">
        <v>5.25</v>
      </c>
      <c r="D2247" s="196">
        <v>6.15</v>
      </c>
      <c r="E2247" s="195" t="s">
        <v>595</v>
      </c>
      <c r="F2247" s="195" t="s">
        <v>438</v>
      </c>
    </row>
    <row r="2248" spans="1:6" x14ac:dyDescent="0.25">
      <c r="A2248" s="189" t="str">
        <f t="shared" si="35"/>
        <v>BA-MD 455.256.19N</v>
      </c>
      <c r="B2248" s="195" t="s">
        <v>495</v>
      </c>
      <c r="C2248" s="196">
        <v>5.25</v>
      </c>
      <c r="D2248" s="196">
        <v>6.19</v>
      </c>
      <c r="E2248" s="195" t="s">
        <v>589</v>
      </c>
      <c r="F2248" s="195" t="s">
        <v>430</v>
      </c>
    </row>
    <row r="2249" spans="1:6" x14ac:dyDescent="0.25">
      <c r="A2249" s="189" t="str">
        <f t="shared" si="35"/>
        <v>BA-MD 456.156.19S</v>
      </c>
      <c r="B2249" s="195" t="s">
        <v>495</v>
      </c>
      <c r="C2249" s="196">
        <v>6.15</v>
      </c>
      <c r="D2249" s="196">
        <v>6.19</v>
      </c>
      <c r="E2249" s="195" t="s">
        <v>595</v>
      </c>
      <c r="F2249" s="195" t="s">
        <v>438</v>
      </c>
    </row>
    <row r="2250" spans="1:6" x14ac:dyDescent="0.25">
      <c r="A2250" s="189" t="str">
        <f t="shared" si="35"/>
        <v>BA-MD 456.196.85S</v>
      </c>
      <c r="B2250" s="195" t="s">
        <v>495</v>
      </c>
      <c r="C2250" s="196">
        <v>6.19</v>
      </c>
      <c r="D2250" s="196">
        <v>6.85</v>
      </c>
      <c r="E2250" s="195" t="s">
        <v>595</v>
      </c>
      <c r="F2250" s="195" t="s">
        <v>438</v>
      </c>
    </row>
    <row r="2251" spans="1:6" x14ac:dyDescent="0.25">
      <c r="A2251" s="189" t="str">
        <f t="shared" si="35"/>
        <v>BA-MD 456.197.1N</v>
      </c>
      <c r="B2251" s="195" t="s">
        <v>495</v>
      </c>
      <c r="C2251" s="196">
        <v>6.19</v>
      </c>
      <c r="D2251" s="196">
        <v>7.1</v>
      </c>
      <c r="E2251" s="195" t="s">
        <v>589</v>
      </c>
      <c r="F2251" s="195" t="s">
        <v>430</v>
      </c>
    </row>
    <row r="2252" spans="1:6" x14ac:dyDescent="0.25">
      <c r="A2252" s="189" t="str">
        <f t="shared" si="35"/>
        <v>BA-MD 456.858.43S</v>
      </c>
      <c r="B2252" s="195" t="s">
        <v>495</v>
      </c>
      <c r="C2252" s="196">
        <v>6.85</v>
      </c>
      <c r="D2252" s="196">
        <v>8.43</v>
      </c>
      <c r="E2252" s="195" t="s">
        <v>595</v>
      </c>
      <c r="F2252" s="195" t="s">
        <v>438</v>
      </c>
    </row>
    <row r="2253" spans="1:6" x14ac:dyDescent="0.25">
      <c r="A2253" s="189" t="str">
        <f t="shared" si="35"/>
        <v>BA-MD 457.18.43N</v>
      </c>
      <c r="B2253" s="195" t="s">
        <v>495</v>
      </c>
      <c r="C2253" s="196">
        <v>7.1</v>
      </c>
      <c r="D2253" s="196">
        <v>8.43</v>
      </c>
      <c r="E2253" s="195" t="s">
        <v>589</v>
      </c>
      <c r="F2253" s="195" t="s">
        <v>430</v>
      </c>
    </row>
    <row r="2254" spans="1:6" x14ac:dyDescent="0.25">
      <c r="A2254" s="189" t="str">
        <f t="shared" si="35"/>
        <v>BA-MD 458.439.15N</v>
      </c>
      <c r="B2254" s="195" t="s">
        <v>495</v>
      </c>
      <c r="C2254" s="196">
        <v>8.43</v>
      </c>
      <c r="D2254" s="196">
        <v>9.15</v>
      </c>
      <c r="E2254" s="195" t="s">
        <v>589</v>
      </c>
      <c r="F2254" s="195" t="s">
        <v>430</v>
      </c>
    </row>
    <row r="2255" spans="1:6" x14ac:dyDescent="0.25">
      <c r="A2255" s="189" t="str">
        <f t="shared" si="35"/>
        <v>BA-MD 458.439.21S</v>
      </c>
      <c r="B2255" s="195" t="s">
        <v>495</v>
      </c>
      <c r="C2255" s="196">
        <v>8.43</v>
      </c>
      <c r="D2255" s="196">
        <v>9.2100000000000009</v>
      </c>
      <c r="E2255" s="195" t="s">
        <v>595</v>
      </c>
      <c r="F2255" s="195" t="s">
        <v>438</v>
      </c>
    </row>
    <row r="2256" spans="1:6" x14ac:dyDescent="0.25">
      <c r="A2256" s="189" t="str">
        <f t="shared" si="35"/>
        <v>BA-MD 459.159.21N</v>
      </c>
      <c r="B2256" s="195" t="s">
        <v>495</v>
      </c>
      <c r="C2256" s="196">
        <v>9.15</v>
      </c>
      <c r="D2256" s="196">
        <v>9.2100000000000009</v>
      </c>
      <c r="E2256" s="195" t="s">
        <v>589</v>
      </c>
      <c r="F2256" s="195" t="s">
        <v>430</v>
      </c>
    </row>
    <row r="2257" spans="1:6" x14ac:dyDescent="0.25">
      <c r="A2257" s="189" t="str">
        <f t="shared" si="35"/>
        <v>BA-MD 459.219.64S</v>
      </c>
      <c r="B2257" s="195" t="s">
        <v>495</v>
      </c>
      <c r="C2257" s="196">
        <v>9.2100000000000009</v>
      </c>
      <c r="D2257" s="196">
        <v>9.64</v>
      </c>
      <c r="E2257" s="195" t="s">
        <v>595</v>
      </c>
      <c r="F2257" s="195" t="s">
        <v>438</v>
      </c>
    </row>
    <row r="2258" spans="1:6" x14ac:dyDescent="0.25">
      <c r="A2258" s="189" t="str">
        <f t="shared" si="35"/>
        <v>BA-MD 459.299.64N</v>
      </c>
      <c r="B2258" s="195" t="s">
        <v>495</v>
      </c>
      <c r="C2258" s="196">
        <v>9.2899999999999991</v>
      </c>
      <c r="D2258" s="196">
        <v>9.64</v>
      </c>
      <c r="E2258" s="195" t="s">
        <v>589</v>
      </c>
      <c r="F2258" s="195" t="s">
        <v>430</v>
      </c>
    </row>
    <row r="2259" spans="1:6" x14ac:dyDescent="0.25">
      <c r="A2259" s="189" t="str">
        <f t="shared" si="35"/>
        <v>BA-MD 459.649.66S</v>
      </c>
      <c r="B2259" s="195" t="s">
        <v>495</v>
      </c>
      <c r="C2259" s="196">
        <v>9.64</v>
      </c>
      <c r="D2259" s="196">
        <v>9.66</v>
      </c>
      <c r="E2259" s="195" t="s">
        <v>595</v>
      </c>
      <c r="F2259" s="195" t="s">
        <v>438</v>
      </c>
    </row>
    <row r="2260" spans="1:6" x14ac:dyDescent="0.25">
      <c r="A2260" s="189" t="str">
        <f t="shared" si="35"/>
        <v>BA-MD 459.6410.46N</v>
      </c>
      <c r="B2260" s="195" t="s">
        <v>495</v>
      </c>
      <c r="C2260" s="196">
        <v>9.64</v>
      </c>
      <c r="D2260" s="196">
        <v>10.46</v>
      </c>
      <c r="E2260" s="195" t="s">
        <v>589</v>
      </c>
      <c r="F2260" s="195" t="s">
        <v>430</v>
      </c>
    </row>
    <row r="2261" spans="1:6" x14ac:dyDescent="0.25">
      <c r="A2261" s="189" t="str">
        <f t="shared" si="35"/>
        <v>BA-MD 459.6610.75S</v>
      </c>
      <c r="B2261" s="195" t="s">
        <v>495</v>
      </c>
      <c r="C2261" s="196">
        <v>9.66</v>
      </c>
      <c r="D2261" s="196">
        <v>10.75</v>
      </c>
      <c r="E2261" s="195" t="s">
        <v>595</v>
      </c>
      <c r="F2261" s="195" t="s">
        <v>438</v>
      </c>
    </row>
    <row r="2262" spans="1:6" x14ac:dyDescent="0.25">
      <c r="A2262" s="189" t="str">
        <f t="shared" si="35"/>
        <v>BA-MD 4510.4610.89N</v>
      </c>
      <c r="B2262" s="195" t="s">
        <v>495</v>
      </c>
      <c r="C2262" s="196">
        <v>10.46</v>
      </c>
      <c r="D2262" s="196">
        <v>10.89</v>
      </c>
      <c r="E2262" s="195" t="s">
        <v>589</v>
      </c>
      <c r="F2262" s="195" t="s">
        <v>430</v>
      </c>
    </row>
    <row r="2263" spans="1:6" x14ac:dyDescent="0.25">
      <c r="A2263" s="189" t="str">
        <f t="shared" si="35"/>
        <v>BA-MD 4510.7510.89S</v>
      </c>
      <c r="B2263" s="195" t="s">
        <v>495</v>
      </c>
      <c r="C2263" s="196">
        <v>10.75</v>
      </c>
      <c r="D2263" s="196">
        <v>10.89</v>
      </c>
      <c r="E2263" s="195" t="s">
        <v>595</v>
      </c>
      <c r="F2263" s="195" t="s">
        <v>438</v>
      </c>
    </row>
    <row r="2264" spans="1:6" x14ac:dyDescent="0.25">
      <c r="A2264" s="189" t="str">
        <f t="shared" si="35"/>
        <v>BA-MD 4510.8911.14S</v>
      </c>
      <c r="B2264" s="195" t="s">
        <v>495</v>
      </c>
      <c r="C2264" s="196">
        <v>10.89</v>
      </c>
      <c r="D2264" s="196">
        <v>11.14</v>
      </c>
      <c r="E2264" s="195" t="s">
        <v>595</v>
      </c>
      <c r="F2264" s="195" t="s">
        <v>438</v>
      </c>
    </row>
    <row r="2265" spans="1:6" x14ac:dyDescent="0.25">
      <c r="A2265" s="189" t="str">
        <f t="shared" si="35"/>
        <v>BA-MD 4510.8912.35N</v>
      </c>
      <c r="B2265" s="195" t="s">
        <v>495</v>
      </c>
      <c r="C2265" s="196">
        <v>10.89</v>
      </c>
      <c r="D2265" s="196">
        <v>12.35</v>
      </c>
      <c r="E2265" s="195" t="s">
        <v>589</v>
      </c>
      <c r="F2265" s="195" t="s">
        <v>430</v>
      </c>
    </row>
    <row r="2266" spans="1:6" x14ac:dyDescent="0.25">
      <c r="A2266" s="189" t="str">
        <f t="shared" si="35"/>
        <v>BA-MD 4511.1411.64S</v>
      </c>
      <c r="B2266" s="195" t="s">
        <v>495</v>
      </c>
      <c r="C2266" s="196">
        <v>11.14</v>
      </c>
      <c r="D2266" s="196">
        <v>11.64</v>
      </c>
      <c r="E2266" s="195" t="s">
        <v>595</v>
      </c>
      <c r="F2266" s="195" t="s">
        <v>438</v>
      </c>
    </row>
    <row r="2267" spans="1:6" x14ac:dyDescent="0.25">
      <c r="A2267" s="189" t="str">
        <f t="shared" si="35"/>
        <v>BA-MD 4511.6412.35S</v>
      </c>
      <c r="B2267" s="195" t="s">
        <v>495</v>
      </c>
      <c r="C2267" s="196">
        <v>11.64</v>
      </c>
      <c r="D2267" s="196">
        <v>12.35</v>
      </c>
      <c r="E2267" s="195" t="s">
        <v>595</v>
      </c>
      <c r="F2267" s="195" t="s">
        <v>438</v>
      </c>
    </row>
    <row r="2268" spans="1:6" x14ac:dyDescent="0.25">
      <c r="A2268" s="189" t="str">
        <f t="shared" si="35"/>
        <v>BA-MD 4512.3514.72N</v>
      </c>
      <c r="B2268" s="195" t="s">
        <v>495</v>
      </c>
      <c r="C2268" s="196">
        <v>12.35</v>
      </c>
      <c r="D2268" s="196">
        <v>14.72</v>
      </c>
      <c r="E2268" s="195" t="s">
        <v>583</v>
      </c>
      <c r="F2268" s="195" t="s">
        <v>430</v>
      </c>
    </row>
    <row r="2269" spans="1:6" x14ac:dyDescent="0.25">
      <c r="A2269" s="189" t="str">
        <f t="shared" si="35"/>
        <v>BA-MD 4512.3514.72S</v>
      </c>
      <c r="B2269" s="195" t="s">
        <v>495</v>
      </c>
      <c r="C2269" s="196">
        <v>12.35</v>
      </c>
      <c r="D2269" s="196">
        <v>14.72</v>
      </c>
      <c r="E2269" s="195" t="s">
        <v>583</v>
      </c>
      <c r="F2269" s="195" t="s">
        <v>438</v>
      </c>
    </row>
    <row r="2270" spans="1:6" x14ac:dyDescent="0.25">
      <c r="A2270" s="189" t="str">
        <f t="shared" si="35"/>
        <v>BA-MD 4514.7216.1N</v>
      </c>
      <c r="B2270" s="195" t="s">
        <v>495</v>
      </c>
      <c r="C2270" s="196">
        <v>14.72</v>
      </c>
      <c r="D2270" s="196">
        <v>16.100000000000001</v>
      </c>
      <c r="E2270" s="195" t="s">
        <v>583</v>
      </c>
      <c r="F2270" s="195" t="s">
        <v>430</v>
      </c>
    </row>
    <row r="2271" spans="1:6" x14ac:dyDescent="0.25">
      <c r="A2271" s="189" t="str">
        <f t="shared" si="35"/>
        <v>BA-MD 4514.7216.1S</v>
      </c>
      <c r="B2271" s="195" t="s">
        <v>495</v>
      </c>
      <c r="C2271" s="196">
        <v>14.72</v>
      </c>
      <c r="D2271" s="196">
        <v>16.100000000000001</v>
      </c>
      <c r="E2271" s="195" t="s">
        <v>583</v>
      </c>
      <c r="F2271" s="195" t="s">
        <v>438</v>
      </c>
    </row>
    <row r="2272" spans="1:6" x14ac:dyDescent="0.25">
      <c r="A2272" s="189" t="str">
        <f t="shared" si="35"/>
        <v>BA-MD 4516.116.2N</v>
      </c>
      <c r="B2272" s="195" t="s">
        <v>495</v>
      </c>
      <c r="C2272" s="196">
        <v>16.100000000000001</v>
      </c>
      <c r="D2272" s="196">
        <v>16.2</v>
      </c>
      <c r="E2272" s="195" t="s">
        <v>583</v>
      </c>
      <c r="F2272" s="195" t="s">
        <v>430</v>
      </c>
    </row>
    <row r="2273" spans="1:6" x14ac:dyDescent="0.25">
      <c r="A2273" s="189" t="str">
        <f t="shared" si="35"/>
        <v>BA-MD 4516.116.2S</v>
      </c>
      <c r="B2273" s="195" t="s">
        <v>495</v>
      </c>
      <c r="C2273" s="196">
        <v>16.100000000000001</v>
      </c>
      <c r="D2273" s="196">
        <v>16.2</v>
      </c>
      <c r="E2273" s="195" t="s">
        <v>583</v>
      </c>
      <c r="F2273" s="195" t="s">
        <v>438</v>
      </c>
    </row>
    <row r="2274" spans="1:6" x14ac:dyDescent="0.25">
      <c r="A2274" s="189" t="str">
        <f t="shared" si="35"/>
        <v>BA-MD 4516.216.55N</v>
      </c>
      <c r="B2274" s="195" t="s">
        <v>495</v>
      </c>
      <c r="C2274" s="196">
        <v>16.2</v>
      </c>
      <c r="D2274" s="196">
        <v>16.55</v>
      </c>
      <c r="E2274" s="195" t="s">
        <v>583</v>
      </c>
      <c r="F2274" s="195" t="s">
        <v>430</v>
      </c>
    </row>
    <row r="2275" spans="1:6" x14ac:dyDescent="0.25">
      <c r="A2275" s="189" t="str">
        <f t="shared" si="35"/>
        <v>BA-MD 4516.216.55S</v>
      </c>
      <c r="B2275" s="195" t="s">
        <v>495</v>
      </c>
      <c r="C2275" s="196">
        <v>16.2</v>
      </c>
      <c r="D2275" s="196">
        <v>16.55</v>
      </c>
      <c r="E2275" s="195" t="s">
        <v>583</v>
      </c>
      <c r="F2275" s="195" t="s">
        <v>438</v>
      </c>
    </row>
    <row r="2276" spans="1:6" x14ac:dyDescent="0.25">
      <c r="A2276" s="189" t="str">
        <f t="shared" si="35"/>
        <v>BA-MD 451717.9N</v>
      </c>
      <c r="B2276" s="195" t="s">
        <v>495</v>
      </c>
      <c r="C2276" s="196">
        <v>17</v>
      </c>
      <c r="D2276" s="196">
        <v>17.899999999999999</v>
      </c>
      <c r="E2276" s="195" t="s">
        <v>583</v>
      </c>
      <c r="F2276" s="195" t="s">
        <v>430</v>
      </c>
    </row>
    <row r="2277" spans="1:6" x14ac:dyDescent="0.25">
      <c r="A2277" s="189" t="str">
        <f t="shared" si="35"/>
        <v>BA-MD 451717.9S</v>
      </c>
      <c r="B2277" s="195" t="s">
        <v>495</v>
      </c>
      <c r="C2277" s="196">
        <v>17</v>
      </c>
      <c r="D2277" s="196">
        <v>17.899999999999999</v>
      </c>
      <c r="E2277" s="195" t="s">
        <v>583</v>
      </c>
      <c r="F2277" s="195" t="s">
        <v>438</v>
      </c>
    </row>
    <row r="2278" spans="1:6" x14ac:dyDescent="0.25">
      <c r="A2278" s="189" t="str">
        <f t="shared" si="35"/>
        <v>BA-MD 4517.919.79N</v>
      </c>
      <c r="B2278" s="195" t="s">
        <v>495</v>
      </c>
      <c r="C2278" s="196">
        <v>17.899999999999999</v>
      </c>
      <c r="D2278" s="196">
        <v>19.79</v>
      </c>
      <c r="E2278" s="195" t="s">
        <v>583</v>
      </c>
      <c r="F2278" s="195" t="s">
        <v>430</v>
      </c>
    </row>
    <row r="2279" spans="1:6" x14ac:dyDescent="0.25">
      <c r="A2279" s="189" t="str">
        <f t="shared" si="35"/>
        <v>BA-MD 4517.919.79S</v>
      </c>
      <c r="B2279" s="195" t="s">
        <v>495</v>
      </c>
      <c r="C2279" s="196">
        <v>17.899999999999999</v>
      </c>
      <c r="D2279" s="196">
        <v>19.79</v>
      </c>
      <c r="E2279" s="195" t="s">
        <v>583</v>
      </c>
      <c r="F2279" s="195" t="s">
        <v>438</v>
      </c>
    </row>
    <row r="2280" spans="1:6" x14ac:dyDescent="0.25">
      <c r="A2280" s="189" t="str">
        <f t="shared" si="35"/>
        <v>BA-MD 4519.7920.8N</v>
      </c>
      <c r="B2280" s="195" t="s">
        <v>495</v>
      </c>
      <c r="C2280" s="196">
        <v>19.79</v>
      </c>
      <c r="D2280" s="196">
        <v>20.8</v>
      </c>
      <c r="E2280" s="195" t="s">
        <v>583</v>
      </c>
      <c r="F2280" s="195" t="s">
        <v>430</v>
      </c>
    </row>
    <row r="2281" spans="1:6" x14ac:dyDescent="0.25">
      <c r="A2281" s="189" t="str">
        <f t="shared" si="35"/>
        <v>BA-MD 4519.7920.8S</v>
      </c>
      <c r="B2281" s="195" t="s">
        <v>495</v>
      </c>
      <c r="C2281" s="196">
        <v>19.79</v>
      </c>
      <c r="D2281" s="196">
        <v>20.8</v>
      </c>
      <c r="E2281" s="195" t="s">
        <v>583</v>
      </c>
      <c r="F2281" s="195" t="s">
        <v>438</v>
      </c>
    </row>
    <row r="2282" spans="1:6" x14ac:dyDescent="0.25">
      <c r="A2282" s="189" t="str">
        <f t="shared" si="35"/>
        <v>BA-MD 4520.821.04N</v>
      </c>
      <c r="B2282" s="195" t="s">
        <v>495</v>
      </c>
      <c r="C2282" s="196">
        <v>20.8</v>
      </c>
      <c r="D2282" s="196">
        <v>21.04</v>
      </c>
      <c r="E2282" s="195" t="s">
        <v>583</v>
      </c>
      <c r="F2282" s="195" t="s">
        <v>430</v>
      </c>
    </row>
    <row r="2283" spans="1:6" x14ac:dyDescent="0.25">
      <c r="A2283" s="189" t="str">
        <f t="shared" si="35"/>
        <v>BA-MD 4520.821.04S</v>
      </c>
      <c r="B2283" s="195" t="s">
        <v>495</v>
      </c>
      <c r="C2283" s="196">
        <v>20.8</v>
      </c>
      <c r="D2283" s="196">
        <v>21.04</v>
      </c>
      <c r="E2283" s="195" t="s">
        <v>583</v>
      </c>
      <c r="F2283" s="195" t="s">
        <v>438</v>
      </c>
    </row>
    <row r="2284" spans="1:6" x14ac:dyDescent="0.25">
      <c r="A2284" s="189" t="str">
        <f t="shared" si="35"/>
        <v>BA-MD 4521.0421.5N</v>
      </c>
      <c r="B2284" s="195" t="s">
        <v>495</v>
      </c>
      <c r="C2284" s="196">
        <v>21.04</v>
      </c>
      <c r="D2284" s="196">
        <v>21.5</v>
      </c>
      <c r="E2284" s="195" t="s">
        <v>583</v>
      </c>
      <c r="F2284" s="195" t="s">
        <v>430</v>
      </c>
    </row>
    <row r="2285" spans="1:6" x14ac:dyDescent="0.25">
      <c r="A2285" s="189" t="str">
        <f t="shared" si="35"/>
        <v>BA-MD 4521.0421.5S</v>
      </c>
      <c r="B2285" s="195" t="s">
        <v>495</v>
      </c>
      <c r="C2285" s="196">
        <v>21.04</v>
      </c>
      <c r="D2285" s="196">
        <v>21.5</v>
      </c>
      <c r="E2285" s="195" t="s">
        <v>583</v>
      </c>
      <c r="F2285" s="195" t="s">
        <v>438</v>
      </c>
    </row>
    <row r="2286" spans="1:6" x14ac:dyDescent="0.25">
      <c r="A2286" s="189" t="str">
        <f t="shared" si="35"/>
        <v>BA-MD 4521.522.31N</v>
      </c>
      <c r="B2286" s="195" t="s">
        <v>495</v>
      </c>
      <c r="C2286" s="196">
        <v>21.5</v>
      </c>
      <c r="D2286" s="196">
        <v>22.31</v>
      </c>
      <c r="E2286" s="195" t="s">
        <v>583</v>
      </c>
      <c r="F2286" s="195" t="s">
        <v>430</v>
      </c>
    </row>
    <row r="2287" spans="1:6" x14ac:dyDescent="0.25">
      <c r="A2287" s="189" t="str">
        <f t="shared" si="35"/>
        <v>BA-MD 4521.522.31S</v>
      </c>
      <c r="B2287" s="195" t="s">
        <v>495</v>
      </c>
      <c r="C2287" s="196">
        <v>21.5</v>
      </c>
      <c r="D2287" s="196">
        <v>22.31</v>
      </c>
      <c r="E2287" s="195" t="s">
        <v>583</v>
      </c>
      <c r="F2287" s="195" t="s">
        <v>438</v>
      </c>
    </row>
    <row r="2288" spans="1:6" x14ac:dyDescent="0.25">
      <c r="A2288" s="189" t="str">
        <f t="shared" si="35"/>
        <v>BA-MD 4522.3123.63N</v>
      </c>
      <c r="B2288" s="195" t="s">
        <v>495</v>
      </c>
      <c r="C2288" s="196">
        <v>22.31</v>
      </c>
      <c r="D2288" s="196">
        <v>23.63</v>
      </c>
      <c r="E2288" s="195" t="s">
        <v>583</v>
      </c>
      <c r="F2288" s="195" t="s">
        <v>430</v>
      </c>
    </row>
    <row r="2289" spans="1:6" x14ac:dyDescent="0.25">
      <c r="A2289" s="189" t="str">
        <f t="shared" si="35"/>
        <v>BA-MD 4522.3123.63S</v>
      </c>
      <c r="B2289" s="195" t="s">
        <v>495</v>
      </c>
      <c r="C2289" s="196">
        <v>22.31</v>
      </c>
      <c r="D2289" s="196">
        <v>23.63</v>
      </c>
      <c r="E2289" s="195" t="s">
        <v>583</v>
      </c>
      <c r="F2289" s="195" t="s">
        <v>438</v>
      </c>
    </row>
    <row r="2290" spans="1:6" x14ac:dyDescent="0.25">
      <c r="A2290" s="189" t="str">
        <f t="shared" si="35"/>
        <v>BA-MD 4523.6323.64N</v>
      </c>
      <c r="B2290" s="195" t="s">
        <v>495</v>
      </c>
      <c r="C2290" s="196">
        <v>23.63</v>
      </c>
      <c r="D2290" s="196">
        <v>23.64</v>
      </c>
      <c r="E2290" s="195" t="s">
        <v>583</v>
      </c>
      <c r="F2290" s="195" t="s">
        <v>430</v>
      </c>
    </row>
    <row r="2291" spans="1:6" x14ac:dyDescent="0.25">
      <c r="A2291" s="189" t="str">
        <f t="shared" si="35"/>
        <v>BA-MD 4523.6323.64S</v>
      </c>
      <c r="B2291" s="195" t="s">
        <v>495</v>
      </c>
      <c r="C2291" s="196">
        <v>23.63</v>
      </c>
      <c r="D2291" s="196">
        <v>23.64</v>
      </c>
      <c r="E2291" s="195" t="s">
        <v>583</v>
      </c>
      <c r="F2291" s="195" t="s">
        <v>438</v>
      </c>
    </row>
    <row r="2292" spans="1:6" x14ac:dyDescent="0.25">
      <c r="A2292" s="189" t="str">
        <f t="shared" si="35"/>
        <v>BA-MD 4523.6424.45N</v>
      </c>
      <c r="B2292" s="195" t="s">
        <v>495</v>
      </c>
      <c r="C2292" s="196">
        <v>23.64</v>
      </c>
      <c r="D2292" s="196">
        <v>24.45</v>
      </c>
      <c r="E2292" s="195" t="s">
        <v>583</v>
      </c>
      <c r="F2292" s="195" t="s">
        <v>430</v>
      </c>
    </row>
    <row r="2293" spans="1:6" x14ac:dyDescent="0.25">
      <c r="A2293" s="189" t="str">
        <f t="shared" si="35"/>
        <v>BA-MD 4523.6424.45S</v>
      </c>
      <c r="B2293" s="195" t="s">
        <v>495</v>
      </c>
      <c r="C2293" s="196">
        <v>23.64</v>
      </c>
      <c r="D2293" s="196">
        <v>24.45</v>
      </c>
      <c r="E2293" s="195" t="s">
        <v>583</v>
      </c>
      <c r="F2293" s="195" t="s">
        <v>438</v>
      </c>
    </row>
    <row r="2294" spans="1:6" x14ac:dyDescent="0.25">
      <c r="A2294" s="189" t="str">
        <f t="shared" si="35"/>
        <v>BA-MD 4524.4524.85N</v>
      </c>
      <c r="B2294" s="195" t="s">
        <v>495</v>
      </c>
      <c r="C2294" s="196">
        <v>24.45</v>
      </c>
      <c r="D2294" s="196">
        <v>24.85</v>
      </c>
      <c r="E2294" s="195" t="s">
        <v>583</v>
      </c>
      <c r="F2294" s="195" t="s">
        <v>430</v>
      </c>
    </row>
    <row r="2295" spans="1:6" x14ac:dyDescent="0.25">
      <c r="A2295" s="189" t="str">
        <f t="shared" si="35"/>
        <v>BA-MD 4524.4524.85S</v>
      </c>
      <c r="B2295" s="195" t="s">
        <v>495</v>
      </c>
      <c r="C2295" s="196">
        <v>24.45</v>
      </c>
      <c r="D2295" s="196">
        <v>24.85</v>
      </c>
      <c r="E2295" s="195" t="s">
        <v>583</v>
      </c>
      <c r="F2295" s="195" t="s">
        <v>438</v>
      </c>
    </row>
    <row r="2296" spans="1:6" x14ac:dyDescent="0.25">
      <c r="A2296" s="189" t="str">
        <f t="shared" si="35"/>
        <v>BA-MD 4524.8525.83N</v>
      </c>
      <c r="B2296" s="195" t="s">
        <v>495</v>
      </c>
      <c r="C2296" s="196">
        <v>24.85</v>
      </c>
      <c r="D2296" s="196">
        <v>25.83</v>
      </c>
      <c r="E2296" s="195" t="s">
        <v>583</v>
      </c>
      <c r="F2296" s="195" t="s">
        <v>430</v>
      </c>
    </row>
    <row r="2297" spans="1:6" x14ac:dyDescent="0.25">
      <c r="A2297" s="189" t="str">
        <f t="shared" si="35"/>
        <v>BA-MD 4524.8525.83S</v>
      </c>
      <c r="B2297" s="195" t="s">
        <v>495</v>
      </c>
      <c r="C2297" s="196">
        <v>24.85</v>
      </c>
      <c r="D2297" s="196">
        <v>25.83</v>
      </c>
      <c r="E2297" s="195" t="s">
        <v>583</v>
      </c>
      <c r="F2297" s="195" t="s">
        <v>438</v>
      </c>
    </row>
    <row r="2298" spans="1:6" x14ac:dyDescent="0.25">
      <c r="A2298" s="189" t="str">
        <f t="shared" si="35"/>
        <v>BA-MD 45A00.11N</v>
      </c>
      <c r="B2298" s="195" t="s">
        <v>1658</v>
      </c>
      <c r="C2298" s="196">
        <v>0</v>
      </c>
      <c r="D2298" s="196">
        <v>0.11</v>
      </c>
      <c r="E2298" s="195" t="s">
        <v>583</v>
      </c>
      <c r="F2298" s="195" t="s">
        <v>430</v>
      </c>
    </row>
    <row r="2299" spans="1:6" x14ac:dyDescent="0.25">
      <c r="A2299" s="189" t="str">
        <f t="shared" si="35"/>
        <v>BA-MD 45A00.11S</v>
      </c>
      <c r="B2299" s="195" t="s">
        <v>1658</v>
      </c>
      <c r="C2299" s="196">
        <v>0</v>
      </c>
      <c r="D2299" s="196">
        <v>0.11</v>
      </c>
      <c r="E2299" s="195" t="s">
        <v>583</v>
      </c>
      <c r="F2299" s="195" t="s">
        <v>438</v>
      </c>
    </row>
    <row r="2300" spans="1:6" x14ac:dyDescent="0.25">
      <c r="A2300" s="189" t="str">
        <f t="shared" si="35"/>
        <v>BA-MD 45B0.550.6E</v>
      </c>
      <c r="B2300" s="195" t="s">
        <v>1659</v>
      </c>
      <c r="C2300" s="196">
        <v>0.55000000000000004</v>
      </c>
      <c r="D2300" s="196">
        <v>0.6</v>
      </c>
      <c r="E2300" s="195" t="s">
        <v>583</v>
      </c>
      <c r="F2300" s="195" t="s">
        <v>19</v>
      </c>
    </row>
    <row r="2301" spans="1:6" x14ac:dyDescent="0.25">
      <c r="A2301" s="189" t="str">
        <f t="shared" si="35"/>
        <v>BA-MD 45B0.550.6W</v>
      </c>
      <c r="B2301" s="195" t="s">
        <v>1659</v>
      </c>
      <c r="C2301" s="196">
        <v>0.55000000000000004</v>
      </c>
      <c r="D2301" s="196">
        <v>0.6</v>
      </c>
      <c r="E2301" s="195" t="s">
        <v>583</v>
      </c>
      <c r="F2301" s="195" t="s">
        <v>432</v>
      </c>
    </row>
    <row r="2302" spans="1:6" x14ac:dyDescent="0.25">
      <c r="A2302" s="189" t="str">
        <f t="shared" si="35"/>
        <v>BA-MD 45C0.130.16N</v>
      </c>
      <c r="B2302" s="195" t="s">
        <v>1660</v>
      </c>
      <c r="C2302" s="196">
        <v>0.13</v>
      </c>
      <c r="D2302" s="196">
        <v>0.16</v>
      </c>
      <c r="E2302" s="195" t="s">
        <v>589</v>
      </c>
      <c r="F2302" s="195" t="s">
        <v>430</v>
      </c>
    </row>
    <row r="2303" spans="1:6" x14ac:dyDescent="0.25">
      <c r="A2303" s="189" t="str">
        <f t="shared" si="35"/>
        <v>BA-MD 45C0.130.16S</v>
      </c>
      <c r="B2303" s="195" t="s">
        <v>1660</v>
      </c>
      <c r="C2303" s="196">
        <v>0.13</v>
      </c>
      <c r="D2303" s="196">
        <v>0.16</v>
      </c>
      <c r="E2303" s="195" t="s">
        <v>595</v>
      </c>
      <c r="F2303" s="195" t="s">
        <v>438</v>
      </c>
    </row>
    <row r="2304" spans="1:6" x14ac:dyDescent="0.25">
      <c r="A2304" s="189" t="str">
        <f t="shared" si="35"/>
        <v>BA-MD 45D1.681.73E</v>
      </c>
      <c r="B2304" s="195" t="s">
        <v>1661</v>
      </c>
      <c r="C2304" s="196">
        <v>1.68</v>
      </c>
      <c r="D2304" s="196">
        <v>1.73</v>
      </c>
      <c r="E2304" s="195" t="s">
        <v>598</v>
      </c>
      <c r="F2304" s="195" t="s">
        <v>19</v>
      </c>
    </row>
    <row r="2305" spans="1:6" x14ac:dyDescent="0.25">
      <c r="A2305" s="189" t="str">
        <f t="shared" si="35"/>
        <v>BA-MD 45D1.681.73W</v>
      </c>
      <c r="B2305" s="195" t="s">
        <v>1661</v>
      </c>
      <c r="C2305" s="196">
        <v>1.68</v>
      </c>
      <c r="D2305" s="196">
        <v>1.73</v>
      </c>
      <c r="E2305" s="195" t="s">
        <v>593</v>
      </c>
      <c r="F2305" s="195" t="s">
        <v>432</v>
      </c>
    </row>
    <row r="2306" spans="1:6" x14ac:dyDescent="0.25">
      <c r="A2306" s="189" t="str">
        <f t="shared" si="35"/>
        <v>BA-MD 45E00.03E</v>
      </c>
      <c r="B2306" s="195" t="s">
        <v>1662</v>
      </c>
      <c r="C2306" s="196">
        <v>0</v>
      </c>
      <c r="D2306" s="196">
        <v>0.03</v>
      </c>
      <c r="E2306" s="195" t="s">
        <v>598</v>
      </c>
      <c r="F2306" s="195" t="s">
        <v>19</v>
      </c>
    </row>
    <row r="2307" spans="1:6" x14ac:dyDescent="0.25">
      <c r="A2307" s="189" t="str">
        <f t="shared" ref="A2307:A2370" si="36">B2307&amp;C2307&amp;D2307&amp;F2307</f>
        <v>BA-MD 45E00.03W</v>
      </c>
      <c r="B2307" s="195" t="s">
        <v>1662</v>
      </c>
      <c r="C2307" s="196">
        <v>0</v>
      </c>
      <c r="D2307" s="196">
        <v>0.03</v>
      </c>
      <c r="E2307" s="195" t="s">
        <v>593</v>
      </c>
      <c r="F2307" s="195" t="s">
        <v>432</v>
      </c>
    </row>
    <row r="2308" spans="1:6" x14ac:dyDescent="0.25">
      <c r="A2308" s="189" t="str">
        <f t="shared" si="36"/>
        <v>BA-MD 56200.65N</v>
      </c>
      <c r="B2308" s="195" t="s">
        <v>1663</v>
      </c>
      <c r="C2308" s="196">
        <v>0</v>
      </c>
      <c r="D2308" s="196">
        <v>0.65</v>
      </c>
      <c r="E2308" s="195" t="s">
        <v>583</v>
      </c>
      <c r="F2308" s="195" t="s">
        <v>430</v>
      </c>
    </row>
    <row r="2309" spans="1:6" x14ac:dyDescent="0.25">
      <c r="A2309" s="189" t="str">
        <f t="shared" si="36"/>
        <v>BA-MD 56200.65S</v>
      </c>
      <c r="B2309" s="195" t="s">
        <v>1663</v>
      </c>
      <c r="C2309" s="196">
        <v>0</v>
      </c>
      <c r="D2309" s="196">
        <v>0.65</v>
      </c>
      <c r="E2309" s="195" t="s">
        <v>583</v>
      </c>
      <c r="F2309" s="195" t="s">
        <v>438</v>
      </c>
    </row>
    <row r="2310" spans="1:6" x14ac:dyDescent="0.25">
      <c r="A2310" s="189" t="str">
        <f t="shared" si="36"/>
        <v>BA-MD 5620.651.39N</v>
      </c>
      <c r="B2310" s="195" t="s">
        <v>1663</v>
      </c>
      <c r="C2310" s="196">
        <v>0.65</v>
      </c>
      <c r="D2310" s="196">
        <v>1.39</v>
      </c>
      <c r="E2310" s="195" t="s">
        <v>583</v>
      </c>
      <c r="F2310" s="195" t="s">
        <v>430</v>
      </c>
    </row>
    <row r="2311" spans="1:6" x14ac:dyDescent="0.25">
      <c r="A2311" s="189" t="str">
        <f t="shared" si="36"/>
        <v>BA-MD 5620.651.39S</v>
      </c>
      <c r="B2311" s="195" t="s">
        <v>1663</v>
      </c>
      <c r="C2311" s="196">
        <v>0.65</v>
      </c>
      <c r="D2311" s="196">
        <v>1.39</v>
      </c>
      <c r="E2311" s="195" t="s">
        <v>583</v>
      </c>
      <c r="F2311" s="195" t="s">
        <v>438</v>
      </c>
    </row>
    <row r="2312" spans="1:6" x14ac:dyDescent="0.25">
      <c r="A2312" s="189" t="str">
        <f t="shared" si="36"/>
        <v>BA-MD 58801.94N</v>
      </c>
      <c r="B2312" s="195" t="s">
        <v>1664</v>
      </c>
      <c r="C2312" s="196">
        <v>0</v>
      </c>
      <c r="D2312" s="196">
        <v>1.94</v>
      </c>
      <c r="E2312" s="195" t="s">
        <v>583</v>
      </c>
      <c r="F2312" s="195" t="s">
        <v>430</v>
      </c>
    </row>
    <row r="2313" spans="1:6" x14ac:dyDescent="0.25">
      <c r="A2313" s="189" t="str">
        <f t="shared" si="36"/>
        <v>BA-MD 58801.94S</v>
      </c>
      <c r="B2313" s="195" t="s">
        <v>1664</v>
      </c>
      <c r="C2313" s="196">
        <v>0</v>
      </c>
      <c r="D2313" s="196">
        <v>1.94</v>
      </c>
      <c r="E2313" s="195" t="s">
        <v>583</v>
      </c>
      <c r="F2313" s="195" t="s">
        <v>438</v>
      </c>
    </row>
    <row r="2314" spans="1:6" x14ac:dyDescent="0.25">
      <c r="A2314" s="189" t="str">
        <f t="shared" si="36"/>
        <v>BA-MD 644C00.03E</v>
      </c>
      <c r="B2314" s="195" t="s">
        <v>1665</v>
      </c>
      <c r="C2314" s="196">
        <v>0</v>
      </c>
      <c r="D2314" s="196">
        <v>0.03</v>
      </c>
      <c r="E2314" s="195" t="s">
        <v>598</v>
      </c>
      <c r="F2314" s="195" t="s">
        <v>19</v>
      </c>
    </row>
    <row r="2315" spans="1:6" x14ac:dyDescent="0.25">
      <c r="A2315" s="189" t="str">
        <f t="shared" si="36"/>
        <v>BA-MD 644C00.03W</v>
      </c>
      <c r="B2315" s="195" t="s">
        <v>1665</v>
      </c>
      <c r="C2315" s="196">
        <v>0</v>
      </c>
      <c r="D2315" s="196">
        <v>0.03</v>
      </c>
      <c r="E2315" s="195" t="s">
        <v>593</v>
      </c>
      <c r="F2315" s="195" t="s">
        <v>432</v>
      </c>
    </row>
    <row r="2316" spans="1:6" x14ac:dyDescent="0.25">
      <c r="A2316" s="189" t="str">
        <f t="shared" si="36"/>
        <v>BA-MD 644D00.03E</v>
      </c>
      <c r="B2316" s="195" t="s">
        <v>1666</v>
      </c>
      <c r="C2316" s="196">
        <v>0</v>
      </c>
      <c r="D2316" s="196">
        <v>0.03</v>
      </c>
      <c r="E2316" s="195" t="s">
        <v>598</v>
      </c>
      <c r="F2316" s="195" t="s">
        <v>19</v>
      </c>
    </row>
    <row r="2317" spans="1:6" x14ac:dyDescent="0.25">
      <c r="A2317" s="189" t="str">
        <f t="shared" si="36"/>
        <v>BA-MD 644D00.03W</v>
      </c>
      <c r="B2317" s="195" t="s">
        <v>1666</v>
      </c>
      <c r="C2317" s="196">
        <v>0</v>
      </c>
      <c r="D2317" s="196">
        <v>0.03</v>
      </c>
      <c r="E2317" s="195" t="s">
        <v>593</v>
      </c>
      <c r="F2317" s="195" t="s">
        <v>432</v>
      </c>
    </row>
    <row r="2318" spans="1:6" x14ac:dyDescent="0.25">
      <c r="A2318" s="189" t="str">
        <f t="shared" si="36"/>
        <v>BA-MD 648E00.1N</v>
      </c>
      <c r="B2318" s="195" t="s">
        <v>1667</v>
      </c>
      <c r="C2318" s="196">
        <v>0</v>
      </c>
      <c r="D2318" s="196">
        <v>0.1</v>
      </c>
      <c r="E2318" s="195" t="s">
        <v>583</v>
      </c>
      <c r="F2318" s="195" t="s">
        <v>430</v>
      </c>
    </row>
    <row r="2319" spans="1:6" x14ac:dyDescent="0.25">
      <c r="A2319" s="189" t="str">
        <f t="shared" si="36"/>
        <v>BA-MD 648E00.1S</v>
      </c>
      <c r="B2319" s="195" t="s">
        <v>1667</v>
      </c>
      <c r="C2319" s="196">
        <v>0</v>
      </c>
      <c r="D2319" s="196">
        <v>0.1</v>
      </c>
      <c r="E2319" s="195" t="s">
        <v>583</v>
      </c>
      <c r="F2319" s="195" t="s">
        <v>438</v>
      </c>
    </row>
    <row r="2320" spans="1:6" x14ac:dyDescent="0.25">
      <c r="A2320" s="189" t="str">
        <f t="shared" si="36"/>
        <v>BA-MD 648E0.10.35N</v>
      </c>
      <c r="B2320" s="195" t="s">
        <v>1667</v>
      </c>
      <c r="C2320" s="196">
        <v>0.1</v>
      </c>
      <c r="D2320" s="196">
        <v>0.35</v>
      </c>
      <c r="E2320" s="195" t="s">
        <v>583</v>
      </c>
      <c r="F2320" s="195" t="s">
        <v>430</v>
      </c>
    </row>
    <row r="2321" spans="1:6" x14ac:dyDescent="0.25">
      <c r="A2321" s="189" t="str">
        <f t="shared" si="36"/>
        <v>BA-MD 648E0.10.35S</v>
      </c>
      <c r="B2321" s="195" t="s">
        <v>1667</v>
      </c>
      <c r="C2321" s="196">
        <v>0.1</v>
      </c>
      <c r="D2321" s="196">
        <v>0.35</v>
      </c>
      <c r="E2321" s="195" t="s">
        <v>583</v>
      </c>
      <c r="F2321" s="195" t="s">
        <v>438</v>
      </c>
    </row>
    <row r="2322" spans="1:6" x14ac:dyDescent="0.25">
      <c r="A2322" s="189" t="str">
        <f t="shared" si="36"/>
        <v>BA-MD 648E0.350.65N</v>
      </c>
      <c r="B2322" s="195" t="s">
        <v>1667</v>
      </c>
      <c r="C2322" s="196">
        <v>0.35</v>
      </c>
      <c r="D2322" s="196">
        <v>0.65</v>
      </c>
      <c r="E2322" s="195" t="s">
        <v>583</v>
      </c>
      <c r="F2322" s="195" t="s">
        <v>430</v>
      </c>
    </row>
    <row r="2323" spans="1:6" x14ac:dyDescent="0.25">
      <c r="A2323" s="189" t="str">
        <f t="shared" si="36"/>
        <v>BA-MD 648E0.350.65S</v>
      </c>
      <c r="B2323" s="195" t="s">
        <v>1667</v>
      </c>
      <c r="C2323" s="196">
        <v>0.35</v>
      </c>
      <c r="D2323" s="196">
        <v>0.65</v>
      </c>
      <c r="E2323" s="195" t="s">
        <v>583</v>
      </c>
      <c r="F2323" s="195" t="s">
        <v>438</v>
      </c>
    </row>
    <row r="2324" spans="1:6" x14ac:dyDescent="0.25">
      <c r="A2324" s="189" t="str">
        <f t="shared" si="36"/>
        <v>BA-MD 648E0.651.5N</v>
      </c>
      <c r="B2324" s="195" t="s">
        <v>1667</v>
      </c>
      <c r="C2324" s="196">
        <v>0.65</v>
      </c>
      <c r="D2324" s="196">
        <v>1.5</v>
      </c>
      <c r="E2324" s="195" t="s">
        <v>583</v>
      </c>
      <c r="F2324" s="195" t="s">
        <v>430</v>
      </c>
    </row>
    <row r="2325" spans="1:6" x14ac:dyDescent="0.25">
      <c r="A2325" s="189" t="str">
        <f t="shared" si="36"/>
        <v>BA-MD 648E0.651.5S</v>
      </c>
      <c r="B2325" s="195" t="s">
        <v>1667</v>
      </c>
      <c r="C2325" s="196">
        <v>0.65</v>
      </c>
      <c r="D2325" s="196">
        <v>1.5</v>
      </c>
      <c r="E2325" s="195" t="s">
        <v>583</v>
      </c>
      <c r="F2325" s="195" t="s">
        <v>438</v>
      </c>
    </row>
    <row r="2326" spans="1:6" x14ac:dyDescent="0.25">
      <c r="A2326" s="189" t="str">
        <f t="shared" si="36"/>
        <v>BA-MD 695 RP1-3400.19N</v>
      </c>
      <c r="B2326" s="195" t="s">
        <v>1668</v>
      </c>
      <c r="C2326" s="196">
        <v>0</v>
      </c>
      <c r="D2326" s="196">
        <v>0.19</v>
      </c>
      <c r="E2326" s="195" t="s">
        <v>589</v>
      </c>
      <c r="F2326" s="195" t="s">
        <v>430</v>
      </c>
    </row>
    <row r="2327" spans="1:6" x14ac:dyDescent="0.25">
      <c r="A2327" s="189" t="str">
        <f t="shared" si="36"/>
        <v>BA-MD 695 RP1-3500.15N</v>
      </c>
      <c r="B2327" s="195" t="s">
        <v>1669</v>
      </c>
      <c r="C2327" s="196">
        <v>0</v>
      </c>
      <c r="D2327" s="196">
        <v>0.15</v>
      </c>
      <c r="E2327" s="195" t="s">
        <v>589</v>
      </c>
      <c r="F2327" s="195" t="s">
        <v>430</v>
      </c>
    </row>
    <row r="2328" spans="1:6" x14ac:dyDescent="0.25">
      <c r="A2328" s="189" t="str">
        <f t="shared" si="36"/>
        <v>BA-MD 695 RP1-3900.4N</v>
      </c>
      <c r="B2328" s="195" t="s">
        <v>1670</v>
      </c>
      <c r="C2328" s="196">
        <v>0</v>
      </c>
      <c r="D2328" s="196">
        <v>0.4</v>
      </c>
      <c r="E2328" s="195" t="s">
        <v>589</v>
      </c>
      <c r="F2328" s="195" t="s">
        <v>430</v>
      </c>
    </row>
    <row r="2329" spans="1:6" x14ac:dyDescent="0.25">
      <c r="A2329" s="189" t="str">
        <f t="shared" si="36"/>
        <v>BA-MD 695 RP1-390.40.96N</v>
      </c>
      <c r="B2329" s="195" t="s">
        <v>1670</v>
      </c>
      <c r="C2329" s="196">
        <v>0.4</v>
      </c>
      <c r="D2329" s="196">
        <v>0.96</v>
      </c>
      <c r="E2329" s="195" t="s">
        <v>589</v>
      </c>
      <c r="F2329" s="195" t="s">
        <v>430</v>
      </c>
    </row>
    <row r="2330" spans="1:6" x14ac:dyDescent="0.25">
      <c r="A2330" s="189" t="str">
        <f t="shared" si="36"/>
        <v>BA-MD 695 RP1-390.961.04N</v>
      </c>
      <c r="B2330" s="195" t="s">
        <v>1670</v>
      </c>
      <c r="C2330" s="196">
        <v>0.96</v>
      </c>
      <c r="D2330" s="196">
        <v>1.04</v>
      </c>
      <c r="E2330" s="195" t="s">
        <v>589</v>
      </c>
      <c r="F2330" s="195" t="s">
        <v>430</v>
      </c>
    </row>
    <row r="2331" spans="1:6" x14ac:dyDescent="0.25">
      <c r="A2331" s="189" t="str">
        <f t="shared" si="36"/>
        <v>BA-MD 695 RP1-4000.42W</v>
      </c>
      <c r="B2331" s="195" t="s">
        <v>1671</v>
      </c>
      <c r="C2331" s="196">
        <v>0</v>
      </c>
      <c r="D2331" s="196">
        <v>0.42</v>
      </c>
      <c r="E2331" s="195" t="s">
        <v>593</v>
      </c>
      <c r="F2331" s="195" t="s">
        <v>432</v>
      </c>
    </row>
    <row r="2332" spans="1:6" x14ac:dyDescent="0.25">
      <c r="A2332" s="189" t="str">
        <f t="shared" si="36"/>
        <v>BA-MD 695 RP1-4100.05W</v>
      </c>
      <c r="B2332" s="195" t="s">
        <v>1672</v>
      </c>
      <c r="C2332" s="196">
        <v>0</v>
      </c>
      <c r="D2332" s="196">
        <v>0.05</v>
      </c>
      <c r="E2332" s="195" t="s">
        <v>593</v>
      </c>
      <c r="F2332" s="195" t="s">
        <v>432</v>
      </c>
    </row>
    <row r="2333" spans="1:6" x14ac:dyDescent="0.25">
      <c r="A2333" s="189" t="str">
        <f t="shared" si="36"/>
        <v>BA-MD 695 RP1-4300.04E</v>
      </c>
      <c r="B2333" s="195" t="s">
        <v>1673</v>
      </c>
      <c r="C2333" s="196">
        <v>0</v>
      </c>
      <c r="D2333" s="196">
        <v>0.04</v>
      </c>
      <c r="E2333" s="195" t="s">
        <v>598</v>
      </c>
      <c r="F2333" s="195" t="s">
        <v>19</v>
      </c>
    </row>
    <row r="2334" spans="1:6" x14ac:dyDescent="0.25">
      <c r="A2334" s="189" t="str">
        <f t="shared" si="36"/>
        <v>BA-MD 695 RP1-4400.36E</v>
      </c>
      <c r="B2334" s="195" t="s">
        <v>1674</v>
      </c>
      <c r="C2334" s="196">
        <v>0</v>
      </c>
      <c r="D2334" s="196">
        <v>0.36</v>
      </c>
      <c r="E2334" s="195" t="s">
        <v>598</v>
      </c>
      <c r="F2334" s="195" t="s">
        <v>19</v>
      </c>
    </row>
    <row r="2335" spans="1:6" x14ac:dyDescent="0.25">
      <c r="A2335" s="189" t="str">
        <f t="shared" si="36"/>
        <v>BA-MD 695 RP1-440.170.31W</v>
      </c>
      <c r="B2335" s="195" t="s">
        <v>1674</v>
      </c>
      <c r="C2335" s="196">
        <v>0.17</v>
      </c>
      <c r="D2335" s="196">
        <v>0.31</v>
      </c>
      <c r="E2335" s="195" t="s">
        <v>593</v>
      </c>
      <c r="F2335" s="195" t="s">
        <v>432</v>
      </c>
    </row>
    <row r="2336" spans="1:6" x14ac:dyDescent="0.25">
      <c r="A2336" s="189" t="str">
        <f t="shared" si="36"/>
        <v>BA-MD 695 RP2-3400.28N</v>
      </c>
      <c r="B2336" s="195" t="s">
        <v>1675</v>
      </c>
      <c r="C2336" s="196">
        <v>0</v>
      </c>
      <c r="D2336" s="196">
        <v>0.28000000000000003</v>
      </c>
      <c r="E2336" s="195" t="s">
        <v>589</v>
      </c>
      <c r="F2336" s="195" t="s">
        <v>430</v>
      </c>
    </row>
    <row r="2337" spans="1:6" x14ac:dyDescent="0.25">
      <c r="A2337" s="189" t="str">
        <f t="shared" si="36"/>
        <v>BA-MD 695 RP2-3500.2W</v>
      </c>
      <c r="B2337" s="195" t="s">
        <v>1676</v>
      </c>
      <c r="C2337" s="196">
        <v>0</v>
      </c>
      <c r="D2337" s="196">
        <v>0.2</v>
      </c>
      <c r="E2337" s="195" t="s">
        <v>593</v>
      </c>
      <c r="F2337" s="195" t="s">
        <v>432</v>
      </c>
    </row>
    <row r="2338" spans="1:6" x14ac:dyDescent="0.25">
      <c r="A2338" s="189" t="str">
        <f t="shared" si="36"/>
        <v>BA-MD 695 RP2-3800.16W</v>
      </c>
      <c r="B2338" s="195" t="s">
        <v>1677</v>
      </c>
      <c r="C2338" s="196">
        <v>0</v>
      </c>
      <c r="D2338" s="196">
        <v>0.16</v>
      </c>
      <c r="E2338" s="195" t="s">
        <v>593</v>
      </c>
      <c r="F2338" s="195" t="s">
        <v>432</v>
      </c>
    </row>
    <row r="2339" spans="1:6" x14ac:dyDescent="0.25">
      <c r="A2339" s="189" t="str">
        <f t="shared" si="36"/>
        <v>BA-MD 695 RP2-4000.35W</v>
      </c>
      <c r="B2339" s="195" t="s">
        <v>1678</v>
      </c>
      <c r="C2339" s="196">
        <v>0</v>
      </c>
      <c r="D2339" s="196">
        <v>0.35</v>
      </c>
      <c r="E2339" s="195" t="s">
        <v>593</v>
      </c>
      <c r="F2339" s="195" t="s">
        <v>432</v>
      </c>
    </row>
    <row r="2340" spans="1:6" x14ac:dyDescent="0.25">
      <c r="A2340" s="189" t="str">
        <f t="shared" si="36"/>
        <v>BA-MD 695 RP2-4100.33S</v>
      </c>
      <c r="B2340" s="195" t="s">
        <v>1679</v>
      </c>
      <c r="C2340" s="196">
        <v>0</v>
      </c>
      <c r="D2340" s="196">
        <v>0.33</v>
      </c>
      <c r="E2340" s="195" t="s">
        <v>595</v>
      </c>
      <c r="F2340" s="195" t="s">
        <v>438</v>
      </c>
    </row>
    <row r="2341" spans="1:6" x14ac:dyDescent="0.25">
      <c r="A2341" s="189" t="str">
        <f t="shared" si="36"/>
        <v>BA-MD 695 RP2-4200.28S</v>
      </c>
      <c r="B2341" s="195" t="s">
        <v>1680</v>
      </c>
      <c r="C2341" s="196">
        <v>0</v>
      </c>
      <c r="D2341" s="196">
        <v>0.28000000000000003</v>
      </c>
      <c r="E2341" s="195" t="s">
        <v>595</v>
      </c>
      <c r="F2341" s="195" t="s">
        <v>438</v>
      </c>
    </row>
    <row r="2342" spans="1:6" x14ac:dyDescent="0.25">
      <c r="A2342" s="189" t="str">
        <f t="shared" si="36"/>
        <v>BA-MD 695 RP3-3500.11N</v>
      </c>
      <c r="B2342" s="195" t="s">
        <v>1681</v>
      </c>
      <c r="C2342" s="196">
        <v>0</v>
      </c>
      <c r="D2342" s="196">
        <v>0.11</v>
      </c>
      <c r="E2342" s="195" t="s">
        <v>589</v>
      </c>
      <c r="F2342" s="195" t="s">
        <v>430</v>
      </c>
    </row>
    <row r="2343" spans="1:6" x14ac:dyDescent="0.25">
      <c r="A2343" s="189" t="str">
        <f t="shared" si="36"/>
        <v>BA-MD 695 RP3-3800.26W</v>
      </c>
      <c r="B2343" s="195" t="s">
        <v>1682</v>
      </c>
      <c r="C2343" s="196">
        <v>0</v>
      </c>
      <c r="D2343" s="196">
        <v>0.26</v>
      </c>
      <c r="E2343" s="195" t="s">
        <v>593</v>
      </c>
      <c r="F2343" s="195" t="s">
        <v>432</v>
      </c>
    </row>
    <row r="2344" spans="1:6" x14ac:dyDescent="0.25">
      <c r="A2344" s="189" t="str">
        <f t="shared" si="36"/>
        <v>BA-MD 695 RP3-4100.07W</v>
      </c>
      <c r="B2344" s="195" t="s">
        <v>1683</v>
      </c>
      <c r="C2344" s="196">
        <v>0</v>
      </c>
      <c r="D2344" s="196">
        <v>7.0000000000000007E-2</v>
      </c>
      <c r="E2344" s="195" t="s">
        <v>593</v>
      </c>
      <c r="F2344" s="195" t="s">
        <v>432</v>
      </c>
    </row>
    <row r="2345" spans="1:6" x14ac:dyDescent="0.25">
      <c r="A2345" s="189" t="str">
        <f t="shared" si="36"/>
        <v>BA-MD 695 RP3-4200.03N</v>
      </c>
      <c r="B2345" s="195" t="s">
        <v>1684</v>
      </c>
      <c r="C2345" s="196">
        <v>0</v>
      </c>
      <c r="D2345" s="196">
        <v>0.03</v>
      </c>
      <c r="E2345" s="195" t="s">
        <v>589</v>
      </c>
      <c r="F2345" s="195" t="s">
        <v>430</v>
      </c>
    </row>
    <row r="2346" spans="1:6" x14ac:dyDescent="0.25">
      <c r="A2346" s="189" t="str">
        <f t="shared" si="36"/>
        <v>BA-MD 695 RP3-4300.26W</v>
      </c>
      <c r="B2346" s="195" t="s">
        <v>1685</v>
      </c>
      <c r="C2346" s="196">
        <v>0</v>
      </c>
      <c r="D2346" s="196">
        <v>0.26</v>
      </c>
      <c r="E2346" s="195" t="s">
        <v>593</v>
      </c>
      <c r="F2346" s="195" t="s">
        <v>432</v>
      </c>
    </row>
    <row r="2347" spans="1:6" x14ac:dyDescent="0.25">
      <c r="A2347" s="189" t="str">
        <f t="shared" si="36"/>
        <v>BA-MD 695 RP4-3400.03N</v>
      </c>
      <c r="B2347" s="195" t="s">
        <v>1686</v>
      </c>
      <c r="C2347" s="196">
        <v>0</v>
      </c>
      <c r="D2347" s="196">
        <v>0.03</v>
      </c>
      <c r="E2347" s="195" t="s">
        <v>589</v>
      </c>
      <c r="F2347" s="195" t="s">
        <v>430</v>
      </c>
    </row>
    <row r="2348" spans="1:6" x14ac:dyDescent="0.25">
      <c r="A2348" s="189" t="str">
        <f t="shared" si="36"/>
        <v>BA-MD 695 RP4-3500.26N</v>
      </c>
      <c r="B2348" s="195" t="s">
        <v>1687</v>
      </c>
      <c r="C2348" s="196">
        <v>0</v>
      </c>
      <c r="D2348" s="196">
        <v>0.26</v>
      </c>
      <c r="E2348" s="195" t="s">
        <v>589</v>
      </c>
      <c r="F2348" s="195" t="s">
        <v>430</v>
      </c>
    </row>
    <row r="2349" spans="1:6" x14ac:dyDescent="0.25">
      <c r="A2349" s="189" t="str">
        <f t="shared" si="36"/>
        <v>BA-MD 695 RP4-3600.11E</v>
      </c>
      <c r="B2349" s="195" t="s">
        <v>1688</v>
      </c>
      <c r="C2349" s="196">
        <v>0</v>
      </c>
      <c r="D2349" s="196">
        <v>0.11</v>
      </c>
      <c r="E2349" s="195" t="s">
        <v>598</v>
      </c>
      <c r="F2349" s="195" t="s">
        <v>19</v>
      </c>
    </row>
    <row r="2350" spans="1:6" x14ac:dyDescent="0.25">
      <c r="A2350" s="189" t="str">
        <f t="shared" si="36"/>
        <v>BA-MD 695 RP4-360.110.39E</v>
      </c>
      <c r="B2350" s="195" t="s">
        <v>1688</v>
      </c>
      <c r="C2350" s="196">
        <v>0.11</v>
      </c>
      <c r="D2350" s="196">
        <v>0.39</v>
      </c>
      <c r="E2350" s="195" t="s">
        <v>598</v>
      </c>
      <c r="F2350" s="195" t="s">
        <v>19</v>
      </c>
    </row>
    <row r="2351" spans="1:6" x14ac:dyDescent="0.25">
      <c r="A2351" s="189" t="str">
        <f t="shared" si="36"/>
        <v>BA-MD 695 RP4-3800.7N</v>
      </c>
      <c r="B2351" s="195" t="s">
        <v>1689</v>
      </c>
      <c r="C2351" s="196">
        <v>0</v>
      </c>
      <c r="D2351" s="196">
        <v>0.7</v>
      </c>
      <c r="E2351" s="195" t="s">
        <v>589</v>
      </c>
      <c r="F2351" s="195" t="s">
        <v>430</v>
      </c>
    </row>
    <row r="2352" spans="1:6" x14ac:dyDescent="0.25">
      <c r="A2352" s="189" t="str">
        <f t="shared" si="36"/>
        <v>BA-MD 695 RP4-4100.34N</v>
      </c>
      <c r="B2352" s="195" t="s">
        <v>1690</v>
      </c>
      <c r="C2352" s="196">
        <v>0</v>
      </c>
      <c r="D2352" s="196">
        <v>0.34</v>
      </c>
      <c r="E2352" s="195" t="s">
        <v>589</v>
      </c>
      <c r="F2352" s="195" t="s">
        <v>430</v>
      </c>
    </row>
    <row r="2353" spans="1:6" x14ac:dyDescent="0.25">
      <c r="A2353" s="189" t="str">
        <f t="shared" si="36"/>
        <v>BA-MD 695 RP4-4300.18E</v>
      </c>
      <c r="B2353" s="195" t="s">
        <v>1691</v>
      </c>
      <c r="C2353" s="196">
        <v>0</v>
      </c>
      <c r="D2353" s="196">
        <v>0.18</v>
      </c>
      <c r="E2353" s="195" t="s">
        <v>598</v>
      </c>
      <c r="F2353" s="195" t="s">
        <v>19</v>
      </c>
    </row>
    <row r="2354" spans="1:6" x14ac:dyDescent="0.25">
      <c r="A2354" s="189" t="str">
        <f t="shared" si="36"/>
        <v>BA-MD 695 RP5-3400.04S</v>
      </c>
      <c r="B2354" s="195" t="s">
        <v>1692</v>
      </c>
      <c r="C2354" s="196">
        <v>0</v>
      </c>
      <c r="D2354" s="196">
        <v>0.04</v>
      </c>
      <c r="E2354" s="195" t="s">
        <v>595</v>
      </c>
      <c r="F2354" s="195" t="s">
        <v>438</v>
      </c>
    </row>
    <row r="2355" spans="1:6" x14ac:dyDescent="0.25">
      <c r="A2355" s="189" t="str">
        <f t="shared" si="36"/>
        <v>BA-MD 695 RP5-3500.11S</v>
      </c>
      <c r="B2355" s="195" t="s">
        <v>1693</v>
      </c>
      <c r="C2355" s="196">
        <v>0</v>
      </c>
      <c r="D2355" s="196">
        <v>0.11</v>
      </c>
      <c r="E2355" s="195" t="s">
        <v>595</v>
      </c>
      <c r="F2355" s="195" t="s">
        <v>438</v>
      </c>
    </row>
    <row r="2356" spans="1:6" x14ac:dyDescent="0.25">
      <c r="A2356" s="189" t="str">
        <f t="shared" si="36"/>
        <v>BA-MD 695 RP5-3800.21W</v>
      </c>
      <c r="B2356" s="195" t="s">
        <v>1694</v>
      </c>
      <c r="C2356" s="196">
        <v>0</v>
      </c>
      <c r="D2356" s="196">
        <v>0.21</v>
      </c>
      <c r="E2356" s="195" t="s">
        <v>593</v>
      </c>
      <c r="F2356" s="195" t="s">
        <v>432</v>
      </c>
    </row>
    <row r="2357" spans="1:6" x14ac:dyDescent="0.25">
      <c r="A2357" s="189" t="str">
        <f t="shared" si="36"/>
        <v>BA-MD 695 RP5-4000.22E</v>
      </c>
      <c r="B2357" s="195" t="s">
        <v>1695</v>
      </c>
      <c r="C2357" s="196">
        <v>0</v>
      </c>
      <c r="D2357" s="196">
        <v>0.22</v>
      </c>
      <c r="E2357" s="195" t="s">
        <v>598</v>
      </c>
      <c r="F2357" s="195" t="s">
        <v>19</v>
      </c>
    </row>
    <row r="2358" spans="1:6" x14ac:dyDescent="0.25">
      <c r="A2358" s="189" t="str">
        <f t="shared" si="36"/>
        <v>BA-MD 695 RP5-4100.11E</v>
      </c>
      <c r="B2358" s="195" t="s">
        <v>1696</v>
      </c>
      <c r="C2358" s="196">
        <v>0</v>
      </c>
      <c r="D2358" s="196">
        <v>0.11</v>
      </c>
      <c r="E2358" s="195" t="s">
        <v>598</v>
      </c>
      <c r="F2358" s="195" t="s">
        <v>19</v>
      </c>
    </row>
    <row r="2359" spans="1:6" x14ac:dyDescent="0.25">
      <c r="A2359" s="189" t="str">
        <f t="shared" si="36"/>
        <v>BA-MD 695 RP5-4200.36N</v>
      </c>
      <c r="B2359" s="195" t="s">
        <v>1697</v>
      </c>
      <c r="C2359" s="196">
        <v>0</v>
      </c>
      <c r="D2359" s="196">
        <v>0.36</v>
      </c>
      <c r="E2359" s="195" t="s">
        <v>589</v>
      </c>
      <c r="F2359" s="195" t="s">
        <v>430</v>
      </c>
    </row>
    <row r="2360" spans="1:6" x14ac:dyDescent="0.25">
      <c r="A2360" s="189" t="str">
        <f t="shared" si="36"/>
        <v>BA-MD 695 RP5-4300.2W</v>
      </c>
      <c r="B2360" s="195" t="s">
        <v>1698</v>
      </c>
      <c r="C2360" s="196">
        <v>0</v>
      </c>
      <c r="D2360" s="196">
        <v>0.2</v>
      </c>
      <c r="E2360" s="195" t="s">
        <v>593</v>
      </c>
      <c r="F2360" s="195" t="s">
        <v>432</v>
      </c>
    </row>
    <row r="2361" spans="1:6" x14ac:dyDescent="0.25">
      <c r="A2361" s="189" t="str">
        <f t="shared" si="36"/>
        <v>BA-MD 695 RP6-3400.14E</v>
      </c>
      <c r="B2361" s="195" t="s">
        <v>1699</v>
      </c>
      <c r="C2361" s="196">
        <v>0</v>
      </c>
      <c r="D2361" s="196">
        <v>0.14000000000000001</v>
      </c>
      <c r="E2361" s="195" t="s">
        <v>598</v>
      </c>
      <c r="F2361" s="195" t="s">
        <v>19</v>
      </c>
    </row>
    <row r="2362" spans="1:6" x14ac:dyDescent="0.25">
      <c r="A2362" s="189" t="str">
        <f t="shared" si="36"/>
        <v>BA-MD 695 RP6-3500.12S</v>
      </c>
      <c r="B2362" s="195" t="s">
        <v>1700</v>
      </c>
      <c r="C2362" s="196">
        <v>0</v>
      </c>
      <c r="D2362" s="196">
        <v>0.12</v>
      </c>
      <c r="E2362" s="195" t="s">
        <v>595</v>
      </c>
      <c r="F2362" s="195" t="s">
        <v>438</v>
      </c>
    </row>
    <row r="2363" spans="1:6" x14ac:dyDescent="0.25">
      <c r="A2363" s="189" t="str">
        <f t="shared" si="36"/>
        <v>BA-MD 695 RP6-3900.53S</v>
      </c>
      <c r="B2363" s="195" t="s">
        <v>1701</v>
      </c>
      <c r="C2363" s="196">
        <v>0</v>
      </c>
      <c r="D2363" s="196">
        <v>0.53</v>
      </c>
      <c r="E2363" s="195" t="s">
        <v>595</v>
      </c>
      <c r="F2363" s="195" t="s">
        <v>438</v>
      </c>
    </row>
    <row r="2364" spans="1:6" x14ac:dyDescent="0.25">
      <c r="A2364" s="189" t="str">
        <f t="shared" si="36"/>
        <v>BA-MD 695 RP6-4000.34E</v>
      </c>
      <c r="B2364" s="195" t="s">
        <v>1702</v>
      </c>
      <c r="C2364" s="196">
        <v>0</v>
      </c>
      <c r="D2364" s="196">
        <v>0.34</v>
      </c>
      <c r="E2364" s="195" t="s">
        <v>598</v>
      </c>
      <c r="F2364" s="195" t="s">
        <v>19</v>
      </c>
    </row>
    <row r="2365" spans="1:6" x14ac:dyDescent="0.25">
      <c r="A2365" s="189" t="str">
        <f t="shared" si="36"/>
        <v>BA-MD 695 RP6-4100.33N</v>
      </c>
      <c r="B2365" s="195" t="s">
        <v>1703</v>
      </c>
      <c r="C2365" s="196">
        <v>0</v>
      </c>
      <c r="D2365" s="196">
        <v>0.33</v>
      </c>
      <c r="E2365" s="195" t="s">
        <v>589</v>
      </c>
      <c r="F2365" s="195" t="s">
        <v>430</v>
      </c>
    </row>
    <row r="2366" spans="1:6" x14ac:dyDescent="0.25">
      <c r="A2366" s="189" t="str">
        <f t="shared" si="36"/>
        <v>BA-MD 695 RP6-4300.28S</v>
      </c>
      <c r="B2366" s="195" t="s">
        <v>1704</v>
      </c>
      <c r="C2366" s="196">
        <v>0</v>
      </c>
      <c r="D2366" s="196">
        <v>0.28000000000000003</v>
      </c>
      <c r="E2366" s="195" t="s">
        <v>595</v>
      </c>
      <c r="F2366" s="195" t="s">
        <v>438</v>
      </c>
    </row>
    <row r="2367" spans="1:6" x14ac:dyDescent="0.25">
      <c r="A2367" s="189" t="str">
        <f t="shared" si="36"/>
        <v>BA-MD 695 RP6-4400.19S</v>
      </c>
      <c r="B2367" s="195" t="s">
        <v>1705</v>
      </c>
      <c r="C2367" s="196">
        <v>0</v>
      </c>
      <c r="D2367" s="196">
        <v>0.19</v>
      </c>
      <c r="E2367" s="195" t="s">
        <v>595</v>
      </c>
      <c r="F2367" s="195" t="s">
        <v>438</v>
      </c>
    </row>
    <row r="2368" spans="1:6" x14ac:dyDescent="0.25">
      <c r="A2368" s="189" t="str">
        <f t="shared" si="36"/>
        <v>BA-MD 695 RP7-3400.04S</v>
      </c>
      <c r="B2368" s="195" t="s">
        <v>1706</v>
      </c>
      <c r="C2368" s="196">
        <v>0</v>
      </c>
      <c r="D2368" s="196">
        <v>0.04</v>
      </c>
      <c r="E2368" s="195" t="s">
        <v>595</v>
      </c>
      <c r="F2368" s="195" t="s">
        <v>438</v>
      </c>
    </row>
    <row r="2369" spans="1:6" x14ac:dyDescent="0.25">
      <c r="A2369" s="189" t="str">
        <f t="shared" si="36"/>
        <v>BA-MD 695 RP7-3500.13N</v>
      </c>
      <c r="B2369" s="195" t="s">
        <v>1707</v>
      </c>
      <c r="C2369" s="196">
        <v>0</v>
      </c>
      <c r="D2369" s="196">
        <v>0.13</v>
      </c>
      <c r="E2369" s="195" t="s">
        <v>589</v>
      </c>
      <c r="F2369" s="195" t="s">
        <v>430</v>
      </c>
    </row>
    <row r="2370" spans="1:6" x14ac:dyDescent="0.25">
      <c r="A2370" s="189" t="str">
        <f t="shared" si="36"/>
        <v>BA-MD 695 RP7-3600.35W</v>
      </c>
      <c r="B2370" s="195" t="s">
        <v>1708</v>
      </c>
      <c r="C2370" s="196">
        <v>0</v>
      </c>
      <c r="D2370" s="196">
        <v>0.35</v>
      </c>
      <c r="E2370" s="195" t="s">
        <v>593</v>
      </c>
      <c r="F2370" s="195" t="s">
        <v>432</v>
      </c>
    </row>
    <row r="2371" spans="1:6" x14ac:dyDescent="0.25">
      <c r="A2371" s="189" t="str">
        <f t="shared" ref="A2371:A2434" si="37">B2371&amp;C2371&amp;D2371&amp;F2371</f>
        <v>BA-MD 695 RP7-360.350.9W</v>
      </c>
      <c r="B2371" s="195" t="s">
        <v>1708</v>
      </c>
      <c r="C2371" s="196">
        <v>0.35</v>
      </c>
      <c r="D2371" s="196">
        <v>0.9</v>
      </c>
      <c r="E2371" s="195" t="s">
        <v>593</v>
      </c>
      <c r="F2371" s="195" t="s">
        <v>432</v>
      </c>
    </row>
    <row r="2372" spans="1:6" x14ac:dyDescent="0.25">
      <c r="A2372" s="189" t="str">
        <f t="shared" si="37"/>
        <v>BA-MD 695 RP7-3800.28W</v>
      </c>
      <c r="B2372" s="195" t="s">
        <v>1709</v>
      </c>
      <c r="C2372" s="196">
        <v>0</v>
      </c>
      <c r="D2372" s="196">
        <v>0.28000000000000003</v>
      </c>
      <c r="E2372" s="195" t="s">
        <v>593</v>
      </c>
      <c r="F2372" s="195" t="s">
        <v>432</v>
      </c>
    </row>
    <row r="2373" spans="1:6" x14ac:dyDescent="0.25">
      <c r="A2373" s="189" t="str">
        <f t="shared" si="37"/>
        <v>BA-MD 695 RP7-4100.09E</v>
      </c>
      <c r="B2373" s="195" t="s">
        <v>1710</v>
      </c>
      <c r="C2373" s="196">
        <v>0</v>
      </c>
      <c r="D2373" s="196">
        <v>0.09</v>
      </c>
      <c r="E2373" s="195" t="s">
        <v>598</v>
      </c>
      <c r="F2373" s="195" t="s">
        <v>19</v>
      </c>
    </row>
    <row r="2374" spans="1:6" x14ac:dyDescent="0.25">
      <c r="A2374" s="189" t="str">
        <f t="shared" si="37"/>
        <v>BA-MD 695 RP7-4300.23E</v>
      </c>
      <c r="B2374" s="195" t="s">
        <v>1711</v>
      </c>
      <c r="C2374" s="196">
        <v>0</v>
      </c>
      <c r="D2374" s="196">
        <v>0.23</v>
      </c>
      <c r="E2374" s="195" t="s">
        <v>598</v>
      </c>
      <c r="F2374" s="195" t="s">
        <v>19</v>
      </c>
    </row>
    <row r="2375" spans="1:6" x14ac:dyDescent="0.25">
      <c r="A2375" s="189" t="str">
        <f t="shared" si="37"/>
        <v>BA-MD 695 RP7-4400.03N</v>
      </c>
      <c r="B2375" s="195" t="s">
        <v>1712</v>
      </c>
      <c r="C2375" s="196">
        <v>0</v>
      </c>
      <c r="D2375" s="196">
        <v>0.03</v>
      </c>
      <c r="E2375" s="195" t="s">
        <v>589</v>
      </c>
      <c r="F2375" s="195" t="s">
        <v>430</v>
      </c>
    </row>
    <row r="2376" spans="1:6" x14ac:dyDescent="0.25">
      <c r="A2376" s="189" t="str">
        <f t="shared" si="37"/>
        <v>BA-MD 695 RP7-4400.03S</v>
      </c>
      <c r="B2376" s="195" t="s">
        <v>1712</v>
      </c>
      <c r="C2376" s="196">
        <v>0</v>
      </c>
      <c r="D2376" s="196">
        <v>0.03</v>
      </c>
      <c r="E2376" s="195" t="s">
        <v>595</v>
      </c>
      <c r="F2376" s="195" t="s">
        <v>438</v>
      </c>
    </row>
    <row r="2377" spans="1:6" x14ac:dyDescent="0.25">
      <c r="A2377" s="189" t="str">
        <f t="shared" si="37"/>
        <v>BA-MD 695 RP8-3400.17S</v>
      </c>
      <c r="B2377" s="195" t="s">
        <v>1713</v>
      </c>
      <c r="C2377" s="196">
        <v>0</v>
      </c>
      <c r="D2377" s="196">
        <v>0.17</v>
      </c>
      <c r="E2377" s="195" t="s">
        <v>595</v>
      </c>
      <c r="F2377" s="195" t="s">
        <v>438</v>
      </c>
    </row>
    <row r="2378" spans="1:6" x14ac:dyDescent="0.25">
      <c r="A2378" s="189" t="str">
        <f t="shared" si="37"/>
        <v>BA-MD 695 RP8-3500.14S</v>
      </c>
      <c r="B2378" s="195" t="s">
        <v>1714</v>
      </c>
      <c r="C2378" s="196">
        <v>0</v>
      </c>
      <c r="D2378" s="196">
        <v>0.14000000000000001</v>
      </c>
      <c r="E2378" s="195" t="s">
        <v>595</v>
      </c>
      <c r="F2378" s="195" t="s">
        <v>438</v>
      </c>
    </row>
    <row r="2379" spans="1:6" x14ac:dyDescent="0.25">
      <c r="A2379" s="189" t="str">
        <f t="shared" si="37"/>
        <v>BA-MD 695 RP8-3800.39S</v>
      </c>
      <c r="B2379" s="195" t="s">
        <v>1715</v>
      </c>
      <c r="C2379" s="196">
        <v>0</v>
      </c>
      <c r="D2379" s="196">
        <v>0.39</v>
      </c>
      <c r="E2379" s="195" t="s">
        <v>595</v>
      </c>
      <c r="F2379" s="195" t="s">
        <v>438</v>
      </c>
    </row>
    <row r="2380" spans="1:6" x14ac:dyDescent="0.25">
      <c r="A2380" s="189" t="str">
        <f t="shared" si="37"/>
        <v>BA-MD 695 RP8-4100.35S</v>
      </c>
      <c r="B2380" s="195" t="s">
        <v>1716</v>
      </c>
      <c r="C2380" s="196">
        <v>0</v>
      </c>
      <c r="D2380" s="196">
        <v>0.35</v>
      </c>
      <c r="E2380" s="195" t="s">
        <v>595</v>
      </c>
      <c r="F2380" s="195" t="s">
        <v>438</v>
      </c>
    </row>
    <row r="2381" spans="1:6" x14ac:dyDescent="0.25">
      <c r="A2381" s="189" t="str">
        <f t="shared" si="37"/>
        <v>BA-MD 695 RP8-4200.12N</v>
      </c>
      <c r="B2381" s="195" t="s">
        <v>1717</v>
      </c>
      <c r="C2381" s="196">
        <v>0</v>
      </c>
      <c r="D2381" s="196">
        <v>0.12</v>
      </c>
      <c r="E2381" s="195" t="s">
        <v>589</v>
      </c>
      <c r="F2381" s="195" t="s">
        <v>430</v>
      </c>
    </row>
    <row r="2382" spans="1:6" x14ac:dyDescent="0.25">
      <c r="A2382" s="189" t="str">
        <f t="shared" si="37"/>
        <v>BA-MD 695 RP8-4300.3N</v>
      </c>
      <c r="B2382" s="195" t="s">
        <v>1718</v>
      </c>
      <c r="C2382" s="196">
        <v>0</v>
      </c>
      <c r="D2382" s="196">
        <v>0.3</v>
      </c>
      <c r="E2382" s="195" t="s">
        <v>589</v>
      </c>
      <c r="F2382" s="195" t="s">
        <v>430</v>
      </c>
    </row>
    <row r="2383" spans="1:6" x14ac:dyDescent="0.25">
      <c r="A2383" s="189" t="str">
        <f t="shared" si="37"/>
        <v>BA-MD 695 RP9-3500.02N</v>
      </c>
      <c r="B2383" s="195" t="s">
        <v>1719</v>
      </c>
      <c r="C2383" s="196">
        <v>0</v>
      </c>
      <c r="D2383" s="196">
        <v>0.02</v>
      </c>
      <c r="E2383" s="195" t="s">
        <v>589</v>
      </c>
      <c r="F2383" s="195" t="s">
        <v>430</v>
      </c>
    </row>
    <row r="2384" spans="1:6" x14ac:dyDescent="0.25">
      <c r="A2384" s="189" t="str">
        <f t="shared" si="37"/>
        <v>BA-MD 695 RP9-3900.13N</v>
      </c>
      <c r="B2384" s="195" t="s">
        <v>1720</v>
      </c>
      <c r="C2384" s="196">
        <v>0</v>
      </c>
      <c r="D2384" s="196">
        <v>0.13</v>
      </c>
      <c r="E2384" s="195" t="s">
        <v>589</v>
      </c>
      <c r="F2384" s="195" t="s">
        <v>430</v>
      </c>
    </row>
    <row r="2385" spans="1:6" x14ac:dyDescent="0.25">
      <c r="A2385" s="189" t="str">
        <f t="shared" si="37"/>
        <v>BA-MD 695 RP9-4300.79S</v>
      </c>
      <c r="B2385" s="195" t="s">
        <v>1721</v>
      </c>
      <c r="C2385" s="196">
        <v>0</v>
      </c>
      <c r="D2385" s="196">
        <v>0.79</v>
      </c>
      <c r="E2385" s="195" t="s">
        <v>595</v>
      </c>
      <c r="F2385" s="195" t="s">
        <v>438</v>
      </c>
    </row>
    <row r="2386" spans="1:6" x14ac:dyDescent="0.25">
      <c r="A2386" s="189" t="str">
        <f t="shared" si="37"/>
        <v>BA-MD 695 RP9-4400.04S</v>
      </c>
      <c r="B2386" s="195" t="s">
        <v>1722</v>
      </c>
      <c r="C2386" s="196">
        <v>0</v>
      </c>
      <c r="D2386" s="196">
        <v>0.04</v>
      </c>
      <c r="E2386" s="195" t="s">
        <v>595</v>
      </c>
      <c r="F2386" s="195" t="s">
        <v>438</v>
      </c>
    </row>
    <row r="2387" spans="1:6" x14ac:dyDescent="0.25">
      <c r="A2387" s="189" t="str">
        <f t="shared" si="37"/>
        <v>BA-MD 695A00.53N</v>
      </c>
      <c r="B2387" s="195" t="s">
        <v>496</v>
      </c>
      <c r="C2387" s="196">
        <v>0</v>
      </c>
      <c r="D2387" s="196">
        <v>0.53</v>
      </c>
      <c r="E2387" s="195" t="s">
        <v>589</v>
      </c>
      <c r="F2387" s="195" t="s">
        <v>430</v>
      </c>
    </row>
    <row r="2388" spans="1:6" x14ac:dyDescent="0.25">
      <c r="A2388" s="189" t="str">
        <f t="shared" si="37"/>
        <v>BA-MD 695A00.62S</v>
      </c>
      <c r="B2388" s="195" t="s">
        <v>496</v>
      </c>
      <c r="C2388" s="196">
        <v>0</v>
      </c>
      <c r="D2388" s="196">
        <v>0.62</v>
      </c>
      <c r="E2388" s="195" t="s">
        <v>595</v>
      </c>
      <c r="F2388" s="195" t="s">
        <v>438</v>
      </c>
    </row>
    <row r="2389" spans="1:6" x14ac:dyDescent="0.25">
      <c r="A2389" s="189" t="str">
        <f t="shared" si="37"/>
        <v>BA-MD 695A0.651.2N</v>
      </c>
      <c r="B2389" s="195" t="s">
        <v>496</v>
      </c>
      <c r="C2389" s="196">
        <v>0.65</v>
      </c>
      <c r="D2389" s="196">
        <v>1.2</v>
      </c>
      <c r="E2389" s="195" t="s">
        <v>583</v>
      </c>
      <c r="F2389" s="195" t="s">
        <v>430</v>
      </c>
    </row>
    <row r="2390" spans="1:6" x14ac:dyDescent="0.25">
      <c r="A2390" s="189" t="str">
        <f t="shared" si="37"/>
        <v>BA-MD 695A0.651.2S</v>
      </c>
      <c r="B2390" s="195" t="s">
        <v>496</v>
      </c>
      <c r="C2390" s="196">
        <v>0.65</v>
      </c>
      <c r="D2390" s="196">
        <v>1.2</v>
      </c>
      <c r="E2390" s="195" t="s">
        <v>583</v>
      </c>
      <c r="F2390" s="195" t="s">
        <v>438</v>
      </c>
    </row>
    <row r="2391" spans="1:6" x14ac:dyDescent="0.25">
      <c r="A2391" s="189" t="str">
        <f t="shared" si="37"/>
        <v>BA-MD 695A1.261.93N</v>
      </c>
      <c r="B2391" s="195" t="s">
        <v>496</v>
      </c>
      <c r="C2391" s="196">
        <v>1.26</v>
      </c>
      <c r="D2391" s="196">
        <v>1.93</v>
      </c>
      <c r="E2391" s="195" t="s">
        <v>583</v>
      </c>
      <c r="F2391" s="195" t="s">
        <v>430</v>
      </c>
    </row>
    <row r="2392" spans="1:6" x14ac:dyDescent="0.25">
      <c r="A2392" s="189" t="str">
        <f t="shared" si="37"/>
        <v>BA-MD 695A1.261.93S</v>
      </c>
      <c r="B2392" s="195" t="s">
        <v>496</v>
      </c>
      <c r="C2392" s="196">
        <v>1.26</v>
      </c>
      <c r="D2392" s="196">
        <v>1.93</v>
      </c>
      <c r="E2392" s="195" t="s">
        <v>583</v>
      </c>
      <c r="F2392" s="195" t="s">
        <v>438</v>
      </c>
    </row>
    <row r="2393" spans="1:6" x14ac:dyDescent="0.25">
      <c r="A2393" s="189" t="str">
        <f t="shared" si="37"/>
        <v>BA-MD 695B00.1E</v>
      </c>
      <c r="B2393" s="195" t="s">
        <v>1723</v>
      </c>
      <c r="C2393" s="196">
        <v>0</v>
      </c>
      <c r="D2393" s="196">
        <v>0.1</v>
      </c>
      <c r="E2393" s="195" t="s">
        <v>598</v>
      </c>
      <c r="F2393" s="195" t="s">
        <v>19</v>
      </c>
    </row>
    <row r="2394" spans="1:6" x14ac:dyDescent="0.25">
      <c r="A2394" s="189" t="str">
        <f t="shared" si="37"/>
        <v>BA-MD 695B00.1W</v>
      </c>
      <c r="B2394" s="195" t="s">
        <v>1723</v>
      </c>
      <c r="C2394" s="196">
        <v>0</v>
      </c>
      <c r="D2394" s="196">
        <v>0.1</v>
      </c>
      <c r="E2394" s="195" t="s">
        <v>593</v>
      </c>
      <c r="F2394" s="195" t="s">
        <v>432</v>
      </c>
    </row>
    <row r="2395" spans="1:6" x14ac:dyDescent="0.25">
      <c r="A2395" s="189" t="str">
        <f t="shared" si="37"/>
        <v>BA-MD 695C00.98N</v>
      </c>
      <c r="B2395" s="195" t="s">
        <v>1724</v>
      </c>
      <c r="C2395" s="196">
        <v>0</v>
      </c>
      <c r="D2395" s="196">
        <v>0.98</v>
      </c>
      <c r="E2395" s="195" t="s">
        <v>589</v>
      </c>
      <c r="F2395" s="195" t="s">
        <v>430</v>
      </c>
    </row>
    <row r="2396" spans="1:6" x14ac:dyDescent="0.25">
      <c r="A2396" s="189" t="str">
        <f t="shared" si="37"/>
        <v>BA-MD 695C01.23S</v>
      </c>
      <c r="B2396" s="195" t="s">
        <v>1724</v>
      </c>
      <c r="C2396" s="196">
        <v>0</v>
      </c>
      <c r="D2396" s="196">
        <v>1.23</v>
      </c>
      <c r="E2396" s="195" t="s">
        <v>595</v>
      </c>
      <c r="F2396" s="195" t="s">
        <v>438</v>
      </c>
    </row>
    <row r="2397" spans="1:6" x14ac:dyDescent="0.25">
      <c r="A2397" s="189" t="str">
        <f t="shared" si="37"/>
        <v>BA-MD 700.85E</v>
      </c>
      <c r="B2397" s="195" t="s">
        <v>497</v>
      </c>
      <c r="C2397" s="196">
        <v>0</v>
      </c>
      <c r="D2397" s="196">
        <v>0.85</v>
      </c>
      <c r="E2397" s="195" t="s">
        <v>583</v>
      </c>
      <c r="F2397" s="195" t="s">
        <v>19</v>
      </c>
    </row>
    <row r="2398" spans="1:6" x14ac:dyDescent="0.25">
      <c r="A2398" s="189" t="str">
        <f t="shared" si="37"/>
        <v>BA-MD 700.85W</v>
      </c>
      <c r="B2398" s="195" t="s">
        <v>497</v>
      </c>
      <c r="C2398" s="196">
        <v>0</v>
      </c>
      <c r="D2398" s="196">
        <v>0.85</v>
      </c>
      <c r="E2398" s="195" t="s">
        <v>583</v>
      </c>
      <c r="F2398" s="195" t="s">
        <v>432</v>
      </c>
    </row>
    <row r="2399" spans="1:6" x14ac:dyDescent="0.25">
      <c r="A2399" s="189" t="str">
        <f t="shared" si="37"/>
        <v>BA-MD 70.851E</v>
      </c>
      <c r="B2399" s="195" t="s">
        <v>497</v>
      </c>
      <c r="C2399" s="196">
        <v>0.85</v>
      </c>
      <c r="D2399" s="196">
        <v>1</v>
      </c>
      <c r="E2399" s="195" t="s">
        <v>583</v>
      </c>
      <c r="F2399" s="195" t="s">
        <v>19</v>
      </c>
    </row>
    <row r="2400" spans="1:6" x14ac:dyDescent="0.25">
      <c r="A2400" s="189" t="str">
        <f t="shared" si="37"/>
        <v>BA-MD 70.851W</v>
      </c>
      <c r="B2400" s="195" t="s">
        <v>497</v>
      </c>
      <c r="C2400" s="196">
        <v>0.85</v>
      </c>
      <c r="D2400" s="196">
        <v>1</v>
      </c>
      <c r="E2400" s="195" t="s">
        <v>583</v>
      </c>
      <c r="F2400" s="195" t="s">
        <v>432</v>
      </c>
    </row>
    <row r="2401" spans="1:6" x14ac:dyDescent="0.25">
      <c r="A2401" s="189" t="str">
        <f t="shared" si="37"/>
        <v>BA-MD 712.25E</v>
      </c>
      <c r="B2401" s="195" t="s">
        <v>497</v>
      </c>
      <c r="C2401" s="196">
        <v>1</v>
      </c>
      <c r="D2401" s="196">
        <v>2.25</v>
      </c>
      <c r="E2401" s="195" t="s">
        <v>583</v>
      </c>
      <c r="F2401" s="195" t="s">
        <v>19</v>
      </c>
    </row>
    <row r="2402" spans="1:6" x14ac:dyDescent="0.25">
      <c r="A2402" s="189" t="str">
        <f t="shared" si="37"/>
        <v>BA-MD 712.25W</v>
      </c>
      <c r="B2402" s="195" t="s">
        <v>497</v>
      </c>
      <c r="C2402" s="196">
        <v>1</v>
      </c>
      <c r="D2402" s="196">
        <v>2.25</v>
      </c>
      <c r="E2402" s="195" t="s">
        <v>583</v>
      </c>
      <c r="F2402" s="195" t="s">
        <v>432</v>
      </c>
    </row>
    <row r="2403" spans="1:6" x14ac:dyDescent="0.25">
      <c r="A2403" s="189" t="str">
        <f t="shared" si="37"/>
        <v>BA-MD 72.252.27E</v>
      </c>
      <c r="B2403" s="195" t="s">
        <v>497</v>
      </c>
      <c r="C2403" s="196">
        <v>2.25</v>
      </c>
      <c r="D2403" s="196">
        <v>2.27</v>
      </c>
      <c r="E2403" s="195" t="s">
        <v>583</v>
      </c>
      <c r="F2403" s="195" t="s">
        <v>19</v>
      </c>
    </row>
    <row r="2404" spans="1:6" x14ac:dyDescent="0.25">
      <c r="A2404" s="189" t="str">
        <f t="shared" si="37"/>
        <v>BA-MD 72.252.27W</v>
      </c>
      <c r="B2404" s="195" t="s">
        <v>497</v>
      </c>
      <c r="C2404" s="196">
        <v>2.25</v>
      </c>
      <c r="D2404" s="196">
        <v>2.27</v>
      </c>
      <c r="E2404" s="195" t="s">
        <v>583</v>
      </c>
      <c r="F2404" s="195" t="s">
        <v>432</v>
      </c>
    </row>
    <row r="2405" spans="1:6" x14ac:dyDescent="0.25">
      <c r="A2405" s="189" t="str">
        <f t="shared" si="37"/>
        <v>BA-MD 72.272.85E</v>
      </c>
      <c r="B2405" s="195" t="s">
        <v>497</v>
      </c>
      <c r="C2405" s="196">
        <v>2.27</v>
      </c>
      <c r="D2405" s="196">
        <v>2.85</v>
      </c>
      <c r="E2405" s="195" t="s">
        <v>583</v>
      </c>
      <c r="F2405" s="195" t="s">
        <v>19</v>
      </c>
    </row>
    <row r="2406" spans="1:6" x14ac:dyDescent="0.25">
      <c r="A2406" s="189" t="str">
        <f t="shared" si="37"/>
        <v>BA-MD 72.272.85W</v>
      </c>
      <c r="B2406" s="195" t="s">
        <v>497</v>
      </c>
      <c r="C2406" s="196">
        <v>2.27</v>
      </c>
      <c r="D2406" s="196">
        <v>2.85</v>
      </c>
      <c r="E2406" s="195" t="s">
        <v>583</v>
      </c>
      <c r="F2406" s="195" t="s">
        <v>432</v>
      </c>
    </row>
    <row r="2407" spans="1:6" x14ac:dyDescent="0.25">
      <c r="A2407" s="189" t="str">
        <f t="shared" si="37"/>
        <v>BA-MD 73.063.45E</v>
      </c>
      <c r="B2407" s="195" t="s">
        <v>497</v>
      </c>
      <c r="C2407" s="196">
        <v>3.06</v>
      </c>
      <c r="D2407" s="196">
        <v>3.45</v>
      </c>
      <c r="E2407" s="195" t="s">
        <v>583</v>
      </c>
      <c r="F2407" s="195" t="s">
        <v>19</v>
      </c>
    </row>
    <row r="2408" spans="1:6" x14ac:dyDescent="0.25">
      <c r="A2408" s="189" t="str">
        <f t="shared" si="37"/>
        <v>BA-MD 73.063.45W</v>
      </c>
      <c r="B2408" s="195" t="s">
        <v>497</v>
      </c>
      <c r="C2408" s="196">
        <v>3.06</v>
      </c>
      <c r="D2408" s="196">
        <v>3.45</v>
      </c>
      <c r="E2408" s="195" t="s">
        <v>583</v>
      </c>
      <c r="F2408" s="195" t="s">
        <v>432</v>
      </c>
    </row>
    <row r="2409" spans="1:6" x14ac:dyDescent="0.25">
      <c r="A2409" s="189" t="str">
        <f t="shared" si="37"/>
        <v>BA-MD 73.455.6E</v>
      </c>
      <c r="B2409" s="195" t="s">
        <v>497</v>
      </c>
      <c r="C2409" s="196">
        <v>3.45</v>
      </c>
      <c r="D2409" s="196">
        <v>5.6</v>
      </c>
      <c r="E2409" s="195" t="s">
        <v>583</v>
      </c>
      <c r="F2409" s="195" t="s">
        <v>19</v>
      </c>
    </row>
    <row r="2410" spans="1:6" x14ac:dyDescent="0.25">
      <c r="A2410" s="189" t="str">
        <f t="shared" si="37"/>
        <v>BA-MD 73.455.6W</v>
      </c>
      <c r="B2410" s="195" t="s">
        <v>497</v>
      </c>
      <c r="C2410" s="196">
        <v>3.45</v>
      </c>
      <c r="D2410" s="196">
        <v>5.6</v>
      </c>
      <c r="E2410" s="195" t="s">
        <v>583</v>
      </c>
      <c r="F2410" s="195" t="s">
        <v>432</v>
      </c>
    </row>
    <row r="2411" spans="1:6" x14ac:dyDescent="0.25">
      <c r="A2411" s="189" t="str">
        <f t="shared" si="37"/>
        <v>BA-MD 75.66.7E</v>
      </c>
      <c r="B2411" s="195" t="s">
        <v>497</v>
      </c>
      <c r="C2411" s="196">
        <v>5.6</v>
      </c>
      <c r="D2411" s="196">
        <v>6.7</v>
      </c>
      <c r="E2411" s="195" t="s">
        <v>583</v>
      </c>
      <c r="F2411" s="195" t="s">
        <v>19</v>
      </c>
    </row>
    <row r="2412" spans="1:6" x14ac:dyDescent="0.25">
      <c r="A2412" s="189" t="str">
        <f t="shared" si="37"/>
        <v>BA-MD 75.66.7W</v>
      </c>
      <c r="B2412" s="195" t="s">
        <v>497</v>
      </c>
      <c r="C2412" s="196">
        <v>5.6</v>
      </c>
      <c r="D2412" s="196">
        <v>6.7</v>
      </c>
      <c r="E2412" s="195" t="s">
        <v>583</v>
      </c>
      <c r="F2412" s="195" t="s">
        <v>432</v>
      </c>
    </row>
    <row r="2413" spans="1:6" x14ac:dyDescent="0.25">
      <c r="A2413" s="189" t="str">
        <f t="shared" si="37"/>
        <v>BA-MD 76.76.8E</v>
      </c>
      <c r="B2413" s="195" t="s">
        <v>497</v>
      </c>
      <c r="C2413" s="196">
        <v>6.7</v>
      </c>
      <c r="D2413" s="196">
        <v>6.8</v>
      </c>
      <c r="E2413" s="195" t="s">
        <v>583</v>
      </c>
      <c r="F2413" s="195" t="s">
        <v>19</v>
      </c>
    </row>
    <row r="2414" spans="1:6" x14ac:dyDescent="0.25">
      <c r="A2414" s="189" t="str">
        <f t="shared" si="37"/>
        <v>BA-MD 76.76.8W</v>
      </c>
      <c r="B2414" s="195" t="s">
        <v>497</v>
      </c>
      <c r="C2414" s="196">
        <v>6.7</v>
      </c>
      <c r="D2414" s="196">
        <v>6.8</v>
      </c>
      <c r="E2414" s="195" t="s">
        <v>583</v>
      </c>
      <c r="F2414" s="195" t="s">
        <v>432</v>
      </c>
    </row>
    <row r="2415" spans="1:6" x14ac:dyDescent="0.25">
      <c r="A2415" s="189" t="str">
        <f t="shared" si="37"/>
        <v>BA-MD 76.89.4E</v>
      </c>
      <c r="B2415" s="195" t="s">
        <v>497</v>
      </c>
      <c r="C2415" s="196">
        <v>6.8</v>
      </c>
      <c r="D2415" s="196">
        <v>9.4</v>
      </c>
      <c r="E2415" s="195" t="s">
        <v>583</v>
      </c>
      <c r="F2415" s="195" t="s">
        <v>19</v>
      </c>
    </row>
    <row r="2416" spans="1:6" x14ac:dyDescent="0.25">
      <c r="A2416" s="189" t="str">
        <f t="shared" si="37"/>
        <v>BA-MD 76.89.4W</v>
      </c>
      <c r="B2416" s="195" t="s">
        <v>497</v>
      </c>
      <c r="C2416" s="196">
        <v>6.8</v>
      </c>
      <c r="D2416" s="196">
        <v>9.4</v>
      </c>
      <c r="E2416" s="195" t="s">
        <v>583</v>
      </c>
      <c r="F2416" s="195" t="s">
        <v>432</v>
      </c>
    </row>
    <row r="2417" spans="1:6" x14ac:dyDescent="0.25">
      <c r="A2417" s="189" t="str">
        <f t="shared" si="37"/>
        <v>BA-MD 79.49.85E</v>
      </c>
      <c r="B2417" s="195" t="s">
        <v>497</v>
      </c>
      <c r="C2417" s="196">
        <v>9.4</v>
      </c>
      <c r="D2417" s="196">
        <v>9.85</v>
      </c>
      <c r="E2417" s="195" t="s">
        <v>583</v>
      </c>
      <c r="F2417" s="195" t="s">
        <v>19</v>
      </c>
    </row>
    <row r="2418" spans="1:6" x14ac:dyDescent="0.25">
      <c r="A2418" s="189" t="str">
        <f t="shared" si="37"/>
        <v>BA-MD 79.49.85W</v>
      </c>
      <c r="B2418" s="195" t="s">
        <v>497</v>
      </c>
      <c r="C2418" s="196">
        <v>9.4</v>
      </c>
      <c r="D2418" s="196">
        <v>9.85</v>
      </c>
      <c r="E2418" s="195" t="s">
        <v>583</v>
      </c>
      <c r="F2418" s="195" t="s">
        <v>432</v>
      </c>
    </row>
    <row r="2419" spans="1:6" x14ac:dyDescent="0.25">
      <c r="A2419" s="189" t="str">
        <f t="shared" si="37"/>
        <v>BA-MD 79.859.95E</v>
      </c>
      <c r="B2419" s="195" t="s">
        <v>497</v>
      </c>
      <c r="C2419" s="196">
        <v>9.85</v>
      </c>
      <c r="D2419" s="196">
        <v>9.9499999999999993</v>
      </c>
      <c r="E2419" s="195" t="s">
        <v>583</v>
      </c>
      <c r="F2419" s="195" t="s">
        <v>19</v>
      </c>
    </row>
    <row r="2420" spans="1:6" x14ac:dyDescent="0.25">
      <c r="A2420" s="189" t="str">
        <f t="shared" si="37"/>
        <v>BA-MD 79.859.95W</v>
      </c>
      <c r="B2420" s="195" t="s">
        <v>497</v>
      </c>
      <c r="C2420" s="196">
        <v>9.85</v>
      </c>
      <c r="D2420" s="196">
        <v>9.9499999999999993</v>
      </c>
      <c r="E2420" s="195" t="s">
        <v>583</v>
      </c>
      <c r="F2420" s="195" t="s">
        <v>432</v>
      </c>
    </row>
    <row r="2421" spans="1:6" x14ac:dyDescent="0.25">
      <c r="A2421" s="189" t="str">
        <f t="shared" si="37"/>
        <v>BA-MD 79.9511.51W</v>
      </c>
      <c r="B2421" s="195" t="s">
        <v>497</v>
      </c>
      <c r="C2421" s="196">
        <v>9.9499999999999993</v>
      </c>
      <c r="D2421" s="196">
        <v>11.51</v>
      </c>
      <c r="E2421" s="195" t="s">
        <v>593</v>
      </c>
      <c r="F2421" s="195" t="s">
        <v>432</v>
      </c>
    </row>
    <row r="2422" spans="1:6" x14ac:dyDescent="0.25">
      <c r="A2422" s="189" t="str">
        <f t="shared" si="37"/>
        <v>BA-MD 710.0911.51E</v>
      </c>
      <c r="B2422" s="195" t="s">
        <v>497</v>
      </c>
      <c r="C2422" s="196">
        <v>10.09</v>
      </c>
      <c r="D2422" s="196">
        <v>11.51</v>
      </c>
      <c r="E2422" s="195" t="s">
        <v>598</v>
      </c>
      <c r="F2422" s="195" t="s">
        <v>19</v>
      </c>
    </row>
    <row r="2423" spans="1:6" x14ac:dyDescent="0.25">
      <c r="A2423" s="189" t="str">
        <f t="shared" si="37"/>
        <v>BA-MD 7001.761.97N</v>
      </c>
      <c r="B2423" s="195" t="s">
        <v>4504</v>
      </c>
      <c r="C2423" s="196">
        <v>1.76</v>
      </c>
      <c r="D2423" s="196">
        <v>1.97</v>
      </c>
      <c r="E2423" s="195" t="s">
        <v>589</v>
      </c>
      <c r="F2423" s="195" t="s">
        <v>430</v>
      </c>
    </row>
    <row r="2424" spans="1:6" x14ac:dyDescent="0.25">
      <c r="A2424" s="189" t="str">
        <f t="shared" si="37"/>
        <v>BA-MD 702 RP2-100.42W</v>
      </c>
      <c r="B2424" s="195" t="s">
        <v>1725</v>
      </c>
      <c r="C2424" s="196">
        <v>0</v>
      </c>
      <c r="D2424" s="196">
        <v>0.42</v>
      </c>
      <c r="E2424" s="195" t="s">
        <v>593</v>
      </c>
      <c r="F2424" s="195" t="s">
        <v>432</v>
      </c>
    </row>
    <row r="2425" spans="1:6" x14ac:dyDescent="0.25">
      <c r="A2425" s="189" t="str">
        <f t="shared" si="37"/>
        <v>BA-MD 702 RP3-100.3S</v>
      </c>
      <c r="B2425" s="195" t="s">
        <v>1726</v>
      </c>
      <c r="C2425" s="196">
        <v>0</v>
      </c>
      <c r="D2425" s="196">
        <v>0.3</v>
      </c>
      <c r="E2425" s="195" t="s">
        <v>595</v>
      </c>
      <c r="F2425" s="195" t="s">
        <v>438</v>
      </c>
    </row>
    <row r="2426" spans="1:6" x14ac:dyDescent="0.25">
      <c r="A2426" s="189" t="str">
        <f t="shared" si="37"/>
        <v>BA-MD 702 RP5-100.31S</v>
      </c>
      <c r="B2426" s="195" t="s">
        <v>1727</v>
      </c>
      <c r="C2426" s="196">
        <v>0</v>
      </c>
      <c r="D2426" s="196">
        <v>0.31</v>
      </c>
      <c r="E2426" s="195" t="s">
        <v>595</v>
      </c>
      <c r="F2426" s="195" t="s">
        <v>438</v>
      </c>
    </row>
    <row r="2427" spans="1:6" x14ac:dyDescent="0.25">
      <c r="A2427" s="189" t="str">
        <f t="shared" si="37"/>
        <v>BA-MD 702 RP8-100.37S</v>
      </c>
      <c r="B2427" s="195" t="s">
        <v>1728</v>
      </c>
      <c r="C2427" s="196">
        <v>0</v>
      </c>
      <c r="D2427" s="196">
        <v>0.37</v>
      </c>
      <c r="E2427" s="195" t="s">
        <v>595</v>
      </c>
      <c r="F2427" s="195" t="s">
        <v>438</v>
      </c>
    </row>
    <row r="2428" spans="1:6" x14ac:dyDescent="0.25">
      <c r="A2428" s="189" t="str">
        <f t="shared" si="37"/>
        <v>BA-MD 746A00.13N</v>
      </c>
      <c r="B2428" s="195" t="s">
        <v>1729</v>
      </c>
      <c r="C2428" s="196">
        <v>0</v>
      </c>
      <c r="D2428" s="196">
        <v>0.13</v>
      </c>
      <c r="E2428" s="195" t="s">
        <v>589</v>
      </c>
      <c r="F2428" s="195" t="s">
        <v>430</v>
      </c>
    </row>
    <row r="2429" spans="1:6" x14ac:dyDescent="0.25">
      <c r="A2429" s="189" t="str">
        <f t="shared" si="37"/>
        <v>BA-MD 746A00.13S</v>
      </c>
      <c r="B2429" s="195" t="s">
        <v>1729</v>
      </c>
      <c r="C2429" s="196">
        <v>0</v>
      </c>
      <c r="D2429" s="196">
        <v>0.13</v>
      </c>
      <c r="E2429" s="195" t="s">
        <v>595</v>
      </c>
      <c r="F2429" s="195" t="s">
        <v>438</v>
      </c>
    </row>
    <row r="2430" spans="1:6" x14ac:dyDescent="0.25">
      <c r="A2430" s="189" t="str">
        <f t="shared" si="37"/>
        <v>BA-MD 79500.47E</v>
      </c>
      <c r="B2430" s="195" t="s">
        <v>1730</v>
      </c>
      <c r="C2430" s="196">
        <v>0</v>
      </c>
      <c r="D2430" s="196">
        <v>0.47</v>
      </c>
      <c r="E2430" s="195" t="s">
        <v>583</v>
      </c>
      <c r="F2430" s="195" t="s">
        <v>19</v>
      </c>
    </row>
    <row r="2431" spans="1:6" x14ac:dyDescent="0.25">
      <c r="A2431" s="189" t="str">
        <f t="shared" si="37"/>
        <v>BA-MD 79500.47W</v>
      </c>
      <c r="B2431" s="195" t="s">
        <v>1730</v>
      </c>
      <c r="C2431" s="196">
        <v>0</v>
      </c>
      <c r="D2431" s="196">
        <v>0.47</v>
      </c>
      <c r="E2431" s="195" t="s">
        <v>583</v>
      </c>
      <c r="F2431" s="195" t="s">
        <v>432</v>
      </c>
    </row>
    <row r="2432" spans="1:6" x14ac:dyDescent="0.25">
      <c r="A2432" s="189" t="str">
        <f t="shared" si="37"/>
        <v>BA-MD 7BA00.05N</v>
      </c>
      <c r="B2432" s="195" t="s">
        <v>1731</v>
      </c>
      <c r="C2432" s="196">
        <v>0</v>
      </c>
      <c r="D2432" s="196">
        <v>0.05</v>
      </c>
      <c r="E2432" s="195" t="s">
        <v>589</v>
      </c>
      <c r="F2432" s="195" t="s">
        <v>430</v>
      </c>
    </row>
    <row r="2433" spans="1:6" x14ac:dyDescent="0.25">
      <c r="A2433" s="189" t="str">
        <f t="shared" si="37"/>
        <v>BA-MD 7BA00.18S</v>
      </c>
      <c r="B2433" s="195" t="s">
        <v>1731</v>
      </c>
      <c r="C2433" s="196">
        <v>0</v>
      </c>
      <c r="D2433" s="196">
        <v>0.18</v>
      </c>
      <c r="E2433" s="195" t="s">
        <v>595</v>
      </c>
      <c r="F2433" s="195" t="s">
        <v>438</v>
      </c>
    </row>
    <row r="2434" spans="1:6" x14ac:dyDescent="0.25">
      <c r="A2434" s="189" t="str">
        <f t="shared" si="37"/>
        <v>BA-MD 7BA0.050.07N</v>
      </c>
      <c r="B2434" s="195" t="s">
        <v>1731</v>
      </c>
      <c r="C2434" s="196">
        <v>0.05</v>
      </c>
      <c r="D2434" s="196">
        <v>7.0000000000000007E-2</v>
      </c>
      <c r="E2434" s="195" t="s">
        <v>589</v>
      </c>
      <c r="F2434" s="195" t="s">
        <v>430</v>
      </c>
    </row>
    <row r="2435" spans="1:6" x14ac:dyDescent="0.25">
      <c r="A2435" s="189" t="str">
        <f t="shared" ref="A2435:A2498" si="38">B2435&amp;C2435&amp;D2435&amp;F2435</f>
        <v>BA-MD 7J00.14E</v>
      </c>
      <c r="B2435" s="195" t="s">
        <v>1732</v>
      </c>
      <c r="C2435" s="196">
        <v>0</v>
      </c>
      <c r="D2435" s="196">
        <v>0.14000000000000001</v>
      </c>
      <c r="E2435" s="195" t="s">
        <v>583</v>
      </c>
      <c r="F2435" s="195" t="s">
        <v>19</v>
      </c>
    </row>
    <row r="2436" spans="1:6" x14ac:dyDescent="0.25">
      <c r="A2436" s="189" t="str">
        <f t="shared" si="38"/>
        <v>BA-MD 7J00.14W</v>
      </c>
      <c r="B2436" s="195" t="s">
        <v>1732</v>
      </c>
      <c r="C2436" s="196">
        <v>0</v>
      </c>
      <c r="D2436" s="196">
        <v>0.14000000000000001</v>
      </c>
      <c r="E2436" s="195" t="s">
        <v>583</v>
      </c>
      <c r="F2436" s="195" t="s">
        <v>432</v>
      </c>
    </row>
    <row r="2437" spans="1:6" x14ac:dyDescent="0.25">
      <c r="A2437" s="189" t="str">
        <f t="shared" si="38"/>
        <v>BA-MD 8802.65E</v>
      </c>
      <c r="B2437" s="195" t="s">
        <v>1733</v>
      </c>
      <c r="C2437" s="196">
        <v>0</v>
      </c>
      <c r="D2437" s="196">
        <v>2.65</v>
      </c>
      <c r="E2437" s="195" t="s">
        <v>583</v>
      </c>
      <c r="F2437" s="195" t="s">
        <v>19</v>
      </c>
    </row>
    <row r="2438" spans="1:6" x14ac:dyDescent="0.25">
      <c r="A2438" s="189" t="str">
        <f t="shared" si="38"/>
        <v>BA-MD 8802.65W</v>
      </c>
      <c r="B2438" s="195" t="s">
        <v>1733</v>
      </c>
      <c r="C2438" s="196">
        <v>0</v>
      </c>
      <c r="D2438" s="196">
        <v>2.65</v>
      </c>
      <c r="E2438" s="195" t="s">
        <v>583</v>
      </c>
      <c r="F2438" s="195" t="s">
        <v>432</v>
      </c>
    </row>
    <row r="2439" spans="1:6" x14ac:dyDescent="0.25">
      <c r="A2439" s="189" t="str">
        <f t="shared" si="38"/>
        <v>BA-MD 882.656.95E</v>
      </c>
      <c r="B2439" s="195" t="s">
        <v>1733</v>
      </c>
      <c r="C2439" s="196">
        <v>2.65</v>
      </c>
      <c r="D2439" s="196">
        <v>6.95</v>
      </c>
      <c r="E2439" s="195" t="s">
        <v>583</v>
      </c>
      <c r="F2439" s="195" t="s">
        <v>19</v>
      </c>
    </row>
    <row r="2440" spans="1:6" x14ac:dyDescent="0.25">
      <c r="A2440" s="189" t="str">
        <f t="shared" si="38"/>
        <v>BA-MD 882.656.95W</v>
      </c>
      <c r="B2440" s="195" t="s">
        <v>1733</v>
      </c>
      <c r="C2440" s="196">
        <v>2.65</v>
      </c>
      <c r="D2440" s="196">
        <v>6.95</v>
      </c>
      <c r="E2440" s="195" t="s">
        <v>583</v>
      </c>
      <c r="F2440" s="195" t="s">
        <v>432</v>
      </c>
    </row>
    <row r="2441" spans="1:6" x14ac:dyDescent="0.25">
      <c r="A2441" s="189" t="str">
        <f t="shared" si="38"/>
        <v>BA-MD 88900.1E</v>
      </c>
      <c r="B2441" s="195" t="s">
        <v>1734</v>
      </c>
      <c r="C2441" s="196">
        <v>0</v>
      </c>
      <c r="D2441" s="196">
        <v>0.1</v>
      </c>
      <c r="E2441" s="195" t="s">
        <v>598</v>
      </c>
      <c r="F2441" s="195" t="s">
        <v>19</v>
      </c>
    </row>
    <row r="2442" spans="1:6" x14ac:dyDescent="0.25">
      <c r="A2442" s="189" t="str">
        <f t="shared" si="38"/>
        <v>BA-MD 88900.1W</v>
      </c>
      <c r="B2442" s="195" t="s">
        <v>1734</v>
      </c>
      <c r="C2442" s="196">
        <v>0</v>
      </c>
      <c r="D2442" s="196">
        <v>0.1</v>
      </c>
      <c r="E2442" s="195" t="s">
        <v>593</v>
      </c>
      <c r="F2442" s="195" t="s">
        <v>432</v>
      </c>
    </row>
    <row r="2443" spans="1:6" x14ac:dyDescent="0.25">
      <c r="A2443" s="189" t="str">
        <f t="shared" si="38"/>
        <v>BA-MD 9101.42N</v>
      </c>
      <c r="B2443" s="195" t="s">
        <v>1735</v>
      </c>
      <c r="C2443" s="196">
        <v>0</v>
      </c>
      <c r="D2443" s="196">
        <v>1.42</v>
      </c>
      <c r="E2443" s="195" t="s">
        <v>583</v>
      </c>
      <c r="F2443" s="195" t="s">
        <v>430</v>
      </c>
    </row>
    <row r="2444" spans="1:6" x14ac:dyDescent="0.25">
      <c r="A2444" s="189" t="str">
        <f t="shared" si="38"/>
        <v>BA-MD 9101.42S</v>
      </c>
      <c r="B2444" s="195" t="s">
        <v>1735</v>
      </c>
      <c r="C2444" s="196">
        <v>0</v>
      </c>
      <c r="D2444" s="196">
        <v>1.42</v>
      </c>
      <c r="E2444" s="195" t="s">
        <v>583</v>
      </c>
      <c r="F2444" s="195" t="s">
        <v>438</v>
      </c>
    </row>
    <row r="2445" spans="1:6" x14ac:dyDescent="0.25">
      <c r="A2445" s="189" t="str">
        <f t="shared" si="38"/>
        <v>BA-MD 993B00.04N</v>
      </c>
      <c r="B2445" s="195" t="s">
        <v>1736</v>
      </c>
      <c r="C2445" s="196">
        <v>0</v>
      </c>
      <c r="D2445" s="196">
        <v>0.04</v>
      </c>
      <c r="E2445" s="195" t="s">
        <v>589</v>
      </c>
      <c r="F2445" s="195" t="s">
        <v>430</v>
      </c>
    </row>
    <row r="2446" spans="1:6" x14ac:dyDescent="0.25">
      <c r="A2446" s="189" t="str">
        <f t="shared" si="38"/>
        <v>BA-MD 993B00.04S</v>
      </c>
      <c r="B2446" s="195" t="s">
        <v>1736</v>
      </c>
      <c r="C2446" s="196">
        <v>0</v>
      </c>
      <c r="D2446" s="196">
        <v>0.04</v>
      </c>
      <c r="E2446" s="195" t="s">
        <v>595</v>
      </c>
      <c r="F2446" s="195" t="s">
        <v>438</v>
      </c>
    </row>
    <row r="2447" spans="1:6" x14ac:dyDescent="0.25">
      <c r="A2447" s="189" t="str">
        <f t="shared" si="38"/>
        <v>BA-OP 70652.972.99E</v>
      </c>
      <c r="B2447" s="195" t="s">
        <v>1737</v>
      </c>
      <c r="C2447" s="196">
        <v>2.97</v>
      </c>
      <c r="D2447" s="196">
        <v>2.99</v>
      </c>
      <c r="E2447" s="195" t="s">
        <v>598</v>
      </c>
      <c r="F2447" s="195" t="s">
        <v>19</v>
      </c>
    </row>
    <row r="2448" spans="1:6" x14ac:dyDescent="0.25">
      <c r="A2448" s="189" t="str">
        <f t="shared" si="38"/>
        <v>BA-OP 70652.972.99W</v>
      </c>
      <c r="B2448" s="195" t="s">
        <v>1737</v>
      </c>
      <c r="C2448" s="196">
        <v>2.97</v>
      </c>
      <c r="D2448" s="196">
        <v>2.99</v>
      </c>
      <c r="E2448" s="195" t="s">
        <v>593</v>
      </c>
      <c r="F2448" s="195" t="s">
        <v>432</v>
      </c>
    </row>
    <row r="2449" spans="1:6" x14ac:dyDescent="0.25">
      <c r="A2449" s="189" t="str">
        <f t="shared" si="38"/>
        <v>BA-US 11.832.35N</v>
      </c>
      <c r="B2449" s="195" t="s">
        <v>498</v>
      </c>
      <c r="C2449" s="196">
        <v>1.83</v>
      </c>
      <c r="D2449" s="196">
        <v>2.35</v>
      </c>
      <c r="E2449" s="195" t="s">
        <v>583</v>
      </c>
      <c r="F2449" s="195" t="s">
        <v>430</v>
      </c>
    </row>
    <row r="2450" spans="1:6" x14ac:dyDescent="0.25">
      <c r="A2450" s="189" t="str">
        <f t="shared" si="38"/>
        <v>BA-US 11.832.35S</v>
      </c>
      <c r="B2450" s="195" t="s">
        <v>498</v>
      </c>
      <c r="C2450" s="196">
        <v>1.83</v>
      </c>
      <c r="D2450" s="196">
        <v>2.35</v>
      </c>
      <c r="E2450" s="195" t="s">
        <v>583</v>
      </c>
      <c r="F2450" s="195" t="s">
        <v>438</v>
      </c>
    </row>
    <row r="2451" spans="1:6" x14ac:dyDescent="0.25">
      <c r="A2451" s="189" t="str">
        <f t="shared" si="38"/>
        <v>BA-US 12.353.72N</v>
      </c>
      <c r="B2451" s="195" t="s">
        <v>498</v>
      </c>
      <c r="C2451" s="196">
        <v>2.35</v>
      </c>
      <c r="D2451" s="196">
        <v>3.72</v>
      </c>
      <c r="E2451" s="195" t="s">
        <v>583</v>
      </c>
      <c r="F2451" s="195" t="s">
        <v>430</v>
      </c>
    </row>
    <row r="2452" spans="1:6" x14ac:dyDescent="0.25">
      <c r="A2452" s="189" t="str">
        <f t="shared" si="38"/>
        <v>BA-US 12.353.72S</v>
      </c>
      <c r="B2452" s="195" t="s">
        <v>498</v>
      </c>
      <c r="C2452" s="196">
        <v>2.35</v>
      </c>
      <c r="D2452" s="196">
        <v>3.72</v>
      </c>
      <c r="E2452" s="195" t="s">
        <v>583</v>
      </c>
      <c r="F2452" s="195" t="s">
        <v>438</v>
      </c>
    </row>
    <row r="2453" spans="1:6" x14ac:dyDescent="0.25">
      <c r="A2453" s="189" t="str">
        <f t="shared" si="38"/>
        <v>BA-US 13.7215.69N</v>
      </c>
      <c r="B2453" s="195" t="s">
        <v>498</v>
      </c>
      <c r="C2453" s="196">
        <v>3.72</v>
      </c>
      <c r="D2453" s="196">
        <v>15.69</v>
      </c>
      <c r="E2453" s="195" t="s">
        <v>583</v>
      </c>
      <c r="F2453" s="195" t="s">
        <v>430</v>
      </c>
    </row>
    <row r="2454" spans="1:6" x14ac:dyDescent="0.25">
      <c r="A2454" s="189" t="str">
        <f t="shared" si="38"/>
        <v>BA-US 13.7215.69S</v>
      </c>
      <c r="B2454" s="195" t="s">
        <v>498</v>
      </c>
      <c r="C2454" s="196">
        <v>3.72</v>
      </c>
      <c r="D2454" s="196">
        <v>15.69</v>
      </c>
      <c r="E2454" s="195" t="s">
        <v>583</v>
      </c>
      <c r="F2454" s="195" t="s">
        <v>438</v>
      </c>
    </row>
    <row r="2455" spans="1:6" x14ac:dyDescent="0.25">
      <c r="A2455" s="189" t="str">
        <f t="shared" si="38"/>
        <v>BA-US 115.6916.75N</v>
      </c>
      <c r="B2455" s="195" t="s">
        <v>498</v>
      </c>
      <c r="C2455" s="196">
        <v>15.69</v>
      </c>
      <c r="D2455" s="196">
        <v>16.75</v>
      </c>
      <c r="E2455" s="195" t="s">
        <v>583</v>
      </c>
      <c r="F2455" s="195" t="s">
        <v>430</v>
      </c>
    </row>
    <row r="2456" spans="1:6" x14ac:dyDescent="0.25">
      <c r="A2456" s="189" t="str">
        <f t="shared" si="38"/>
        <v>BA-US 115.6916.75S</v>
      </c>
      <c r="B2456" s="195" t="s">
        <v>498</v>
      </c>
      <c r="C2456" s="196">
        <v>15.69</v>
      </c>
      <c r="D2456" s="196">
        <v>16.75</v>
      </c>
      <c r="E2456" s="195" t="s">
        <v>583</v>
      </c>
      <c r="F2456" s="195" t="s">
        <v>438</v>
      </c>
    </row>
    <row r="2457" spans="1:6" x14ac:dyDescent="0.25">
      <c r="A2457" s="189" t="str">
        <f t="shared" si="38"/>
        <v>BA-US 116.7516.85N</v>
      </c>
      <c r="B2457" s="195" t="s">
        <v>498</v>
      </c>
      <c r="C2457" s="196">
        <v>16.75</v>
      </c>
      <c r="D2457" s="196">
        <v>16.850000000000001</v>
      </c>
      <c r="E2457" s="195" t="s">
        <v>583</v>
      </c>
      <c r="F2457" s="195" t="s">
        <v>430</v>
      </c>
    </row>
    <row r="2458" spans="1:6" x14ac:dyDescent="0.25">
      <c r="A2458" s="189" t="str">
        <f t="shared" si="38"/>
        <v>BA-US 116.7516.85S</v>
      </c>
      <c r="B2458" s="195" t="s">
        <v>498</v>
      </c>
      <c r="C2458" s="196">
        <v>16.75</v>
      </c>
      <c r="D2458" s="196">
        <v>16.850000000000001</v>
      </c>
      <c r="E2458" s="195" t="s">
        <v>583</v>
      </c>
      <c r="F2458" s="195" t="s">
        <v>438</v>
      </c>
    </row>
    <row r="2459" spans="1:6" x14ac:dyDescent="0.25">
      <c r="A2459" s="189" t="str">
        <f t="shared" si="38"/>
        <v>BA-US 117.918.72S</v>
      </c>
      <c r="B2459" s="195" t="s">
        <v>498</v>
      </c>
      <c r="C2459" s="196">
        <v>17.899999999999999</v>
      </c>
      <c r="D2459" s="196">
        <v>18.72</v>
      </c>
      <c r="E2459" s="195" t="s">
        <v>595</v>
      </c>
      <c r="F2459" s="195" t="s">
        <v>438</v>
      </c>
    </row>
    <row r="2460" spans="1:6" x14ac:dyDescent="0.25">
      <c r="A2460" s="189" t="str">
        <f t="shared" si="38"/>
        <v>BA-US 118.118.72N</v>
      </c>
      <c r="B2460" s="195" t="s">
        <v>498</v>
      </c>
      <c r="C2460" s="196">
        <v>18.100000000000001</v>
      </c>
      <c r="D2460" s="196">
        <v>18.72</v>
      </c>
      <c r="E2460" s="195" t="s">
        <v>589</v>
      </c>
      <c r="F2460" s="195" t="s">
        <v>430</v>
      </c>
    </row>
    <row r="2461" spans="1:6" x14ac:dyDescent="0.25">
      <c r="A2461" s="189" t="str">
        <f t="shared" si="38"/>
        <v>BA-US 118.7219.83N</v>
      </c>
      <c r="B2461" s="195" t="s">
        <v>498</v>
      </c>
      <c r="C2461" s="196">
        <v>18.72</v>
      </c>
      <c r="D2461" s="196">
        <v>19.829999999999998</v>
      </c>
      <c r="E2461" s="195" t="s">
        <v>583</v>
      </c>
      <c r="F2461" s="195" t="s">
        <v>430</v>
      </c>
    </row>
    <row r="2462" spans="1:6" x14ac:dyDescent="0.25">
      <c r="A2462" s="189" t="str">
        <f t="shared" si="38"/>
        <v>BA-US 118.7219.83S</v>
      </c>
      <c r="B2462" s="195" t="s">
        <v>498</v>
      </c>
      <c r="C2462" s="196">
        <v>18.72</v>
      </c>
      <c r="D2462" s="196">
        <v>19.829999999999998</v>
      </c>
      <c r="E2462" s="195" t="s">
        <v>583</v>
      </c>
      <c r="F2462" s="195" t="s">
        <v>438</v>
      </c>
    </row>
    <row r="2463" spans="1:6" x14ac:dyDescent="0.25">
      <c r="A2463" s="189" t="str">
        <f t="shared" si="38"/>
        <v>BA-US 119.8319.85N</v>
      </c>
      <c r="B2463" s="195" t="s">
        <v>498</v>
      </c>
      <c r="C2463" s="196">
        <v>19.829999999999998</v>
      </c>
      <c r="D2463" s="196">
        <v>19.850000000000001</v>
      </c>
      <c r="E2463" s="195" t="s">
        <v>583</v>
      </c>
      <c r="F2463" s="195" t="s">
        <v>430</v>
      </c>
    </row>
    <row r="2464" spans="1:6" x14ac:dyDescent="0.25">
      <c r="A2464" s="189" t="str">
        <f t="shared" si="38"/>
        <v>BA-US 119.8319.85S</v>
      </c>
      <c r="B2464" s="195" t="s">
        <v>498</v>
      </c>
      <c r="C2464" s="196">
        <v>19.829999999999998</v>
      </c>
      <c r="D2464" s="196">
        <v>19.850000000000001</v>
      </c>
      <c r="E2464" s="195" t="s">
        <v>583</v>
      </c>
      <c r="F2464" s="195" t="s">
        <v>438</v>
      </c>
    </row>
    <row r="2465" spans="1:6" x14ac:dyDescent="0.25">
      <c r="A2465" s="189" t="str">
        <f t="shared" si="38"/>
        <v>BA-US 119.8520.2S</v>
      </c>
      <c r="B2465" s="195" t="s">
        <v>498</v>
      </c>
      <c r="C2465" s="196">
        <v>19.850000000000001</v>
      </c>
      <c r="D2465" s="196">
        <v>20.2</v>
      </c>
      <c r="E2465" s="195" t="s">
        <v>595</v>
      </c>
      <c r="F2465" s="195" t="s">
        <v>438</v>
      </c>
    </row>
    <row r="2466" spans="1:6" x14ac:dyDescent="0.25">
      <c r="A2466" s="189" t="str">
        <f t="shared" si="38"/>
        <v>BA-US 119.8522.2N</v>
      </c>
      <c r="B2466" s="195" t="s">
        <v>498</v>
      </c>
      <c r="C2466" s="196">
        <v>19.850000000000001</v>
      </c>
      <c r="D2466" s="196">
        <v>22.2</v>
      </c>
      <c r="E2466" s="195" t="s">
        <v>589</v>
      </c>
      <c r="F2466" s="195" t="s">
        <v>430</v>
      </c>
    </row>
    <row r="2467" spans="1:6" x14ac:dyDescent="0.25">
      <c r="A2467" s="189" t="str">
        <f t="shared" si="38"/>
        <v>BA-US 120.220.55S</v>
      </c>
      <c r="B2467" s="195" t="s">
        <v>498</v>
      </c>
      <c r="C2467" s="196">
        <v>20.2</v>
      </c>
      <c r="D2467" s="196">
        <v>20.55</v>
      </c>
      <c r="E2467" s="195" t="s">
        <v>595</v>
      </c>
      <c r="F2467" s="195" t="s">
        <v>438</v>
      </c>
    </row>
    <row r="2468" spans="1:6" x14ac:dyDescent="0.25">
      <c r="A2468" s="189" t="str">
        <f t="shared" si="38"/>
        <v>BA-US 120.5522.2S</v>
      </c>
      <c r="B2468" s="195" t="s">
        <v>498</v>
      </c>
      <c r="C2468" s="196">
        <v>20.55</v>
      </c>
      <c r="D2468" s="196">
        <v>22.2</v>
      </c>
      <c r="E2468" s="195" t="s">
        <v>595</v>
      </c>
      <c r="F2468" s="195" t="s">
        <v>438</v>
      </c>
    </row>
    <row r="2469" spans="1:6" x14ac:dyDescent="0.25">
      <c r="A2469" s="189" t="str">
        <f t="shared" si="38"/>
        <v>BA-US 123.3724.59S</v>
      </c>
      <c r="B2469" s="195" t="s">
        <v>498</v>
      </c>
      <c r="C2469" s="196">
        <v>23.37</v>
      </c>
      <c r="D2469" s="196">
        <v>24.59</v>
      </c>
      <c r="E2469" s="195" t="s">
        <v>595</v>
      </c>
      <c r="F2469" s="195" t="s">
        <v>438</v>
      </c>
    </row>
    <row r="2470" spans="1:6" x14ac:dyDescent="0.25">
      <c r="A2470" s="189" t="str">
        <f t="shared" si="38"/>
        <v>BA-US 123.5424.59N</v>
      </c>
      <c r="B2470" s="195" t="s">
        <v>498</v>
      </c>
      <c r="C2470" s="196">
        <v>23.54</v>
      </c>
      <c r="D2470" s="196">
        <v>24.59</v>
      </c>
      <c r="E2470" s="195" t="s">
        <v>589</v>
      </c>
      <c r="F2470" s="195" t="s">
        <v>430</v>
      </c>
    </row>
    <row r="2471" spans="1:6" x14ac:dyDescent="0.25">
      <c r="A2471" s="189" t="str">
        <f t="shared" si="38"/>
        <v>BA-US 124.5926.34S</v>
      </c>
      <c r="B2471" s="195" t="s">
        <v>498</v>
      </c>
      <c r="C2471" s="196">
        <v>24.59</v>
      </c>
      <c r="D2471" s="196">
        <v>26.34</v>
      </c>
      <c r="E2471" s="195" t="s">
        <v>595</v>
      </c>
      <c r="F2471" s="195" t="s">
        <v>438</v>
      </c>
    </row>
    <row r="2472" spans="1:6" x14ac:dyDescent="0.25">
      <c r="A2472" s="189" t="str">
        <f t="shared" si="38"/>
        <v>BA-US 124.5926.45N</v>
      </c>
      <c r="B2472" s="195" t="s">
        <v>498</v>
      </c>
      <c r="C2472" s="196">
        <v>24.59</v>
      </c>
      <c r="D2472" s="196">
        <v>26.45</v>
      </c>
      <c r="E2472" s="195" t="s">
        <v>589</v>
      </c>
      <c r="F2472" s="195" t="s">
        <v>430</v>
      </c>
    </row>
    <row r="2473" spans="1:6" x14ac:dyDescent="0.25">
      <c r="A2473" s="189" t="str">
        <f t="shared" si="38"/>
        <v>BA-US 126.3426.48S</v>
      </c>
      <c r="B2473" s="195" t="s">
        <v>498</v>
      </c>
      <c r="C2473" s="196">
        <v>26.34</v>
      </c>
      <c r="D2473" s="196">
        <v>26.48</v>
      </c>
      <c r="E2473" s="195" t="s">
        <v>595</v>
      </c>
      <c r="F2473" s="195" t="s">
        <v>438</v>
      </c>
    </row>
    <row r="2474" spans="1:6" x14ac:dyDescent="0.25">
      <c r="A2474" s="189" t="str">
        <f t="shared" si="38"/>
        <v>BA-US 126.4526.48N</v>
      </c>
      <c r="B2474" s="195" t="s">
        <v>498</v>
      </c>
      <c r="C2474" s="196">
        <v>26.45</v>
      </c>
      <c r="D2474" s="196">
        <v>26.48</v>
      </c>
      <c r="E2474" s="195" t="s">
        <v>589</v>
      </c>
      <c r="F2474" s="195" t="s">
        <v>430</v>
      </c>
    </row>
    <row r="2475" spans="1:6" x14ac:dyDescent="0.25">
      <c r="A2475" s="189" t="str">
        <f t="shared" si="38"/>
        <v>BA-US 126.4826.52N</v>
      </c>
      <c r="B2475" s="195" t="s">
        <v>498</v>
      </c>
      <c r="C2475" s="196">
        <v>26.48</v>
      </c>
      <c r="D2475" s="196">
        <v>26.52</v>
      </c>
      <c r="E2475" s="195" t="s">
        <v>583</v>
      </c>
      <c r="F2475" s="195" t="s">
        <v>430</v>
      </c>
    </row>
    <row r="2476" spans="1:6" x14ac:dyDescent="0.25">
      <c r="A2476" s="189" t="str">
        <f t="shared" si="38"/>
        <v>BA-US 126.4826.52S</v>
      </c>
      <c r="B2476" s="195" t="s">
        <v>498</v>
      </c>
      <c r="C2476" s="196">
        <v>26.48</v>
      </c>
      <c r="D2476" s="196">
        <v>26.52</v>
      </c>
      <c r="E2476" s="195" t="s">
        <v>583</v>
      </c>
      <c r="F2476" s="195" t="s">
        <v>438</v>
      </c>
    </row>
    <row r="2477" spans="1:6" x14ac:dyDescent="0.25">
      <c r="A2477" s="189" t="str">
        <f t="shared" si="38"/>
        <v>BA-US 1AL0.210.32N</v>
      </c>
      <c r="B2477" s="195" t="s">
        <v>507</v>
      </c>
      <c r="C2477" s="196">
        <v>0.21</v>
      </c>
      <c r="D2477" s="196">
        <v>0.32</v>
      </c>
      <c r="E2477" s="195" t="s">
        <v>589</v>
      </c>
      <c r="F2477" s="195" t="s">
        <v>430</v>
      </c>
    </row>
    <row r="2478" spans="1:6" x14ac:dyDescent="0.25">
      <c r="A2478" s="189" t="str">
        <f t="shared" si="38"/>
        <v>BA-US 1AL0.220.33S</v>
      </c>
      <c r="B2478" s="195" t="s">
        <v>507</v>
      </c>
      <c r="C2478" s="196">
        <v>0.22</v>
      </c>
      <c r="D2478" s="196">
        <v>0.33</v>
      </c>
      <c r="E2478" s="195" t="s">
        <v>595</v>
      </c>
      <c r="F2478" s="195" t="s">
        <v>438</v>
      </c>
    </row>
    <row r="2479" spans="1:6" x14ac:dyDescent="0.25">
      <c r="A2479" s="189" t="str">
        <f t="shared" si="38"/>
        <v>BA-US 1AL0.321.54N</v>
      </c>
      <c r="B2479" s="195" t="s">
        <v>507</v>
      </c>
      <c r="C2479" s="196">
        <v>0.32</v>
      </c>
      <c r="D2479" s="196">
        <v>1.54</v>
      </c>
      <c r="E2479" s="195" t="s">
        <v>589</v>
      </c>
      <c r="F2479" s="195" t="s">
        <v>430</v>
      </c>
    </row>
    <row r="2480" spans="1:6" x14ac:dyDescent="0.25">
      <c r="A2480" s="189" t="str">
        <f t="shared" si="38"/>
        <v>BA-US 1AL0.331.54S</v>
      </c>
      <c r="B2480" s="195" t="s">
        <v>507</v>
      </c>
      <c r="C2480" s="196">
        <v>0.33</v>
      </c>
      <c r="D2480" s="196">
        <v>1.54</v>
      </c>
      <c r="E2480" s="195" t="s">
        <v>595</v>
      </c>
      <c r="F2480" s="195" t="s">
        <v>438</v>
      </c>
    </row>
    <row r="2481" spans="1:6" x14ac:dyDescent="0.25">
      <c r="A2481" s="189" t="str">
        <f t="shared" si="38"/>
        <v>BA-US 1AL1.542.7N</v>
      </c>
      <c r="B2481" s="195" t="s">
        <v>507</v>
      </c>
      <c r="C2481" s="196">
        <v>1.54</v>
      </c>
      <c r="D2481" s="196">
        <v>2.7</v>
      </c>
      <c r="E2481" s="195" t="s">
        <v>583</v>
      </c>
      <c r="F2481" s="195" t="s">
        <v>430</v>
      </c>
    </row>
    <row r="2482" spans="1:6" x14ac:dyDescent="0.25">
      <c r="A2482" s="189" t="str">
        <f t="shared" si="38"/>
        <v>BA-US 1AL1.542.7S</v>
      </c>
      <c r="B2482" s="195" t="s">
        <v>507</v>
      </c>
      <c r="C2482" s="196">
        <v>1.54</v>
      </c>
      <c r="D2482" s="196">
        <v>2.7</v>
      </c>
      <c r="E2482" s="195" t="s">
        <v>583</v>
      </c>
      <c r="F2482" s="195" t="s">
        <v>438</v>
      </c>
    </row>
    <row r="2483" spans="1:6" x14ac:dyDescent="0.25">
      <c r="A2483" s="189" t="str">
        <f t="shared" si="38"/>
        <v>BA-US 403.9814.03E</v>
      </c>
      <c r="B2483" s="195" t="s">
        <v>499</v>
      </c>
      <c r="C2483" s="196">
        <v>3.98</v>
      </c>
      <c r="D2483" s="196">
        <v>14.03</v>
      </c>
      <c r="E2483" s="195" t="s">
        <v>583</v>
      </c>
      <c r="F2483" s="195" t="s">
        <v>19</v>
      </c>
    </row>
    <row r="2484" spans="1:6" x14ac:dyDescent="0.25">
      <c r="A2484" s="189" t="str">
        <f t="shared" si="38"/>
        <v>BA-US 403.9814.03W</v>
      </c>
      <c r="B2484" s="195" t="s">
        <v>499</v>
      </c>
      <c r="C2484" s="196">
        <v>3.98</v>
      </c>
      <c r="D2484" s="196">
        <v>14.03</v>
      </c>
      <c r="E2484" s="195" t="s">
        <v>583</v>
      </c>
      <c r="F2484" s="195" t="s">
        <v>432</v>
      </c>
    </row>
    <row r="2485" spans="1:6" x14ac:dyDescent="0.25">
      <c r="A2485" s="189" t="str">
        <f t="shared" si="38"/>
        <v>BA-US 40 RP1-1800.3W</v>
      </c>
      <c r="B2485" s="195" t="s">
        <v>1738</v>
      </c>
      <c r="C2485" s="196">
        <v>0</v>
      </c>
      <c r="D2485" s="196">
        <v>0.3</v>
      </c>
      <c r="E2485" s="195" t="s">
        <v>593</v>
      </c>
      <c r="F2485" s="195" t="s">
        <v>432</v>
      </c>
    </row>
    <row r="2486" spans="1:6" x14ac:dyDescent="0.25">
      <c r="A2486" s="189" t="str">
        <f t="shared" si="38"/>
        <v>BA-US 40 RP1-2000.2W</v>
      </c>
      <c r="B2486" s="195" t="s">
        <v>1739</v>
      </c>
      <c r="C2486" s="196">
        <v>0</v>
      </c>
      <c r="D2486" s="196">
        <v>0.2</v>
      </c>
      <c r="E2486" s="195" t="s">
        <v>593</v>
      </c>
      <c r="F2486" s="195" t="s">
        <v>432</v>
      </c>
    </row>
    <row r="2487" spans="1:6" x14ac:dyDescent="0.25">
      <c r="A2487" s="189" t="str">
        <f t="shared" si="38"/>
        <v>BA-US 40 RP2-2000.32S</v>
      </c>
      <c r="B2487" s="195" t="s">
        <v>1740</v>
      </c>
      <c r="C2487" s="196">
        <v>0</v>
      </c>
      <c r="D2487" s="196">
        <v>0.32</v>
      </c>
      <c r="E2487" s="195" t="s">
        <v>595</v>
      </c>
      <c r="F2487" s="195" t="s">
        <v>438</v>
      </c>
    </row>
    <row r="2488" spans="1:6" x14ac:dyDescent="0.25">
      <c r="A2488" s="189" t="str">
        <f t="shared" si="38"/>
        <v>BA-US 40 RP4-1800.18N</v>
      </c>
      <c r="B2488" s="195" t="s">
        <v>1741</v>
      </c>
      <c r="C2488" s="196">
        <v>0</v>
      </c>
      <c r="D2488" s="196">
        <v>0.18</v>
      </c>
      <c r="E2488" s="195" t="s">
        <v>589</v>
      </c>
      <c r="F2488" s="195" t="s">
        <v>430</v>
      </c>
    </row>
    <row r="2489" spans="1:6" x14ac:dyDescent="0.25">
      <c r="A2489" s="189" t="str">
        <f t="shared" si="38"/>
        <v>BA-US 40 RP4-2000.08N</v>
      </c>
      <c r="B2489" s="195" t="s">
        <v>1742</v>
      </c>
      <c r="C2489" s="196">
        <v>0</v>
      </c>
      <c r="D2489" s="196">
        <v>0.08</v>
      </c>
      <c r="E2489" s="195" t="s">
        <v>589</v>
      </c>
      <c r="F2489" s="195" t="s">
        <v>430</v>
      </c>
    </row>
    <row r="2490" spans="1:6" x14ac:dyDescent="0.25">
      <c r="A2490" s="189" t="str">
        <f t="shared" si="38"/>
        <v>BA-US 40 RP6-1800.22E</v>
      </c>
      <c r="B2490" s="195" t="s">
        <v>1743</v>
      </c>
      <c r="C2490" s="196">
        <v>0</v>
      </c>
      <c r="D2490" s="196">
        <v>0.22</v>
      </c>
      <c r="E2490" s="195" t="s">
        <v>598</v>
      </c>
      <c r="F2490" s="195" t="s">
        <v>19</v>
      </c>
    </row>
    <row r="2491" spans="1:6" x14ac:dyDescent="0.25">
      <c r="A2491" s="189" t="str">
        <f t="shared" si="38"/>
        <v>BA-US 40 RP6-180.130.17W</v>
      </c>
      <c r="B2491" s="195" t="s">
        <v>1743</v>
      </c>
      <c r="C2491" s="196">
        <v>0.13</v>
      </c>
      <c r="D2491" s="196">
        <v>0.17</v>
      </c>
      <c r="E2491" s="195" t="s">
        <v>593</v>
      </c>
      <c r="F2491" s="195" t="s">
        <v>432</v>
      </c>
    </row>
    <row r="2492" spans="1:6" x14ac:dyDescent="0.25">
      <c r="A2492" s="189" t="str">
        <f t="shared" si="38"/>
        <v>BA-US 40 RP6-2000.05N</v>
      </c>
      <c r="B2492" s="195" t="s">
        <v>1744</v>
      </c>
      <c r="C2492" s="196">
        <v>0</v>
      </c>
      <c r="D2492" s="196">
        <v>0.05</v>
      </c>
      <c r="E2492" s="195" t="s">
        <v>589</v>
      </c>
      <c r="F2492" s="195" t="s">
        <v>430</v>
      </c>
    </row>
    <row r="2493" spans="1:6" x14ac:dyDescent="0.25">
      <c r="A2493" s="189" t="str">
        <f t="shared" si="38"/>
        <v>BA-US 40 RP7-1800.07S</v>
      </c>
      <c r="B2493" s="195" t="s">
        <v>1745</v>
      </c>
      <c r="C2493" s="196">
        <v>0</v>
      </c>
      <c r="D2493" s="196">
        <v>7.0000000000000007E-2</v>
      </c>
      <c r="E2493" s="195" t="s">
        <v>595</v>
      </c>
      <c r="F2493" s="195" t="s">
        <v>438</v>
      </c>
    </row>
    <row r="2494" spans="1:6" x14ac:dyDescent="0.25">
      <c r="A2494" s="189" t="str">
        <f t="shared" si="38"/>
        <v>BA-US 40 RP7-2000.03N</v>
      </c>
      <c r="B2494" s="195" t="s">
        <v>1746</v>
      </c>
      <c r="C2494" s="196">
        <v>0</v>
      </c>
      <c r="D2494" s="196">
        <v>0.03</v>
      </c>
      <c r="E2494" s="195" t="s">
        <v>589</v>
      </c>
      <c r="F2494" s="195" t="s">
        <v>430</v>
      </c>
    </row>
    <row r="2495" spans="1:6" x14ac:dyDescent="0.25">
      <c r="A2495" s="189" t="str">
        <f t="shared" si="38"/>
        <v>BA-US 40 RP8-2000.03S</v>
      </c>
      <c r="B2495" s="195" t="s">
        <v>1747</v>
      </c>
      <c r="C2495" s="196">
        <v>0</v>
      </c>
      <c r="D2495" s="196">
        <v>0.03</v>
      </c>
      <c r="E2495" s="195" t="s">
        <v>595</v>
      </c>
      <c r="F2495" s="195" t="s">
        <v>438</v>
      </c>
    </row>
    <row r="2496" spans="1:6" x14ac:dyDescent="0.25">
      <c r="A2496" s="189" t="str">
        <f t="shared" si="38"/>
        <v>BA-US 40 RP9-2000.21E</v>
      </c>
      <c r="B2496" s="195" t="s">
        <v>1748</v>
      </c>
      <c r="C2496" s="196">
        <v>0</v>
      </c>
      <c r="D2496" s="196">
        <v>0.21</v>
      </c>
      <c r="E2496" s="195" t="s">
        <v>598</v>
      </c>
      <c r="F2496" s="195" t="s">
        <v>19</v>
      </c>
    </row>
    <row r="2497" spans="1:6" x14ac:dyDescent="0.25">
      <c r="A2497" s="189" t="str">
        <f t="shared" si="38"/>
        <v>BC-IS 395A RP4-100.25N</v>
      </c>
      <c r="B2497" s="195" t="s">
        <v>1749</v>
      </c>
      <c r="C2497" s="196">
        <v>0</v>
      </c>
      <c r="D2497" s="196">
        <v>0.25</v>
      </c>
      <c r="E2497" s="195" t="s">
        <v>589</v>
      </c>
      <c r="F2497" s="195" t="s">
        <v>430</v>
      </c>
    </row>
    <row r="2498" spans="1:6" x14ac:dyDescent="0.25">
      <c r="A2498" s="189" t="str">
        <f t="shared" si="38"/>
        <v>BC-IS 83 RP1-1000.19N</v>
      </c>
      <c r="B2498" s="195" t="s">
        <v>1750</v>
      </c>
      <c r="C2498" s="196">
        <v>0</v>
      </c>
      <c r="D2498" s="196">
        <v>0.19</v>
      </c>
      <c r="E2498" s="195" t="s">
        <v>589</v>
      </c>
      <c r="F2498" s="195" t="s">
        <v>430</v>
      </c>
    </row>
    <row r="2499" spans="1:6" x14ac:dyDescent="0.25">
      <c r="A2499" s="189" t="str">
        <f t="shared" ref="A2499:A2562" si="39">B2499&amp;C2499&amp;D2499&amp;F2499</f>
        <v>BC-IS 83 RP1-700.23N</v>
      </c>
      <c r="B2499" s="195" t="s">
        <v>1751</v>
      </c>
      <c r="C2499" s="196">
        <v>0</v>
      </c>
      <c r="D2499" s="196">
        <v>0.23</v>
      </c>
      <c r="E2499" s="195" t="s">
        <v>589</v>
      </c>
      <c r="F2499" s="195" t="s">
        <v>430</v>
      </c>
    </row>
    <row r="2500" spans="1:6" x14ac:dyDescent="0.25">
      <c r="A2500" s="189" t="str">
        <f t="shared" si="39"/>
        <v>BC-IS 83 RP1-900.28N</v>
      </c>
      <c r="B2500" s="195" t="s">
        <v>1752</v>
      </c>
      <c r="C2500" s="196">
        <v>0</v>
      </c>
      <c r="D2500" s="196">
        <v>0.28000000000000003</v>
      </c>
      <c r="E2500" s="195" t="s">
        <v>589</v>
      </c>
      <c r="F2500" s="195" t="s">
        <v>430</v>
      </c>
    </row>
    <row r="2501" spans="1:6" x14ac:dyDescent="0.25">
      <c r="A2501" s="189" t="str">
        <f t="shared" si="39"/>
        <v>BC-IS 83 RP2-1000.04N</v>
      </c>
      <c r="B2501" s="195" t="s">
        <v>1753</v>
      </c>
      <c r="C2501" s="196">
        <v>0</v>
      </c>
      <c r="D2501" s="196">
        <v>0.04</v>
      </c>
      <c r="E2501" s="195" t="s">
        <v>589</v>
      </c>
      <c r="F2501" s="195" t="s">
        <v>430</v>
      </c>
    </row>
    <row r="2502" spans="1:6" x14ac:dyDescent="0.25">
      <c r="A2502" s="189" t="str">
        <f t="shared" si="39"/>
        <v>BC-IS 83 RP2-300.32N</v>
      </c>
      <c r="B2502" s="195" t="s">
        <v>1754</v>
      </c>
      <c r="C2502" s="196">
        <v>0</v>
      </c>
      <c r="D2502" s="196">
        <v>0.32</v>
      </c>
      <c r="E2502" s="195" t="s">
        <v>589</v>
      </c>
      <c r="F2502" s="195" t="s">
        <v>430</v>
      </c>
    </row>
    <row r="2503" spans="1:6" x14ac:dyDescent="0.25">
      <c r="A2503" s="189" t="str">
        <f t="shared" si="39"/>
        <v>BC-IS 83 RP2-400.03W</v>
      </c>
      <c r="B2503" s="195" t="s">
        <v>1755</v>
      </c>
      <c r="C2503" s="196">
        <v>0</v>
      </c>
      <c r="D2503" s="196">
        <v>0.03</v>
      </c>
      <c r="E2503" s="195" t="s">
        <v>593</v>
      </c>
      <c r="F2503" s="195" t="s">
        <v>432</v>
      </c>
    </row>
    <row r="2504" spans="1:6" x14ac:dyDescent="0.25">
      <c r="A2504" s="189" t="str">
        <f t="shared" si="39"/>
        <v>BC-IS 83 RP2-500.1N</v>
      </c>
      <c r="B2504" s="195" t="s">
        <v>1756</v>
      </c>
      <c r="C2504" s="196">
        <v>0</v>
      </c>
      <c r="D2504" s="196">
        <v>0.1</v>
      </c>
      <c r="E2504" s="195" t="s">
        <v>589</v>
      </c>
      <c r="F2504" s="195" t="s">
        <v>430</v>
      </c>
    </row>
    <row r="2505" spans="1:6" x14ac:dyDescent="0.25">
      <c r="A2505" s="189" t="str">
        <f t="shared" si="39"/>
        <v>BC-IS 83 RP2-900.31N</v>
      </c>
      <c r="B2505" s="195" t="s">
        <v>1757</v>
      </c>
      <c r="C2505" s="196">
        <v>0</v>
      </c>
      <c r="D2505" s="196">
        <v>0.31</v>
      </c>
      <c r="E2505" s="195" t="s">
        <v>589</v>
      </c>
      <c r="F2505" s="195" t="s">
        <v>430</v>
      </c>
    </row>
    <row r="2506" spans="1:6" x14ac:dyDescent="0.25">
      <c r="A2506" s="189" t="str">
        <f t="shared" si="39"/>
        <v>BC-IS 83 RP3-1000.31N</v>
      </c>
      <c r="B2506" s="195" t="s">
        <v>1758</v>
      </c>
      <c r="C2506" s="196">
        <v>0</v>
      </c>
      <c r="D2506" s="196">
        <v>0.31</v>
      </c>
      <c r="E2506" s="195" t="s">
        <v>589</v>
      </c>
      <c r="F2506" s="195" t="s">
        <v>430</v>
      </c>
    </row>
    <row r="2507" spans="1:6" x14ac:dyDescent="0.25">
      <c r="A2507" s="189" t="str">
        <f t="shared" si="39"/>
        <v>BC-IS 83 RP3-200.28N</v>
      </c>
      <c r="B2507" s="195" t="s">
        <v>1759</v>
      </c>
      <c r="C2507" s="196">
        <v>0</v>
      </c>
      <c r="D2507" s="196">
        <v>0.28000000000000003</v>
      </c>
      <c r="E2507" s="195" t="s">
        <v>589</v>
      </c>
      <c r="F2507" s="195" t="s">
        <v>430</v>
      </c>
    </row>
    <row r="2508" spans="1:6" x14ac:dyDescent="0.25">
      <c r="A2508" s="189" t="str">
        <f t="shared" si="39"/>
        <v>BC-IS 83 RP3-600.26N</v>
      </c>
      <c r="B2508" s="195" t="s">
        <v>1760</v>
      </c>
      <c r="C2508" s="196">
        <v>0</v>
      </c>
      <c r="D2508" s="196">
        <v>0.26</v>
      </c>
      <c r="E2508" s="195" t="s">
        <v>589</v>
      </c>
      <c r="F2508" s="195" t="s">
        <v>430</v>
      </c>
    </row>
    <row r="2509" spans="1:6" x14ac:dyDescent="0.25">
      <c r="A2509" s="189" t="str">
        <f t="shared" si="39"/>
        <v>BC-IS 83 RP3-700.32W</v>
      </c>
      <c r="B2509" s="195" t="s">
        <v>1761</v>
      </c>
      <c r="C2509" s="196">
        <v>0</v>
      </c>
      <c r="D2509" s="196">
        <v>0.32</v>
      </c>
      <c r="E2509" s="195" t="s">
        <v>593</v>
      </c>
      <c r="F2509" s="195" t="s">
        <v>432</v>
      </c>
    </row>
    <row r="2510" spans="1:6" x14ac:dyDescent="0.25">
      <c r="A2510" s="189" t="str">
        <f t="shared" si="39"/>
        <v>BC-IS 83 RP3-900.05N</v>
      </c>
      <c r="B2510" s="195" t="s">
        <v>1762</v>
      </c>
      <c r="C2510" s="196">
        <v>0</v>
      </c>
      <c r="D2510" s="196">
        <v>0.05</v>
      </c>
      <c r="E2510" s="195" t="s">
        <v>589</v>
      </c>
      <c r="F2510" s="195" t="s">
        <v>430</v>
      </c>
    </row>
    <row r="2511" spans="1:6" x14ac:dyDescent="0.25">
      <c r="A2511" s="189" t="str">
        <f t="shared" si="39"/>
        <v>BC-IS 83 RP4-1000.24N</v>
      </c>
      <c r="B2511" s="195" t="s">
        <v>1763</v>
      </c>
      <c r="C2511" s="196">
        <v>0</v>
      </c>
      <c r="D2511" s="196">
        <v>0.24</v>
      </c>
      <c r="E2511" s="195" t="s">
        <v>589</v>
      </c>
      <c r="F2511" s="195" t="s">
        <v>430</v>
      </c>
    </row>
    <row r="2512" spans="1:6" x14ac:dyDescent="0.25">
      <c r="A2512" s="189" t="str">
        <f t="shared" si="39"/>
        <v>BC-IS 83 RP4-300.22N</v>
      </c>
      <c r="B2512" s="195" t="s">
        <v>1764</v>
      </c>
      <c r="C2512" s="196">
        <v>0</v>
      </c>
      <c r="D2512" s="196">
        <v>0.22</v>
      </c>
      <c r="E2512" s="195" t="s">
        <v>589</v>
      </c>
      <c r="F2512" s="195" t="s">
        <v>430</v>
      </c>
    </row>
    <row r="2513" spans="1:6" x14ac:dyDescent="0.25">
      <c r="A2513" s="189" t="str">
        <f t="shared" si="39"/>
        <v>BC-IS 83 RP4-600.24N</v>
      </c>
      <c r="B2513" s="195" t="s">
        <v>1765</v>
      </c>
      <c r="C2513" s="196">
        <v>0</v>
      </c>
      <c r="D2513" s="196">
        <v>0.24</v>
      </c>
      <c r="E2513" s="195" t="s">
        <v>589</v>
      </c>
      <c r="F2513" s="195" t="s">
        <v>430</v>
      </c>
    </row>
    <row r="2514" spans="1:6" x14ac:dyDescent="0.25">
      <c r="A2514" s="189" t="str">
        <f t="shared" si="39"/>
        <v>BC-IS 83 RP4-700.41N</v>
      </c>
      <c r="B2514" s="195" t="s">
        <v>1766</v>
      </c>
      <c r="C2514" s="196">
        <v>0</v>
      </c>
      <c r="D2514" s="196">
        <v>0.41</v>
      </c>
      <c r="E2514" s="195" t="s">
        <v>589</v>
      </c>
      <c r="F2514" s="195" t="s">
        <v>430</v>
      </c>
    </row>
    <row r="2515" spans="1:6" x14ac:dyDescent="0.25">
      <c r="A2515" s="189" t="str">
        <f t="shared" si="39"/>
        <v>BC-IS 83 RP4-800.45N</v>
      </c>
      <c r="B2515" s="195" t="s">
        <v>1767</v>
      </c>
      <c r="C2515" s="196">
        <v>0</v>
      </c>
      <c r="D2515" s="196">
        <v>0.45</v>
      </c>
      <c r="E2515" s="195" t="s">
        <v>589</v>
      </c>
      <c r="F2515" s="195" t="s">
        <v>430</v>
      </c>
    </row>
    <row r="2516" spans="1:6" x14ac:dyDescent="0.25">
      <c r="A2516" s="189" t="str">
        <f t="shared" si="39"/>
        <v>BC-IS 83 RP4-900.32N</v>
      </c>
      <c r="B2516" s="195" t="s">
        <v>1768</v>
      </c>
      <c r="C2516" s="196">
        <v>0</v>
      </c>
      <c r="D2516" s="196">
        <v>0.32</v>
      </c>
      <c r="E2516" s="195" t="s">
        <v>589</v>
      </c>
      <c r="F2516" s="195" t="s">
        <v>430</v>
      </c>
    </row>
    <row r="2517" spans="1:6" x14ac:dyDescent="0.25">
      <c r="A2517" s="189" t="str">
        <f t="shared" si="39"/>
        <v>BC-IS 83 RP5-1000.05S</v>
      </c>
      <c r="B2517" s="195" t="s">
        <v>1769</v>
      </c>
      <c r="C2517" s="196">
        <v>0</v>
      </c>
      <c r="D2517" s="196">
        <v>0.05</v>
      </c>
      <c r="E2517" s="195" t="s">
        <v>595</v>
      </c>
      <c r="F2517" s="195" t="s">
        <v>438</v>
      </c>
    </row>
    <row r="2518" spans="1:6" x14ac:dyDescent="0.25">
      <c r="A2518" s="189" t="str">
        <f t="shared" si="39"/>
        <v>BC-IS 83 RP5-500.08N</v>
      </c>
      <c r="B2518" s="195" t="s">
        <v>1770</v>
      </c>
      <c r="C2518" s="196">
        <v>0</v>
      </c>
      <c r="D2518" s="196">
        <v>0.08</v>
      </c>
      <c r="E2518" s="195" t="s">
        <v>589</v>
      </c>
      <c r="F2518" s="195" t="s">
        <v>430</v>
      </c>
    </row>
    <row r="2519" spans="1:6" x14ac:dyDescent="0.25">
      <c r="A2519" s="189" t="str">
        <f t="shared" si="39"/>
        <v>BC-IS 83 RP5-700.2S</v>
      </c>
      <c r="B2519" s="195" t="s">
        <v>1771</v>
      </c>
      <c r="C2519" s="196">
        <v>0</v>
      </c>
      <c r="D2519" s="196">
        <v>0.2</v>
      </c>
      <c r="E2519" s="195" t="s">
        <v>595</v>
      </c>
      <c r="F2519" s="195" t="s">
        <v>438</v>
      </c>
    </row>
    <row r="2520" spans="1:6" x14ac:dyDescent="0.25">
      <c r="A2520" s="189" t="str">
        <f t="shared" si="39"/>
        <v>BC-IS 83 RP5-900.18S</v>
      </c>
      <c r="B2520" s="195" t="s">
        <v>1772</v>
      </c>
      <c r="C2520" s="196">
        <v>0</v>
      </c>
      <c r="D2520" s="196">
        <v>0.18</v>
      </c>
      <c r="E2520" s="195" t="s">
        <v>595</v>
      </c>
      <c r="F2520" s="195" t="s">
        <v>438</v>
      </c>
    </row>
    <row r="2521" spans="1:6" x14ac:dyDescent="0.25">
      <c r="A2521" s="189" t="str">
        <f t="shared" si="39"/>
        <v>BC-IS 83 RP6-1000.34S</v>
      </c>
      <c r="B2521" s="195" t="s">
        <v>1773</v>
      </c>
      <c r="C2521" s="196">
        <v>0</v>
      </c>
      <c r="D2521" s="196">
        <v>0.34</v>
      </c>
      <c r="E2521" s="195" t="s">
        <v>595</v>
      </c>
      <c r="F2521" s="195" t="s">
        <v>438</v>
      </c>
    </row>
    <row r="2522" spans="1:6" x14ac:dyDescent="0.25">
      <c r="A2522" s="189" t="str">
        <f t="shared" si="39"/>
        <v>BC-IS 83 RP6-200.24S</v>
      </c>
      <c r="B2522" s="195" t="s">
        <v>1774</v>
      </c>
      <c r="C2522" s="196">
        <v>0</v>
      </c>
      <c r="D2522" s="196">
        <v>0.24</v>
      </c>
      <c r="E2522" s="195" t="s">
        <v>595</v>
      </c>
      <c r="F2522" s="195" t="s">
        <v>438</v>
      </c>
    </row>
    <row r="2523" spans="1:6" x14ac:dyDescent="0.25">
      <c r="A2523" s="189" t="str">
        <f t="shared" si="39"/>
        <v>BC-IS 83 RP6-800.42W</v>
      </c>
      <c r="B2523" s="195" t="s">
        <v>1775</v>
      </c>
      <c r="C2523" s="196">
        <v>0</v>
      </c>
      <c r="D2523" s="196">
        <v>0.42</v>
      </c>
      <c r="E2523" s="195" t="s">
        <v>593</v>
      </c>
      <c r="F2523" s="195" t="s">
        <v>432</v>
      </c>
    </row>
    <row r="2524" spans="1:6" x14ac:dyDescent="0.25">
      <c r="A2524" s="189" t="str">
        <f t="shared" si="39"/>
        <v>BC-IS 83 RP6-900.23S</v>
      </c>
      <c r="B2524" s="195" t="s">
        <v>1776</v>
      </c>
      <c r="C2524" s="196">
        <v>0</v>
      </c>
      <c r="D2524" s="196">
        <v>0.23</v>
      </c>
      <c r="E2524" s="195" t="s">
        <v>595</v>
      </c>
      <c r="F2524" s="195" t="s">
        <v>438</v>
      </c>
    </row>
    <row r="2525" spans="1:6" x14ac:dyDescent="0.25">
      <c r="A2525" s="189" t="str">
        <f t="shared" si="39"/>
        <v>BC-IS 83 RP7-1000.21N</v>
      </c>
      <c r="B2525" s="195" t="s">
        <v>1777</v>
      </c>
      <c r="C2525" s="196">
        <v>0</v>
      </c>
      <c r="D2525" s="196">
        <v>0.21</v>
      </c>
      <c r="E2525" s="195" t="s">
        <v>589</v>
      </c>
      <c r="F2525" s="195" t="s">
        <v>430</v>
      </c>
    </row>
    <row r="2526" spans="1:6" x14ac:dyDescent="0.25">
      <c r="A2526" s="189" t="str">
        <f t="shared" si="39"/>
        <v>BC-IS 83 RP7-300.2S</v>
      </c>
      <c r="B2526" s="195" t="s">
        <v>1778</v>
      </c>
      <c r="C2526" s="196">
        <v>0</v>
      </c>
      <c r="D2526" s="196">
        <v>0.2</v>
      </c>
      <c r="E2526" s="195" t="s">
        <v>595</v>
      </c>
      <c r="F2526" s="195" t="s">
        <v>438</v>
      </c>
    </row>
    <row r="2527" spans="1:6" x14ac:dyDescent="0.25">
      <c r="A2527" s="189" t="str">
        <f t="shared" si="39"/>
        <v>BC-IS 83 RP7-600.14S</v>
      </c>
      <c r="B2527" s="195" t="s">
        <v>1779</v>
      </c>
      <c r="C2527" s="196">
        <v>0</v>
      </c>
      <c r="D2527" s="196">
        <v>0.14000000000000001</v>
      </c>
      <c r="E2527" s="195" t="s">
        <v>595</v>
      </c>
      <c r="F2527" s="195" t="s">
        <v>438</v>
      </c>
    </row>
    <row r="2528" spans="1:6" x14ac:dyDescent="0.25">
      <c r="A2528" s="189" t="str">
        <f t="shared" si="39"/>
        <v>BC-IS 83 RP7-700.18W</v>
      </c>
      <c r="B2528" s="195" t="s">
        <v>1780</v>
      </c>
      <c r="C2528" s="196">
        <v>0</v>
      </c>
      <c r="D2528" s="196">
        <v>0.18</v>
      </c>
      <c r="E2528" s="195" t="s">
        <v>593</v>
      </c>
      <c r="F2528" s="195" t="s">
        <v>432</v>
      </c>
    </row>
    <row r="2529" spans="1:6" x14ac:dyDescent="0.25">
      <c r="A2529" s="189" t="str">
        <f t="shared" si="39"/>
        <v>BC-IS 83 RP7-900.15N</v>
      </c>
      <c r="B2529" s="195" t="s">
        <v>1781</v>
      </c>
      <c r="C2529" s="196">
        <v>0</v>
      </c>
      <c r="D2529" s="196">
        <v>0.15</v>
      </c>
      <c r="E2529" s="195" t="s">
        <v>589</v>
      </c>
      <c r="F2529" s="195" t="s">
        <v>430</v>
      </c>
    </row>
    <row r="2530" spans="1:6" x14ac:dyDescent="0.25">
      <c r="A2530" s="189" t="str">
        <f t="shared" si="39"/>
        <v>BC-IS 83 RP8-1000.19S</v>
      </c>
      <c r="B2530" s="195" t="s">
        <v>1782</v>
      </c>
      <c r="C2530" s="196">
        <v>0</v>
      </c>
      <c r="D2530" s="196">
        <v>0.19</v>
      </c>
      <c r="E2530" s="195" t="s">
        <v>595</v>
      </c>
      <c r="F2530" s="195" t="s">
        <v>438</v>
      </c>
    </row>
    <row r="2531" spans="1:6" x14ac:dyDescent="0.25">
      <c r="A2531" s="189" t="str">
        <f t="shared" si="39"/>
        <v>BC-IS 83 RP8-300.14S</v>
      </c>
      <c r="B2531" s="195" t="s">
        <v>1783</v>
      </c>
      <c r="C2531" s="196">
        <v>0</v>
      </c>
      <c r="D2531" s="196">
        <v>0.14000000000000001</v>
      </c>
      <c r="E2531" s="195" t="s">
        <v>595</v>
      </c>
      <c r="F2531" s="195" t="s">
        <v>438</v>
      </c>
    </row>
    <row r="2532" spans="1:6" x14ac:dyDescent="0.25">
      <c r="A2532" s="189" t="str">
        <f t="shared" si="39"/>
        <v>BC-IS 83 RP8-400.1S</v>
      </c>
      <c r="B2532" s="195" t="s">
        <v>1784</v>
      </c>
      <c r="C2532" s="196">
        <v>0</v>
      </c>
      <c r="D2532" s="196">
        <v>0.1</v>
      </c>
      <c r="E2532" s="195" t="s">
        <v>595</v>
      </c>
      <c r="F2532" s="195" t="s">
        <v>438</v>
      </c>
    </row>
    <row r="2533" spans="1:6" x14ac:dyDescent="0.25">
      <c r="A2533" s="189" t="str">
        <f t="shared" si="39"/>
        <v>BC-IS 83 RP8-600.06S</v>
      </c>
      <c r="B2533" s="195" t="s">
        <v>1785</v>
      </c>
      <c r="C2533" s="196">
        <v>0</v>
      </c>
      <c r="D2533" s="196">
        <v>0.06</v>
      </c>
      <c r="E2533" s="195" t="s">
        <v>595</v>
      </c>
      <c r="F2533" s="195" t="s">
        <v>438</v>
      </c>
    </row>
    <row r="2534" spans="1:6" x14ac:dyDescent="0.25">
      <c r="A2534" s="189" t="str">
        <f t="shared" si="39"/>
        <v>BC-IS 83 RP8-700.23S</v>
      </c>
      <c r="B2534" s="195" t="s">
        <v>1786</v>
      </c>
      <c r="C2534" s="196">
        <v>0</v>
      </c>
      <c r="D2534" s="196">
        <v>0.23</v>
      </c>
      <c r="E2534" s="195" t="s">
        <v>595</v>
      </c>
      <c r="F2534" s="195" t="s">
        <v>438</v>
      </c>
    </row>
    <row r="2535" spans="1:6" x14ac:dyDescent="0.25">
      <c r="A2535" s="189" t="str">
        <f t="shared" si="39"/>
        <v>BC-IS 83 RP8-900.07S</v>
      </c>
      <c r="B2535" s="195" t="s">
        <v>1787</v>
      </c>
      <c r="C2535" s="196">
        <v>0</v>
      </c>
      <c r="D2535" s="196">
        <v>7.0000000000000007E-2</v>
      </c>
      <c r="E2535" s="195" t="s">
        <v>595</v>
      </c>
      <c r="F2535" s="195" t="s">
        <v>438</v>
      </c>
    </row>
    <row r="2536" spans="1:6" x14ac:dyDescent="0.25">
      <c r="A2536" s="189" t="str">
        <f t="shared" si="39"/>
        <v>BC-IS 83 RP9-600.09N</v>
      </c>
      <c r="B2536" s="195" t="s">
        <v>1788</v>
      </c>
      <c r="C2536" s="196">
        <v>0</v>
      </c>
      <c r="D2536" s="196">
        <v>0.09</v>
      </c>
      <c r="E2536" s="195" t="s">
        <v>589</v>
      </c>
      <c r="F2536" s="195" t="s">
        <v>430</v>
      </c>
    </row>
    <row r="2537" spans="1:6" x14ac:dyDescent="0.25">
      <c r="A2537" s="189" t="str">
        <f t="shared" si="39"/>
        <v>BC-IS 895 RP1-11B00.16W</v>
      </c>
      <c r="B2537" s="195" t="s">
        <v>1789</v>
      </c>
      <c r="C2537" s="196">
        <v>0</v>
      </c>
      <c r="D2537" s="196">
        <v>0.16</v>
      </c>
      <c r="E2537" s="195" t="s">
        <v>593</v>
      </c>
      <c r="F2537" s="195" t="s">
        <v>432</v>
      </c>
    </row>
    <row r="2538" spans="1:6" x14ac:dyDescent="0.25">
      <c r="A2538" s="189" t="str">
        <f t="shared" si="39"/>
        <v>BC-IS 895 RP1-1200.21N</v>
      </c>
      <c r="B2538" s="195" t="s">
        <v>1790</v>
      </c>
      <c r="C2538" s="196">
        <v>0</v>
      </c>
      <c r="D2538" s="196">
        <v>0.21</v>
      </c>
      <c r="E2538" s="195" t="s">
        <v>589</v>
      </c>
      <c r="F2538" s="195" t="s">
        <v>430</v>
      </c>
    </row>
    <row r="2539" spans="1:6" x14ac:dyDescent="0.25">
      <c r="A2539" s="189" t="str">
        <f t="shared" si="39"/>
        <v>BC-IS 895 RP2-1200.18N</v>
      </c>
      <c r="B2539" s="195" t="s">
        <v>1791</v>
      </c>
      <c r="C2539" s="196">
        <v>0</v>
      </c>
      <c r="D2539" s="196">
        <v>0.18</v>
      </c>
      <c r="E2539" s="195" t="s">
        <v>589</v>
      </c>
      <c r="F2539" s="195" t="s">
        <v>430</v>
      </c>
    </row>
    <row r="2540" spans="1:6" x14ac:dyDescent="0.25">
      <c r="A2540" s="189" t="str">
        <f t="shared" si="39"/>
        <v>BC-IS 895 RP2-1400.18N</v>
      </c>
      <c r="B2540" s="195" t="s">
        <v>1792</v>
      </c>
      <c r="C2540" s="196">
        <v>0</v>
      </c>
      <c r="D2540" s="196">
        <v>0.18</v>
      </c>
      <c r="E2540" s="195" t="s">
        <v>589</v>
      </c>
      <c r="F2540" s="195" t="s">
        <v>430</v>
      </c>
    </row>
    <row r="2541" spans="1:6" x14ac:dyDescent="0.25">
      <c r="A2541" s="189" t="str">
        <f t="shared" si="39"/>
        <v>BC-IS 895 RP2-700.05N</v>
      </c>
      <c r="B2541" s="195" t="s">
        <v>1793</v>
      </c>
      <c r="C2541" s="196">
        <v>0</v>
      </c>
      <c r="D2541" s="196">
        <v>0.05</v>
      </c>
      <c r="E2541" s="195" t="s">
        <v>589</v>
      </c>
      <c r="F2541" s="195" t="s">
        <v>430</v>
      </c>
    </row>
    <row r="2542" spans="1:6" x14ac:dyDescent="0.25">
      <c r="A2542" s="189" t="str">
        <f t="shared" si="39"/>
        <v>BC-IS 895 RP2-800.34N</v>
      </c>
      <c r="B2542" s="195" t="s">
        <v>1794</v>
      </c>
      <c r="C2542" s="196">
        <v>0</v>
      </c>
      <c r="D2542" s="196">
        <v>0.34</v>
      </c>
      <c r="E2542" s="195" t="s">
        <v>589</v>
      </c>
      <c r="F2542" s="195" t="s">
        <v>430</v>
      </c>
    </row>
    <row r="2543" spans="1:6" x14ac:dyDescent="0.25">
      <c r="A2543" s="189" t="str">
        <f t="shared" si="39"/>
        <v>BC-IS 895 RP3-1400.59E</v>
      </c>
      <c r="B2543" s="195" t="s">
        <v>1795</v>
      </c>
      <c r="C2543" s="196">
        <v>0</v>
      </c>
      <c r="D2543" s="196">
        <v>0.59</v>
      </c>
      <c r="E2543" s="195" t="s">
        <v>598</v>
      </c>
      <c r="F2543" s="195" t="s">
        <v>19</v>
      </c>
    </row>
    <row r="2544" spans="1:6" x14ac:dyDescent="0.25">
      <c r="A2544" s="189" t="str">
        <f t="shared" si="39"/>
        <v>BC-IS 895 RP3-700.2N</v>
      </c>
      <c r="B2544" s="195" t="s">
        <v>1796</v>
      </c>
      <c r="C2544" s="196">
        <v>0</v>
      </c>
      <c r="D2544" s="196">
        <v>0.2</v>
      </c>
      <c r="E2544" s="195" t="s">
        <v>589</v>
      </c>
      <c r="F2544" s="195" t="s">
        <v>430</v>
      </c>
    </row>
    <row r="2545" spans="1:6" x14ac:dyDescent="0.25">
      <c r="A2545" s="189" t="str">
        <f t="shared" si="39"/>
        <v>BC-IS 895 RP3-800.07N</v>
      </c>
      <c r="B2545" s="195" t="s">
        <v>1797</v>
      </c>
      <c r="C2545" s="196">
        <v>0</v>
      </c>
      <c r="D2545" s="196">
        <v>7.0000000000000007E-2</v>
      </c>
      <c r="E2545" s="195" t="s">
        <v>589</v>
      </c>
      <c r="F2545" s="195" t="s">
        <v>430</v>
      </c>
    </row>
    <row r="2546" spans="1:6" x14ac:dyDescent="0.25">
      <c r="A2546" s="189" t="str">
        <f t="shared" si="39"/>
        <v>BC-IS 895 RP4-1000.18E</v>
      </c>
      <c r="B2546" s="195" t="s">
        <v>1798</v>
      </c>
      <c r="C2546" s="196">
        <v>0</v>
      </c>
      <c r="D2546" s="196">
        <v>0.18</v>
      </c>
      <c r="E2546" s="195" t="s">
        <v>598</v>
      </c>
      <c r="F2546" s="195" t="s">
        <v>19</v>
      </c>
    </row>
    <row r="2547" spans="1:6" x14ac:dyDescent="0.25">
      <c r="A2547" s="189" t="str">
        <f t="shared" si="39"/>
        <v>BC-IS 895 RP4-11A00.15W</v>
      </c>
      <c r="B2547" s="195" t="s">
        <v>1799</v>
      </c>
      <c r="C2547" s="196">
        <v>0</v>
      </c>
      <c r="D2547" s="196">
        <v>0.15</v>
      </c>
      <c r="E2547" s="195" t="s">
        <v>593</v>
      </c>
      <c r="F2547" s="195" t="s">
        <v>432</v>
      </c>
    </row>
    <row r="2548" spans="1:6" x14ac:dyDescent="0.25">
      <c r="A2548" s="189" t="str">
        <f t="shared" si="39"/>
        <v>BC-IS 895 RP4-1200.02E</v>
      </c>
      <c r="B2548" s="195" t="s">
        <v>1800</v>
      </c>
      <c r="C2548" s="196">
        <v>0</v>
      </c>
      <c r="D2548" s="196">
        <v>0.02</v>
      </c>
      <c r="E2548" s="195" t="s">
        <v>598</v>
      </c>
      <c r="F2548" s="195" t="s">
        <v>19</v>
      </c>
    </row>
    <row r="2549" spans="1:6" x14ac:dyDescent="0.25">
      <c r="A2549" s="189" t="str">
        <f t="shared" si="39"/>
        <v>BC-IS 895 RP4-1300.22N</v>
      </c>
      <c r="B2549" s="195" t="s">
        <v>1801</v>
      </c>
      <c r="C2549" s="196">
        <v>0</v>
      </c>
      <c r="D2549" s="196">
        <v>0.22</v>
      </c>
      <c r="E2549" s="195" t="s">
        <v>589</v>
      </c>
      <c r="F2549" s="195" t="s">
        <v>430</v>
      </c>
    </row>
    <row r="2550" spans="1:6" x14ac:dyDescent="0.25">
      <c r="A2550" s="189" t="str">
        <f t="shared" si="39"/>
        <v>BC-IS 895 RP4-900.09N</v>
      </c>
      <c r="B2550" s="195" t="s">
        <v>1802</v>
      </c>
      <c r="C2550" s="196">
        <v>0</v>
      </c>
      <c r="D2550" s="196">
        <v>0.09</v>
      </c>
      <c r="E2550" s="195" t="s">
        <v>589</v>
      </c>
      <c r="F2550" s="195" t="s">
        <v>430</v>
      </c>
    </row>
    <row r="2551" spans="1:6" x14ac:dyDescent="0.25">
      <c r="A2551" s="189" t="str">
        <f t="shared" si="39"/>
        <v>BC-IS 895 RP5-1200.45N</v>
      </c>
      <c r="B2551" s="195" t="s">
        <v>1803</v>
      </c>
      <c r="C2551" s="196">
        <v>0</v>
      </c>
      <c r="D2551" s="196">
        <v>0.45</v>
      </c>
      <c r="E2551" s="195" t="s">
        <v>589</v>
      </c>
      <c r="F2551" s="195" t="s">
        <v>430</v>
      </c>
    </row>
    <row r="2552" spans="1:6" x14ac:dyDescent="0.25">
      <c r="A2552" s="189" t="str">
        <f t="shared" si="39"/>
        <v>BC-IS 895 RP5-1400.04S</v>
      </c>
      <c r="B2552" s="195" t="s">
        <v>1804</v>
      </c>
      <c r="C2552" s="196">
        <v>0</v>
      </c>
      <c r="D2552" s="196">
        <v>0.04</v>
      </c>
      <c r="E2552" s="195" t="s">
        <v>595</v>
      </c>
      <c r="F2552" s="195" t="s">
        <v>438</v>
      </c>
    </row>
    <row r="2553" spans="1:6" x14ac:dyDescent="0.25">
      <c r="A2553" s="189" t="str">
        <f t="shared" si="39"/>
        <v>BC-IS 895 RP5-700.36N</v>
      </c>
      <c r="B2553" s="195" t="s">
        <v>1805</v>
      </c>
      <c r="C2553" s="196">
        <v>0</v>
      </c>
      <c r="D2553" s="196">
        <v>0.36</v>
      </c>
      <c r="E2553" s="195" t="s">
        <v>589</v>
      </c>
      <c r="F2553" s="195" t="s">
        <v>430</v>
      </c>
    </row>
    <row r="2554" spans="1:6" x14ac:dyDescent="0.25">
      <c r="A2554" s="189" t="str">
        <f t="shared" si="39"/>
        <v>BC-IS 895 RP5-800.22N</v>
      </c>
      <c r="B2554" s="195" t="s">
        <v>1806</v>
      </c>
      <c r="C2554" s="196">
        <v>0</v>
      </c>
      <c r="D2554" s="196">
        <v>0.22</v>
      </c>
      <c r="E2554" s="195" t="s">
        <v>589</v>
      </c>
      <c r="F2554" s="195" t="s">
        <v>430</v>
      </c>
    </row>
    <row r="2555" spans="1:6" x14ac:dyDescent="0.25">
      <c r="A2555" s="189" t="str">
        <f t="shared" si="39"/>
        <v>BC-IS 895 RP6-11A00.2S</v>
      </c>
      <c r="B2555" s="195" t="s">
        <v>1807</v>
      </c>
      <c r="C2555" s="196">
        <v>0</v>
      </c>
      <c r="D2555" s="196">
        <v>0.2</v>
      </c>
      <c r="E2555" s="195" t="s">
        <v>595</v>
      </c>
      <c r="F2555" s="195" t="s">
        <v>438</v>
      </c>
    </row>
    <row r="2556" spans="1:6" x14ac:dyDescent="0.25">
      <c r="A2556" s="189" t="str">
        <f t="shared" si="39"/>
        <v>BC-IS 895 RP6-1200.25E</v>
      </c>
      <c r="B2556" s="195" t="s">
        <v>1808</v>
      </c>
      <c r="C2556" s="196">
        <v>0</v>
      </c>
      <c r="D2556" s="196">
        <v>0.25</v>
      </c>
      <c r="E2556" s="195" t="s">
        <v>598</v>
      </c>
      <c r="F2556" s="195" t="s">
        <v>19</v>
      </c>
    </row>
    <row r="2557" spans="1:6" x14ac:dyDescent="0.25">
      <c r="A2557" s="189" t="str">
        <f t="shared" si="39"/>
        <v>BC-IS 895 RP6-1300.14E</v>
      </c>
      <c r="B2557" s="195" t="s">
        <v>1809</v>
      </c>
      <c r="C2557" s="196">
        <v>0</v>
      </c>
      <c r="D2557" s="196">
        <v>0.14000000000000001</v>
      </c>
      <c r="E2557" s="195" t="s">
        <v>598</v>
      </c>
      <c r="F2557" s="195" t="s">
        <v>19</v>
      </c>
    </row>
    <row r="2558" spans="1:6" x14ac:dyDescent="0.25">
      <c r="A2558" s="189" t="str">
        <f t="shared" si="39"/>
        <v>BC-IS 895 RP6-1400.29N</v>
      </c>
      <c r="B2558" s="195" t="s">
        <v>1810</v>
      </c>
      <c r="C2558" s="196">
        <v>0</v>
      </c>
      <c r="D2558" s="196">
        <v>0.28999999999999998</v>
      </c>
      <c r="E2558" s="195" t="s">
        <v>589</v>
      </c>
      <c r="F2558" s="195" t="s">
        <v>430</v>
      </c>
    </row>
    <row r="2559" spans="1:6" x14ac:dyDescent="0.25">
      <c r="A2559" s="189" t="str">
        <f t="shared" si="39"/>
        <v>BC-IS 895 RP6-900.11W</v>
      </c>
      <c r="B2559" s="195" t="s">
        <v>1811</v>
      </c>
      <c r="C2559" s="196">
        <v>0</v>
      </c>
      <c r="D2559" s="196">
        <v>0.11</v>
      </c>
      <c r="E2559" s="195" t="s">
        <v>593</v>
      </c>
      <c r="F2559" s="195" t="s">
        <v>432</v>
      </c>
    </row>
    <row r="2560" spans="1:6" x14ac:dyDescent="0.25">
      <c r="A2560" s="189" t="str">
        <f t="shared" si="39"/>
        <v>BC-IS 895 RP7-11B00.25E</v>
      </c>
      <c r="B2560" s="195" t="s">
        <v>1812</v>
      </c>
      <c r="C2560" s="196">
        <v>0</v>
      </c>
      <c r="D2560" s="196">
        <v>0.25</v>
      </c>
      <c r="E2560" s="195" t="s">
        <v>598</v>
      </c>
      <c r="F2560" s="195" t="s">
        <v>19</v>
      </c>
    </row>
    <row r="2561" spans="1:6" x14ac:dyDescent="0.25">
      <c r="A2561" s="189" t="str">
        <f t="shared" si="39"/>
        <v>BC-IS 895 RP7-1400.2W</v>
      </c>
      <c r="B2561" s="195" t="s">
        <v>1813</v>
      </c>
      <c r="C2561" s="196">
        <v>0</v>
      </c>
      <c r="D2561" s="196">
        <v>0.2</v>
      </c>
      <c r="E2561" s="195" t="s">
        <v>593</v>
      </c>
      <c r="F2561" s="195" t="s">
        <v>432</v>
      </c>
    </row>
    <row r="2562" spans="1:6" x14ac:dyDescent="0.25">
      <c r="A2562" s="189" t="str">
        <f t="shared" si="39"/>
        <v>BC-IS 895 RP8-1400.3S</v>
      </c>
      <c r="B2562" s="195" t="s">
        <v>1814</v>
      </c>
      <c r="C2562" s="196">
        <v>0</v>
      </c>
      <c r="D2562" s="196">
        <v>0.3</v>
      </c>
      <c r="E2562" s="195" t="s">
        <v>595</v>
      </c>
      <c r="F2562" s="195" t="s">
        <v>438</v>
      </c>
    </row>
    <row r="2563" spans="1:6" x14ac:dyDescent="0.25">
      <c r="A2563" s="189" t="str">
        <f t="shared" ref="A2563:A2626" si="40">B2563&amp;C2563&amp;D2563&amp;F2563</f>
        <v>BC-IS 895 RP8-800.17W</v>
      </c>
      <c r="B2563" s="195" t="s">
        <v>1815</v>
      </c>
      <c r="C2563" s="196">
        <v>0</v>
      </c>
      <c r="D2563" s="196">
        <v>0.17</v>
      </c>
      <c r="E2563" s="195" t="s">
        <v>593</v>
      </c>
      <c r="F2563" s="195" t="s">
        <v>432</v>
      </c>
    </row>
    <row r="2564" spans="1:6" x14ac:dyDescent="0.25">
      <c r="A2564" s="189" t="str">
        <f t="shared" si="40"/>
        <v>BC-IS 895 RP9-1300.1E</v>
      </c>
      <c r="B2564" s="195" t="s">
        <v>1816</v>
      </c>
      <c r="C2564" s="196">
        <v>0</v>
      </c>
      <c r="D2564" s="196">
        <v>0.1</v>
      </c>
      <c r="E2564" s="195" t="s">
        <v>598</v>
      </c>
      <c r="F2564" s="195" t="s">
        <v>19</v>
      </c>
    </row>
    <row r="2565" spans="1:6" x14ac:dyDescent="0.25">
      <c r="A2565" s="189" t="str">
        <f t="shared" si="40"/>
        <v>BC-IS 895 RP9-800.02N</v>
      </c>
      <c r="B2565" s="195" t="s">
        <v>1817</v>
      </c>
      <c r="C2565" s="196">
        <v>0</v>
      </c>
      <c r="D2565" s="196">
        <v>0.02</v>
      </c>
      <c r="E2565" s="195" t="s">
        <v>589</v>
      </c>
      <c r="F2565" s="195" t="s">
        <v>430</v>
      </c>
    </row>
    <row r="2566" spans="1:6" x14ac:dyDescent="0.25">
      <c r="A2566" s="189" t="str">
        <f t="shared" si="40"/>
        <v>BC-IS 95 RP10-5001.66E</v>
      </c>
      <c r="B2566" s="195" t="s">
        <v>1818</v>
      </c>
      <c r="C2566" s="196">
        <v>0</v>
      </c>
      <c r="D2566" s="196">
        <v>1.66</v>
      </c>
      <c r="E2566" s="195" t="s">
        <v>598</v>
      </c>
      <c r="F2566" s="195" t="s">
        <v>19</v>
      </c>
    </row>
    <row r="2567" spans="1:6" x14ac:dyDescent="0.25">
      <c r="A2567" s="189" t="str">
        <f t="shared" si="40"/>
        <v>BC-IS 95 RP1-5400.25N</v>
      </c>
      <c r="B2567" s="195" t="s">
        <v>1819</v>
      </c>
      <c r="C2567" s="196">
        <v>0</v>
      </c>
      <c r="D2567" s="196">
        <v>0.25</v>
      </c>
      <c r="E2567" s="195" t="s">
        <v>589</v>
      </c>
      <c r="F2567" s="195" t="s">
        <v>430</v>
      </c>
    </row>
    <row r="2568" spans="1:6" x14ac:dyDescent="0.25">
      <c r="A2568" s="189" t="str">
        <f t="shared" si="40"/>
        <v>BC-IS 95 RP1-5500.48S</v>
      </c>
      <c r="B2568" s="195" t="s">
        <v>1820</v>
      </c>
      <c r="C2568" s="196">
        <v>0</v>
      </c>
      <c r="D2568" s="196">
        <v>0.48</v>
      </c>
      <c r="E2568" s="195" t="s">
        <v>595</v>
      </c>
      <c r="F2568" s="195" t="s">
        <v>438</v>
      </c>
    </row>
    <row r="2569" spans="1:6" x14ac:dyDescent="0.25">
      <c r="A2569" s="189" t="str">
        <f t="shared" si="40"/>
        <v>BC-IS 95 RP1-5600.28W</v>
      </c>
      <c r="B2569" s="195" t="s">
        <v>1821</v>
      </c>
      <c r="C2569" s="196">
        <v>0</v>
      </c>
      <c r="D2569" s="196">
        <v>0.28000000000000003</v>
      </c>
      <c r="E2569" s="195" t="s">
        <v>593</v>
      </c>
      <c r="F2569" s="195" t="s">
        <v>432</v>
      </c>
    </row>
    <row r="2570" spans="1:6" x14ac:dyDescent="0.25">
      <c r="A2570" s="189" t="str">
        <f t="shared" si="40"/>
        <v>BC-IS 95 RP1-5700.4N</v>
      </c>
      <c r="B2570" s="195" t="s">
        <v>1822</v>
      </c>
      <c r="C2570" s="196">
        <v>0</v>
      </c>
      <c r="D2570" s="196">
        <v>0.4</v>
      </c>
      <c r="E2570" s="195" t="s">
        <v>589</v>
      </c>
      <c r="F2570" s="195" t="s">
        <v>430</v>
      </c>
    </row>
    <row r="2571" spans="1:6" x14ac:dyDescent="0.25">
      <c r="A2571" s="189" t="str">
        <f t="shared" si="40"/>
        <v>BC-IS 95 RP1-570.040.17S</v>
      </c>
      <c r="B2571" s="195" t="s">
        <v>1822</v>
      </c>
      <c r="C2571" s="196">
        <v>0.04</v>
      </c>
      <c r="D2571" s="196">
        <v>0.17</v>
      </c>
      <c r="E2571" s="195" t="s">
        <v>595</v>
      </c>
      <c r="F2571" s="195" t="s">
        <v>438</v>
      </c>
    </row>
    <row r="2572" spans="1:6" x14ac:dyDescent="0.25">
      <c r="A2572" s="189" t="str">
        <f t="shared" si="40"/>
        <v>BC-IS 95 RP1-5900.03N</v>
      </c>
      <c r="B2572" s="195" t="s">
        <v>1823</v>
      </c>
      <c r="C2572" s="196">
        <v>0</v>
      </c>
      <c r="D2572" s="196">
        <v>0.03</v>
      </c>
      <c r="E2572" s="195" t="s">
        <v>589</v>
      </c>
      <c r="F2572" s="195" t="s">
        <v>430</v>
      </c>
    </row>
    <row r="2573" spans="1:6" x14ac:dyDescent="0.25">
      <c r="A2573" s="189" t="str">
        <f t="shared" si="40"/>
        <v>BC-IS 95 RP2-5000.16N</v>
      </c>
      <c r="B2573" s="195" t="s">
        <v>1824</v>
      </c>
      <c r="C2573" s="196">
        <v>0</v>
      </c>
      <c r="D2573" s="196">
        <v>0.16</v>
      </c>
      <c r="E2573" s="195" t="s">
        <v>589</v>
      </c>
      <c r="F2573" s="195" t="s">
        <v>430</v>
      </c>
    </row>
    <row r="2574" spans="1:6" x14ac:dyDescent="0.25">
      <c r="A2574" s="189" t="str">
        <f t="shared" si="40"/>
        <v>BC-IS 95 RP2-5300.4S</v>
      </c>
      <c r="B2574" s="195" t="s">
        <v>1825</v>
      </c>
      <c r="C2574" s="196">
        <v>0</v>
      </c>
      <c r="D2574" s="196">
        <v>0.4</v>
      </c>
      <c r="E2574" s="195" t="s">
        <v>595</v>
      </c>
      <c r="F2574" s="195" t="s">
        <v>438</v>
      </c>
    </row>
    <row r="2575" spans="1:6" x14ac:dyDescent="0.25">
      <c r="A2575" s="189" t="str">
        <f t="shared" si="40"/>
        <v>BC-IS 95 RP2-5600.76S</v>
      </c>
      <c r="B2575" s="195" t="s">
        <v>1826</v>
      </c>
      <c r="C2575" s="196">
        <v>0</v>
      </c>
      <c r="D2575" s="196">
        <v>0.76</v>
      </c>
      <c r="E2575" s="195" t="s">
        <v>595</v>
      </c>
      <c r="F2575" s="195" t="s">
        <v>438</v>
      </c>
    </row>
    <row r="2576" spans="1:6" x14ac:dyDescent="0.25">
      <c r="A2576" s="189" t="str">
        <f t="shared" si="40"/>
        <v>BC-IS 95 RP2-5700.23N</v>
      </c>
      <c r="B2576" s="195" t="s">
        <v>1827</v>
      </c>
      <c r="C2576" s="196">
        <v>0</v>
      </c>
      <c r="D2576" s="196">
        <v>0.23</v>
      </c>
      <c r="E2576" s="195" t="s">
        <v>589</v>
      </c>
      <c r="F2576" s="195" t="s">
        <v>430</v>
      </c>
    </row>
    <row r="2577" spans="1:6" x14ac:dyDescent="0.25">
      <c r="A2577" s="189" t="str">
        <f t="shared" si="40"/>
        <v>BC-IS 95 RP2-5900.21N</v>
      </c>
      <c r="B2577" s="195" t="s">
        <v>1828</v>
      </c>
      <c r="C2577" s="196">
        <v>0</v>
      </c>
      <c r="D2577" s="196">
        <v>0.21</v>
      </c>
      <c r="E2577" s="195" t="s">
        <v>589</v>
      </c>
      <c r="F2577" s="195" t="s">
        <v>430</v>
      </c>
    </row>
    <row r="2578" spans="1:6" x14ac:dyDescent="0.25">
      <c r="A2578" s="189" t="str">
        <f t="shared" si="40"/>
        <v>BC-IS 95 RP3-5000.28S</v>
      </c>
      <c r="B2578" s="195" t="s">
        <v>1829</v>
      </c>
      <c r="C2578" s="196">
        <v>0</v>
      </c>
      <c r="D2578" s="196">
        <v>0.28000000000000003</v>
      </c>
      <c r="E2578" s="195" t="s">
        <v>595</v>
      </c>
      <c r="F2578" s="195" t="s">
        <v>438</v>
      </c>
    </row>
    <row r="2579" spans="1:6" x14ac:dyDescent="0.25">
      <c r="A2579" s="189" t="str">
        <f t="shared" si="40"/>
        <v>BC-IS 95 RP3-5100.03S</v>
      </c>
      <c r="B2579" s="195" t="s">
        <v>1830</v>
      </c>
      <c r="C2579" s="196">
        <v>0</v>
      </c>
      <c r="D2579" s="196">
        <v>0.03</v>
      </c>
      <c r="E2579" s="195" t="s">
        <v>595</v>
      </c>
      <c r="F2579" s="195" t="s">
        <v>438</v>
      </c>
    </row>
    <row r="2580" spans="1:6" x14ac:dyDescent="0.25">
      <c r="A2580" s="189" t="str">
        <f t="shared" si="40"/>
        <v>BC-IS 95 RP3-5200.58E</v>
      </c>
      <c r="B2580" s="195" t="s">
        <v>1831</v>
      </c>
      <c r="C2580" s="196">
        <v>0</v>
      </c>
      <c r="D2580" s="196">
        <v>0.57999999999999996</v>
      </c>
      <c r="E2580" s="195" t="s">
        <v>598</v>
      </c>
      <c r="F2580" s="195" t="s">
        <v>19</v>
      </c>
    </row>
    <row r="2581" spans="1:6" x14ac:dyDescent="0.25">
      <c r="A2581" s="189" t="str">
        <f t="shared" si="40"/>
        <v>BC-IS 95 RP3-5300.33N</v>
      </c>
      <c r="B2581" s="195" t="s">
        <v>1832</v>
      </c>
      <c r="C2581" s="196">
        <v>0</v>
      </c>
      <c r="D2581" s="196">
        <v>0.33</v>
      </c>
      <c r="E2581" s="195" t="s">
        <v>589</v>
      </c>
      <c r="F2581" s="195" t="s">
        <v>430</v>
      </c>
    </row>
    <row r="2582" spans="1:6" x14ac:dyDescent="0.25">
      <c r="A2582" s="189" t="str">
        <f t="shared" si="40"/>
        <v>BC-IS 95 RP3-5600.28N</v>
      </c>
      <c r="B2582" s="195" t="s">
        <v>1833</v>
      </c>
      <c r="C2582" s="196">
        <v>0</v>
      </c>
      <c r="D2582" s="196">
        <v>0.28000000000000003</v>
      </c>
      <c r="E2582" s="195" t="s">
        <v>589</v>
      </c>
      <c r="F2582" s="195" t="s">
        <v>430</v>
      </c>
    </row>
    <row r="2583" spans="1:6" x14ac:dyDescent="0.25">
      <c r="A2583" s="189" t="str">
        <f t="shared" si="40"/>
        <v>BC-IS 95 RP3-5900.25S</v>
      </c>
      <c r="B2583" s="195" t="s">
        <v>1834</v>
      </c>
      <c r="C2583" s="196">
        <v>0</v>
      </c>
      <c r="D2583" s="196">
        <v>0.25</v>
      </c>
      <c r="E2583" s="195" t="s">
        <v>595</v>
      </c>
      <c r="F2583" s="195" t="s">
        <v>438</v>
      </c>
    </row>
    <row r="2584" spans="1:6" x14ac:dyDescent="0.25">
      <c r="A2584" s="189" t="str">
        <f t="shared" si="40"/>
        <v>BC-IS 95 RP4-5000.33E</v>
      </c>
      <c r="B2584" s="195" t="s">
        <v>1835</v>
      </c>
      <c r="C2584" s="196">
        <v>0</v>
      </c>
      <c r="D2584" s="196">
        <v>0.33</v>
      </c>
      <c r="E2584" s="195" t="s">
        <v>598</v>
      </c>
      <c r="F2584" s="195" t="s">
        <v>19</v>
      </c>
    </row>
    <row r="2585" spans="1:6" x14ac:dyDescent="0.25">
      <c r="A2585" s="189" t="str">
        <f t="shared" si="40"/>
        <v>BC-IS 95 RP4-5200.69E</v>
      </c>
      <c r="B2585" s="195" t="s">
        <v>1836</v>
      </c>
      <c r="C2585" s="196">
        <v>0</v>
      </c>
      <c r="D2585" s="196">
        <v>0.69</v>
      </c>
      <c r="E2585" s="195" t="s">
        <v>598</v>
      </c>
      <c r="F2585" s="195" t="s">
        <v>19</v>
      </c>
    </row>
    <row r="2586" spans="1:6" x14ac:dyDescent="0.25">
      <c r="A2586" s="189" t="str">
        <f t="shared" si="40"/>
        <v>BC-IS 95 RP4-5500.35E</v>
      </c>
      <c r="B2586" s="195" t="s">
        <v>1837</v>
      </c>
      <c r="C2586" s="196">
        <v>0</v>
      </c>
      <c r="D2586" s="196">
        <v>0.35</v>
      </c>
      <c r="E2586" s="195" t="s">
        <v>598</v>
      </c>
      <c r="F2586" s="195" t="s">
        <v>19</v>
      </c>
    </row>
    <row r="2587" spans="1:6" x14ac:dyDescent="0.25">
      <c r="A2587" s="189" t="str">
        <f t="shared" si="40"/>
        <v>BC-IS 95 RP4-5600.39N</v>
      </c>
      <c r="B2587" s="195" t="s">
        <v>1838</v>
      </c>
      <c r="C2587" s="196">
        <v>0</v>
      </c>
      <c r="D2587" s="196">
        <v>0.39</v>
      </c>
      <c r="E2587" s="195" t="s">
        <v>589</v>
      </c>
      <c r="F2587" s="195" t="s">
        <v>430</v>
      </c>
    </row>
    <row r="2588" spans="1:6" x14ac:dyDescent="0.25">
      <c r="A2588" s="189" t="str">
        <f t="shared" si="40"/>
        <v>BC-IS 95 RP4-560.050.13S</v>
      </c>
      <c r="B2588" s="195" t="s">
        <v>1838</v>
      </c>
      <c r="C2588" s="196">
        <v>0.05</v>
      </c>
      <c r="D2588" s="196">
        <v>0.13</v>
      </c>
      <c r="E2588" s="195" t="s">
        <v>595</v>
      </c>
      <c r="F2588" s="195" t="s">
        <v>438</v>
      </c>
    </row>
    <row r="2589" spans="1:6" x14ac:dyDescent="0.25">
      <c r="A2589" s="189" t="str">
        <f t="shared" si="40"/>
        <v>BC-IS 95 RP4-5700.04N</v>
      </c>
      <c r="B2589" s="195" t="s">
        <v>1839</v>
      </c>
      <c r="C2589" s="196">
        <v>0</v>
      </c>
      <c r="D2589" s="196">
        <v>0.04</v>
      </c>
      <c r="E2589" s="195" t="s">
        <v>589</v>
      </c>
      <c r="F2589" s="195" t="s">
        <v>430</v>
      </c>
    </row>
    <row r="2590" spans="1:6" x14ac:dyDescent="0.25">
      <c r="A2590" s="189" t="str">
        <f t="shared" si="40"/>
        <v>BC-IS 95 RP4-5800.3E</v>
      </c>
      <c r="B2590" s="195" t="s">
        <v>1840</v>
      </c>
      <c r="C2590" s="196">
        <v>0</v>
      </c>
      <c r="D2590" s="196">
        <v>0.3</v>
      </c>
      <c r="E2590" s="195" t="s">
        <v>598</v>
      </c>
      <c r="F2590" s="195" t="s">
        <v>19</v>
      </c>
    </row>
    <row r="2591" spans="1:6" x14ac:dyDescent="0.25">
      <c r="A2591" s="189" t="str">
        <f t="shared" si="40"/>
        <v>BC-IS 95 RP4-5900.29E</v>
      </c>
      <c r="B2591" s="195" t="s">
        <v>1841</v>
      </c>
      <c r="C2591" s="196">
        <v>0</v>
      </c>
      <c r="D2591" s="196">
        <v>0.28999999999999998</v>
      </c>
      <c r="E2591" s="195" t="s">
        <v>598</v>
      </c>
      <c r="F2591" s="195" t="s">
        <v>19</v>
      </c>
    </row>
    <row r="2592" spans="1:6" x14ac:dyDescent="0.25">
      <c r="A2592" s="189" t="str">
        <f t="shared" si="40"/>
        <v>BC-IS 95 RP4-6100.29N</v>
      </c>
      <c r="B2592" s="195" t="s">
        <v>1842</v>
      </c>
      <c r="C2592" s="196">
        <v>0</v>
      </c>
      <c r="D2592" s="196">
        <v>0.28999999999999998</v>
      </c>
      <c r="E2592" s="195" t="s">
        <v>589</v>
      </c>
      <c r="F2592" s="195" t="s">
        <v>430</v>
      </c>
    </row>
    <row r="2593" spans="1:6" x14ac:dyDescent="0.25">
      <c r="A2593" s="189" t="str">
        <f t="shared" si="40"/>
        <v>BC-IS 95 RP5-5000.25S</v>
      </c>
      <c r="B2593" s="195" t="s">
        <v>1843</v>
      </c>
      <c r="C2593" s="196">
        <v>0</v>
      </c>
      <c r="D2593" s="196">
        <v>0.25</v>
      </c>
      <c r="E2593" s="195" t="s">
        <v>595</v>
      </c>
      <c r="F2593" s="195" t="s">
        <v>438</v>
      </c>
    </row>
    <row r="2594" spans="1:6" x14ac:dyDescent="0.25">
      <c r="A2594" s="189" t="str">
        <f t="shared" si="40"/>
        <v>BC-IS 95 RP5-5100.06S</v>
      </c>
      <c r="B2594" s="195" t="s">
        <v>1844</v>
      </c>
      <c r="C2594" s="196">
        <v>0</v>
      </c>
      <c r="D2594" s="196">
        <v>0.06</v>
      </c>
      <c r="E2594" s="195" t="s">
        <v>595</v>
      </c>
      <c r="F2594" s="195" t="s">
        <v>438</v>
      </c>
    </row>
    <row r="2595" spans="1:6" x14ac:dyDescent="0.25">
      <c r="A2595" s="189" t="str">
        <f t="shared" si="40"/>
        <v>BC-IS 95 RP5-5300.69S</v>
      </c>
      <c r="B2595" s="195" t="s">
        <v>1845</v>
      </c>
      <c r="C2595" s="196">
        <v>0</v>
      </c>
      <c r="D2595" s="196">
        <v>0.69</v>
      </c>
      <c r="E2595" s="195" t="s">
        <v>595</v>
      </c>
      <c r="F2595" s="195" t="s">
        <v>438</v>
      </c>
    </row>
    <row r="2596" spans="1:6" x14ac:dyDescent="0.25">
      <c r="A2596" s="189" t="str">
        <f t="shared" si="40"/>
        <v>BC-IS 95 RP5-5700.76S</v>
      </c>
      <c r="B2596" s="195" t="s">
        <v>1846</v>
      </c>
      <c r="C2596" s="196">
        <v>0</v>
      </c>
      <c r="D2596" s="196">
        <v>0.76</v>
      </c>
      <c r="E2596" s="195" t="s">
        <v>595</v>
      </c>
      <c r="F2596" s="195" t="s">
        <v>438</v>
      </c>
    </row>
    <row r="2597" spans="1:6" x14ac:dyDescent="0.25">
      <c r="A2597" s="189" t="str">
        <f t="shared" si="40"/>
        <v>BC-IS 95 RP5-5900.03S</v>
      </c>
      <c r="B2597" s="195" t="s">
        <v>1847</v>
      </c>
      <c r="C2597" s="196">
        <v>0</v>
      </c>
      <c r="D2597" s="196">
        <v>0.03</v>
      </c>
      <c r="E2597" s="195" t="s">
        <v>595</v>
      </c>
      <c r="F2597" s="195" t="s">
        <v>438</v>
      </c>
    </row>
    <row r="2598" spans="1:6" x14ac:dyDescent="0.25">
      <c r="A2598" s="189" t="str">
        <f t="shared" si="40"/>
        <v>BC-IS 95 RP6-5000.29W</v>
      </c>
      <c r="B2598" s="195" t="s">
        <v>1848</v>
      </c>
      <c r="C2598" s="196">
        <v>0</v>
      </c>
      <c r="D2598" s="196">
        <v>0.28999999999999998</v>
      </c>
      <c r="E2598" s="195" t="s">
        <v>593</v>
      </c>
      <c r="F2598" s="195" t="s">
        <v>432</v>
      </c>
    </row>
    <row r="2599" spans="1:6" x14ac:dyDescent="0.25">
      <c r="A2599" s="189" t="str">
        <f t="shared" si="40"/>
        <v>BC-IS 95 RP6-5100.22E</v>
      </c>
      <c r="B2599" s="195" t="s">
        <v>1849</v>
      </c>
      <c r="C2599" s="196">
        <v>0</v>
      </c>
      <c r="D2599" s="196">
        <v>0.22</v>
      </c>
      <c r="E2599" s="195" t="s">
        <v>598</v>
      </c>
      <c r="F2599" s="195" t="s">
        <v>19</v>
      </c>
    </row>
    <row r="2600" spans="1:6" x14ac:dyDescent="0.25">
      <c r="A2600" s="189" t="str">
        <f t="shared" si="40"/>
        <v>BC-IS 95 RP6-5400.24N</v>
      </c>
      <c r="B2600" s="195" t="s">
        <v>1850</v>
      </c>
      <c r="C2600" s="196">
        <v>0</v>
      </c>
      <c r="D2600" s="196">
        <v>0.24</v>
      </c>
      <c r="E2600" s="195" t="s">
        <v>589</v>
      </c>
      <c r="F2600" s="195" t="s">
        <v>430</v>
      </c>
    </row>
    <row r="2601" spans="1:6" x14ac:dyDescent="0.25">
      <c r="A2601" s="189" t="str">
        <f t="shared" si="40"/>
        <v>BC-IS 95 RP6-5500.38E</v>
      </c>
      <c r="B2601" s="195" t="s">
        <v>1851</v>
      </c>
      <c r="C2601" s="196">
        <v>0</v>
      </c>
      <c r="D2601" s="196">
        <v>0.38</v>
      </c>
      <c r="E2601" s="195" t="s">
        <v>598</v>
      </c>
      <c r="F2601" s="195" t="s">
        <v>19</v>
      </c>
    </row>
    <row r="2602" spans="1:6" x14ac:dyDescent="0.25">
      <c r="A2602" s="189" t="str">
        <f t="shared" si="40"/>
        <v>BC-IS 95 RP6-5700.02S</v>
      </c>
      <c r="B2602" s="195" t="s">
        <v>1852</v>
      </c>
      <c r="C2602" s="196">
        <v>0</v>
      </c>
      <c r="D2602" s="196">
        <v>0.02</v>
      </c>
      <c r="E2602" s="195" t="s">
        <v>595</v>
      </c>
      <c r="F2602" s="195" t="s">
        <v>438</v>
      </c>
    </row>
    <row r="2603" spans="1:6" x14ac:dyDescent="0.25">
      <c r="A2603" s="189" t="str">
        <f t="shared" si="40"/>
        <v>BC-IS 95 RP7-5000.9W</v>
      </c>
      <c r="B2603" s="195" t="s">
        <v>1853</v>
      </c>
      <c r="C2603" s="196">
        <v>0</v>
      </c>
      <c r="D2603" s="196">
        <v>0.9</v>
      </c>
      <c r="E2603" s="195" t="s">
        <v>593</v>
      </c>
      <c r="F2603" s="195" t="s">
        <v>432</v>
      </c>
    </row>
    <row r="2604" spans="1:6" x14ac:dyDescent="0.25">
      <c r="A2604" s="189" t="str">
        <f t="shared" si="40"/>
        <v>BC-IS 95 RP7-5200.76W</v>
      </c>
      <c r="B2604" s="195" t="s">
        <v>1854</v>
      </c>
      <c r="C2604" s="196">
        <v>0</v>
      </c>
      <c r="D2604" s="196">
        <v>0.76</v>
      </c>
      <c r="E2604" s="195" t="s">
        <v>593</v>
      </c>
      <c r="F2604" s="195" t="s">
        <v>432</v>
      </c>
    </row>
    <row r="2605" spans="1:6" x14ac:dyDescent="0.25">
      <c r="A2605" s="189" t="str">
        <f t="shared" si="40"/>
        <v>BC-IS 95 RP7-5500.25W</v>
      </c>
      <c r="B2605" s="195" t="s">
        <v>1855</v>
      </c>
      <c r="C2605" s="196">
        <v>0</v>
      </c>
      <c r="D2605" s="196">
        <v>0.25</v>
      </c>
      <c r="E2605" s="195" t="s">
        <v>593</v>
      </c>
      <c r="F2605" s="195" t="s">
        <v>432</v>
      </c>
    </row>
    <row r="2606" spans="1:6" x14ac:dyDescent="0.25">
      <c r="A2606" s="189" t="str">
        <f t="shared" si="40"/>
        <v>BC-IS 95 RP7-5700.29S</v>
      </c>
      <c r="B2606" s="195" t="s">
        <v>1856</v>
      </c>
      <c r="C2606" s="196">
        <v>0</v>
      </c>
      <c r="D2606" s="196">
        <v>0.28999999999999998</v>
      </c>
      <c r="E2606" s="195" t="s">
        <v>595</v>
      </c>
      <c r="F2606" s="195" t="s">
        <v>438</v>
      </c>
    </row>
    <row r="2607" spans="1:6" x14ac:dyDescent="0.25">
      <c r="A2607" s="189" t="str">
        <f t="shared" si="40"/>
        <v>BC-IS 95 RP7-5800.2W</v>
      </c>
      <c r="B2607" s="195" t="s">
        <v>1857</v>
      </c>
      <c r="C2607" s="196">
        <v>0</v>
      </c>
      <c r="D2607" s="196">
        <v>0.2</v>
      </c>
      <c r="E2607" s="195" t="s">
        <v>593</v>
      </c>
      <c r="F2607" s="195" t="s">
        <v>432</v>
      </c>
    </row>
    <row r="2608" spans="1:6" x14ac:dyDescent="0.25">
      <c r="A2608" s="189" t="str">
        <f t="shared" si="40"/>
        <v>BC-IS 95 RP7-5900.26N</v>
      </c>
      <c r="B2608" s="195" t="s">
        <v>1858</v>
      </c>
      <c r="C2608" s="196">
        <v>0</v>
      </c>
      <c r="D2608" s="196">
        <v>0.26</v>
      </c>
      <c r="E2608" s="195" t="s">
        <v>589</v>
      </c>
      <c r="F2608" s="195" t="s">
        <v>430</v>
      </c>
    </row>
    <row r="2609" spans="1:6" x14ac:dyDescent="0.25">
      <c r="A2609" s="189" t="str">
        <f t="shared" si="40"/>
        <v>BC-IS 95 RP7-6100.38W</v>
      </c>
      <c r="B2609" s="195" t="s">
        <v>1859</v>
      </c>
      <c r="C2609" s="196">
        <v>0</v>
      </c>
      <c r="D2609" s="196">
        <v>0.38</v>
      </c>
      <c r="E2609" s="195" t="s">
        <v>593</v>
      </c>
      <c r="F2609" s="195" t="s">
        <v>432</v>
      </c>
    </row>
    <row r="2610" spans="1:6" x14ac:dyDescent="0.25">
      <c r="A2610" s="189" t="str">
        <f t="shared" si="40"/>
        <v>BC-IS 95 RP8-5000.42N</v>
      </c>
      <c r="B2610" s="195" t="s">
        <v>1860</v>
      </c>
      <c r="C2610" s="196">
        <v>0</v>
      </c>
      <c r="D2610" s="196">
        <v>0.42</v>
      </c>
      <c r="E2610" s="195" t="s">
        <v>589</v>
      </c>
      <c r="F2610" s="195" t="s">
        <v>430</v>
      </c>
    </row>
    <row r="2611" spans="1:6" x14ac:dyDescent="0.25">
      <c r="A2611" s="189" t="str">
        <f t="shared" si="40"/>
        <v>BC-IS 95 RP8-5100.26W</v>
      </c>
      <c r="B2611" s="195" t="s">
        <v>1861</v>
      </c>
      <c r="C2611" s="196">
        <v>0</v>
      </c>
      <c r="D2611" s="196">
        <v>0.26</v>
      </c>
      <c r="E2611" s="195" t="s">
        <v>593</v>
      </c>
      <c r="F2611" s="195" t="s">
        <v>432</v>
      </c>
    </row>
    <row r="2612" spans="1:6" x14ac:dyDescent="0.25">
      <c r="A2612" s="189" t="str">
        <f t="shared" si="40"/>
        <v>BC-IS 95 RP8-5200.29W</v>
      </c>
      <c r="B2612" s="195" t="s">
        <v>1862</v>
      </c>
      <c r="C2612" s="196">
        <v>0</v>
      </c>
      <c r="D2612" s="196">
        <v>0.28999999999999998</v>
      </c>
      <c r="E2612" s="195" t="s">
        <v>593</v>
      </c>
      <c r="F2612" s="195" t="s">
        <v>432</v>
      </c>
    </row>
    <row r="2613" spans="1:6" x14ac:dyDescent="0.25">
      <c r="A2613" s="189" t="str">
        <f t="shared" si="40"/>
        <v>BC-IS 95 RP8-5800.04N</v>
      </c>
      <c r="B2613" s="195" t="s">
        <v>1863</v>
      </c>
      <c r="C2613" s="196">
        <v>0</v>
      </c>
      <c r="D2613" s="196">
        <v>0.04</v>
      </c>
      <c r="E2613" s="195" t="s">
        <v>589</v>
      </c>
      <c r="F2613" s="195" t="s">
        <v>430</v>
      </c>
    </row>
    <row r="2614" spans="1:6" x14ac:dyDescent="0.25">
      <c r="A2614" s="189" t="str">
        <f t="shared" si="40"/>
        <v>BC-IS 95 RP8-5900.37S</v>
      </c>
      <c r="B2614" s="195" t="s">
        <v>1864</v>
      </c>
      <c r="C2614" s="196">
        <v>0</v>
      </c>
      <c r="D2614" s="196">
        <v>0.37</v>
      </c>
      <c r="E2614" s="195" t="s">
        <v>595</v>
      </c>
      <c r="F2614" s="195" t="s">
        <v>438</v>
      </c>
    </row>
    <row r="2615" spans="1:6" x14ac:dyDescent="0.25">
      <c r="A2615" s="189" t="str">
        <f t="shared" si="40"/>
        <v>BC-IS 95 RP9-5000.06E</v>
      </c>
      <c r="B2615" s="195" t="s">
        <v>1865</v>
      </c>
      <c r="C2615" s="196">
        <v>0</v>
      </c>
      <c r="D2615" s="196">
        <v>0.06</v>
      </c>
      <c r="E2615" s="195" t="s">
        <v>598</v>
      </c>
      <c r="F2615" s="195" t="s">
        <v>19</v>
      </c>
    </row>
    <row r="2616" spans="1:6" x14ac:dyDescent="0.25">
      <c r="A2616" s="189" t="str">
        <f t="shared" si="40"/>
        <v>BC-IS 95 RP9-5600.05N</v>
      </c>
      <c r="B2616" s="195" t="s">
        <v>1866</v>
      </c>
      <c r="C2616" s="196">
        <v>0</v>
      </c>
      <c r="D2616" s="196">
        <v>0.05</v>
      </c>
      <c r="E2616" s="195" t="s">
        <v>589</v>
      </c>
      <c r="F2616" s="195" t="s">
        <v>430</v>
      </c>
    </row>
    <row r="2617" spans="1:6" x14ac:dyDescent="0.25">
      <c r="A2617" s="189" t="str">
        <f t="shared" si="40"/>
        <v>BC-MD 12902.4N</v>
      </c>
      <c r="B2617" s="195" t="s">
        <v>1867</v>
      </c>
      <c r="C2617" s="196">
        <v>0</v>
      </c>
      <c r="D2617" s="196">
        <v>2.4</v>
      </c>
      <c r="E2617" s="195" t="s">
        <v>589</v>
      </c>
      <c r="F2617" s="195" t="s">
        <v>430</v>
      </c>
    </row>
    <row r="2618" spans="1:6" x14ac:dyDescent="0.25">
      <c r="A2618" s="189" t="str">
        <f t="shared" si="40"/>
        <v>BC-MD 1291.851.92S</v>
      </c>
      <c r="B2618" s="195" t="s">
        <v>1867</v>
      </c>
      <c r="C2618" s="196">
        <v>1.85</v>
      </c>
      <c r="D2618" s="196">
        <v>1.92</v>
      </c>
      <c r="E2618" s="195" t="s">
        <v>595</v>
      </c>
      <c r="F2618" s="195" t="s">
        <v>438</v>
      </c>
    </row>
    <row r="2619" spans="1:6" x14ac:dyDescent="0.25">
      <c r="A2619" s="189" t="str">
        <f t="shared" si="40"/>
        <v>BC-MD 1291.922.01S</v>
      </c>
      <c r="B2619" s="195" t="s">
        <v>1867</v>
      </c>
      <c r="C2619" s="196">
        <v>1.92</v>
      </c>
      <c r="D2619" s="196">
        <v>2.0099999999999998</v>
      </c>
      <c r="E2619" s="195" t="s">
        <v>595</v>
      </c>
      <c r="F2619" s="195" t="s">
        <v>438</v>
      </c>
    </row>
    <row r="2620" spans="1:6" x14ac:dyDescent="0.25">
      <c r="A2620" s="189" t="str">
        <f t="shared" si="40"/>
        <v>BC-MD 1292.012.06S</v>
      </c>
      <c r="B2620" s="195" t="s">
        <v>1867</v>
      </c>
      <c r="C2620" s="196">
        <v>2.0099999999999998</v>
      </c>
      <c r="D2620" s="196">
        <v>2.06</v>
      </c>
      <c r="E2620" s="195" t="s">
        <v>595</v>
      </c>
      <c r="F2620" s="195" t="s">
        <v>438</v>
      </c>
    </row>
    <row r="2621" spans="1:6" x14ac:dyDescent="0.25">
      <c r="A2621" s="189" t="str">
        <f t="shared" si="40"/>
        <v>BC-MD 1292.062.12S</v>
      </c>
      <c r="B2621" s="195" t="s">
        <v>1867</v>
      </c>
      <c r="C2621" s="196">
        <v>2.06</v>
      </c>
      <c r="D2621" s="196">
        <v>2.12</v>
      </c>
      <c r="E2621" s="195" t="s">
        <v>595</v>
      </c>
      <c r="F2621" s="195" t="s">
        <v>438</v>
      </c>
    </row>
    <row r="2622" spans="1:6" x14ac:dyDescent="0.25">
      <c r="A2622" s="189" t="str">
        <f t="shared" si="40"/>
        <v>BC-MD 1292.122.61S</v>
      </c>
      <c r="B2622" s="195" t="s">
        <v>1867</v>
      </c>
      <c r="C2622" s="196">
        <v>2.12</v>
      </c>
      <c r="D2622" s="196">
        <v>2.61</v>
      </c>
      <c r="E2622" s="195" t="s">
        <v>595</v>
      </c>
      <c r="F2622" s="195" t="s">
        <v>438</v>
      </c>
    </row>
    <row r="2623" spans="1:6" x14ac:dyDescent="0.25">
      <c r="A2623" s="189" t="str">
        <f t="shared" si="40"/>
        <v>BC-MD 129B0.270.32N</v>
      </c>
      <c r="B2623" s="195" t="s">
        <v>1868</v>
      </c>
      <c r="C2623" s="196">
        <v>0.27</v>
      </c>
      <c r="D2623" s="196">
        <v>0.32</v>
      </c>
      <c r="E2623" s="195" t="s">
        <v>589</v>
      </c>
      <c r="F2623" s="195" t="s">
        <v>430</v>
      </c>
    </row>
    <row r="2624" spans="1:6" x14ac:dyDescent="0.25">
      <c r="A2624" s="189" t="str">
        <f t="shared" si="40"/>
        <v>BC-MD 129B0.270.32S</v>
      </c>
      <c r="B2624" s="195" t="s">
        <v>1868</v>
      </c>
      <c r="C2624" s="196">
        <v>0.27</v>
      </c>
      <c r="D2624" s="196">
        <v>0.32</v>
      </c>
      <c r="E2624" s="195" t="s">
        <v>595</v>
      </c>
      <c r="F2624" s="195" t="s">
        <v>438</v>
      </c>
    </row>
    <row r="2625" spans="1:6" x14ac:dyDescent="0.25">
      <c r="A2625" s="189" t="str">
        <f t="shared" si="40"/>
        <v>BC-MD 1392.124.32N</v>
      </c>
      <c r="B2625" s="195" t="s">
        <v>1869</v>
      </c>
      <c r="C2625" s="196">
        <v>2.12</v>
      </c>
      <c r="D2625" s="196">
        <v>4.32</v>
      </c>
      <c r="E2625" s="195" t="s">
        <v>583</v>
      </c>
      <c r="F2625" s="195" t="s">
        <v>430</v>
      </c>
    </row>
    <row r="2626" spans="1:6" x14ac:dyDescent="0.25">
      <c r="A2626" s="189" t="str">
        <f t="shared" si="40"/>
        <v>BC-MD 1392.124.32S</v>
      </c>
      <c r="B2626" s="195" t="s">
        <v>1869</v>
      </c>
      <c r="C2626" s="196">
        <v>2.12</v>
      </c>
      <c r="D2626" s="196">
        <v>4.32</v>
      </c>
      <c r="E2626" s="195" t="s">
        <v>583</v>
      </c>
      <c r="F2626" s="195" t="s">
        <v>438</v>
      </c>
    </row>
    <row r="2627" spans="1:6" x14ac:dyDescent="0.25">
      <c r="A2627" s="189" t="str">
        <f t="shared" ref="A2627:A2690" si="41">B2627&amp;C2627&amp;D2627&amp;F2627</f>
        <v>BC-MD 14005.33N</v>
      </c>
      <c r="B2627" s="195" t="s">
        <v>1870</v>
      </c>
      <c r="C2627" s="196">
        <v>0</v>
      </c>
      <c r="D2627" s="196">
        <v>5.33</v>
      </c>
      <c r="E2627" s="195" t="s">
        <v>589</v>
      </c>
      <c r="F2627" s="195" t="s">
        <v>430</v>
      </c>
    </row>
    <row r="2628" spans="1:6" x14ac:dyDescent="0.25">
      <c r="A2628" s="189" t="str">
        <f t="shared" si="41"/>
        <v>BC-MD 1400.110.68S</v>
      </c>
      <c r="B2628" s="195" t="s">
        <v>1870</v>
      </c>
      <c r="C2628" s="196">
        <v>0.11</v>
      </c>
      <c r="D2628" s="196">
        <v>0.68</v>
      </c>
      <c r="E2628" s="195" t="s">
        <v>595</v>
      </c>
      <c r="F2628" s="195" t="s">
        <v>438</v>
      </c>
    </row>
    <row r="2629" spans="1:6" x14ac:dyDescent="0.25">
      <c r="A2629" s="189" t="str">
        <f t="shared" si="41"/>
        <v>BC-MD 1400.680.71S</v>
      </c>
      <c r="B2629" s="195" t="s">
        <v>1870</v>
      </c>
      <c r="C2629" s="196">
        <v>0.68</v>
      </c>
      <c r="D2629" s="196">
        <v>0.71</v>
      </c>
      <c r="E2629" s="195" t="s">
        <v>595</v>
      </c>
      <c r="F2629" s="195" t="s">
        <v>438</v>
      </c>
    </row>
    <row r="2630" spans="1:6" x14ac:dyDescent="0.25">
      <c r="A2630" s="189" t="str">
        <f t="shared" si="41"/>
        <v>BC-MD 1400.715.33S</v>
      </c>
      <c r="B2630" s="195" t="s">
        <v>1870</v>
      </c>
      <c r="C2630" s="196">
        <v>0.71</v>
      </c>
      <c r="D2630" s="196">
        <v>5.33</v>
      </c>
      <c r="E2630" s="195" t="s">
        <v>595</v>
      </c>
      <c r="F2630" s="195" t="s">
        <v>438</v>
      </c>
    </row>
    <row r="2631" spans="1:6" x14ac:dyDescent="0.25">
      <c r="A2631" s="189" t="str">
        <f t="shared" si="41"/>
        <v>BC-MD 14400.4W</v>
      </c>
      <c r="B2631" s="195" t="s">
        <v>1871</v>
      </c>
      <c r="C2631" s="196">
        <v>0</v>
      </c>
      <c r="D2631" s="196">
        <v>0.4</v>
      </c>
      <c r="E2631" s="195" t="s">
        <v>593</v>
      </c>
      <c r="F2631" s="195" t="s">
        <v>432</v>
      </c>
    </row>
    <row r="2632" spans="1:6" x14ac:dyDescent="0.25">
      <c r="A2632" s="189" t="str">
        <f t="shared" si="41"/>
        <v>BC-MD 14403.78E</v>
      </c>
      <c r="B2632" s="195" t="s">
        <v>1871</v>
      </c>
      <c r="C2632" s="196">
        <v>0</v>
      </c>
      <c r="D2632" s="196">
        <v>3.78</v>
      </c>
      <c r="E2632" s="195" t="s">
        <v>598</v>
      </c>
      <c r="F2632" s="195" t="s">
        <v>19</v>
      </c>
    </row>
    <row r="2633" spans="1:6" x14ac:dyDescent="0.25">
      <c r="A2633" s="189" t="str">
        <f t="shared" si="41"/>
        <v>BC-MD 1440.43.37W</v>
      </c>
      <c r="B2633" s="195" t="s">
        <v>1871</v>
      </c>
      <c r="C2633" s="196">
        <v>0.4</v>
      </c>
      <c r="D2633" s="196">
        <v>3.37</v>
      </c>
      <c r="E2633" s="195" t="s">
        <v>593</v>
      </c>
      <c r="F2633" s="195" t="s">
        <v>432</v>
      </c>
    </row>
    <row r="2634" spans="1:6" x14ac:dyDescent="0.25">
      <c r="A2634" s="189" t="str">
        <f t="shared" si="41"/>
        <v>BC-MD 14705.16N</v>
      </c>
      <c r="B2634" s="195" t="s">
        <v>1872</v>
      </c>
      <c r="C2634" s="196">
        <v>0</v>
      </c>
      <c r="D2634" s="196">
        <v>5.16</v>
      </c>
      <c r="E2634" s="195" t="s">
        <v>583</v>
      </c>
      <c r="F2634" s="195" t="s">
        <v>430</v>
      </c>
    </row>
    <row r="2635" spans="1:6" x14ac:dyDescent="0.25">
      <c r="A2635" s="189" t="str">
        <f t="shared" si="41"/>
        <v>BC-MD 14705.16S</v>
      </c>
      <c r="B2635" s="195" t="s">
        <v>1872</v>
      </c>
      <c r="C2635" s="196">
        <v>0</v>
      </c>
      <c r="D2635" s="196">
        <v>5.16</v>
      </c>
      <c r="E2635" s="195" t="s">
        <v>583</v>
      </c>
      <c r="F2635" s="195" t="s">
        <v>438</v>
      </c>
    </row>
    <row r="2636" spans="1:6" x14ac:dyDescent="0.25">
      <c r="A2636" s="189" t="str">
        <f t="shared" si="41"/>
        <v>BC-MD 17304.86N</v>
      </c>
      <c r="B2636" s="195" t="s">
        <v>1873</v>
      </c>
      <c r="C2636" s="196">
        <v>0</v>
      </c>
      <c r="D2636" s="196">
        <v>4.8600000000000003</v>
      </c>
      <c r="E2636" s="195" t="s">
        <v>589</v>
      </c>
      <c r="F2636" s="195" t="s">
        <v>430</v>
      </c>
    </row>
    <row r="2637" spans="1:6" x14ac:dyDescent="0.25">
      <c r="A2637" s="189" t="str">
        <f t="shared" si="41"/>
        <v>BC-MD 1732.532.66S</v>
      </c>
      <c r="B2637" s="195" t="s">
        <v>1873</v>
      </c>
      <c r="C2637" s="196">
        <v>2.5299999999999998</v>
      </c>
      <c r="D2637" s="196">
        <v>2.66</v>
      </c>
      <c r="E2637" s="195" t="s">
        <v>595</v>
      </c>
      <c r="F2637" s="195" t="s">
        <v>438</v>
      </c>
    </row>
    <row r="2638" spans="1:6" x14ac:dyDescent="0.25">
      <c r="A2638" s="189" t="str">
        <f t="shared" si="41"/>
        <v>BC-MD 1732.663.57S</v>
      </c>
      <c r="B2638" s="195" t="s">
        <v>1873</v>
      </c>
      <c r="C2638" s="196">
        <v>2.66</v>
      </c>
      <c r="D2638" s="196">
        <v>3.57</v>
      </c>
      <c r="E2638" s="195" t="s">
        <v>595</v>
      </c>
      <c r="F2638" s="195" t="s">
        <v>438</v>
      </c>
    </row>
    <row r="2639" spans="1:6" x14ac:dyDescent="0.25">
      <c r="A2639" s="189" t="str">
        <f t="shared" si="41"/>
        <v>BC-MD 1733.574.86S</v>
      </c>
      <c r="B2639" s="195" t="s">
        <v>1873</v>
      </c>
      <c r="C2639" s="196">
        <v>3.57</v>
      </c>
      <c r="D2639" s="196">
        <v>4.8600000000000003</v>
      </c>
      <c r="E2639" s="195" t="s">
        <v>595</v>
      </c>
      <c r="F2639" s="195" t="s">
        <v>438</v>
      </c>
    </row>
    <row r="2640" spans="1:6" x14ac:dyDescent="0.25">
      <c r="A2640" s="189" t="str">
        <f t="shared" si="41"/>
        <v>BC-MD 205.72N</v>
      </c>
      <c r="B2640" s="195" t="s">
        <v>1874</v>
      </c>
      <c r="C2640" s="196">
        <v>0</v>
      </c>
      <c r="D2640" s="196">
        <v>5.72</v>
      </c>
      <c r="E2640" s="195" t="s">
        <v>589</v>
      </c>
      <c r="F2640" s="195" t="s">
        <v>430</v>
      </c>
    </row>
    <row r="2641" spans="1:6" x14ac:dyDescent="0.25">
      <c r="A2641" s="189" t="str">
        <f t="shared" si="41"/>
        <v>BC-MD 20.721.62S</v>
      </c>
      <c r="B2641" s="195" t="s">
        <v>1874</v>
      </c>
      <c r="C2641" s="196">
        <v>0.72</v>
      </c>
      <c r="D2641" s="196">
        <v>1.62</v>
      </c>
      <c r="E2641" s="195" t="s">
        <v>595</v>
      </c>
      <c r="F2641" s="195" t="s">
        <v>438</v>
      </c>
    </row>
    <row r="2642" spans="1:6" x14ac:dyDescent="0.25">
      <c r="A2642" s="189" t="str">
        <f t="shared" si="41"/>
        <v>BC-MD 21.623.38S</v>
      </c>
      <c r="B2642" s="195" t="s">
        <v>1874</v>
      </c>
      <c r="C2642" s="196">
        <v>1.62</v>
      </c>
      <c r="D2642" s="196">
        <v>3.38</v>
      </c>
      <c r="E2642" s="195" t="s">
        <v>595</v>
      </c>
      <c r="F2642" s="195" t="s">
        <v>438</v>
      </c>
    </row>
    <row r="2643" spans="1:6" x14ac:dyDescent="0.25">
      <c r="A2643" s="189" t="str">
        <f t="shared" si="41"/>
        <v>BC-MD 23.383.54S</v>
      </c>
      <c r="B2643" s="195" t="s">
        <v>1874</v>
      </c>
      <c r="C2643" s="196">
        <v>3.38</v>
      </c>
      <c r="D2643" s="196">
        <v>3.54</v>
      </c>
      <c r="E2643" s="195" t="s">
        <v>595</v>
      </c>
      <c r="F2643" s="195" t="s">
        <v>438</v>
      </c>
    </row>
    <row r="2644" spans="1:6" x14ac:dyDescent="0.25">
      <c r="A2644" s="189" t="str">
        <f t="shared" si="41"/>
        <v>BC-MD 23.543.58S</v>
      </c>
      <c r="B2644" s="195" t="s">
        <v>1874</v>
      </c>
      <c r="C2644" s="196">
        <v>3.54</v>
      </c>
      <c r="D2644" s="196">
        <v>3.58</v>
      </c>
      <c r="E2644" s="195" t="s">
        <v>595</v>
      </c>
      <c r="F2644" s="195" t="s">
        <v>438</v>
      </c>
    </row>
    <row r="2645" spans="1:6" x14ac:dyDescent="0.25">
      <c r="A2645" s="189" t="str">
        <f t="shared" si="41"/>
        <v>BC-MD 23.583.69S</v>
      </c>
      <c r="B2645" s="195" t="s">
        <v>1874</v>
      </c>
      <c r="C2645" s="196">
        <v>3.58</v>
      </c>
      <c r="D2645" s="196">
        <v>3.69</v>
      </c>
      <c r="E2645" s="195" t="s">
        <v>595</v>
      </c>
      <c r="F2645" s="195" t="s">
        <v>438</v>
      </c>
    </row>
    <row r="2646" spans="1:6" x14ac:dyDescent="0.25">
      <c r="A2646" s="189" t="str">
        <f t="shared" si="41"/>
        <v>BC-MD 244.27S</v>
      </c>
      <c r="B2646" s="195" t="s">
        <v>1874</v>
      </c>
      <c r="C2646" s="196">
        <v>4</v>
      </c>
      <c r="D2646" s="196">
        <v>4.2699999999999996</v>
      </c>
      <c r="E2646" s="195" t="s">
        <v>595</v>
      </c>
      <c r="F2646" s="195" t="s">
        <v>438</v>
      </c>
    </row>
    <row r="2647" spans="1:6" x14ac:dyDescent="0.25">
      <c r="A2647" s="189" t="str">
        <f t="shared" si="41"/>
        <v>BC-MD 24.325.63S</v>
      </c>
      <c r="B2647" s="195" t="s">
        <v>1874</v>
      </c>
      <c r="C2647" s="196">
        <v>4.32</v>
      </c>
      <c r="D2647" s="196">
        <v>5.63</v>
      </c>
      <c r="E2647" s="195" t="s">
        <v>595</v>
      </c>
      <c r="F2647" s="195" t="s">
        <v>438</v>
      </c>
    </row>
    <row r="2648" spans="1:6" x14ac:dyDescent="0.25">
      <c r="A2648" s="189" t="str">
        <f t="shared" si="41"/>
        <v>BC-MD 25.635.72S</v>
      </c>
      <c r="B2648" s="195" t="s">
        <v>1874</v>
      </c>
      <c r="C2648" s="196">
        <v>5.63</v>
      </c>
      <c r="D2648" s="196">
        <v>5.72</v>
      </c>
      <c r="E2648" s="195" t="s">
        <v>595</v>
      </c>
      <c r="F2648" s="195" t="s">
        <v>438</v>
      </c>
    </row>
    <row r="2649" spans="1:6" x14ac:dyDescent="0.25">
      <c r="A2649" s="189" t="str">
        <f t="shared" si="41"/>
        <v>BC-MD 2603.4E</v>
      </c>
      <c r="B2649" s="195" t="s">
        <v>1875</v>
      </c>
      <c r="C2649" s="196">
        <v>0</v>
      </c>
      <c r="D2649" s="196">
        <v>3.4</v>
      </c>
      <c r="E2649" s="195" t="s">
        <v>583</v>
      </c>
      <c r="F2649" s="195" t="s">
        <v>19</v>
      </c>
    </row>
    <row r="2650" spans="1:6" x14ac:dyDescent="0.25">
      <c r="A2650" s="189" t="str">
        <f t="shared" si="41"/>
        <v>BC-MD 2603.4W</v>
      </c>
      <c r="B2650" s="195" t="s">
        <v>1875</v>
      </c>
      <c r="C2650" s="196">
        <v>0</v>
      </c>
      <c r="D2650" s="196">
        <v>3.4</v>
      </c>
      <c r="E2650" s="195" t="s">
        <v>583</v>
      </c>
      <c r="F2650" s="195" t="s">
        <v>432</v>
      </c>
    </row>
    <row r="2651" spans="1:6" x14ac:dyDescent="0.25">
      <c r="A2651" s="189" t="str">
        <f t="shared" si="41"/>
        <v>BC-MD 2952.862.93S</v>
      </c>
      <c r="B2651" s="195" t="s">
        <v>4505</v>
      </c>
      <c r="C2651" s="196">
        <v>2.86</v>
      </c>
      <c r="D2651" s="196">
        <v>2.93</v>
      </c>
      <c r="E2651" s="195" t="s">
        <v>595</v>
      </c>
      <c r="F2651" s="195" t="s">
        <v>438</v>
      </c>
    </row>
    <row r="2652" spans="1:6" x14ac:dyDescent="0.25">
      <c r="A2652" s="189" t="str">
        <f t="shared" si="41"/>
        <v>BC-MD 2952.932.96S</v>
      </c>
      <c r="B2652" s="195" t="s">
        <v>4505</v>
      </c>
      <c r="C2652" s="196">
        <v>2.93</v>
      </c>
      <c r="D2652" s="196">
        <v>2.96</v>
      </c>
      <c r="E2652" s="195" t="s">
        <v>595</v>
      </c>
      <c r="F2652" s="195" t="s">
        <v>438</v>
      </c>
    </row>
    <row r="2653" spans="1:6" x14ac:dyDescent="0.25">
      <c r="A2653" s="189" t="str">
        <f t="shared" si="41"/>
        <v>BC-MD 295 RP1-3000.16N</v>
      </c>
      <c r="B2653" s="195" t="s">
        <v>1876</v>
      </c>
      <c r="C2653" s="196">
        <v>0</v>
      </c>
      <c r="D2653" s="196">
        <v>0.16</v>
      </c>
      <c r="E2653" s="195" t="s">
        <v>589</v>
      </c>
      <c r="F2653" s="195" t="s">
        <v>430</v>
      </c>
    </row>
    <row r="2654" spans="1:6" x14ac:dyDescent="0.25">
      <c r="A2654" s="189" t="str">
        <f t="shared" si="41"/>
        <v>BC-MD 295 RP1-3100.33W</v>
      </c>
      <c r="B2654" s="195" t="s">
        <v>1877</v>
      </c>
      <c r="C2654" s="196">
        <v>0</v>
      </c>
      <c r="D2654" s="196">
        <v>0.33</v>
      </c>
      <c r="E2654" s="195" t="s">
        <v>593</v>
      </c>
      <c r="F2654" s="195" t="s">
        <v>432</v>
      </c>
    </row>
    <row r="2655" spans="1:6" x14ac:dyDescent="0.25">
      <c r="A2655" s="189" t="str">
        <f t="shared" si="41"/>
        <v>BC-MD 295 RP2-100.16N</v>
      </c>
      <c r="B2655" s="195" t="s">
        <v>1878</v>
      </c>
      <c r="C2655" s="196">
        <v>0</v>
      </c>
      <c r="D2655" s="196">
        <v>0.16</v>
      </c>
      <c r="E2655" s="195" t="s">
        <v>589</v>
      </c>
      <c r="F2655" s="195" t="s">
        <v>430</v>
      </c>
    </row>
    <row r="2656" spans="1:6" x14ac:dyDescent="0.25">
      <c r="A2656" s="189" t="str">
        <f t="shared" si="41"/>
        <v>BC-MD 295 RP3-200.07W</v>
      </c>
      <c r="B2656" s="195" t="s">
        <v>1879</v>
      </c>
      <c r="C2656" s="196">
        <v>0</v>
      </c>
      <c r="D2656" s="196">
        <v>7.0000000000000007E-2</v>
      </c>
      <c r="E2656" s="195" t="s">
        <v>593</v>
      </c>
      <c r="F2656" s="195" t="s">
        <v>432</v>
      </c>
    </row>
    <row r="2657" spans="1:6" x14ac:dyDescent="0.25">
      <c r="A2657" s="189" t="str">
        <f t="shared" si="41"/>
        <v>BC-MD 295 RP4-100.07N</v>
      </c>
      <c r="B2657" s="195" t="s">
        <v>1880</v>
      </c>
      <c r="C2657" s="196">
        <v>0</v>
      </c>
      <c r="D2657" s="196">
        <v>7.0000000000000007E-2</v>
      </c>
      <c r="E2657" s="195" t="s">
        <v>589</v>
      </c>
      <c r="F2657" s="195" t="s">
        <v>430</v>
      </c>
    </row>
    <row r="2658" spans="1:6" x14ac:dyDescent="0.25">
      <c r="A2658" s="189" t="str">
        <f t="shared" si="41"/>
        <v>BC-MD 295 RP4-200.09N</v>
      </c>
      <c r="B2658" s="195" t="s">
        <v>1881</v>
      </c>
      <c r="C2658" s="196">
        <v>0</v>
      </c>
      <c r="D2658" s="196">
        <v>0.09</v>
      </c>
      <c r="E2658" s="195" t="s">
        <v>589</v>
      </c>
      <c r="F2658" s="195" t="s">
        <v>430</v>
      </c>
    </row>
    <row r="2659" spans="1:6" x14ac:dyDescent="0.25">
      <c r="A2659" s="189" t="str">
        <f t="shared" si="41"/>
        <v>BC-MD 295 RP4-3100.15E</v>
      </c>
      <c r="B2659" s="195" t="s">
        <v>1882</v>
      </c>
      <c r="C2659" s="196">
        <v>0</v>
      </c>
      <c r="D2659" s="196">
        <v>0.15</v>
      </c>
      <c r="E2659" s="195" t="s">
        <v>598</v>
      </c>
      <c r="F2659" s="195" t="s">
        <v>19</v>
      </c>
    </row>
    <row r="2660" spans="1:6" x14ac:dyDescent="0.25">
      <c r="A2660" s="189" t="str">
        <f t="shared" si="41"/>
        <v>BC-MD 295 RP4-310.150.19E</v>
      </c>
      <c r="B2660" s="195" t="s">
        <v>1882</v>
      </c>
      <c r="C2660" s="196">
        <v>0.15</v>
      </c>
      <c r="D2660" s="196">
        <v>0.19</v>
      </c>
      <c r="E2660" s="195" t="s">
        <v>598</v>
      </c>
      <c r="F2660" s="195" t="s">
        <v>19</v>
      </c>
    </row>
    <row r="2661" spans="1:6" x14ac:dyDescent="0.25">
      <c r="A2661" s="189" t="str">
        <f t="shared" si="41"/>
        <v>BC-MD 295 RP5-200.22E</v>
      </c>
      <c r="B2661" s="195" t="s">
        <v>1883</v>
      </c>
      <c r="C2661" s="196">
        <v>0</v>
      </c>
      <c r="D2661" s="196">
        <v>0.22</v>
      </c>
      <c r="E2661" s="195" t="s">
        <v>598</v>
      </c>
      <c r="F2661" s="195" t="s">
        <v>19</v>
      </c>
    </row>
    <row r="2662" spans="1:6" x14ac:dyDescent="0.25">
      <c r="A2662" s="189" t="str">
        <f t="shared" si="41"/>
        <v>BC-MD 295 RP6-100.12E</v>
      </c>
      <c r="B2662" s="195" t="s">
        <v>1884</v>
      </c>
      <c r="C2662" s="196">
        <v>0</v>
      </c>
      <c r="D2662" s="196">
        <v>0.12</v>
      </c>
      <c r="E2662" s="195" t="s">
        <v>598</v>
      </c>
      <c r="F2662" s="195" t="s">
        <v>19</v>
      </c>
    </row>
    <row r="2663" spans="1:6" x14ac:dyDescent="0.25">
      <c r="A2663" s="189" t="str">
        <f t="shared" si="41"/>
        <v>BC-MD 295 RP6-200.29W</v>
      </c>
      <c r="B2663" s="195" t="s">
        <v>1885</v>
      </c>
      <c r="C2663" s="196">
        <v>0</v>
      </c>
      <c r="D2663" s="196">
        <v>0.28999999999999998</v>
      </c>
      <c r="E2663" s="195" t="s">
        <v>593</v>
      </c>
      <c r="F2663" s="195" t="s">
        <v>432</v>
      </c>
    </row>
    <row r="2664" spans="1:6" x14ac:dyDescent="0.25">
      <c r="A2664" s="189" t="str">
        <f t="shared" si="41"/>
        <v>BC-MD 295 RP6-3100.22S</v>
      </c>
      <c r="B2664" s="195" t="s">
        <v>1886</v>
      </c>
      <c r="C2664" s="196">
        <v>0</v>
      </c>
      <c r="D2664" s="196">
        <v>0.22</v>
      </c>
      <c r="E2664" s="195" t="s">
        <v>595</v>
      </c>
      <c r="F2664" s="195" t="s">
        <v>438</v>
      </c>
    </row>
    <row r="2665" spans="1:6" x14ac:dyDescent="0.25">
      <c r="A2665" s="189" t="str">
        <f t="shared" si="41"/>
        <v>BC-MD 295 RP8-100.05W</v>
      </c>
      <c r="B2665" s="195" t="s">
        <v>1887</v>
      </c>
      <c r="C2665" s="196">
        <v>0</v>
      </c>
      <c r="D2665" s="196">
        <v>0.05</v>
      </c>
      <c r="E2665" s="195" t="s">
        <v>593</v>
      </c>
      <c r="F2665" s="195" t="s">
        <v>432</v>
      </c>
    </row>
    <row r="2666" spans="1:6" x14ac:dyDescent="0.25">
      <c r="A2666" s="189" t="str">
        <f t="shared" si="41"/>
        <v>BC-MD 295 RP8-3000.31S</v>
      </c>
      <c r="B2666" s="195" t="s">
        <v>1888</v>
      </c>
      <c r="C2666" s="196">
        <v>0</v>
      </c>
      <c r="D2666" s="196">
        <v>0.31</v>
      </c>
      <c r="E2666" s="195" t="s">
        <v>595</v>
      </c>
      <c r="F2666" s="195" t="s">
        <v>438</v>
      </c>
    </row>
    <row r="2667" spans="1:6" x14ac:dyDescent="0.25">
      <c r="A2667" s="189" t="str">
        <f t="shared" si="41"/>
        <v>BC-MD 295 RP9-3000.25S</v>
      </c>
      <c r="B2667" s="195" t="s">
        <v>1889</v>
      </c>
      <c r="C2667" s="196">
        <v>0</v>
      </c>
      <c r="D2667" s="196">
        <v>0.25</v>
      </c>
      <c r="E2667" s="195" t="s">
        <v>595</v>
      </c>
      <c r="F2667" s="195" t="s">
        <v>438</v>
      </c>
    </row>
    <row r="2668" spans="1:6" x14ac:dyDescent="0.25">
      <c r="A2668" s="189" t="str">
        <f t="shared" si="41"/>
        <v>BC-MD 4504.23N</v>
      </c>
      <c r="B2668" s="195" t="s">
        <v>1890</v>
      </c>
      <c r="C2668" s="196">
        <v>0</v>
      </c>
      <c r="D2668" s="196">
        <v>4.2300000000000004</v>
      </c>
      <c r="E2668" s="195" t="s">
        <v>583</v>
      </c>
      <c r="F2668" s="195" t="s">
        <v>430</v>
      </c>
    </row>
    <row r="2669" spans="1:6" x14ac:dyDescent="0.25">
      <c r="A2669" s="189" t="str">
        <f t="shared" si="41"/>
        <v>BC-MD 4504.23S</v>
      </c>
      <c r="B2669" s="195" t="s">
        <v>1890</v>
      </c>
      <c r="C2669" s="196">
        <v>0</v>
      </c>
      <c r="D2669" s="196">
        <v>4.2300000000000004</v>
      </c>
      <c r="E2669" s="195" t="s">
        <v>583</v>
      </c>
      <c r="F2669" s="195" t="s">
        <v>438</v>
      </c>
    </row>
    <row r="2670" spans="1:6" x14ac:dyDescent="0.25">
      <c r="A2670" s="189" t="str">
        <f t="shared" si="41"/>
        <v>BC-MD 695 RP2-100.24E</v>
      </c>
      <c r="B2670" s="195" t="s">
        <v>1891</v>
      </c>
      <c r="C2670" s="196">
        <v>0</v>
      </c>
      <c r="D2670" s="196">
        <v>0.24</v>
      </c>
      <c r="E2670" s="195" t="s">
        <v>598</v>
      </c>
      <c r="F2670" s="195" t="s">
        <v>19</v>
      </c>
    </row>
    <row r="2671" spans="1:6" x14ac:dyDescent="0.25">
      <c r="A2671" s="189" t="str">
        <f t="shared" si="41"/>
        <v>BC-MD 695 RP3-100.02E</v>
      </c>
      <c r="B2671" s="195" t="s">
        <v>1892</v>
      </c>
      <c r="C2671" s="196">
        <v>0</v>
      </c>
      <c r="D2671" s="196">
        <v>0.02</v>
      </c>
      <c r="E2671" s="195" t="s">
        <v>598</v>
      </c>
      <c r="F2671" s="195" t="s">
        <v>19</v>
      </c>
    </row>
    <row r="2672" spans="1:6" x14ac:dyDescent="0.25">
      <c r="A2672" s="189" t="str">
        <f t="shared" si="41"/>
        <v>BC-MD 695 RP4-100.31N</v>
      </c>
      <c r="B2672" s="195" t="s">
        <v>1893</v>
      </c>
      <c r="C2672" s="196">
        <v>0</v>
      </c>
      <c r="D2672" s="196">
        <v>0.31</v>
      </c>
      <c r="E2672" s="195" t="s">
        <v>589</v>
      </c>
      <c r="F2672" s="195" t="s">
        <v>430</v>
      </c>
    </row>
    <row r="2673" spans="1:6" x14ac:dyDescent="0.25">
      <c r="A2673" s="189" t="str">
        <f t="shared" si="41"/>
        <v>BC-MD 695 RP6-100.25W</v>
      </c>
      <c r="B2673" s="195" t="s">
        <v>1894</v>
      </c>
      <c r="C2673" s="196">
        <v>0</v>
      </c>
      <c r="D2673" s="196">
        <v>0.25</v>
      </c>
      <c r="E2673" s="195" t="s">
        <v>593</v>
      </c>
      <c r="F2673" s="195" t="s">
        <v>432</v>
      </c>
    </row>
    <row r="2674" spans="1:6" x14ac:dyDescent="0.25">
      <c r="A2674" s="189" t="str">
        <f t="shared" si="41"/>
        <v>BC-MD 695 RP8-100.27W</v>
      </c>
      <c r="B2674" s="195" t="s">
        <v>1895</v>
      </c>
      <c r="C2674" s="196">
        <v>0</v>
      </c>
      <c r="D2674" s="196">
        <v>0.27</v>
      </c>
      <c r="E2674" s="195" t="s">
        <v>593</v>
      </c>
      <c r="F2674" s="195" t="s">
        <v>432</v>
      </c>
    </row>
    <row r="2675" spans="1:6" x14ac:dyDescent="0.25">
      <c r="A2675" s="189" t="str">
        <f t="shared" si="41"/>
        <v>BC-MD 695 RP9-100.02N</v>
      </c>
      <c r="B2675" s="195" t="s">
        <v>1896</v>
      </c>
      <c r="C2675" s="196">
        <v>0</v>
      </c>
      <c r="D2675" s="196">
        <v>0.02</v>
      </c>
      <c r="E2675" s="195" t="s">
        <v>589</v>
      </c>
      <c r="F2675" s="195" t="s">
        <v>430</v>
      </c>
    </row>
    <row r="2676" spans="1:6" x14ac:dyDescent="0.25">
      <c r="A2676" s="189" t="str">
        <f t="shared" si="41"/>
        <v>BC-MU 1000.5W</v>
      </c>
      <c r="B2676" s="195" t="s">
        <v>1897</v>
      </c>
      <c r="C2676" s="196">
        <v>0</v>
      </c>
      <c r="D2676" s="196">
        <v>0.5</v>
      </c>
      <c r="E2676" s="195" t="s">
        <v>593</v>
      </c>
      <c r="F2676" s="195" t="s">
        <v>432</v>
      </c>
    </row>
    <row r="2677" spans="1:6" x14ac:dyDescent="0.25">
      <c r="A2677" s="189" t="str">
        <f t="shared" si="41"/>
        <v>BC-MU 10100.4N</v>
      </c>
      <c r="B2677" s="195" t="s">
        <v>1898</v>
      </c>
      <c r="C2677" s="196">
        <v>0</v>
      </c>
      <c r="D2677" s="196">
        <v>0.4</v>
      </c>
      <c r="E2677" s="195" t="s">
        <v>583</v>
      </c>
      <c r="F2677" s="195" t="s">
        <v>430</v>
      </c>
    </row>
    <row r="2678" spans="1:6" x14ac:dyDescent="0.25">
      <c r="A2678" s="189" t="str">
        <f t="shared" si="41"/>
        <v>BC-MU 10100.4S</v>
      </c>
      <c r="B2678" s="195" t="s">
        <v>1898</v>
      </c>
      <c r="C2678" s="196">
        <v>0</v>
      </c>
      <c r="D2678" s="196">
        <v>0.4</v>
      </c>
      <c r="E2678" s="195" t="s">
        <v>583</v>
      </c>
      <c r="F2678" s="195" t="s">
        <v>438</v>
      </c>
    </row>
    <row r="2679" spans="1:6" x14ac:dyDescent="0.25">
      <c r="A2679" s="189" t="str">
        <f t="shared" si="41"/>
        <v>BC-MU 102400.44S</v>
      </c>
      <c r="B2679" s="195" t="s">
        <v>1899</v>
      </c>
      <c r="C2679" s="196">
        <v>0</v>
      </c>
      <c r="D2679" s="196">
        <v>0.44</v>
      </c>
      <c r="E2679" s="195" t="s">
        <v>595</v>
      </c>
      <c r="F2679" s="195" t="s">
        <v>438</v>
      </c>
    </row>
    <row r="2680" spans="1:6" x14ac:dyDescent="0.25">
      <c r="A2680" s="189" t="str">
        <f t="shared" si="41"/>
        <v>BC-MU 10250.221.65S</v>
      </c>
      <c r="B2680" s="195" t="s">
        <v>1900</v>
      </c>
      <c r="C2680" s="196">
        <v>0.22</v>
      </c>
      <c r="D2680" s="196">
        <v>1.65</v>
      </c>
      <c r="E2680" s="195" t="s">
        <v>595</v>
      </c>
      <c r="F2680" s="195" t="s">
        <v>438</v>
      </c>
    </row>
    <row r="2681" spans="1:6" x14ac:dyDescent="0.25">
      <c r="A2681" s="189" t="str">
        <f t="shared" si="41"/>
        <v>BC-MU 102600.37W</v>
      </c>
      <c r="B2681" s="195" t="s">
        <v>1901</v>
      </c>
      <c r="C2681" s="196">
        <v>0</v>
      </c>
      <c r="D2681" s="196">
        <v>0.37</v>
      </c>
      <c r="E2681" s="195" t="s">
        <v>593</v>
      </c>
      <c r="F2681" s="195" t="s">
        <v>432</v>
      </c>
    </row>
    <row r="2682" spans="1:6" x14ac:dyDescent="0.25">
      <c r="A2682" s="189" t="str">
        <f t="shared" si="41"/>
        <v>BC-MU 102700.48S</v>
      </c>
      <c r="B2682" s="195" t="s">
        <v>1902</v>
      </c>
      <c r="C2682" s="196">
        <v>0</v>
      </c>
      <c r="D2682" s="196">
        <v>0.48</v>
      </c>
      <c r="E2682" s="195" t="s">
        <v>595</v>
      </c>
      <c r="F2682" s="195" t="s">
        <v>438</v>
      </c>
    </row>
    <row r="2683" spans="1:6" x14ac:dyDescent="0.25">
      <c r="A2683" s="189" t="str">
        <f t="shared" si="41"/>
        <v>BC-MU 105000.69N</v>
      </c>
      <c r="B2683" s="195" t="s">
        <v>1903</v>
      </c>
      <c r="C2683" s="196">
        <v>0</v>
      </c>
      <c r="D2683" s="196">
        <v>0.69</v>
      </c>
      <c r="E2683" s="195" t="s">
        <v>583</v>
      </c>
      <c r="F2683" s="195" t="s">
        <v>430</v>
      </c>
    </row>
    <row r="2684" spans="1:6" x14ac:dyDescent="0.25">
      <c r="A2684" s="189" t="str">
        <f t="shared" si="41"/>
        <v>BC-MU 105000.69S</v>
      </c>
      <c r="B2684" s="195" t="s">
        <v>1903</v>
      </c>
      <c r="C2684" s="196">
        <v>0</v>
      </c>
      <c r="D2684" s="196">
        <v>0.69</v>
      </c>
      <c r="E2684" s="195" t="s">
        <v>583</v>
      </c>
      <c r="F2684" s="195" t="s">
        <v>438</v>
      </c>
    </row>
    <row r="2685" spans="1:6" x14ac:dyDescent="0.25">
      <c r="A2685" s="189" t="str">
        <f t="shared" si="41"/>
        <v>BC-MU 10700.522.54E</v>
      </c>
      <c r="B2685" s="195" t="s">
        <v>1904</v>
      </c>
      <c r="C2685" s="196">
        <v>0.52</v>
      </c>
      <c r="D2685" s="196">
        <v>2.54</v>
      </c>
      <c r="E2685" s="195" t="s">
        <v>583</v>
      </c>
      <c r="F2685" s="195" t="s">
        <v>19</v>
      </c>
    </row>
    <row r="2686" spans="1:6" x14ac:dyDescent="0.25">
      <c r="A2686" s="189" t="str">
        <f t="shared" si="41"/>
        <v>BC-MU 10700.522.54W</v>
      </c>
      <c r="B2686" s="195" t="s">
        <v>1904</v>
      </c>
      <c r="C2686" s="196">
        <v>0.52</v>
      </c>
      <c r="D2686" s="196">
        <v>2.54</v>
      </c>
      <c r="E2686" s="195" t="s">
        <v>583</v>
      </c>
      <c r="F2686" s="195" t="s">
        <v>432</v>
      </c>
    </row>
    <row r="2687" spans="1:6" x14ac:dyDescent="0.25">
      <c r="A2687" s="189" t="str">
        <f t="shared" si="41"/>
        <v>BC-MU 10850.070.56N</v>
      </c>
      <c r="B2687" s="195" t="s">
        <v>1905</v>
      </c>
      <c r="C2687" s="196">
        <v>7.0000000000000007E-2</v>
      </c>
      <c r="D2687" s="196">
        <v>0.56000000000000005</v>
      </c>
      <c r="E2687" s="195" t="s">
        <v>589</v>
      </c>
      <c r="F2687" s="195" t="s">
        <v>430</v>
      </c>
    </row>
    <row r="2688" spans="1:6" x14ac:dyDescent="0.25">
      <c r="A2688" s="189" t="str">
        <f t="shared" si="41"/>
        <v>BC-MU 108701.43N</v>
      </c>
      <c r="B2688" s="195" t="s">
        <v>1906</v>
      </c>
      <c r="C2688" s="196">
        <v>0</v>
      </c>
      <c r="D2688" s="196">
        <v>1.43</v>
      </c>
      <c r="E2688" s="195" t="s">
        <v>589</v>
      </c>
      <c r="F2688" s="195" t="s">
        <v>430</v>
      </c>
    </row>
    <row r="2689" spans="1:6" x14ac:dyDescent="0.25">
      <c r="A2689" s="189" t="str">
        <f t="shared" si="41"/>
        <v>BC-MU 109000.19W</v>
      </c>
      <c r="B2689" s="195" t="s">
        <v>1907</v>
      </c>
      <c r="C2689" s="196">
        <v>0</v>
      </c>
      <c r="D2689" s="196">
        <v>0.19</v>
      </c>
      <c r="E2689" s="195" t="s">
        <v>593</v>
      </c>
      <c r="F2689" s="195" t="s">
        <v>432</v>
      </c>
    </row>
    <row r="2690" spans="1:6" x14ac:dyDescent="0.25">
      <c r="A2690" s="189" t="str">
        <f t="shared" si="41"/>
        <v>BC-MU 113500.11S</v>
      </c>
      <c r="B2690" s="195" t="s">
        <v>1908</v>
      </c>
      <c r="C2690" s="196">
        <v>0</v>
      </c>
      <c r="D2690" s="196">
        <v>0.11</v>
      </c>
      <c r="E2690" s="195" t="s">
        <v>595</v>
      </c>
      <c r="F2690" s="195" t="s">
        <v>438</v>
      </c>
    </row>
    <row r="2691" spans="1:6" x14ac:dyDescent="0.25">
      <c r="A2691" s="189" t="str">
        <f t="shared" ref="A2691:A2754" si="42">B2691&amp;C2691&amp;D2691&amp;F2691</f>
        <v>BC-MU 11700.431.06S</v>
      </c>
      <c r="B2691" s="195" t="s">
        <v>1909</v>
      </c>
      <c r="C2691" s="196">
        <v>0.43</v>
      </c>
      <c r="D2691" s="196">
        <v>1.06</v>
      </c>
      <c r="E2691" s="195" t="s">
        <v>595</v>
      </c>
      <c r="F2691" s="195" t="s">
        <v>438</v>
      </c>
    </row>
    <row r="2692" spans="1:6" x14ac:dyDescent="0.25">
      <c r="A2692" s="189" t="str">
        <f t="shared" si="42"/>
        <v>BC-MU 120001.13N</v>
      </c>
      <c r="B2692" s="195" t="s">
        <v>1910</v>
      </c>
      <c r="C2692" s="196">
        <v>0</v>
      </c>
      <c r="D2692" s="196">
        <v>1.1299999999999999</v>
      </c>
      <c r="E2692" s="195" t="s">
        <v>583</v>
      </c>
      <c r="F2692" s="195" t="s">
        <v>430</v>
      </c>
    </row>
    <row r="2693" spans="1:6" x14ac:dyDescent="0.25">
      <c r="A2693" s="189" t="str">
        <f t="shared" si="42"/>
        <v>BC-MU 120001.13S</v>
      </c>
      <c r="B2693" s="195" t="s">
        <v>1910</v>
      </c>
      <c r="C2693" s="196">
        <v>0</v>
      </c>
      <c r="D2693" s="196">
        <v>1.1299999999999999</v>
      </c>
      <c r="E2693" s="195" t="s">
        <v>583</v>
      </c>
      <c r="F2693" s="195" t="s">
        <v>438</v>
      </c>
    </row>
    <row r="2694" spans="1:6" x14ac:dyDescent="0.25">
      <c r="A2694" s="189" t="str">
        <f t="shared" si="42"/>
        <v>BC-MU 123000.84E</v>
      </c>
      <c r="B2694" s="195" t="s">
        <v>1911</v>
      </c>
      <c r="C2694" s="196">
        <v>0</v>
      </c>
      <c r="D2694" s="196">
        <v>0.84</v>
      </c>
      <c r="E2694" s="195" t="s">
        <v>583</v>
      </c>
      <c r="F2694" s="195" t="s">
        <v>19</v>
      </c>
    </row>
    <row r="2695" spans="1:6" x14ac:dyDescent="0.25">
      <c r="A2695" s="189" t="str">
        <f t="shared" si="42"/>
        <v>BC-MU 123000.84W</v>
      </c>
      <c r="B2695" s="195" t="s">
        <v>1911</v>
      </c>
      <c r="C2695" s="196">
        <v>0</v>
      </c>
      <c r="D2695" s="196">
        <v>0.84</v>
      </c>
      <c r="E2695" s="195" t="s">
        <v>583</v>
      </c>
      <c r="F2695" s="195" t="s">
        <v>432</v>
      </c>
    </row>
    <row r="2696" spans="1:6" x14ac:dyDescent="0.25">
      <c r="A2696" s="189" t="str">
        <f t="shared" si="42"/>
        <v>BC-MU 12410.140.32N</v>
      </c>
      <c r="B2696" s="195" t="s">
        <v>1912</v>
      </c>
      <c r="C2696" s="196">
        <v>0.14000000000000001</v>
      </c>
      <c r="D2696" s="196">
        <v>0.32</v>
      </c>
      <c r="E2696" s="195" t="s">
        <v>583</v>
      </c>
      <c r="F2696" s="195" t="s">
        <v>430</v>
      </c>
    </row>
    <row r="2697" spans="1:6" x14ac:dyDescent="0.25">
      <c r="A2697" s="189" t="str">
        <f t="shared" si="42"/>
        <v>BC-MU 12410.140.32S</v>
      </c>
      <c r="B2697" s="195" t="s">
        <v>1912</v>
      </c>
      <c r="C2697" s="196">
        <v>0.14000000000000001</v>
      </c>
      <c r="D2697" s="196">
        <v>0.32</v>
      </c>
      <c r="E2697" s="195" t="s">
        <v>583</v>
      </c>
      <c r="F2697" s="195" t="s">
        <v>438</v>
      </c>
    </row>
    <row r="2698" spans="1:6" x14ac:dyDescent="0.25">
      <c r="A2698" s="189" t="str">
        <f t="shared" si="42"/>
        <v>BC-MU 128001.09N</v>
      </c>
      <c r="B2698" s="195" t="s">
        <v>1913</v>
      </c>
      <c r="C2698" s="196">
        <v>0</v>
      </c>
      <c r="D2698" s="196">
        <v>1.0900000000000001</v>
      </c>
      <c r="E2698" s="195" t="s">
        <v>583</v>
      </c>
      <c r="F2698" s="195" t="s">
        <v>430</v>
      </c>
    </row>
    <row r="2699" spans="1:6" x14ac:dyDescent="0.25">
      <c r="A2699" s="189" t="str">
        <f t="shared" si="42"/>
        <v>BC-MU 128001.09S</v>
      </c>
      <c r="B2699" s="195" t="s">
        <v>1913</v>
      </c>
      <c r="C2699" s="196">
        <v>0</v>
      </c>
      <c r="D2699" s="196">
        <v>1.0900000000000001</v>
      </c>
      <c r="E2699" s="195" t="s">
        <v>583</v>
      </c>
      <c r="F2699" s="195" t="s">
        <v>438</v>
      </c>
    </row>
    <row r="2700" spans="1:6" x14ac:dyDescent="0.25">
      <c r="A2700" s="189" t="str">
        <f t="shared" si="42"/>
        <v>BC-MU 12810.22.97E</v>
      </c>
      <c r="B2700" s="195" t="s">
        <v>1914</v>
      </c>
      <c r="C2700" s="196">
        <v>0.2</v>
      </c>
      <c r="D2700" s="196">
        <v>2.97</v>
      </c>
      <c r="E2700" s="195" t="s">
        <v>583</v>
      </c>
      <c r="F2700" s="195" t="s">
        <v>19</v>
      </c>
    </row>
    <row r="2701" spans="1:6" x14ac:dyDescent="0.25">
      <c r="A2701" s="189" t="str">
        <f t="shared" si="42"/>
        <v>BC-MU 12810.22.97W</v>
      </c>
      <c r="B2701" s="195" t="s">
        <v>1914</v>
      </c>
      <c r="C2701" s="196">
        <v>0.2</v>
      </c>
      <c r="D2701" s="196">
        <v>2.97</v>
      </c>
      <c r="E2701" s="195" t="s">
        <v>583</v>
      </c>
      <c r="F2701" s="195" t="s">
        <v>432</v>
      </c>
    </row>
    <row r="2702" spans="1:6" x14ac:dyDescent="0.25">
      <c r="A2702" s="189" t="str">
        <f t="shared" si="42"/>
        <v>BC-MU 130000.99N</v>
      </c>
      <c r="B2702" s="195" t="s">
        <v>1915</v>
      </c>
      <c r="C2702" s="196">
        <v>0</v>
      </c>
      <c r="D2702" s="196">
        <v>0.99</v>
      </c>
      <c r="E2702" s="195" t="s">
        <v>583</v>
      </c>
      <c r="F2702" s="195" t="s">
        <v>430</v>
      </c>
    </row>
    <row r="2703" spans="1:6" x14ac:dyDescent="0.25">
      <c r="A2703" s="189" t="str">
        <f t="shared" si="42"/>
        <v>BC-MU 130000.99S</v>
      </c>
      <c r="B2703" s="195" t="s">
        <v>1915</v>
      </c>
      <c r="C2703" s="196">
        <v>0</v>
      </c>
      <c r="D2703" s="196">
        <v>0.99</v>
      </c>
      <c r="E2703" s="195" t="s">
        <v>583</v>
      </c>
      <c r="F2703" s="195" t="s">
        <v>438</v>
      </c>
    </row>
    <row r="2704" spans="1:6" x14ac:dyDescent="0.25">
      <c r="A2704" s="189" t="str">
        <f t="shared" si="42"/>
        <v>BC-MU 13100.10.19W</v>
      </c>
      <c r="B2704" s="195" t="s">
        <v>1916</v>
      </c>
      <c r="C2704" s="196">
        <v>0.1</v>
      </c>
      <c r="D2704" s="196">
        <v>0.19</v>
      </c>
      <c r="E2704" s="195" t="s">
        <v>593</v>
      </c>
      <c r="F2704" s="195" t="s">
        <v>432</v>
      </c>
    </row>
    <row r="2705" spans="1:6" x14ac:dyDescent="0.25">
      <c r="A2705" s="189" t="str">
        <f t="shared" si="42"/>
        <v>BC-MU 13100.10.2E</v>
      </c>
      <c r="B2705" s="195" t="s">
        <v>1916</v>
      </c>
      <c r="C2705" s="196">
        <v>0.1</v>
      </c>
      <c r="D2705" s="196">
        <v>0.2</v>
      </c>
      <c r="E2705" s="195" t="s">
        <v>598</v>
      </c>
      <c r="F2705" s="195" t="s">
        <v>19</v>
      </c>
    </row>
    <row r="2706" spans="1:6" x14ac:dyDescent="0.25">
      <c r="A2706" s="189" t="str">
        <f t="shared" si="42"/>
        <v>BC-MU 13100.190.2W</v>
      </c>
      <c r="B2706" s="195" t="s">
        <v>1916</v>
      </c>
      <c r="C2706" s="196">
        <v>0.19</v>
      </c>
      <c r="D2706" s="196">
        <v>0.2</v>
      </c>
      <c r="E2706" s="195" t="s">
        <v>593</v>
      </c>
      <c r="F2706" s="195" t="s">
        <v>432</v>
      </c>
    </row>
    <row r="2707" spans="1:6" x14ac:dyDescent="0.25">
      <c r="A2707" s="189" t="str">
        <f t="shared" si="42"/>
        <v>BC-MU 13100.21.38E</v>
      </c>
      <c r="B2707" s="195" t="s">
        <v>1916</v>
      </c>
      <c r="C2707" s="196">
        <v>0.2</v>
      </c>
      <c r="D2707" s="196">
        <v>1.38</v>
      </c>
      <c r="E2707" s="195" t="s">
        <v>583</v>
      </c>
      <c r="F2707" s="195" t="s">
        <v>19</v>
      </c>
    </row>
    <row r="2708" spans="1:6" x14ac:dyDescent="0.25">
      <c r="A2708" s="189" t="str">
        <f t="shared" si="42"/>
        <v>BC-MU 13100.21.38W</v>
      </c>
      <c r="B2708" s="195" t="s">
        <v>1916</v>
      </c>
      <c r="C2708" s="196">
        <v>0.2</v>
      </c>
      <c r="D2708" s="196">
        <v>1.38</v>
      </c>
      <c r="E2708" s="195" t="s">
        <v>583</v>
      </c>
      <c r="F2708" s="195" t="s">
        <v>432</v>
      </c>
    </row>
    <row r="2709" spans="1:6" x14ac:dyDescent="0.25">
      <c r="A2709" s="189" t="str">
        <f t="shared" si="42"/>
        <v>BC-MU 134002.63E</v>
      </c>
      <c r="B2709" s="195" t="s">
        <v>1917</v>
      </c>
      <c r="C2709" s="196">
        <v>0</v>
      </c>
      <c r="D2709" s="196">
        <v>2.63</v>
      </c>
      <c r="E2709" s="195" t="s">
        <v>583</v>
      </c>
      <c r="F2709" s="195" t="s">
        <v>19</v>
      </c>
    </row>
    <row r="2710" spans="1:6" x14ac:dyDescent="0.25">
      <c r="A2710" s="189" t="str">
        <f t="shared" si="42"/>
        <v>BC-MU 134002.63W</v>
      </c>
      <c r="B2710" s="195" t="s">
        <v>1917</v>
      </c>
      <c r="C2710" s="196">
        <v>0</v>
      </c>
      <c r="D2710" s="196">
        <v>2.63</v>
      </c>
      <c r="E2710" s="195" t="s">
        <v>583</v>
      </c>
      <c r="F2710" s="195" t="s">
        <v>432</v>
      </c>
    </row>
    <row r="2711" spans="1:6" x14ac:dyDescent="0.25">
      <c r="A2711" s="189" t="str">
        <f t="shared" si="42"/>
        <v>BC-MU 13510.730.88E</v>
      </c>
      <c r="B2711" s="195" t="s">
        <v>1918</v>
      </c>
      <c r="C2711" s="196">
        <v>0.73</v>
      </c>
      <c r="D2711" s="196">
        <v>0.88</v>
      </c>
      <c r="E2711" s="195" t="s">
        <v>598</v>
      </c>
      <c r="F2711" s="195" t="s">
        <v>19</v>
      </c>
    </row>
    <row r="2712" spans="1:6" x14ac:dyDescent="0.25">
      <c r="A2712" s="189" t="str">
        <f t="shared" si="42"/>
        <v>BC-MU 13510.730.88W</v>
      </c>
      <c r="B2712" s="195" t="s">
        <v>1918</v>
      </c>
      <c r="C2712" s="196">
        <v>0.73</v>
      </c>
      <c r="D2712" s="196">
        <v>0.88</v>
      </c>
      <c r="E2712" s="195" t="s">
        <v>593</v>
      </c>
      <c r="F2712" s="195" t="s">
        <v>432</v>
      </c>
    </row>
    <row r="2713" spans="1:6" x14ac:dyDescent="0.25">
      <c r="A2713" s="189" t="str">
        <f t="shared" si="42"/>
        <v>BC-MU 135300.09E</v>
      </c>
      <c r="B2713" s="195" t="s">
        <v>1919</v>
      </c>
      <c r="C2713" s="196">
        <v>0</v>
      </c>
      <c r="D2713" s="196">
        <v>0.09</v>
      </c>
      <c r="E2713" s="195" t="s">
        <v>598</v>
      </c>
      <c r="F2713" s="195" t="s">
        <v>19</v>
      </c>
    </row>
    <row r="2714" spans="1:6" x14ac:dyDescent="0.25">
      <c r="A2714" s="189" t="str">
        <f t="shared" si="42"/>
        <v>BC-MU 135300.15W</v>
      </c>
      <c r="B2714" s="195" t="s">
        <v>1919</v>
      </c>
      <c r="C2714" s="196">
        <v>0</v>
      </c>
      <c r="D2714" s="196">
        <v>0.15</v>
      </c>
      <c r="E2714" s="195" t="s">
        <v>593</v>
      </c>
      <c r="F2714" s="195" t="s">
        <v>432</v>
      </c>
    </row>
    <row r="2715" spans="1:6" x14ac:dyDescent="0.25">
      <c r="A2715" s="189" t="str">
        <f t="shared" si="42"/>
        <v>BC-MU 135700.51N</v>
      </c>
      <c r="B2715" s="195" t="s">
        <v>1920</v>
      </c>
      <c r="C2715" s="196">
        <v>0</v>
      </c>
      <c r="D2715" s="196">
        <v>0.51</v>
      </c>
      <c r="E2715" s="195" t="s">
        <v>589</v>
      </c>
      <c r="F2715" s="195" t="s">
        <v>430</v>
      </c>
    </row>
    <row r="2716" spans="1:6" x14ac:dyDescent="0.25">
      <c r="A2716" s="189" t="str">
        <f t="shared" si="42"/>
        <v>BC-MU 13570.260.51S</v>
      </c>
      <c r="B2716" s="195" t="s">
        <v>1920</v>
      </c>
      <c r="C2716" s="196">
        <v>0.26</v>
      </c>
      <c r="D2716" s="196">
        <v>0.51</v>
      </c>
      <c r="E2716" s="195" t="s">
        <v>595</v>
      </c>
      <c r="F2716" s="195" t="s">
        <v>438</v>
      </c>
    </row>
    <row r="2717" spans="1:6" x14ac:dyDescent="0.25">
      <c r="A2717" s="189" t="str">
        <f t="shared" si="42"/>
        <v>BC-MU 135800.19N</v>
      </c>
      <c r="B2717" s="195" t="s">
        <v>1921</v>
      </c>
      <c r="C2717" s="196">
        <v>0</v>
      </c>
      <c r="D2717" s="196">
        <v>0.19</v>
      </c>
      <c r="E2717" s="195" t="s">
        <v>583</v>
      </c>
      <c r="F2717" s="195" t="s">
        <v>430</v>
      </c>
    </row>
    <row r="2718" spans="1:6" x14ac:dyDescent="0.25">
      <c r="A2718" s="189" t="str">
        <f t="shared" si="42"/>
        <v>BC-MU 135800.19S</v>
      </c>
      <c r="B2718" s="195" t="s">
        <v>1921</v>
      </c>
      <c r="C2718" s="196">
        <v>0</v>
      </c>
      <c r="D2718" s="196">
        <v>0.19</v>
      </c>
      <c r="E2718" s="195" t="s">
        <v>583</v>
      </c>
      <c r="F2718" s="195" t="s">
        <v>438</v>
      </c>
    </row>
    <row r="2719" spans="1:6" x14ac:dyDescent="0.25">
      <c r="A2719" s="189" t="str">
        <f t="shared" si="42"/>
        <v>BC-MU 135900.57N</v>
      </c>
      <c r="B2719" s="195" t="s">
        <v>1922</v>
      </c>
      <c r="C2719" s="196">
        <v>0</v>
      </c>
      <c r="D2719" s="196">
        <v>0.56999999999999995</v>
      </c>
      <c r="E2719" s="195" t="s">
        <v>589</v>
      </c>
      <c r="F2719" s="195" t="s">
        <v>430</v>
      </c>
    </row>
    <row r="2720" spans="1:6" x14ac:dyDescent="0.25">
      <c r="A2720" s="189" t="str">
        <f t="shared" si="42"/>
        <v>BC-MU 136002.48W</v>
      </c>
      <c r="B2720" s="195" t="s">
        <v>1923</v>
      </c>
      <c r="C2720" s="196">
        <v>0</v>
      </c>
      <c r="D2720" s="196">
        <v>2.48</v>
      </c>
      <c r="E2720" s="195" t="s">
        <v>593</v>
      </c>
      <c r="F2720" s="195" t="s">
        <v>432</v>
      </c>
    </row>
    <row r="2721" spans="1:6" x14ac:dyDescent="0.25">
      <c r="A2721" s="189" t="str">
        <f t="shared" si="42"/>
        <v>BC-MU 136500.39W</v>
      </c>
      <c r="B2721" s="195" t="s">
        <v>1924</v>
      </c>
      <c r="C2721" s="196">
        <v>0</v>
      </c>
      <c r="D2721" s="196">
        <v>0.39</v>
      </c>
      <c r="E2721" s="195" t="s">
        <v>593</v>
      </c>
      <c r="F2721" s="195" t="s">
        <v>432</v>
      </c>
    </row>
    <row r="2722" spans="1:6" x14ac:dyDescent="0.25">
      <c r="A2722" s="189" t="str">
        <f t="shared" si="42"/>
        <v>BC-MU 137003.03E</v>
      </c>
      <c r="B2722" s="195" t="s">
        <v>1925</v>
      </c>
      <c r="C2722" s="196">
        <v>0</v>
      </c>
      <c r="D2722" s="196">
        <v>3.03</v>
      </c>
      <c r="E2722" s="195" t="s">
        <v>598</v>
      </c>
      <c r="F2722" s="195" t="s">
        <v>19</v>
      </c>
    </row>
    <row r="2723" spans="1:6" x14ac:dyDescent="0.25">
      <c r="A2723" s="189" t="str">
        <f t="shared" si="42"/>
        <v>BC-MU 13901.121.65W</v>
      </c>
      <c r="B2723" s="195" t="s">
        <v>1926</v>
      </c>
      <c r="C2723" s="196">
        <v>1.1200000000000001</v>
      </c>
      <c r="D2723" s="196">
        <v>1.65</v>
      </c>
      <c r="E2723" s="195" t="s">
        <v>593</v>
      </c>
      <c r="F2723" s="195" t="s">
        <v>432</v>
      </c>
    </row>
    <row r="2724" spans="1:6" x14ac:dyDescent="0.25">
      <c r="A2724" s="189" t="str">
        <f t="shared" si="42"/>
        <v>BC-MU 13901.51.58E</v>
      </c>
      <c r="B2724" s="195" t="s">
        <v>1926</v>
      </c>
      <c r="C2724" s="196">
        <v>1.5</v>
      </c>
      <c r="D2724" s="196">
        <v>1.58</v>
      </c>
      <c r="E2724" s="195" t="s">
        <v>598</v>
      </c>
      <c r="F2724" s="195" t="s">
        <v>19</v>
      </c>
    </row>
    <row r="2725" spans="1:6" x14ac:dyDescent="0.25">
      <c r="A2725" s="189" t="str">
        <f t="shared" si="42"/>
        <v>BC-MU 139101.6E</v>
      </c>
      <c r="B2725" s="195" t="s">
        <v>1927</v>
      </c>
      <c r="C2725" s="196">
        <v>0</v>
      </c>
      <c r="D2725" s="196">
        <v>1.6</v>
      </c>
      <c r="E2725" s="195" t="s">
        <v>598</v>
      </c>
      <c r="F2725" s="195" t="s">
        <v>19</v>
      </c>
    </row>
    <row r="2726" spans="1:6" x14ac:dyDescent="0.25">
      <c r="A2726" s="189" t="str">
        <f t="shared" si="42"/>
        <v>BC-MU 139200.62E</v>
      </c>
      <c r="B2726" s="195" t="s">
        <v>1928</v>
      </c>
      <c r="C2726" s="196">
        <v>0</v>
      </c>
      <c r="D2726" s="196">
        <v>0.62</v>
      </c>
      <c r="E2726" s="195" t="s">
        <v>598</v>
      </c>
      <c r="F2726" s="195" t="s">
        <v>19</v>
      </c>
    </row>
    <row r="2727" spans="1:6" x14ac:dyDescent="0.25">
      <c r="A2727" s="189" t="str">
        <f t="shared" si="42"/>
        <v>BC-MU 13920.080.14W</v>
      </c>
      <c r="B2727" s="195" t="s">
        <v>1928</v>
      </c>
      <c r="C2727" s="196">
        <v>0.08</v>
      </c>
      <c r="D2727" s="196">
        <v>0.14000000000000001</v>
      </c>
      <c r="E2727" s="195" t="s">
        <v>593</v>
      </c>
      <c r="F2727" s="195" t="s">
        <v>432</v>
      </c>
    </row>
    <row r="2728" spans="1:6" x14ac:dyDescent="0.25">
      <c r="A2728" s="189" t="str">
        <f t="shared" si="42"/>
        <v>BC-MU 13920.140.53W</v>
      </c>
      <c r="B2728" s="195" t="s">
        <v>1928</v>
      </c>
      <c r="C2728" s="196">
        <v>0.14000000000000001</v>
      </c>
      <c r="D2728" s="196">
        <v>0.53</v>
      </c>
      <c r="E2728" s="195" t="s">
        <v>593</v>
      </c>
      <c r="F2728" s="195" t="s">
        <v>432</v>
      </c>
    </row>
    <row r="2729" spans="1:6" x14ac:dyDescent="0.25">
      <c r="A2729" s="189" t="str">
        <f t="shared" si="42"/>
        <v>BC-MU 13920.530.62W</v>
      </c>
      <c r="B2729" s="195" t="s">
        <v>1928</v>
      </c>
      <c r="C2729" s="196">
        <v>0.53</v>
      </c>
      <c r="D2729" s="196">
        <v>0.62</v>
      </c>
      <c r="E2729" s="195" t="s">
        <v>593</v>
      </c>
      <c r="F2729" s="195" t="s">
        <v>432</v>
      </c>
    </row>
    <row r="2730" spans="1:6" x14ac:dyDescent="0.25">
      <c r="A2730" s="189" t="str">
        <f t="shared" si="42"/>
        <v>BC-MU 139501.64W</v>
      </c>
      <c r="B2730" s="195" t="s">
        <v>1929</v>
      </c>
      <c r="C2730" s="196">
        <v>0</v>
      </c>
      <c r="D2730" s="196">
        <v>1.64</v>
      </c>
      <c r="E2730" s="195" t="s">
        <v>593</v>
      </c>
      <c r="F2730" s="195" t="s">
        <v>432</v>
      </c>
    </row>
    <row r="2731" spans="1:6" x14ac:dyDescent="0.25">
      <c r="A2731" s="189" t="str">
        <f t="shared" si="42"/>
        <v>BC-MU 13950.110.24E</v>
      </c>
      <c r="B2731" s="195" t="s">
        <v>1929</v>
      </c>
      <c r="C2731" s="196">
        <v>0.11</v>
      </c>
      <c r="D2731" s="196">
        <v>0.24</v>
      </c>
      <c r="E2731" s="195" t="s">
        <v>598</v>
      </c>
      <c r="F2731" s="195" t="s">
        <v>19</v>
      </c>
    </row>
    <row r="2732" spans="1:6" x14ac:dyDescent="0.25">
      <c r="A2732" s="189" t="str">
        <f t="shared" si="42"/>
        <v>BC-MU 13950.420.5E</v>
      </c>
      <c r="B2732" s="195" t="s">
        <v>1929</v>
      </c>
      <c r="C2732" s="196">
        <v>0.42</v>
      </c>
      <c r="D2732" s="196">
        <v>0.5</v>
      </c>
      <c r="E2732" s="195" t="s">
        <v>598</v>
      </c>
      <c r="F2732" s="195" t="s">
        <v>19</v>
      </c>
    </row>
    <row r="2733" spans="1:6" x14ac:dyDescent="0.25">
      <c r="A2733" s="189" t="str">
        <f t="shared" si="42"/>
        <v>BC-MU 13950.50.68E</v>
      </c>
      <c r="B2733" s="195" t="s">
        <v>1929</v>
      </c>
      <c r="C2733" s="196">
        <v>0.5</v>
      </c>
      <c r="D2733" s="196">
        <v>0.68</v>
      </c>
      <c r="E2733" s="195" t="s">
        <v>598</v>
      </c>
      <c r="F2733" s="195" t="s">
        <v>19</v>
      </c>
    </row>
    <row r="2734" spans="1:6" x14ac:dyDescent="0.25">
      <c r="A2734" s="189" t="str">
        <f t="shared" si="42"/>
        <v>BC-MU 13950.681.64E</v>
      </c>
      <c r="B2734" s="195" t="s">
        <v>1929</v>
      </c>
      <c r="C2734" s="196">
        <v>0.68</v>
      </c>
      <c r="D2734" s="196">
        <v>1.64</v>
      </c>
      <c r="E2734" s="195" t="s">
        <v>598</v>
      </c>
      <c r="F2734" s="195" t="s">
        <v>19</v>
      </c>
    </row>
    <row r="2735" spans="1:6" x14ac:dyDescent="0.25">
      <c r="A2735" s="189" t="str">
        <f t="shared" si="42"/>
        <v>BC-MU 14501.21.48S</v>
      </c>
      <c r="B2735" s="195" t="s">
        <v>1930</v>
      </c>
      <c r="C2735" s="196">
        <v>1.2</v>
      </c>
      <c r="D2735" s="196">
        <v>1.48</v>
      </c>
      <c r="E2735" s="195" t="s">
        <v>595</v>
      </c>
      <c r="F2735" s="195" t="s">
        <v>438</v>
      </c>
    </row>
    <row r="2736" spans="1:6" x14ac:dyDescent="0.25">
      <c r="A2736" s="189" t="str">
        <f t="shared" si="42"/>
        <v>BC-MU 14501.431.48N</v>
      </c>
      <c r="B2736" s="195" t="s">
        <v>1930</v>
      </c>
      <c r="C2736" s="196">
        <v>1.43</v>
      </c>
      <c r="D2736" s="196">
        <v>1.48</v>
      </c>
      <c r="E2736" s="195" t="s">
        <v>589</v>
      </c>
      <c r="F2736" s="195" t="s">
        <v>430</v>
      </c>
    </row>
    <row r="2737" spans="1:6" x14ac:dyDescent="0.25">
      <c r="A2737" s="189" t="str">
        <f t="shared" si="42"/>
        <v>BC-MU 145500.2S</v>
      </c>
      <c r="B2737" s="195" t="s">
        <v>1931</v>
      </c>
      <c r="C2737" s="196">
        <v>0</v>
      </c>
      <c r="D2737" s="196">
        <v>0.2</v>
      </c>
      <c r="E2737" s="195" t="s">
        <v>595</v>
      </c>
      <c r="F2737" s="195" t="s">
        <v>438</v>
      </c>
    </row>
    <row r="2738" spans="1:6" x14ac:dyDescent="0.25">
      <c r="A2738" s="189" t="str">
        <f t="shared" si="42"/>
        <v>BC-MU 14550.120.2N</v>
      </c>
      <c r="B2738" s="195" t="s">
        <v>1931</v>
      </c>
      <c r="C2738" s="196">
        <v>0.12</v>
      </c>
      <c r="D2738" s="196">
        <v>0.2</v>
      </c>
      <c r="E2738" s="195" t="s">
        <v>589</v>
      </c>
      <c r="F2738" s="195" t="s">
        <v>430</v>
      </c>
    </row>
    <row r="2739" spans="1:6" x14ac:dyDescent="0.25">
      <c r="A2739" s="189" t="str">
        <f t="shared" si="42"/>
        <v>BC-MU 147000.41W</v>
      </c>
      <c r="B2739" s="195" t="s">
        <v>1932</v>
      </c>
      <c r="C2739" s="196">
        <v>0</v>
      </c>
      <c r="D2739" s="196">
        <v>0.41</v>
      </c>
      <c r="E2739" s="195" t="s">
        <v>593</v>
      </c>
      <c r="F2739" s="195" t="s">
        <v>432</v>
      </c>
    </row>
    <row r="2740" spans="1:6" x14ac:dyDescent="0.25">
      <c r="A2740" s="189" t="str">
        <f t="shared" si="42"/>
        <v>BC-MU 14700.030.05E</v>
      </c>
      <c r="B2740" s="195" t="s">
        <v>1932</v>
      </c>
      <c r="C2740" s="196">
        <v>0.03</v>
      </c>
      <c r="D2740" s="196">
        <v>0.05</v>
      </c>
      <c r="E2740" s="195" t="s">
        <v>598</v>
      </c>
      <c r="F2740" s="195" t="s">
        <v>19</v>
      </c>
    </row>
    <row r="2741" spans="1:6" x14ac:dyDescent="0.25">
      <c r="A2741" s="189" t="str">
        <f t="shared" si="42"/>
        <v>BC-MU 148000.61E</v>
      </c>
      <c r="B2741" s="195" t="s">
        <v>1933</v>
      </c>
      <c r="C2741" s="196">
        <v>0</v>
      </c>
      <c r="D2741" s="196">
        <v>0.61</v>
      </c>
      <c r="E2741" s="195" t="s">
        <v>598</v>
      </c>
      <c r="F2741" s="195" t="s">
        <v>19</v>
      </c>
    </row>
    <row r="2742" spans="1:6" x14ac:dyDescent="0.25">
      <c r="A2742" s="189" t="str">
        <f t="shared" si="42"/>
        <v>BC-MU 150000.98N</v>
      </c>
      <c r="B2742" s="195" t="s">
        <v>1934</v>
      </c>
      <c r="C2742" s="196">
        <v>0</v>
      </c>
      <c r="D2742" s="196">
        <v>0.98</v>
      </c>
      <c r="E2742" s="195" t="s">
        <v>583</v>
      </c>
      <c r="F2742" s="195" t="s">
        <v>430</v>
      </c>
    </row>
    <row r="2743" spans="1:6" x14ac:dyDescent="0.25">
      <c r="A2743" s="189" t="str">
        <f t="shared" si="42"/>
        <v>BC-MU 150000.98S</v>
      </c>
      <c r="B2743" s="195" t="s">
        <v>1934</v>
      </c>
      <c r="C2743" s="196">
        <v>0</v>
      </c>
      <c r="D2743" s="196">
        <v>0.98</v>
      </c>
      <c r="E2743" s="195" t="s">
        <v>583</v>
      </c>
      <c r="F2743" s="195" t="s">
        <v>438</v>
      </c>
    </row>
    <row r="2744" spans="1:6" x14ac:dyDescent="0.25">
      <c r="A2744" s="189" t="str">
        <f t="shared" si="42"/>
        <v>BC-MU 151501.35N</v>
      </c>
      <c r="B2744" s="195" t="s">
        <v>1935</v>
      </c>
      <c r="C2744" s="196">
        <v>0</v>
      </c>
      <c r="D2744" s="196">
        <v>1.35</v>
      </c>
      <c r="E2744" s="195" t="s">
        <v>589</v>
      </c>
      <c r="F2744" s="195" t="s">
        <v>430</v>
      </c>
    </row>
    <row r="2745" spans="1:6" x14ac:dyDescent="0.25">
      <c r="A2745" s="189" t="str">
        <f t="shared" si="42"/>
        <v>BC-MU 154000.68N</v>
      </c>
      <c r="B2745" s="195" t="s">
        <v>1936</v>
      </c>
      <c r="C2745" s="196">
        <v>0</v>
      </c>
      <c r="D2745" s="196">
        <v>0.68</v>
      </c>
      <c r="E2745" s="195" t="s">
        <v>583</v>
      </c>
      <c r="F2745" s="195" t="s">
        <v>430</v>
      </c>
    </row>
    <row r="2746" spans="1:6" x14ac:dyDescent="0.25">
      <c r="A2746" s="189" t="str">
        <f t="shared" si="42"/>
        <v>BC-MU 154000.68S</v>
      </c>
      <c r="B2746" s="195" t="s">
        <v>1936</v>
      </c>
      <c r="C2746" s="196">
        <v>0</v>
      </c>
      <c r="D2746" s="196">
        <v>0.68</v>
      </c>
      <c r="E2746" s="195" t="s">
        <v>583</v>
      </c>
      <c r="F2746" s="195" t="s">
        <v>438</v>
      </c>
    </row>
    <row r="2747" spans="1:6" x14ac:dyDescent="0.25">
      <c r="A2747" s="189" t="str">
        <f t="shared" si="42"/>
        <v>BC-MU 161100.93E</v>
      </c>
      <c r="B2747" s="195" t="s">
        <v>1937</v>
      </c>
      <c r="C2747" s="196">
        <v>0</v>
      </c>
      <c r="D2747" s="196">
        <v>0.93</v>
      </c>
      <c r="E2747" s="195" t="s">
        <v>598</v>
      </c>
      <c r="F2747" s="195" t="s">
        <v>19</v>
      </c>
    </row>
    <row r="2748" spans="1:6" x14ac:dyDescent="0.25">
      <c r="A2748" s="189" t="str">
        <f t="shared" si="42"/>
        <v>BC-MU 161200.43W</v>
      </c>
      <c r="B2748" s="195" t="s">
        <v>1938</v>
      </c>
      <c r="C2748" s="196">
        <v>0</v>
      </c>
      <c r="D2748" s="196">
        <v>0.43</v>
      </c>
      <c r="E2748" s="195" t="s">
        <v>593</v>
      </c>
      <c r="F2748" s="195" t="s">
        <v>432</v>
      </c>
    </row>
    <row r="2749" spans="1:6" x14ac:dyDescent="0.25">
      <c r="A2749" s="189" t="str">
        <f t="shared" si="42"/>
        <v>BC-MU 161300.41E</v>
      </c>
      <c r="B2749" s="195" t="s">
        <v>1939</v>
      </c>
      <c r="C2749" s="196">
        <v>0</v>
      </c>
      <c r="D2749" s="196">
        <v>0.41</v>
      </c>
      <c r="E2749" s="195" t="s">
        <v>598</v>
      </c>
      <c r="F2749" s="195" t="s">
        <v>19</v>
      </c>
    </row>
    <row r="2750" spans="1:6" x14ac:dyDescent="0.25">
      <c r="A2750" s="189" t="str">
        <f t="shared" si="42"/>
        <v>BC-MU 161500.99W</v>
      </c>
      <c r="B2750" s="195" t="s">
        <v>1940</v>
      </c>
      <c r="C2750" s="196">
        <v>0</v>
      </c>
      <c r="D2750" s="196">
        <v>0.99</v>
      </c>
      <c r="E2750" s="195" t="s">
        <v>593</v>
      </c>
      <c r="F2750" s="195" t="s">
        <v>432</v>
      </c>
    </row>
    <row r="2751" spans="1:6" x14ac:dyDescent="0.25">
      <c r="A2751" s="189" t="str">
        <f t="shared" si="42"/>
        <v>BC-MU 170000.16N</v>
      </c>
      <c r="B2751" s="195" t="s">
        <v>1941</v>
      </c>
      <c r="C2751" s="196">
        <v>0</v>
      </c>
      <c r="D2751" s="196">
        <v>0.16</v>
      </c>
      <c r="E2751" s="195" t="s">
        <v>589</v>
      </c>
      <c r="F2751" s="195" t="s">
        <v>430</v>
      </c>
    </row>
    <row r="2752" spans="1:6" x14ac:dyDescent="0.25">
      <c r="A2752" s="189" t="str">
        <f t="shared" si="42"/>
        <v>BC-MU 170000.16S</v>
      </c>
      <c r="B2752" s="195" t="s">
        <v>1941</v>
      </c>
      <c r="C2752" s="196">
        <v>0</v>
      </c>
      <c r="D2752" s="196">
        <v>0.16</v>
      </c>
      <c r="E2752" s="195" t="s">
        <v>595</v>
      </c>
      <c r="F2752" s="195" t="s">
        <v>438</v>
      </c>
    </row>
    <row r="2753" spans="1:6" x14ac:dyDescent="0.25">
      <c r="A2753" s="189" t="str">
        <f t="shared" si="42"/>
        <v>BC-MU 172000.36S</v>
      </c>
      <c r="B2753" s="195" t="s">
        <v>1942</v>
      </c>
      <c r="C2753" s="196">
        <v>0</v>
      </c>
      <c r="D2753" s="196">
        <v>0.36</v>
      </c>
      <c r="E2753" s="195" t="s">
        <v>595</v>
      </c>
      <c r="F2753" s="195" t="s">
        <v>438</v>
      </c>
    </row>
    <row r="2754" spans="1:6" x14ac:dyDescent="0.25">
      <c r="A2754" s="189" t="str">
        <f t="shared" si="42"/>
        <v>BC-MU 174000.08W</v>
      </c>
      <c r="B2754" s="195" t="s">
        <v>1943</v>
      </c>
      <c r="C2754" s="196">
        <v>0</v>
      </c>
      <c r="D2754" s="196">
        <v>0.08</v>
      </c>
      <c r="E2754" s="195" t="s">
        <v>593</v>
      </c>
      <c r="F2754" s="195" t="s">
        <v>432</v>
      </c>
    </row>
    <row r="2755" spans="1:6" x14ac:dyDescent="0.25">
      <c r="A2755" s="189" t="str">
        <f t="shared" ref="A2755:A2818" si="43">B2755&amp;C2755&amp;D2755&amp;F2755</f>
        <v>BC-MU 17400.040.08E</v>
      </c>
      <c r="B2755" s="195" t="s">
        <v>1943</v>
      </c>
      <c r="C2755" s="196">
        <v>0.04</v>
      </c>
      <c r="D2755" s="196">
        <v>0.08</v>
      </c>
      <c r="E2755" s="195" t="s">
        <v>598</v>
      </c>
      <c r="F2755" s="195" t="s">
        <v>19</v>
      </c>
    </row>
    <row r="2756" spans="1:6" x14ac:dyDescent="0.25">
      <c r="A2756" s="189" t="str">
        <f t="shared" si="43"/>
        <v>BC-MU 179000.64E</v>
      </c>
      <c r="B2756" s="195" t="s">
        <v>1944</v>
      </c>
      <c r="C2756" s="196">
        <v>0</v>
      </c>
      <c r="D2756" s="196">
        <v>0.64</v>
      </c>
      <c r="E2756" s="195" t="s">
        <v>598</v>
      </c>
      <c r="F2756" s="195" t="s">
        <v>19</v>
      </c>
    </row>
    <row r="2757" spans="1:6" x14ac:dyDescent="0.25">
      <c r="A2757" s="189" t="str">
        <f t="shared" si="43"/>
        <v>BC-MU 183000.2E</v>
      </c>
      <c r="B2757" s="195" t="s">
        <v>1945</v>
      </c>
      <c r="C2757" s="196">
        <v>0</v>
      </c>
      <c r="D2757" s="196">
        <v>0.2</v>
      </c>
      <c r="E2757" s="195" t="s">
        <v>598</v>
      </c>
      <c r="F2757" s="195" t="s">
        <v>19</v>
      </c>
    </row>
    <row r="2758" spans="1:6" x14ac:dyDescent="0.25">
      <c r="A2758" s="189" t="str">
        <f t="shared" si="43"/>
        <v>BC-MU 21000.563.6E</v>
      </c>
      <c r="B2758" s="195" t="s">
        <v>1946</v>
      </c>
      <c r="C2758" s="196">
        <v>0.56000000000000005</v>
      </c>
      <c r="D2758" s="196">
        <v>3.6</v>
      </c>
      <c r="E2758" s="195" t="s">
        <v>583</v>
      </c>
      <c r="F2758" s="195" t="s">
        <v>19</v>
      </c>
    </row>
    <row r="2759" spans="1:6" x14ac:dyDescent="0.25">
      <c r="A2759" s="189" t="str">
        <f t="shared" si="43"/>
        <v>BC-MU 21000.563.6W</v>
      </c>
      <c r="B2759" s="195" t="s">
        <v>1946</v>
      </c>
      <c r="C2759" s="196">
        <v>0.56000000000000005</v>
      </c>
      <c r="D2759" s="196">
        <v>3.6</v>
      </c>
      <c r="E2759" s="195" t="s">
        <v>583</v>
      </c>
      <c r="F2759" s="195" t="s">
        <v>432</v>
      </c>
    </row>
    <row r="2760" spans="1:6" x14ac:dyDescent="0.25">
      <c r="A2760" s="189" t="str">
        <f t="shared" si="43"/>
        <v>BC-MU 210502.97E</v>
      </c>
      <c r="B2760" s="195" t="s">
        <v>1947</v>
      </c>
      <c r="C2760" s="196">
        <v>0</v>
      </c>
      <c r="D2760" s="196">
        <v>2.97</v>
      </c>
      <c r="E2760" s="195" t="s">
        <v>583</v>
      </c>
      <c r="F2760" s="195" t="s">
        <v>19</v>
      </c>
    </row>
    <row r="2761" spans="1:6" x14ac:dyDescent="0.25">
      <c r="A2761" s="189" t="str">
        <f t="shared" si="43"/>
        <v>BC-MU 210502.97W</v>
      </c>
      <c r="B2761" s="195" t="s">
        <v>1947</v>
      </c>
      <c r="C2761" s="196">
        <v>0</v>
      </c>
      <c r="D2761" s="196">
        <v>2.97</v>
      </c>
      <c r="E2761" s="195" t="s">
        <v>583</v>
      </c>
      <c r="F2761" s="195" t="s">
        <v>432</v>
      </c>
    </row>
    <row r="2762" spans="1:6" x14ac:dyDescent="0.25">
      <c r="A2762" s="189" t="str">
        <f t="shared" si="43"/>
        <v>BC-MU 215000.49N</v>
      </c>
      <c r="B2762" s="195" t="s">
        <v>1948</v>
      </c>
      <c r="C2762" s="196">
        <v>0</v>
      </c>
      <c r="D2762" s="196">
        <v>0.49</v>
      </c>
      <c r="E2762" s="195" t="s">
        <v>583</v>
      </c>
      <c r="F2762" s="195" t="s">
        <v>430</v>
      </c>
    </row>
    <row r="2763" spans="1:6" x14ac:dyDescent="0.25">
      <c r="A2763" s="189" t="str">
        <f t="shared" si="43"/>
        <v>BC-MU 215000.49S</v>
      </c>
      <c r="B2763" s="195" t="s">
        <v>1948</v>
      </c>
      <c r="C2763" s="196">
        <v>0</v>
      </c>
      <c r="D2763" s="196">
        <v>0.49</v>
      </c>
      <c r="E2763" s="195" t="s">
        <v>583</v>
      </c>
      <c r="F2763" s="195" t="s">
        <v>438</v>
      </c>
    </row>
    <row r="2764" spans="1:6" x14ac:dyDescent="0.25">
      <c r="A2764" s="189" t="str">
        <f t="shared" si="43"/>
        <v>BC-MU 232000.09N</v>
      </c>
      <c r="B2764" s="195" t="s">
        <v>1949</v>
      </c>
      <c r="C2764" s="196">
        <v>0</v>
      </c>
      <c r="D2764" s="196">
        <v>0.09</v>
      </c>
      <c r="E2764" s="195" t="s">
        <v>589</v>
      </c>
      <c r="F2764" s="195" t="s">
        <v>430</v>
      </c>
    </row>
    <row r="2765" spans="1:6" x14ac:dyDescent="0.25">
      <c r="A2765" s="189" t="str">
        <f t="shared" si="43"/>
        <v>BC-MU 232000.09S</v>
      </c>
      <c r="B2765" s="195" t="s">
        <v>1949</v>
      </c>
      <c r="C2765" s="196">
        <v>0</v>
      </c>
      <c r="D2765" s="196">
        <v>0.09</v>
      </c>
      <c r="E2765" s="195" t="s">
        <v>595</v>
      </c>
      <c r="F2765" s="195" t="s">
        <v>438</v>
      </c>
    </row>
    <row r="2766" spans="1:6" x14ac:dyDescent="0.25">
      <c r="A2766" s="189" t="str">
        <f t="shared" si="43"/>
        <v>BC-MU 236500.31N</v>
      </c>
      <c r="B2766" s="195" t="s">
        <v>1950</v>
      </c>
      <c r="C2766" s="196">
        <v>0</v>
      </c>
      <c r="D2766" s="196">
        <v>0.31</v>
      </c>
      <c r="E2766" s="195" t="s">
        <v>583</v>
      </c>
      <c r="F2766" s="195" t="s">
        <v>430</v>
      </c>
    </row>
    <row r="2767" spans="1:6" x14ac:dyDescent="0.25">
      <c r="A2767" s="189" t="str">
        <f t="shared" si="43"/>
        <v>BC-MU 236500.31S</v>
      </c>
      <c r="B2767" s="195" t="s">
        <v>1950</v>
      </c>
      <c r="C2767" s="196">
        <v>0</v>
      </c>
      <c r="D2767" s="196">
        <v>0.31</v>
      </c>
      <c r="E2767" s="195" t="s">
        <v>583</v>
      </c>
      <c r="F2767" s="195" t="s">
        <v>438</v>
      </c>
    </row>
    <row r="2768" spans="1:6" x14ac:dyDescent="0.25">
      <c r="A2768" s="189" t="str">
        <f t="shared" si="43"/>
        <v>BC-MU 288001.55S</v>
      </c>
      <c r="B2768" s="195" t="s">
        <v>1951</v>
      </c>
      <c r="C2768" s="196">
        <v>0</v>
      </c>
      <c r="D2768" s="196">
        <v>1.55</v>
      </c>
      <c r="E2768" s="195" t="s">
        <v>595</v>
      </c>
      <c r="F2768" s="195" t="s">
        <v>438</v>
      </c>
    </row>
    <row r="2769" spans="1:6" x14ac:dyDescent="0.25">
      <c r="A2769" s="189" t="str">
        <f t="shared" si="43"/>
        <v>BC-MU 288001.71N</v>
      </c>
      <c r="B2769" s="195" t="s">
        <v>1951</v>
      </c>
      <c r="C2769" s="196">
        <v>0</v>
      </c>
      <c r="D2769" s="196">
        <v>1.71</v>
      </c>
      <c r="E2769" s="195" t="s">
        <v>589</v>
      </c>
      <c r="F2769" s="195" t="s">
        <v>430</v>
      </c>
    </row>
    <row r="2770" spans="1:6" x14ac:dyDescent="0.25">
      <c r="A2770" s="189" t="str">
        <f t="shared" si="43"/>
        <v>BC-MU 289000.37S</v>
      </c>
      <c r="B2770" s="195" t="s">
        <v>1952</v>
      </c>
      <c r="C2770" s="196">
        <v>0</v>
      </c>
      <c r="D2770" s="196">
        <v>0.37</v>
      </c>
      <c r="E2770" s="195" t="s">
        <v>595</v>
      </c>
      <c r="F2770" s="195" t="s">
        <v>438</v>
      </c>
    </row>
    <row r="2771" spans="1:6" x14ac:dyDescent="0.25">
      <c r="A2771" s="189" t="str">
        <f t="shared" si="43"/>
        <v>BC-MU 29650.661.08N</v>
      </c>
      <c r="B2771" s="195" t="s">
        <v>1953</v>
      </c>
      <c r="C2771" s="196">
        <v>0.66</v>
      </c>
      <c r="D2771" s="196">
        <v>1.08</v>
      </c>
      <c r="E2771" s="195" t="s">
        <v>583</v>
      </c>
      <c r="F2771" s="195" t="s">
        <v>430</v>
      </c>
    </row>
    <row r="2772" spans="1:6" x14ac:dyDescent="0.25">
      <c r="A2772" s="189" t="str">
        <f t="shared" si="43"/>
        <v>BC-MU 29650.661.08S</v>
      </c>
      <c r="B2772" s="195" t="s">
        <v>1953</v>
      </c>
      <c r="C2772" s="196">
        <v>0.66</v>
      </c>
      <c r="D2772" s="196">
        <v>1.08</v>
      </c>
      <c r="E2772" s="195" t="s">
        <v>583</v>
      </c>
      <c r="F2772" s="195" t="s">
        <v>438</v>
      </c>
    </row>
    <row r="2773" spans="1:6" x14ac:dyDescent="0.25">
      <c r="A2773" s="189" t="str">
        <f t="shared" si="43"/>
        <v>BC-MU 297100.47N</v>
      </c>
      <c r="B2773" s="195" t="s">
        <v>1954</v>
      </c>
      <c r="C2773" s="196">
        <v>0</v>
      </c>
      <c r="D2773" s="196">
        <v>0.47</v>
      </c>
      <c r="E2773" s="195" t="s">
        <v>589</v>
      </c>
      <c r="F2773" s="195" t="s">
        <v>430</v>
      </c>
    </row>
    <row r="2774" spans="1:6" x14ac:dyDescent="0.25">
      <c r="A2774" s="189" t="str">
        <f t="shared" si="43"/>
        <v>BC-MU 297100.47S</v>
      </c>
      <c r="B2774" s="195" t="s">
        <v>1954</v>
      </c>
      <c r="C2774" s="196">
        <v>0</v>
      </c>
      <c r="D2774" s="196">
        <v>0.47</v>
      </c>
      <c r="E2774" s="195" t="s">
        <v>595</v>
      </c>
      <c r="F2774" s="195" t="s">
        <v>438</v>
      </c>
    </row>
    <row r="2775" spans="1:6" x14ac:dyDescent="0.25">
      <c r="A2775" s="189" t="str">
        <f t="shared" si="43"/>
        <v>BC-MU 402000.11E</v>
      </c>
      <c r="B2775" s="195" t="s">
        <v>1955</v>
      </c>
      <c r="C2775" s="196">
        <v>0</v>
      </c>
      <c r="D2775" s="196">
        <v>0.11</v>
      </c>
      <c r="E2775" s="195" t="s">
        <v>598</v>
      </c>
      <c r="F2775" s="195" t="s">
        <v>19</v>
      </c>
    </row>
    <row r="2776" spans="1:6" x14ac:dyDescent="0.25">
      <c r="A2776" s="189" t="str">
        <f t="shared" si="43"/>
        <v>BC-MU 402100.15E</v>
      </c>
      <c r="B2776" s="195" t="s">
        <v>1956</v>
      </c>
      <c r="C2776" s="196">
        <v>0</v>
      </c>
      <c r="D2776" s="196">
        <v>0.15</v>
      </c>
      <c r="E2776" s="195" t="s">
        <v>598</v>
      </c>
      <c r="F2776" s="195" t="s">
        <v>19</v>
      </c>
    </row>
    <row r="2777" spans="1:6" x14ac:dyDescent="0.25">
      <c r="A2777" s="189" t="str">
        <f t="shared" si="43"/>
        <v>BC-MU 423000.09W</v>
      </c>
      <c r="B2777" s="195" t="s">
        <v>1957</v>
      </c>
      <c r="C2777" s="196">
        <v>0</v>
      </c>
      <c r="D2777" s="196">
        <v>0.09</v>
      </c>
      <c r="E2777" s="195" t="s">
        <v>593</v>
      </c>
      <c r="F2777" s="195" t="s">
        <v>432</v>
      </c>
    </row>
    <row r="2778" spans="1:6" x14ac:dyDescent="0.25">
      <c r="A2778" s="189" t="str">
        <f t="shared" si="43"/>
        <v>BC-MU 430.151.33N</v>
      </c>
      <c r="B2778" s="195" t="s">
        <v>1958</v>
      </c>
      <c r="C2778" s="196">
        <v>0.15</v>
      </c>
      <c r="D2778" s="196">
        <v>1.33</v>
      </c>
      <c r="E2778" s="195" t="s">
        <v>583</v>
      </c>
      <c r="F2778" s="195" t="s">
        <v>430</v>
      </c>
    </row>
    <row r="2779" spans="1:6" x14ac:dyDescent="0.25">
      <c r="A2779" s="189" t="str">
        <f t="shared" si="43"/>
        <v>BC-MU 430.151.33S</v>
      </c>
      <c r="B2779" s="195" t="s">
        <v>1958</v>
      </c>
      <c r="C2779" s="196">
        <v>0.15</v>
      </c>
      <c r="D2779" s="196">
        <v>1.33</v>
      </c>
      <c r="E2779" s="195" t="s">
        <v>583</v>
      </c>
      <c r="F2779" s="195" t="s">
        <v>438</v>
      </c>
    </row>
    <row r="2780" spans="1:6" x14ac:dyDescent="0.25">
      <c r="A2780" s="189" t="str">
        <f t="shared" si="43"/>
        <v>BC-MU 432000.18W</v>
      </c>
      <c r="B2780" s="195" t="s">
        <v>1959</v>
      </c>
      <c r="C2780" s="196">
        <v>0</v>
      </c>
      <c r="D2780" s="196">
        <v>0.18</v>
      </c>
      <c r="E2780" s="195" t="s">
        <v>593</v>
      </c>
      <c r="F2780" s="195" t="s">
        <v>432</v>
      </c>
    </row>
    <row r="2781" spans="1:6" x14ac:dyDescent="0.25">
      <c r="A2781" s="189" t="str">
        <f t="shared" si="43"/>
        <v>BC-MU 432001.4E</v>
      </c>
      <c r="B2781" s="195" t="s">
        <v>1959</v>
      </c>
      <c r="C2781" s="196">
        <v>0</v>
      </c>
      <c r="D2781" s="196">
        <v>1.4</v>
      </c>
      <c r="E2781" s="195" t="s">
        <v>598</v>
      </c>
      <c r="F2781" s="195" t="s">
        <v>19</v>
      </c>
    </row>
    <row r="2782" spans="1:6" x14ac:dyDescent="0.25">
      <c r="A2782" s="189" t="str">
        <f t="shared" si="43"/>
        <v>BC-MU 43200.181.31W</v>
      </c>
      <c r="B2782" s="195" t="s">
        <v>1959</v>
      </c>
      <c r="C2782" s="196">
        <v>0.18</v>
      </c>
      <c r="D2782" s="196">
        <v>1.31</v>
      </c>
      <c r="E2782" s="195" t="s">
        <v>593</v>
      </c>
      <c r="F2782" s="195" t="s">
        <v>432</v>
      </c>
    </row>
    <row r="2783" spans="1:6" x14ac:dyDescent="0.25">
      <c r="A2783" s="189" t="str">
        <f t="shared" si="43"/>
        <v>BC-MU 43201.311.4W</v>
      </c>
      <c r="B2783" s="195" t="s">
        <v>1959</v>
      </c>
      <c r="C2783" s="196">
        <v>1.31</v>
      </c>
      <c r="D2783" s="196">
        <v>1.4</v>
      </c>
      <c r="E2783" s="195" t="s">
        <v>593</v>
      </c>
      <c r="F2783" s="195" t="s">
        <v>432</v>
      </c>
    </row>
    <row r="2784" spans="1:6" x14ac:dyDescent="0.25">
      <c r="A2784" s="189" t="str">
        <f t="shared" si="43"/>
        <v>BC-MU 43201.41.58E</v>
      </c>
      <c r="B2784" s="195" t="s">
        <v>1959</v>
      </c>
      <c r="C2784" s="196">
        <v>1.4</v>
      </c>
      <c r="D2784" s="196">
        <v>1.58</v>
      </c>
      <c r="E2784" s="195" t="s">
        <v>598</v>
      </c>
      <c r="F2784" s="195" t="s">
        <v>19</v>
      </c>
    </row>
    <row r="2785" spans="1:6" x14ac:dyDescent="0.25">
      <c r="A2785" s="189" t="str">
        <f t="shared" si="43"/>
        <v>BC-MU 44000.630.83E</v>
      </c>
      <c r="B2785" s="195" t="s">
        <v>1960</v>
      </c>
      <c r="C2785" s="196">
        <v>0.63</v>
      </c>
      <c r="D2785" s="196">
        <v>0.83</v>
      </c>
      <c r="E2785" s="195" t="s">
        <v>583</v>
      </c>
      <c r="F2785" s="195" t="s">
        <v>19</v>
      </c>
    </row>
    <row r="2786" spans="1:6" x14ac:dyDescent="0.25">
      <c r="A2786" s="189" t="str">
        <f t="shared" si="43"/>
        <v>BC-MU 44000.630.83W</v>
      </c>
      <c r="B2786" s="195" t="s">
        <v>1960</v>
      </c>
      <c r="C2786" s="196">
        <v>0.63</v>
      </c>
      <c r="D2786" s="196">
        <v>0.83</v>
      </c>
      <c r="E2786" s="195" t="s">
        <v>583</v>
      </c>
      <c r="F2786" s="195" t="s">
        <v>432</v>
      </c>
    </row>
    <row r="2787" spans="1:6" x14ac:dyDescent="0.25">
      <c r="A2787" s="189" t="str">
        <f t="shared" si="43"/>
        <v>BC-MU 440500.75E</v>
      </c>
      <c r="B2787" s="195" t="s">
        <v>1961</v>
      </c>
      <c r="C2787" s="196">
        <v>0</v>
      </c>
      <c r="D2787" s="196">
        <v>0.75</v>
      </c>
      <c r="E2787" s="195" t="s">
        <v>583</v>
      </c>
      <c r="F2787" s="195" t="s">
        <v>19</v>
      </c>
    </row>
    <row r="2788" spans="1:6" x14ac:dyDescent="0.25">
      <c r="A2788" s="189" t="str">
        <f t="shared" si="43"/>
        <v>BC-MU 440500.75W</v>
      </c>
      <c r="B2788" s="195" t="s">
        <v>1961</v>
      </c>
      <c r="C2788" s="196">
        <v>0</v>
      </c>
      <c r="D2788" s="196">
        <v>0.75</v>
      </c>
      <c r="E2788" s="195" t="s">
        <v>583</v>
      </c>
      <c r="F2788" s="195" t="s">
        <v>432</v>
      </c>
    </row>
    <row r="2789" spans="1:6" x14ac:dyDescent="0.25">
      <c r="A2789" s="189" t="str">
        <f t="shared" si="43"/>
        <v>BC-MU 441000.1N</v>
      </c>
      <c r="B2789" s="195" t="s">
        <v>1962</v>
      </c>
      <c r="C2789" s="196">
        <v>0</v>
      </c>
      <c r="D2789" s="196">
        <v>0.1</v>
      </c>
      <c r="E2789" s="195" t="s">
        <v>589</v>
      </c>
      <c r="F2789" s="195" t="s">
        <v>430</v>
      </c>
    </row>
    <row r="2790" spans="1:6" x14ac:dyDescent="0.25">
      <c r="A2790" s="189" t="str">
        <f t="shared" si="43"/>
        <v>BC-MU 441000.1S</v>
      </c>
      <c r="B2790" s="195" t="s">
        <v>1962</v>
      </c>
      <c r="C2790" s="196">
        <v>0</v>
      </c>
      <c r="D2790" s="196">
        <v>0.1</v>
      </c>
      <c r="E2790" s="195" t="s">
        <v>595</v>
      </c>
      <c r="F2790" s="195" t="s">
        <v>438</v>
      </c>
    </row>
    <row r="2791" spans="1:6" x14ac:dyDescent="0.25">
      <c r="A2791" s="189" t="str">
        <f t="shared" si="43"/>
        <v>BC-MU 441500.24E</v>
      </c>
      <c r="B2791" s="195" t="s">
        <v>1963</v>
      </c>
      <c r="C2791" s="196">
        <v>0</v>
      </c>
      <c r="D2791" s="196">
        <v>0.24</v>
      </c>
      <c r="E2791" s="195" t="s">
        <v>583</v>
      </c>
      <c r="F2791" s="195" t="s">
        <v>19</v>
      </c>
    </row>
    <row r="2792" spans="1:6" x14ac:dyDescent="0.25">
      <c r="A2792" s="189" t="str">
        <f t="shared" si="43"/>
        <v>BC-MU 441500.24W</v>
      </c>
      <c r="B2792" s="195" t="s">
        <v>1963</v>
      </c>
      <c r="C2792" s="196">
        <v>0</v>
      </c>
      <c r="D2792" s="196">
        <v>0.24</v>
      </c>
      <c r="E2792" s="195" t="s">
        <v>583</v>
      </c>
      <c r="F2792" s="195" t="s">
        <v>432</v>
      </c>
    </row>
    <row r="2793" spans="1:6" x14ac:dyDescent="0.25">
      <c r="A2793" s="189" t="str">
        <f t="shared" si="43"/>
        <v>BC-MU 44150.240.43E</v>
      </c>
      <c r="B2793" s="195" t="s">
        <v>1963</v>
      </c>
      <c r="C2793" s="196">
        <v>0.24</v>
      </c>
      <c r="D2793" s="196">
        <v>0.43</v>
      </c>
      <c r="E2793" s="195" t="s">
        <v>583</v>
      </c>
      <c r="F2793" s="195" t="s">
        <v>19</v>
      </c>
    </row>
    <row r="2794" spans="1:6" x14ac:dyDescent="0.25">
      <c r="A2794" s="189" t="str">
        <f t="shared" si="43"/>
        <v>BC-MU 44150.240.43W</v>
      </c>
      <c r="B2794" s="195" t="s">
        <v>1963</v>
      </c>
      <c r="C2794" s="196">
        <v>0.24</v>
      </c>
      <c r="D2794" s="196">
        <v>0.43</v>
      </c>
      <c r="E2794" s="195" t="s">
        <v>583</v>
      </c>
      <c r="F2794" s="195" t="s">
        <v>432</v>
      </c>
    </row>
    <row r="2795" spans="1:6" x14ac:dyDescent="0.25">
      <c r="A2795" s="189" t="str">
        <f t="shared" si="43"/>
        <v>BC-MU 442000.55N</v>
      </c>
      <c r="B2795" s="195" t="s">
        <v>1964</v>
      </c>
      <c r="C2795" s="196">
        <v>0</v>
      </c>
      <c r="D2795" s="196">
        <v>0.55000000000000004</v>
      </c>
      <c r="E2795" s="195" t="s">
        <v>583</v>
      </c>
      <c r="F2795" s="195" t="s">
        <v>430</v>
      </c>
    </row>
    <row r="2796" spans="1:6" x14ac:dyDescent="0.25">
      <c r="A2796" s="189" t="str">
        <f t="shared" si="43"/>
        <v>BC-MU 442000.55S</v>
      </c>
      <c r="B2796" s="195" t="s">
        <v>1964</v>
      </c>
      <c r="C2796" s="196">
        <v>0</v>
      </c>
      <c r="D2796" s="196">
        <v>0.55000000000000004</v>
      </c>
      <c r="E2796" s="195" t="s">
        <v>583</v>
      </c>
      <c r="F2796" s="195" t="s">
        <v>438</v>
      </c>
    </row>
    <row r="2797" spans="1:6" x14ac:dyDescent="0.25">
      <c r="A2797" s="189" t="str">
        <f t="shared" si="43"/>
        <v>BC-MU 44200.551.01N</v>
      </c>
      <c r="B2797" s="195" t="s">
        <v>1964</v>
      </c>
      <c r="C2797" s="196">
        <v>0.55000000000000004</v>
      </c>
      <c r="D2797" s="196">
        <v>1.01</v>
      </c>
      <c r="E2797" s="195" t="s">
        <v>583</v>
      </c>
      <c r="F2797" s="195" t="s">
        <v>430</v>
      </c>
    </row>
    <row r="2798" spans="1:6" x14ac:dyDescent="0.25">
      <c r="A2798" s="189" t="str">
        <f t="shared" si="43"/>
        <v>BC-MU 44200.551.01S</v>
      </c>
      <c r="B2798" s="195" t="s">
        <v>1964</v>
      </c>
      <c r="C2798" s="196">
        <v>0.55000000000000004</v>
      </c>
      <c r="D2798" s="196">
        <v>1.01</v>
      </c>
      <c r="E2798" s="195" t="s">
        <v>583</v>
      </c>
      <c r="F2798" s="195" t="s">
        <v>438</v>
      </c>
    </row>
    <row r="2799" spans="1:6" x14ac:dyDescent="0.25">
      <c r="A2799" s="189" t="str">
        <f t="shared" si="43"/>
        <v>BC-MU 44600.350.74N</v>
      </c>
      <c r="B2799" s="195" t="s">
        <v>1965</v>
      </c>
      <c r="C2799" s="196">
        <v>0.35</v>
      </c>
      <c r="D2799" s="196">
        <v>0.74</v>
      </c>
      <c r="E2799" s="195" t="s">
        <v>583</v>
      </c>
      <c r="F2799" s="195" t="s">
        <v>430</v>
      </c>
    </row>
    <row r="2800" spans="1:6" x14ac:dyDescent="0.25">
      <c r="A2800" s="189" t="str">
        <f t="shared" si="43"/>
        <v>BC-MU 44600.350.74S</v>
      </c>
      <c r="B2800" s="195" t="s">
        <v>1965</v>
      </c>
      <c r="C2800" s="196">
        <v>0.35</v>
      </c>
      <c r="D2800" s="196">
        <v>0.74</v>
      </c>
      <c r="E2800" s="195" t="s">
        <v>583</v>
      </c>
      <c r="F2800" s="195" t="s">
        <v>438</v>
      </c>
    </row>
    <row r="2801" spans="1:6" x14ac:dyDescent="0.25">
      <c r="A2801" s="189" t="str">
        <f t="shared" si="43"/>
        <v>BC-MU 446500.42N</v>
      </c>
      <c r="B2801" s="195" t="s">
        <v>1966</v>
      </c>
      <c r="C2801" s="196">
        <v>0</v>
      </c>
      <c r="D2801" s="196">
        <v>0.42</v>
      </c>
      <c r="E2801" s="195" t="s">
        <v>583</v>
      </c>
      <c r="F2801" s="195" t="s">
        <v>430</v>
      </c>
    </row>
    <row r="2802" spans="1:6" x14ac:dyDescent="0.25">
      <c r="A2802" s="189" t="str">
        <f t="shared" si="43"/>
        <v>BC-MU 446500.42S</v>
      </c>
      <c r="B2802" s="195" t="s">
        <v>1966</v>
      </c>
      <c r="C2802" s="196">
        <v>0</v>
      </c>
      <c r="D2802" s="196">
        <v>0.42</v>
      </c>
      <c r="E2802" s="195" t="s">
        <v>583</v>
      </c>
      <c r="F2802" s="195" t="s">
        <v>438</v>
      </c>
    </row>
    <row r="2803" spans="1:6" x14ac:dyDescent="0.25">
      <c r="A2803" s="189" t="str">
        <f t="shared" si="43"/>
        <v>BC-MU 50100.18E</v>
      </c>
      <c r="B2803" s="195" t="s">
        <v>1967</v>
      </c>
      <c r="C2803" s="196">
        <v>0</v>
      </c>
      <c r="D2803" s="196">
        <v>0.18</v>
      </c>
      <c r="E2803" s="195" t="s">
        <v>583</v>
      </c>
      <c r="F2803" s="195" t="s">
        <v>19</v>
      </c>
    </row>
    <row r="2804" spans="1:6" x14ac:dyDescent="0.25">
      <c r="A2804" s="189" t="str">
        <f t="shared" si="43"/>
        <v>BC-MU 50100.18W</v>
      </c>
      <c r="B2804" s="195" t="s">
        <v>1967</v>
      </c>
      <c r="C2804" s="196">
        <v>0</v>
      </c>
      <c r="D2804" s="196">
        <v>0.18</v>
      </c>
      <c r="E2804" s="195" t="s">
        <v>583</v>
      </c>
      <c r="F2804" s="195" t="s">
        <v>432</v>
      </c>
    </row>
    <row r="2805" spans="1:6" x14ac:dyDescent="0.25">
      <c r="A2805" s="189" t="str">
        <f t="shared" si="43"/>
        <v>BC-MU 58550.041.04N</v>
      </c>
      <c r="B2805" s="195" t="s">
        <v>1968</v>
      </c>
      <c r="C2805" s="196">
        <v>0.04</v>
      </c>
      <c r="D2805" s="196">
        <v>1.04</v>
      </c>
      <c r="E2805" s="195" t="s">
        <v>583</v>
      </c>
      <c r="F2805" s="195" t="s">
        <v>430</v>
      </c>
    </row>
    <row r="2806" spans="1:6" x14ac:dyDescent="0.25">
      <c r="A2806" s="189" t="str">
        <f t="shared" si="43"/>
        <v>BC-MU 58550.041.04S</v>
      </c>
      <c r="B2806" s="195" t="s">
        <v>1968</v>
      </c>
      <c r="C2806" s="196">
        <v>0.04</v>
      </c>
      <c r="D2806" s="196">
        <v>1.04</v>
      </c>
      <c r="E2806" s="195" t="s">
        <v>583</v>
      </c>
      <c r="F2806" s="195" t="s">
        <v>438</v>
      </c>
    </row>
    <row r="2807" spans="1:6" x14ac:dyDescent="0.25">
      <c r="A2807" s="189" t="str">
        <f t="shared" si="43"/>
        <v>BC-MU 585701.29W</v>
      </c>
      <c r="B2807" s="195" t="s">
        <v>1969</v>
      </c>
      <c r="C2807" s="196">
        <v>0</v>
      </c>
      <c r="D2807" s="196">
        <v>1.29</v>
      </c>
      <c r="E2807" s="195" t="s">
        <v>593</v>
      </c>
      <c r="F2807" s="195" t="s">
        <v>432</v>
      </c>
    </row>
    <row r="2808" spans="1:6" x14ac:dyDescent="0.25">
      <c r="A2808" s="189" t="str">
        <f t="shared" si="43"/>
        <v>BC-MU 585701.42E</v>
      </c>
      <c r="B2808" s="195" t="s">
        <v>1969</v>
      </c>
      <c r="C2808" s="196">
        <v>0</v>
      </c>
      <c r="D2808" s="196">
        <v>1.42</v>
      </c>
      <c r="E2808" s="195" t="s">
        <v>598</v>
      </c>
      <c r="F2808" s="195" t="s">
        <v>19</v>
      </c>
    </row>
    <row r="2809" spans="1:6" x14ac:dyDescent="0.25">
      <c r="A2809" s="189" t="str">
        <f t="shared" si="43"/>
        <v>BC-MU 586100.2E</v>
      </c>
      <c r="B2809" s="195" t="s">
        <v>1970</v>
      </c>
      <c r="C2809" s="196">
        <v>0</v>
      </c>
      <c r="D2809" s="196">
        <v>0.2</v>
      </c>
      <c r="E2809" s="195" t="s">
        <v>583</v>
      </c>
      <c r="F2809" s="195" t="s">
        <v>19</v>
      </c>
    </row>
    <row r="2810" spans="1:6" x14ac:dyDescent="0.25">
      <c r="A2810" s="189" t="str">
        <f t="shared" si="43"/>
        <v>BC-MU 586100.2W</v>
      </c>
      <c r="B2810" s="195" t="s">
        <v>1970</v>
      </c>
      <c r="C2810" s="196">
        <v>0</v>
      </c>
      <c r="D2810" s="196">
        <v>0.2</v>
      </c>
      <c r="E2810" s="195" t="s">
        <v>583</v>
      </c>
      <c r="F2810" s="195" t="s">
        <v>432</v>
      </c>
    </row>
    <row r="2811" spans="1:6" x14ac:dyDescent="0.25">
      <c r="A2811" s="189" t="str">
        <f t="shared" si="43"/>
        <v>BC-MU 58610.20.25E</v>
      </c>
      <c r="B2811" s="195" t="s">
        <v>1970</v>
      </c>
      <c r="C2811" s="196">
        <v>0.2</v>
      </c>
      <c r="D2811" s="196">
        <v>0.25</v>
      </c>
      <c r="E2811" s="195" t="s">
        <v>598</v>
      </c>
      <c r="F2811" s="195" t="s">
        <v>19</v>
      </c>
    </row>
    <row r="2812" spans="1:6" x14ac:dyDescent="0.25">
      <c r="A2812" s="189" t="str">
        <f t="shared" si="43"/>
        <v>BC-MU 58610.20.25W</v>
      </c>
      <c r="B2812" s="195" t="s">
        <v>1970</v>
      </c>
      <c r="C2812" s="196">
        <v>0.2</v>
      </c>
      <c r="D2812" s="196">
        <v>0.25</v>
      </c>
      <c r="E2812" s="195" t="s">
        <v>593</v>
      </c>
      <c r="F2812" s="195" t="s">
        <v>432</v>
      </c>
    </row>
    <row r="2813" spans="1:6" x14ac:dyDescent="0.25">
      <c r="A2813" s="189" t="str">
        <f t="shared" si="43"/>
        <v>BC-MU 615500.12E</v>
      </c>
      <c r="B2813" s="195" t="s">
        <v>1971</v>
      </c>
      <c r="C2813" s="196">
        <v>0</v>
      </c>
      <c r="D2813" s="196">
        <v>0.12</v>
      </c>
      <c r="E2813" s="195" t="s">
        <v>598</v>
      </c>
      <c r="F2813" s="195" t="s">
        <v>19</v>
      </c>
    </row>
    <row r="2814" spans="1:6" x14ac:dyDescent="0.25">
      <c r="A2814" s="189" t="str">
        <f t="shared" si="43"/>
        <v>BC-MU 615600.04E</v>
      </c>
      <c r="B2814" s="195" t="s">
        <v>1972</v>
      </c>
      <c r="C2814" s="196">
        <v>0</v>
      </c>
      <c r="D2814" s="196">
        <v>0.04</v>
      </c>
      <c r="E2814" s="195" t="s">
        <v>598</v>
      </c>
      <c r="F2814" s="195" t="s">
        <v>19</v>
      </c>
    </row>
    <row r="2815" spans="1:6" x14ac:dyDescent="0.25">
      <c r="A2815" s="189" t="str">
        <f t="shared" si="43"/>
        <v>BC-MU 617000.48N</v>
      </c>
      <c r="B2815" s="195" t="s">
        <v>1973</v>
      </c>
      <c r="C2815" s="196">
        <v>0</v>
      </c>
      <c r="D2815" s="196">
        <v>0.48</v>
      </c>
      <c r="E2815" s="195" t="s">
        <v>583</v>
      </c>
      <c r="F2815" s="195" t="s">
        <v>430</v>
      </c>
    </row>
    <row r="2816" spans="1:6" x14ac:dyDescent="0.25">
      <c r="A2816" s="189" t="str">
        <f t="shared" si="43"/>
        <v>BC-MU 617000.48S</v>
      </c>
      <c r="B2816" s="195" t="s">
        <v>1973</v>
      </c>
      <c r="C2816" s="196">
        <v>0</v>
      </c>
      <c r="D2816" s="196">
        <v>0.48</v>
      </c>
      <c r="E2816" s="195" t="s">
        <v>583</v>
      </c>
      <c r="F2816" s="195" t="s">
        <v>438</v>
      </c>
    </row>
    <row r="2817" spans="1:6" x14ac:dyDescent="0.25">
      <c r="A2817" s="189" t="str">
        <f t="shared" si="43"/>
        <v>BC-MU 617100.28N</v>
      </c>
      <c r="B2817" s="195" t="s">
        <v>1974</v>
      </c>
      <c r="C2817" s="196">
        <v>0</v>
      </c>
      <c r="D2817" s="196">
        <v>0.28000000000000003</v>
      </c>
      <c r="E2817" s="195" t="s">
        <v>583</v>
      </c>
      <c r="F2817" s="195" t="s">
        <v>430</v>
      </c>
    </row>
    <row r="2818" spans="1:6" x14ac:dyDescent="0.25">
      <c r="A2818" s="189" t="str">
        <f t="shared" si="43"/>
        <v>BC-MU 617100.28S</v>
      </c>
      <c r="B2818" s="195" t="s">
        <v>1974</v>
      </c>
      <c r="C2818" s="196">
        <v>0</v>
      </c>
      <c r="D2818" s="196">
        <v>0.28000000000000003</v>
      </c>
      <c r="E2818" s="195" t="s">
        <v>583</v>
      </c>
      <c r="F2818" s="195" t="s">
        <v>438</v>
      </c>
    </row>
    <row r="2819" spans="1:6" x14ac:dyDescent="0.25">
      <c r="A2819" s="189" t="str">
        <f t="shared" ref="A2819:A2882" si="44">B2819&amp;C2819&amp;D2819&amp;F2819</f>
        <v>BC-MU 636100.16N</v>
      </c>
      <c r="B2819" s="195" t="s">
        <v>1975</v>
      </c>
      <c r="C2819" s="196">
        <v>0</v>
      </c>
      <c r="D2819" s="196">
        <v>0.16</v>
      </c>
      <c r="E2819" s="195" t="s">
        <v>583</v>
      </c>
      <c r="F2819" s="195" t="s">
        <v>430</v>
      </c>
    </row>
    <row r="2820" spans="1:6" x14ac:dyDescent="0.25">
      <c r="A2820" s="189" t="str">
        <f t="shared" si="44"/>
        <v>BC-MU 636100.16S</v>
      </c>
      <c r="B2820" s="195" t="s">
        <v>1975</v>
      </c>
      <c r="C2820" s="196">
        <v>0</v>
      </c>
      <c r="D2820" s="196">
        <v>0.16</v>
      </c>
      <c r="E2820" s="195" t="s">
        <v>583</v>
      </c>
      <c r="F2820" s="195" t="s">
        <v>438</v>
      </c>
    </row>
    <row r="2821" spans="1:6" x14ac:dyDescent="0.25">
      <c r="A2821" s="189" t="str">
        <f t="shared" si="44"/>
        <v>BC-MU 63620.110.24N</v>
      </c>
      <c r="B2821" s="195" t="s">
        <v>1976</v>
      </c>
      <c r="C2821" s="196">
        <v>0.11</v>
      </c>
      <c r="D2821" s="196">
        <v>0.24</v>
      </c>
      <c r="E2821" s="195" t="s">
        <v>583</v>
      </c>
      <c r="F2821" s="195" t="s">
        <v>430</v>
      </c>
    </row>
    <row r="2822" spans="1:6" x14ac:dyDescent="0.25">
      <c r="A2822" s="189" t="str">
        <f t="shared" si="44"/>
        <v>BC-MU 63620.110.24S</v>
      </c>
      <c r="B2822" s="195" t="s">
        <v>1976</v>
      </c>
      <c r="C2822" s="196">
        <v>0.11</v>
      </c>
      <c r="D2822" s="196">
        <v>0.24</v>
      </c>
      <c r="E2822" s="195" t="s">
        <v>583</v>
      </c>
      <c r="F2822" s="195" t="s">
        <v>438</v>
      </c>
    </row>
    <row r="2823" spans="1:6" x14ac:dyDescent="0.25">
      <c r="A2823" s="189" t="str">
        <f t="shared" si="44"/>
        <v>BC-MU 90801.54N</v>
      </c>
      <c r="B2823" s="195" t="s">
        <v>1977</v>
      </c>
      <c r="C2823" s="196">
        <v>0</v>
      </c>
      <c r="D2823" s="196">
        <v>1.54</v>
      </c>
      <c r="E2823" s="195" t="s">
        <v>583</v>
      </c>
      <c r="F2823" s="195" t="s">
        <v>430</v>
      </c>
    </row>
    <row r="2824" spans="1:6" x14ac:dyDescent="0.25">
      <c r="A2824" s="189" t="str">
        <f t="shared" si="44"/>
        <v>BC-MU 90801.54S</v>
      </c>
      <c r="B2824" s="195" t="s">
        <v>1977</v>
      </c>
      <c r="C2824" s="196">
        <v>0</v>
      </c>
      <c r="D2824" s="196">
        <v>1.54</v>
      </c>
      <c r="E2824" s="195" t="s">
        <v>583</v>
      </c>
      <c r="F2824" s="195" t="s">
        <v>438</v>
      </c>
    </row>
    <row r="2825" spans="1:6" x14ac:dyDescent="0.25">
      <c r="A2825" s="189" t="str">
        <f t="shared" si="44"/>
        <v>BC-MU 9081.541.94N</v>
      </c>
      <c r="B2825" s="195" t="s">
        <v>1977</v>
      </c>
      <c r="C2825" s="196">
        <v>1.54</v>
      </c>
      <c r="D2825" s="196">
        <v>1.94</v>
      </c>
      <c r="E2825" s="195" t="s">
        <v>583</v>
      </c>
      <c r="F2825" s="195" t="s">
        <v>430</v>
      </c>
    </row>
    <row r="2826" spans="1:6" x14ac:dyDescent="0.25">
      <c r="A2826" s="189" t="str">
        <f t="shared" si="44"/>
        <v>BC-MU 9081.541.94S</v>
      </c>
      <c r="B2826" s="195" t="s">
        <v>1977</v>
      </c>
      <c r="C2826" s="196">
        <v>1.54</v>
      </c>
      <c r="D2826" s="196">
        <v>1.94</v>
      </c>
      <c r="E2826" s="195" t="s">
        <v>583</v>
      </c>
      <c r="F2826" s="195" t="s">
        <v>438</v>
      </c>
    </row>
    <row r="2827" spans="1:6" x14ac:dyDescent="0.25">
      <c r="A2827" s="189" t="str">
        <f t="shared" si="44"/>
        <v>BC-MU 95201.38E</v>
      </c>
      <c r="B2827" s="195" t="s">
        <v>1978</v>
      </c>
      <c r="C2827" s="196">
        <v>0</v>
      </c>
      <c r="D2827" s="196">
        <v>1.38</v>
      </c>
      <c r="E2827" s="195" t="s">
        <v>583</v>
      </c>
      <c r="F2827" s="195" t="s">
        <v>19</v>
      </c>
    </row>
    <row r="2828" spans="1:6" x14ac:dyDescent="0.25">
      <c r="A2828" s="189" t="str">
        <f t="shared" si="44"/>
        <v>BC-MU 95201.38W</v>
      </c>
      <c r="B2828" s="195" t="s">
        <v>1978</v>
      </c>
      <c r="C2828" s="196">
        <v>0</v>
      </c>
      <c r="D2828" s="196">
        <v>1.38</v>
      </c>
      <c r="E2828" s="195" t="s">
        <v>583</v>
      </c>
      <c r="F2828" s="195" t="s">
        <v>432</v>
      </c>
    </row>
    <row r="2829" spans="1:6" x14ac:dyDescent="0.25">
      <c r="A2829" s="189" t="str">
        <f t="shared" si="44"/>
        <v>BC-US 1011.97N</v>
      </c>
      <c r="B2829" s="195" t="s">
        <v>1979</v>
      </c>
      <c r="C2829" s="196">
        <v>0</v>
      </c>
      <c r="D2829" s="196">
        <v>11.97</v>
      </c>
      <c r="E2829" s="195" t="s">
        <v>589</v>
      </c>
      <c r="F2829" s="195" t="s">
        <v>430</v>
      </c>
    </row>
    <row r="2830" spans="1:6" x14ac:dyDescent="0.25">
      <c r="A2830" s="189" t="str">
        <f t="shared" si="44"/>
        <v>BC-US 12.493.21S</v>
      </c>
      <c r="B2830" s="195" t="s">
        <v>1979</v>
      </c>
      <c r="C2830" s="196">
        <v>2.4900000000000002</v>
      </c>
      <c r="D2830" s="196">
        <v>3.21</v>
      </c>
      <c r="E2830" s="195" t="s">
        <v>595</v>
      </c>
      <c r="F2830" s="195" t="s">
        <v>438</v>
      </c>
    </row>
    <row r="2831" spans="1:6" x14ac:dyDescent="0.25">
      <c r="A2831" s="189" t="str">
        <f t="shared" si="44"/>
        <v>BC-US 13.214.39S</v>
      </c>
      <c r="B2831" s="195" t="s">
        <v>1979</v>
      </c>
      <c r="C2831" s="196">
        <v>3.21</v>
      </c>
      <c r="D2831" s="196">
        <v>4.3899999999999997</v>
      </c>
      <c r="E2831" s="195" t="s">
        <v>595</v>
      </c>
      <c r="F2831" s="195" t="s">
        <v>438</v>
      </c>
    </row>
    <row r="2832" spans="1:6" x14ac:dyDescent="0.25">
      <c r="A2832" s="189" t="str">
        <f t="shared" si="44"/>
        <v>BC-US 14.3911.97S</v>
      </c>
      <c r="B2832" s="195" t="s">
        <v>1979</v>
      </c>
      <c r="C2832" s="196">
        <v>4.3899999999999997</v>
      </c>
      <c r="D2832" s="196">
        <v>11.97</v>
      </c>
      <c r="E2832" s="195" t="s">
        <v>595</v>
      </c>
      <c r="F2832" s="195" t="s">
        <v>438</v>
      </c>
    </row>
    <row r="2833" spans="1:6" x14ac:dyDescent="0.25">
      <c r="A2833" s="189" t="str">
        <f t="shared" si="44"/>
        <v>BC-US 404.675.26W</v>
      </c>
      <c r="B2833" s="195" t="s">
        <v>4506</v>
      </c>
      <c r="C2833" s="196">
        <v>4.67</v>
      </c>
      <c r="D2833" s="196">
        <v>5.26</v>
      </c>
      <c r="E2833" s="195" t="s">
        <v>593</v>
      </c>
      <c r="F2833" s="195" t="s">
        <v>432</v>
      </c>
    </row>
    <row r="2834" spans="1:6" x14ac:dyDescent="0.25">
      <c r="A2834" s="189" t="str">
        <f t="shared" si="44"/>
        <v>BC-US 404.6710.05E</v>
      </c>
      <c r="B2834" s="195" t="s">
        <v>4506</v>
      </c>
      <c r="C2834" s="196">
        <v>4.67</v>
      </c>
      <c r="D2834" s="196">
        <v>10.050000000000001</v>
      </c>
      <c r="E2834" s="195" t="s">
        <v>598</v>
      </c>
      <c r="F2834" s="195" t="s">
        <v>19</v>
      </c>
    </row>
    <row r="2835" spans="1:6" x14ac:dyDescent="0.25">
      <c r="A2835" s="189" t="str">
        <f t="shared" si="44"/>
        <v>CA-MD 200.13S</v>
      </c>
      <c r="B2835" s="195" t="s">
        <v>534</v>
      </c>
      <c r="C2835" s="196">
        <v>0</v>
      </c>
      <c r="D2835" s="196">
        <v>0.13</v>
      </c>
      <c r="E2835" s="195" t="s">
        <v>595</v>
      </c>
      <c r="F2835" s="195" t="s">
        <v>438</v>
      </c>
    </row>
    <row r="2836" spans="1:6" x14ac:dyDescent="0.25">
      <c r="A2836" s="189" t="str">
        <f t="shared" si="44"/>
        <v>CA-MD 200.17N</v>
      </c>
      <c r="B2836" s="195" t="s">
        <v>534</v>
      </c>
      <c r="C2836" s="196">
        <v>0</v>
      </c>
      <c r="D2836" s="196">
        <v>0.17</v>
      </c>
      <c r="E2836" s="195" t="s">
        <v>589</v>
      </c>
      <c r="F2836" s="195" t="s">
        <v>430</v>
      </c>
    </row>
    <row r="2837" spans="1:6" x14ac:dyDescent="0.25">
      <c r="A2837" s="189" t="str">
        <f t="shared" si="44"/>
        <v>CA-MD 20.130.17S</v>
      </c>
      <c r="B2837" s="195" t="s">
        <v>534</v>
      </c>
      <c r="C2837" s="196">
        <v>0.13</v>
      </c>
      <c r="D2837" s="196">
        <v>0.17</v>
      </c>
      <c r="E2837" s="195" t="s">
        <v>595</v>
      </c>
      <c r="F2837" s="195" t="s">
        <v>438</v>
      </c>
    </row>
    <row r="2838" spans="1:6" x14ac:dyDescent="0.25">
      <c r="A2838" s="189" t="str">
        <f t="shared" si="44"/>
        <v>CA-MD 227.5728.26N</v>
      </c>
      <c r="B2838" s="195" t="s">
        <v>534</v>
      </c>
      <c r="C2838" s="196">
        <v>27.57</v>
      </c>
      <c r="D2838" s="196">
        <v>28.26</v>
      </c>
      <c r="E2838" s="195" t="s">
        <v>589</v>
      </c>
      <c r="F2838" s="195" t="s">
        <v>430</v>
      </c>
    </row>
    <row r="2839" spans="1:6" x14ac:dyDescent="0.25">
      <c r="A2839" s="189" t="str">
        <f t="shared" si="44"/>
        <v>CA-MD 227.629.95S</v>
      </c>
      <c r="B2839" s="195" t="s">
        <v>534</v>
      </c>
      <c r="C2839" s="196">
        <v>27.6</v>
      </c>
      <c r="D2839" s="196">
        <v>29.95</v>
      </c>
      <c r="E2839" s="195" t="s">
        <v>595</v>
      </c>
      <c r="F2839" s="195" t="s">
        <v>438</v>
      </c>
    </row>
    <row r="2840" spans="1:6" x14ac:dyDescent="0.25">
      <c r="A2840" s="189" t="str">
        <f t="shared" si="44"/>
        <v>CA-MD 228.2629.95N</v>
      </c>
      <c r="B2840" s="195" t="s">
        <v>534</v>
      </c>
      <c r="C2840" s="196">
        <v>28.26</v>
      </c>
      <c r="D2840" s="196">
        <v>29.95</v>
      </c>
      <c r="E2840" s="195" t="s">
        <v>589</v>
      </c>
      <c r="F2840" s="195" t="s">
        <v>430</v>
      </c>
    </row>
    <row r="2841" spans="1:6" x14ac:dyDescent="0.25">
      <c r="A2841" s="189" t="str">
        <f t="shared" si="44"/>
        <v>CA-MD 229.9530.81N</v>
      </c>
      <c r="B2841" s="195" t="s">
        <v>534</v>
      </c>
      <c r="C2841" s="196">
        <v>29.95</v>
      </c>
      <c r="D2841" s="196">
        <v>30.81</v>
      </c>
      <c r="E2841" s="195" t="s">
        <v>589</v>
      </c>
      <c r="F2841" s="195" t="s">
        <v>430</v>
      </c>
    </row>
    <row r="2842" spans="1:6" x14ac:dyDescent="0.25">
      <c r="A2842" s="189" t="str">
        <f t="shared" si="44"/>
        <v>CA-MD 229.9532.12S</v>
      </c>
      <c r="B2842" s="195" t="s">
        <v>534</v>
      </c>
      <c r="C2842" s="196">
        <v>29.95</v>
      </c>
      <c r="D2842" s="196">
        <v>32.119999999999997</v>
      </c>
      <c r="E2842" s="195" t="s">
        <v>595</v>
      </c>
      <c r="F2842" s="195" t="s">
        <v>438</v>
      </c>
    </row>
    <row r="2843" spans="1:6" x14ac:dyDescent="0.25">
      <c r="A2843" s="189" t="str">
        <f t="shared" si="44"/>
        <v>CA-MD 230.8132.12N</v>
      </c>
      <c r="B2843" s="195" t="s">
        <v>534</v>
      </c>
      <c r="C2843" s="196">
        <v>30.81</v>
      </c>
      <c r="D2843" s="196">
        <v>32.119999999999997</v>
      </c>
      <c r="E2843" s="195" t="s">
        <v>589</v>
      </c>
      <c r="F2843" s="195" t="s">
        <v>430</v>
      </c>
    </row>
    <row r="2844" spans="1:6" x14ac:dyDescent="0.25">
      <c r="A2844" s="189" t="str">
        <f t="shared" si="44"/>
        <v>CA-MD 23100.32E</v>
      </c>
      <c r="B2844" s="195" t="s">
        <v>1980</v>
      </c>
      <c r="C2844" s="196">
        <v>0</v>
      </c>
      <c r="D2844" s="196">
        <v>0.32</v>
      </c>
      <c r="E2844" s="195" t="s">
        <v>583</v>
      </c>
      <c r="F2844" s="195" t="s">
        <v>19</v>
      </c>
    </row>
    <row r="2845" spans="1:6" x14ac:dyDescent="0.25">
      <c r="A2845" s="189" t="str">
        <f t="shared" si="44"/>
        <v>CA-MD 23100.32W</v>
      </c>
      <c r="B2845" s="195" t="s">
        <v>1980</v>
      </c>
      <c r="C2845" s="196">
        <v>0</v>
      </c>
      <c r="D2845" s="196">
        <v>0.32</v>
      </c>
      <c r="E2845" s="195" t="s">
        <v>583</v>
      </c>
      <c r="F2845" s="195" t="s">
        <v>432</v>
      </c>
    </row>
    <row r="2846" spans="1:6" x14ac:dyDescent="0.25">
      <c r="A2846" s="189" t="str">
        <f t="shared" si="44"/>
        <v>CA-MD 2310.320.32W</v>
      </c>
      <c r="B2846" s="195" t="s">
        <v>1980</v>
      </c>
      <c r="C2846" s="196">
        <v>0.32</v>
      </c>
      <c r="D2846" s="196">
        <v>0.32</v>
      </c>
      <c r="E2846" s="195" t="s">
        <v>593</v>
      </c>
      <c r="F2846" s="195" t="s">
        <v>432</v>
      </c>
    </row>
    <row r="2847" spans="1:6" x14ac:dyDescent="0.25">
      <c r="A2847" s="189" t="str">
        <f t="shared" si="44"/>
        <v>CA-MD 2310.320.37E</v>
      </c>
      <c r="B2847" s="195" t="s">
        <v>1980</v>
      </c>
      <c r="C2847" s="196">
        <v>0.32</v>
      </c>
      <c r="D2847" s="196">
        <v>0.37</v>
      </c>
      <c r="E2847" s="195" t="s">
        <v>598</v>
      </c>
      <c r="F2847" s="195" t="s">
        <v>19</v>
      </c>
    </row>
    <row r="2848" spans="1:6" x14ac:dyDescent="0.25">
      <c r="A2848" s="189" t="str">
        <f t="shared" si="44"/>
        <v>CA-MD 2310.325.02W</v>
      </c>
      <c r="B2848" s="195" t="s">
        <v>1980</v>
      </c>
      <c r="C2848" s="196">
        <v>0.32</v>
      </c>
      <c r="D2848" s="196">
        <v>5.0199999999999996</v>
      </c>
      <c r="E2848" s="195" t="s">
        <v>593</v>
      </c>
      <c r="F2848" s="195" t="s">
        <v>432</v>
      </c>
    </row>
    <row r="2849" spans="1:6" x14ac:dyDescent="0.25">
      <c r="A2849" s="189" t="str">
        <f t="shared" si="44"/>
        <v>CA-MD 2310.375.02E</v>
      </c>
      <c r="B2849" s="195" t="s">
        <v>1980</v>
      </c>
      <c r="C2849" s="196">
        <v>0.37</v>
      </c>
      <c r="D2849" s="196">
        <v>5.0199999999999996</v>
      </c>
      <c r="E2849" s="195" t="s">
        <v>598</v>
      </c>
      <c r="F2849" s="195" t="s">
        <v>19</v>
      </c>
    </row>
    <row r="2850" spans="1:6" x14ac:dyDescent="0.25">
      <c r="A2850" s="189" t="str">
        <f t="shared" si="44"/>
        <v>CA-MD 2315.025.15E</v>
      </c>
      <c r="B2850" s="195" t="s">
        <v>1980</v>
      </c>
      <c r="C2850" s="196">
        <v>5.0199999999999996</v>
      </c>
      <c r="D2850" s="196">
        <v>5.15</v>
      </c>
      <c r="E2850" s="195" t="s">
        <v>583</v>
      </c>
      <c r="F2850" s="195" t="s">
        <v>19</v>
      </c>
    </row>
    <row r="2851" spans="1:6" x14ac:dyDescent="0.25">
      <c r="A2851" s="189" t="str">
        <f t="shared" si="44"/>
        <v>CA-MD 2315.025.15W</v>
      </c>
      <c r="B2851" s="195" t="s">
        <v>1980</v>
      </c>
      <c r="C2851" s="196">
        <v>5.0199999999999996</v>
      </c>
      <c r="D2851" s="196">
        <v>5.15</v>
      </c>
      <c r="E2851" s="195" t="s">
        <v>583</v>
      </c>
      <c r="F2851" s="195" t="s">
        <v>432</v>
      </c>
    </row>
    <row r="2852" spans="1:6" x14ac:dyDescent="0.25">
      <c r="A2852" s="189" t="str">
        <f t="shared" si="44"/>
        <v>CA-MD 2315.155.42E</v>
      </c>
      <c r="B2852" s="195" t="s">
        <v>1980</v>
      </c>
      <c r="C2852" s="196">
        <v>5.15</v>
      </c>
      <c r="D2852" s="196">
        <v>5.42</v>
      </c>
      <c r="E2852" s="195" t="s">
        <v>583</v>
      </c>
      <c r="F2852" s="195" t="s">
        <v>19</v>
      </c>
    </row>
    <row r="2853" spans="1:6" x14ac:dyDescent="0.25">
      <c r="A2853" s="189" t="str">
        <f t="shared" si="44"/>
        <v>CA-MD 2315.155.42W</v>
      </c>
      <c r="B2853" s="195" t="s">
        <v>1980</v>
      </c>
      <c r="C2853" s="196">
        <v>5.15</v>
      </c>
      <c r="D2853" s="196">
        <v>5.42</v>
      </c>
      <c r="E2853" s="195" t="s">
        <v>583</v>
      </c>
      <c r="F2853" s="195" t="s">
        <v>432</v>
      </c>
    </row>
    <row r="2854" spans="1:6" x14ac:dyDescent="0.25">
      <c r="A2854" s="189" t="str">
        <f t="shared" si="44"/>
        <v>CA-MD 2315.675.87E</v>
      </c>
      <c r="B2854" s="195" t="s">
        <v>1980</v>
      </c>
      <c r="C2854" s="196">
        <v>5.67</v>
      </c>
      <c r="D2854" s="196">
        <v>5.87</v>
      </c>
      <c r="E2854" s="195" t="s">
        <v>583</v>
      </c>
      <c r="F2854" s="195" t="s">
        <v>19</v>
      </c>
    </row>
    <row r="2855" spans="1:6" x14ac:dyDescent="0.25">
      <c r="A2855" s="189" t="str">
        <f t="shared" si="44"/>
        <v>CA-MD 2315.675.87W</v>
      </c>
      <c r="B2855" s="195" t="s">
        <v>1980</v>
      </c>
      <c r="C2855" s="196">
        <v>5.67</v>
      </c>
      <c r="D2855" s="196">
        <v>5.87</v>
      </c>
      <c r="E2855" s="195" t="s">
        <v>583</v>
      </c>
      <c r="F2855" s="195" t="s">
        <v>432</v>
      </c>
    </row>
    <row r="2856" spans="1:6" x14ac:dyDescent="0.25">
      <c r="A2856" s="189" t="str">
        <f t="shared" si="44"/>
        <v>CA-MD 26001.25E</v>
      </c>
      <c r="B2856" s="195" t="s">
        <v>535</v>
      </c>
      <c r="C2856" s="196">
        <v>0</v>
      </c>
      <c r="D2856" s="196">
        <v>1.25</v>
      </c>
      <c r="E2856" s="195" t="s">
        <v>583</v>
      </c>
      <c r="F2856" s="195" t="s">
        <v>19</v>
      </c>
    </row>
    <row r="2857" spans="1:6" x14ac:dyDescent="0.25">
      <c r="A2857" s="189" t="str">
        <f t="shared" si="44"/>
        <v>CA-MD 26001.25W</v>
      </c>
      <c r="B2857" s="195" t="s">
        <v>535</v>
      </c>
      <c r="C2857" s="196">
        <v>0</v>
      </c>
      <c r="D2857" s="196">
        <v>1.25</v>
      </c>
      <c r="E2857" s="195" t="s">
        <v>583</v>
      </c>
      <c r="F2857" s="195" t="s">
        <v>432</v>
      </c>
    </row>
    <row r="2858" spans="1:6" x14ac:dyDescent="0.25">
      <c r="A2858" s="189" t="str">
        <f t="shared" si="44"/>
        <v>CA-MD 2601.251.3E</v>
      </c>
      <c r="B2858" s="195" t="s">
        <v>535</v>
      </c>
      <c r="C2858" s="196">
        <v>1.25</v>
      </c>
      <c r="D2858" s="196">
        <v>1.3</v>
      </c>
      <c r="E2858" s="195" t="s">
        <v>583</v>
      </c>
      <c r="F2858" s="195" t="s">
        <v>19</v>
      </c>
    </row>
    <row r="2859" spans="1:6" x14ac:dyDescent="0.25">
      <c r="A2859" s="189" t="str">
        <f t="shared" si="44"/>
        <v>CA-MD 2601.251.3W</v>
      </c>
      <c r="B2859" s="195" t="s">
        <v>535</v>
      </c>
      <c r="C2859" s="196">
        <v>1.25</v>
      </c>
      <c r="D2859" s="196">
        <v>1.3</v>
      </c>
      <c r="E2859" s="195" t="s">
        <v>583</v>
      </c>
      <c r="F2859" s="195" t="s">
        <v>432</v>
      </c>
    </row>
    <row r="2860" spans="1:6" x14ac:dyDescent="0.25">
      <c r="A2860" s="189" t="str">
        <f t="shared" si="44"/>
        <v>CA-MD 2601.32.51E</v>
      </c>
      <c r="B2860" s="195" t="s">
        <v>535</v>
      </c>
      <c r="C2860" s="196">
        <v>1.3</v>
      </c>
      <c r="D2860" s="196">
        <v>2.5099999999999998</v>
      </c>
      <c r="E2860" s="195" t="s">
        <v>583</v>
      </c>
      <c r="F2860" s="195" t="s">
        <v>19</v>
      </c>
    </row>
    <row r="2861" spans="1:6" x14ac:dyDescent="0.25">
      <c r="A2861" s="189" t="str">
        <f t="shared" si="44"/>
        <v>CA-MD 2601.32.51W</v>
      </c>
      <c r="B2861" s="195" t="s">
        <v>535</v>
      </c>
      <c r="C2861" s="196">
        <v>1.3</v>
      </c>
      <c r="D2861" s="196">
        <v>2.5099999999999998</v>
      </c>
      <c r="E2861" s="195" t="s">
        <v>583</v>
      </c>
      <c r="F2861" s="195" t="s">
        <v>432</v>
      </c>
    </row>
    <row r="2862" spans="1:6" x14ac:dyDescent="0.25">
      <c r="A2862" s="189" t="str">
        <f t="shared" si="44"/>
        <v>CA-MD 2602.512.52E</v>
      </c>
      <c r="B2862" s="195" t="s">
        <v>535</v>
      </c>
      <c r="C2862" s="196">
        <v>2.5099999999999998</v>
      </c>
      <c r="D2862" s="196">
        <v>2.52</v>
      </c>
      <c r="E2862" s="195" t="s">
        <v>583</v>
      </c>
      <c r="F2862" s="195" t="s">
        <v>19</v>
      </c>
    </row>
    <row r="2863" spans="1:6" x14ac:dyDescent="0.25">
      <c r="A2863" s="189" t="str">
        <f t="shared" si="44"/>
        <v>CA-MD 2602.512.52W</v>
      </c>
      <c r="B2863" s="195" t="s">
        <v>535</v>
      </c>
      <c r="C2863" s="196">
        <v>2.5099999999999998</v>
      </c>
      <c r="D2863" s="196">
        <v>2.52</v>
      </c>
      <c r="E2863" s="195" t="s">
        <v>583</v>
      </c>
      <c r="F2863" s="195" t="s">
        <v>432</v>
      </c>
    </row>
    <row r="2864" spans="1:6" x14ac:dyDescent="0.25">
      <c r="A2864" s="189" t="str">
        <f t="shared" si="44"/>
        <v>CA-MD 2602.523.9E</v>
      </c>
      <c r="B2864" s="195" t="s">
        <v>535</v>
      </c>
      <c r="C2864" s="196">
        <v>2.52</v>
      </c>
      <c r="D2864" s="196">
        <v>3.9</v>
      </c>
      <c r="E2864" s="195" t="s">
        <v>583</v>
      </c>
      <c r="F2864" s="195" t="s">
        <v>19</v>
      </c>
    </row>
    <row r="2865" spans="1:6" x14ac:dyDescent="0.25">
      <c r="A2865" s="189" t="str">
        <f t="shared" si="44"/>
        <v>CA-MD 2602.523.9W</v>
      </c>
      <c r="B2865" s="195" t="s">
        <v>535</v>
      </c>
      <c r="C2865" s="196">
        <v>2.52</v>
      </c>
      <c r="D2865" s="196">
        <v>3.9</v>
      </c>
      <c r="E2865" s="195" t="s">
        <v>583</v>
      </c>
      <c r="F2865" s="195" t="s">
        <v>432</v>
      </c>
    </row>
    <row r="2866" spans="1:6" x14ac:dyDescent="0.25">
      <c r="A2866" s="189" t="str">
        <f t="shared" si="44"/>
        <v>CA-MD 2603.93.9E</v>
      </c>
      <c r="B2866" s="195" t="s">
        <v>535</v>
      </c>
      <c r="C2866" s="196">
        <v>3.9</v>
      </c>
      <c r="D2866" s="196">
        <v>3.9</v>
      </c>
      <c r="E2866" s="195" t="s">
        <v>583</v>
      </c>
      <c r="F2866" s="195" t="s">
        <v>19</v>
      </c>
    </row>
    <row r="2867" spans="1:6" x14ac:dyDescent="0.25">
      <c r="A2867" s="189" t="str">
        <f t="shared" si="44"/>
        <v>CA-MD 2603.93.9W</v>
      </c>
      <c r="B2867" s="195" t="s">
        <v>535</v>
      </c>
      <c r="C2867" s="196">
        <v>3.9</v>
      </c>
      <c r="D2867" s="196">
        <v>3.9</v>
      </c>
      <c r="E2867" s="195" t="s">
        <v>583</v>
      </c>
      <c r="F2867" s="195" t="s">
        <v>432</v>
      </c>
    </row>
    <row r="2868" spans="1:6" x14ac:dyDescent="0.25">
      <c r="A2868" s="189" t="str">
        <f t="shared" si="44"/>
        <v>CA-MD 2603.95.49W</v>
      </c>
      <c r="B2868" s="195" t="s">
        <v>535</v>
      </c>
      <c r="C2868" s="196">
        <v>3.9</v>
      </c>
      <c r="D2868" s="196">
        <v>5.49</v>
      </c>
      <c r="E2868" s="195" t="s">
        <v>593</v>
      </c>
      <c r="F2868" s="195" t="s">
        <v>432</v>
      </c>
    </row>
    <row r="2869" spans="1:6" x14ac:dyDescent="0.25">
      <c r="A2869" s="189" t="str">
        <f t="shared" si="44"/>
        <v>CA-MD 2603.95.71E</v>
      </c>
      <c r="B2869" s="195" t="s">
        <v>535</v>
      </c>
      <c r="C2869" s="196">
        <v>3.9</v>
      </c>
      <c r="D2869" s="196">
        <v>5.71</v>
      </c>
      <c r="E2869" s="195" t="s">
        <v>598</v>
      </c>
      <c r="F2869" s="195" t="s">
        <v>19</v>
      </c>
    </row>
    <row r="2870" spans="1:6" x14ac:dyDescent="0.25">
      <c r="A2870" s="189" t="str">
        <f t="shared" si="44"/>
        <v>CA-MD 2605.495.85W</v>
      </c>
      <c r="B2870" s="195" t="s">
        <v>535</v>
      </c>
      <c r="C2870" s="196">
        <v>5.49</v>
      </c>
      <c r="D2870" s="196">
        <v>5.85</v>
      </c>
      <c r="E2870" s="195" t="s">
        <v>593</v>
      </c>
      <c r="F2870" s="195" t="s">
        <v>432</v>
      </c>
    </row>
    <row r="2871" spans="1:6" x14ac:dyDescent="0.25">
      <c r="A2871" s="189" t="str">
        <f t="shared" si="44"/>
        <v>CA-MD 260 RP3-600.25W</v>
      </c>
      <c r="B2871" s="195" t="s">
        <v>1981</v>
      </c>
      <c r="C2871" s="196">
        <v>0</v>
      </c>
      <c r="D2871" s="196">
        <v>0.25</v>
      </c>
      <c r="E2871" s="195" t="s">
        <v>593</v>
      </c>
      <c r="F2871" s="195" t="s">
        <v>432</v>
      </c>
    </row>
    <row r="2872" spans="1:6" x14ac:dyDescent="0.25">
      <c r="A2872" s="189" t="str">
        <f t="shared" si="44"/>
        <v>CA-MD 260 RP5-600.01S</v>
      </c>
      <c r="B2872" s="195" t="s">
        <v>1982</v>
      </c>
      <c r="C2872" s="196">
        <v>0</v>
      </c>
      <c r="D2872" s="196">
        <v>0.01</v>
      </c>
      <c r="E2872" s="195" t="s">
        <v>595</v>
      </c>
      <c r="F2872" s="195" t="s">
        <v>438</v>
      </c>
    </row>
    <row r="2873" spans="1:6" x14ac:dyDescent="0.25">
      <c r="A2873" s="189" t="str">
        <f t="shared" si="44"/>
        <v>CA-MD 260 RP7-600.02S</v>
      </c>
      <c r="B2873" s="195" t="s">
        <v>1983</v>
      </c>
      <c r="C2873" s="196">
        <v>0</v>
      </c>
      <c r="D2873" s="196">
        <v>0.02</v>
      </c>
      <c r="E2873" s="195" t="s">
        <v>595</v>
      </c>
      <c r="F2873" s="195" t="s">
        <v>438</v>
      </c>
    </row>
    <row r="2874" spans="1:6" x14ac:dyDescent="0.25">
      <c r="A2874" s="189" t="str">
        <f t="shared" si="44"/>
        <v>CA-MD 260 RP8-600.08S</v>
      </c>
      <c r="B2874" s="195" t="s">
        <v>1984</v>
      </c>
      <c r="C2874" s="196">
        <v>0</v>
      </c>
      <c r="D2874" s="196">
        <v>0.08</v>
      </c>
      <c r="E2874" s="195" t="s">
        <v>595</v>
      </c>
      <c r="F2874" s="195" t="s">
        <v>438</v>
      </c>
    </row>
    <row r="2875" spans="1:6" x14ac:dyDescent="0.25">
      <c r="A2875" s="189" t="str">
        <f t="shared" si="44"/>
        <v>CA-MD 260D00.21W</v>
      </c>
      <c r="B2875" s="195" t="s">
        <v>1985</v>
      </c>
      <c r="C2875" s="196">
        <v>0</v>
      </c>
      <c r="D2875" s="196">
        <v>0.21</v>
      </c>
      <c r="E2875" s="195" t="s">
        <v>593</v>
      </c>
      <c r="F2875" s="195" t="s">
        <v>432</v>
      </c>
    </row>
    <row r="2876" spans="1:6" x14ac:dyDescent="0.25">
      <c r="A2876" s="189" t="str">
        <f t="shared" si="44"/>
        <v>CA-MD 260D00.22E</v>
      </c>
      <c r="B2876" s="195" t="s">
        <v>1985</v>
      </c>
      <c r="C2876" s="196">
        <v>0</v>
      </c>
      <c r="D2876" s="196">
        <v>0.22</v>
      </c>
      <c r="E2876" s="195" t="s">
        <v>598</v>
      </c>
      <c r="F2876" s="195" t="s">
        <v>19</v>
      </c>
    </row>
    <row r="2877" spans="1:6" x14ac:dyDescent="0.25">
      <c r="A2877" s="189" t="str">
        <f t="shared" si="44"/>
        <v>CA-MD 260D0.220.23E</v>
      </c>
      <c r="B2877" s="195" t="s">
        <v>1985</v>
      </c>
      <c r="C2877" s="196">
        <v>0.22</v>
      </c>
      <c r="D2877" s="196">
        <v>0.23</v>
      </c>
      <c r="E2877" s="195" t="s">
        <v>598</v>
      </c>
      <c r="F2877" s="195" t="s">
        <v>19</v>
      </c>
    </row>
    <row r="2878" spans="1:6" x14ac:dyDescent="0.25">
      <c r="A2878" s="189" t="str">
        <f t="shared" si="44"/>
        <v>CA-MD 26103.14N</v>
      </c>
      <c r="B2878" s="195" t="s">
        <v>536</v>
      </c>
      <c r="C2878" s="196">
        <v>0</v>
      </c>
      <c r="D2878" s="196">
        <v>3.14</v>
      </c>
      <c r="E2878" s="195" t="s">
        <v>583</v>
      </c>
      <c r="F2878" s="195" t="s">
        <v>430</v>
      </c>
    </row>
    <row r="2879" spans="1:6" x14ac:dyDescent="0.25">
      <c r="A2879" s="189" t="str">
        <f t="shared" si="44"/>
        <v>CA-MD 26103.14S</v>
      </c>
      <c r="B2879" s="195" t="s">
        <v>536</v>
      </c>
      <c r="C2879" s="196">
        <v>0</v>
      </c>
      <c r="D2879" s="196">
        <v>3.14</v>
      </c>
      <c r="E2879" s="195" t="s">
        <v>583</v>
      </c>
      <c r="F2879" s="195" t="s">
        <v>438</v>
      </c>
    </row>
    <row r="2880" spans="1:6" x14ac:dyDescent="0.25">
      <c r="A2880" s="189" t="str">
        <f t="shared" si="44"/>
        <v>CA-MD 2613.144.71N</v>
      </c>
      <c r="B2880" s="195" t="s">
        <v>536</v>
      </c>
      <c r="C2880" s="196">
        <v>3.14</v>
      </c>
      <c r="D2880" s="196">
        <v>4.71</v>
      </c>
      <c r="E2880" s="195" t="s">
        <v>583</v>
      </c>
      <c r="F2880" s="195" t="s">
        <v>430</v>
      </c>
    </row>
    <row r="2881" spans="1:6" x14ac:dyDescent="0.25">
      <c r="A2881" s="189" t="str">
        <f t="shared" si="44"/>
        <v>CA-MD 2613.144.71S</v>
      </c>
      <c r="B2881" s="195" t="s">
        <v>536</v>
      </c>
      <c r="C2881" s="196">
        <v>3.14</v>
      </c>
      <c r="D2881" s="196">
        <v>4.71</v>
      </c>
      <c r="E2881" s="195" t="s">
        <v>583</v>
      </c>
      <c r="F2881" s="195" t="s">
        <v>438</v>
      </c>
    </row>
    <row r="2882" spans="1:6" x14ac:dyDescent="0.25">
      <c r="A2882" s="189" t="str">
        <f t="shared" si="44"/>
        <v>CA-MD 2614.865.9S</v>
      </c>
      <c r="B2882" s="195" t="s">
        <v>536</v>
      </c>
      <c r="C2882" s="196">
        <v>4.8600000000000003</v>
      </c>
      <c r="D2882" s="196">
        <v>5.9</v>
      </c>
      <c r="E2882" s="195" t="s">
        <v>595</v>
      </c>
      <c r="F2882" s="195" t="s">
        <v>438</v>
      </c>
    </row>
    <row r="2883" spans="1:6" x14ac:dyDescent="0.25">
      <c r="A2883" s="189" t="str">
        <f t="shared" ref="A2883:A2946" si="45">B2883&amp;C2883&amp;D2883&amp;F2883</f>
        <v>CA-MD 2614.875.9N</v>
      </c>
      <c r="B2883" s="195" t="s">
        <v>536</v>
      </c>
      <c r="C2883" s="196">
        <v>4.87</v>
      </c>
      <c r="D2883" s="196">
        <v>5.9</v>
      </c>
      <c r="E2883" s="195" t="s">
        <v>589</v>
      </c>
      <c r="F2883" s="195" t="s">
        <v>430</v>
      </c>
    </row>
    <row r="2884" spans="1:6" x14ac:dyDescent="0.25">
      <c r="A2884" s="189" t="str">
        <f t="shared" si="45"/>
        <v>CA-MD 2615.96.58N</v>
      </c>
      <c r="B2884" s="195" t="s">
        <v>536</v>
      </c>
      <c r="C2884" s="196">
        <v>5.9</v>
      </c>
      <c r="D2884" s="196">
        <v>6.58</v>
      </c>
      <c r="E2884" s="195" t="s">
        <v>583</v>
      </c>
      <c r="F2884" s="195" t="s">
        <v>430</v>
      </c>
    </row>
    <row r="2885" spans="1:6" x14ac:dyDescent="0.25">
      <c r="A2885" s="189" t="str">
        <f t="shared" si="45"/>
        <v>CA-MD 2615.96.58S</v>
      </c>
      <c r="B2885" s="195" t="s">
        <v>536</v>
      </c>
      <c r="C2885" s="196">
        <v>5.9</v>
      </c>
      <c r="D2885" s="196">
        <v>6.58</v>
      </c>
      <c r="E2885" s="195" t="s">
        <v>583</v>
      </c>
      <c r="F2885" s="195" t="s">
        <v>438</v>
      </c>
    </row>
    <row r="2886" spans="1:6" x14ac:dyDescent="0.25">
      <c r="A2886" s="189" t="str">
        <f t="shared" si="45"/>
        <v>CA-MD 26201.74E</v>
      </c>
      <c r="B2886" s="195" t="s">
        <v>1986</v>
      </c>
      <c r="C2886" s="196">
        <v>0</v>
      </c>
      <c r="D2886" s="196">
        <v>1.74</v>
      </c>
      <c r="E2886" s="195" t="s">
        <v>583</v>
      </c>
      <c r="F2886" s="195" t="s">
        <v>19</v>
      </c>
    </row>
    <row r="2887" spans="1:6" x14ac:dyDescent="0.25">
      <c r="A2887" s="189" t="str">
        <f t="shared" si="45"/>
        <v>CA-MD 26201.74W</v>
      </c>
      <c r="B2887" s="195" t="s">
        <v>1986</v>
      </c>
      <c r="C2887" s="196">
        <v>0</v>
      </c>
      <c r="D2887" s="196">
        <v>1.74</v>
      </c>
      <c r="E2887" s="195" t="s">
        <v>583</v>
      </c>
      <c r="F2887" s="195" t="s">
        <v>432</v>
      </c>
    </row>
    <row r="2888" spans="1:6" x14ac:dyDescent="0.25">
      <c r="A2888" s="189" t="str">
        <f t="shared" si="45"/>
        <v>CA-MD 2621.742.13E</v>
      </c>
      <c r="B2888" s="195" t="s">
        <v>1986</v>
      </c>
      <c r="C2888" s="196">
        <v>1.74</v>
      </c>
      <c r="D2888" s="196">
        <v>2.13</v>
      </c>
      <c r="E2888" s="195" t="s">
        <v>583</v>
      </c>
      <c r="F2888" s="195" t="s">
        <v>19</v>
      </c>
    </row>
    <row r="2889" spans="1:6" x14ac:dyDescent="0.25">
      <c r="A2889" s="189" t="str">
        <f t="shared" si="45"/>
        <v>CA-MD 2621.742.13W</v>
      </c>
      <c r="B2889" s="195" t="s">
        <v>1986</v>
      </c>
      <c r="C2889" s="196">
        <v>1.74</v>
      </c>
      <c r="D2889" s="196">
        <v>2.13</v>
      </c>
      <c r="E2889" s="195" t="s">
        <v>583</v>
      </c>
      <c r="F2889" s="195" t="s">
        <v>432</v>
      </c>
    </row>
    <row r="2890" spans="1:6" x14ac:dyDescent="0.25">
      <c r="A2890" s="189" t="str">
        <f t="shared" si="45"/>
        <v>CA-MD 2622.134.2E</v>
      </c>
      <c r="B2890" s="195" t="s">
        <v>1986</v>
      </c>
      <c r="C2890" s="196">
        <v>2.13</v>
      </c>
      <c r="D2890" s="196">
        <v>4.2</v>
      </c>
      <c r="E2890" s="195" t="s">
        <v>598</v>
      </c>
      <c r="F2890" s="195" t="s">
        <v>19</v>
      </c>
    </row>
    <row r="2891" spans="1:6" x14ac:dyDescent="0.25">
      <c r="A2891" s="189" t="str">
        <f t="shared" si="45"/>
        <v>CA-MD 2622.134.26W</v>
      </c>
      <c r="B2891" s="195" t="s">
        <v>1986</v>
      </c>
      <c r="C2891" s="196">
        <v>2.13</v>
      </c>
      <c r="D2891" s="196">
        <v>4.26</v>
      </c>
      <c r="E2891" s="195" t="s">
        <v>593</v>
      </c>
      <c r="F2891" s="195" t="s">
        <v>432</v>
      </c>
    </row>
    <row r="2892" spans="1:6" x14ac:dyDescent="0.25">
      <c r="A2892" s="189" t="str">
        <f t="shared" si="45"/>
        <v>CA-MD 2624.24.26E</v>
      </c>
      <c r="B2892" s="195" t="s">
        <v>1986</v>
      </c>
      <c r="C2892" s="196">
        <v>4.2</v>
      </c>
      <c r="D2892" s="196">
        <v>4.26</v>
      </c>
      <c r="E2892" s="195" t="s">
        <v>598</v>
      </c>
      <c r="F2892" s="195" t="s">
        <v>19</v>
      </c>
    </row>
    <row r="2893" spans="1:6" x14ac:dyDescent="0.25">
      <c r="A2893" s="189" t="str">
        <f t="shared" si="45"/>
        <v>CA-MD 262A00.21E</v>
      </c>
      <c r="B2893" s="195" t="s">
        <v>1987</v>
      </c>
      <c r="C2893" s="196">
        <v>0</v>
      </c>
      <c r="D2893" s="196">
        <v>0.21</v>
      </c>
      <c r="E2893" s="195" t="s">
        <v>583</v>
      </c>
      <c r="F2893" s="195" t="s">
        <v>19</v>
      </c>
    </row>
    <row r="2894" spans="1:6" x14ac:dyDescent="0.25">
      <c r="A2894" s="189" t="str">
        <f t="shared" si="45"/>
        <v>CA-MD 262A00.21W</v>
      </c>
      <c r="B2894" s="195" t="s">
        <v>1987</v>
      </c>
      <c r="C2894" s="196">
        <v>0</v>
      </c>
      <c r="D2894" s="196">
        <v>0.21</v>
      </c>
      <c r="E2894" s="195" t="s">
        <v>583</v>
      </c>
      <c r="F2894" s="195" t="s">
        <v>432</v>
      </c>
    </row>
    <row r="2895" spans="1:6" x14ac:dyDescent="0.25">
      <c r="A2895" s="189" t="str">
        <f t="shared" si="45"/>
        <v>CA-MD 262A0.210.21E</v>
      </c>
      <c r="B2895" s="195" t="s">
        <v>1987</v>
      </c>
      <c r="C2895" s="196">
        <v>0.21</v>
      </c>
      <c r="D2895" s="196">
        <v>0.21</v>
      </c>
      <c r="E2895" s="195" t="s">
        <v>583</v>
      </c>
      <c r="F2895" s="195" t="s">
        <v>19</v>
      </c>
    </row>
    <row r="2896" spans="1:6" x14ac:dyDescent="0.25">
      <c r="A2896" s="189" t="str">
        <f t="shared" si="45"/>
        <v>CA-MD 262A0.210.21W</v>
      </c>
      <c r="B2896" s="195" t="s">
        <v>1987</v>
      </c>
      <c r="C2896" s="196">
        <v>0.21</v>
      </c>
      <c r="D2896" s="196">
        <v>0.21</v>
      </c>
      <c r="E2896" s="195" t="s">
        <v>583</v>
      </c>
      <c r="F2896" s="195" t="s">
        <v>432</v>
      </c>
    </row>
    <row r="2897" spans="1:6" x14ac:dyDescent="0.25">
      <c r="A2897" s="189" t="str">
        <f t="shared" si="45"/>
        <v>CA-MD 26301.88E</v>
      </c>
      <c r="B2897" s="195" t="s">
        <v>1988</v>
      </c>
      <c r="C2897" s="196">
        <v>0</v>
      </c>
      <c r="D2897" s="196">
        <v>1.88</v>
      </c>
      <c r="E2897" s="195" t="s">
        <v>583</v>
      </c>
      <c r="F2897" s="195" t="s">
        <v>19</v>
      </c>
    </row>
    <row r="2898" spans="1:6" x14ac:dyDescent="0.25">
      <c r="A2898" s="189" t="str">
        <f t="shared" si="45"/>
        <v>CA-MD 26301.88W</v>
      </c>
      <c r="B2898" s="195" t="s">
        <v>1988</v>
      </c>
      <c r="C2898" s="196">
        <v>0</v>
      </c>
      <c r="D2898" s="196">
        <v>1.88</v>
      </c>
      <c r="E2898" s="195" t="s">
        <v>583</v>
      </c>
      <c r="F2898" s="195" t="s">
        <v>432</v>
      </c>
    </row>
    <row r="2899" spans="1:6" x14ac:dyDescent="0.25">
      <c r="A2899" s="189" t="str">
        <f t="shared" si="45"/>
        <v>CA-MD 2631.884.09E</v>
      </c>
      <c r="B2899" s="195" t="s">
        <v>1988</v>
      </c>
      <c r="C2899" s="196">
        <v>1.88</v>
      </c>
      <c r="D2899" s="196">
        <v>4.09</v>
      </c>
      <c r="E2899" s="195" t="s">
        <v>583</v>
      </c>
      <c r="F2899" s="195" t="s">
        <v>19</v>
      </c>
    </row>
    <row r="2900" spans="1:6" x14ac:dyDescent="0.25">
      <c r="A2900" s="189" t="str">
        <f t="shared" si="45"/>
        <v>CA-MD 2631.884.09W</v>
      </c>
      <c r="B2900" s="195" t="s">
        <v>1988</v>
      </c>
      <c r="C2900" s="196">
        <v>1.88</v>
      </c>
      <c r="D2900" s="196">
        <v>4.09</v>
      </c>
      <c r="E2900" s="195" t="s">
        <v>583</v>
      </c>
      <c r="F2900" s="195" t="s">
        <v>432</v>
      </c>
    </row>
    <row r="2901" spans="1:6" x14ac:dyDescent="0.25">
      <c r="A2901" s="189" t="str">
        <f t="shared" si="45"/>
        <v>CA-MD 2634.095.23E</v>
      </c>
      <c r="B2901" s="195" t="s">
        <v>1988</v>
      </c>
      <c r="C2901" s="196">
        <v>4.09</v>
      </c>
      <c r="D2901" s="196">
        <v>5.23</v>
      </c>
      <c r="E2901" s="195" t="s">
        <v>583</v>
      </c>
      <c r="F2901" s="195" t="s">
        <v>19</v>
      </c>
    </row>
    <row r="2902" spans="1:6" x14ac:dyDescent="0.25">
      <c r="A2902" s="189" t="str">
        <f t="shared" si="45"/>
        <v>CA-MD 2634.095.23W</v>
      </c>
      <c r="B2902" s="195" t="s">
        <v>1988</v>
      </c>
      <c r="C2902" s="196">
        <v>4.09</v>
      </c>
      <c r="D2902" s="196">
        <v>5.23</v>
      </c>
      <c r="E2902" s="195" t="s">
        <v>583</v>
      </c>
      <c r="F2902" s="195" t="s">
        <v>432</v>
      </c>
    </row>
    <row r="2903" spans="1:6" x14ac:dyDescent="0.25">
      <c r="A2903" s="189" t="str">
        <f t="shared" si="45"/>
        <v>CA-MD 2635.236.02E</v>
      </c>
      <c r="B2903" s="195" t="s">
        <v>1988</v>
      </c>
      <c r="C2903" s="196">
        <v>5.23</v>
      </c>
      <c r="D2903" s="196">
        <v>6.02</v>
      </c>
      <c r="E2903" s="195" t="s">
        <v>583</v>
      </c>
      <c r="F2903" s="195" t="s">
        <v>19</v>
      </c>
    </row>
    <row r="2904" spans="1:6" x14ac:dyDescent="0.25">
      <c r="A2904" s="189" t="str">
        <f t="shared" si="45"/>
        <v>CA-MD 2635.236.02W</v>
      </c>
      <c r="B2904" s="195" t="s">
        <v>1988</v>
      </c>
      <c r="C2904" s="196">
        <v>5.23</v>
      </c>
      <c r="D2904" s="196">
        <v>6.02</v>
      </c>
      <c r="E2904" s="195" t="s">
        <v>583</v>
      </c>
      <c r="F2904" s="195" t="s">
        <v>432</v>
      </c>
    </row>
    <row r="2905" spans="1:6" x14ac:dyDescent="0.25">
      <c r="A2905" s="189" t="str">
        <f t="shared" si="45"/>
        <v>CA-MD 2636.026.17E</v>
      </c>
      <c r="B2905" s="195" t="s">
        <v>1988</v>
      </c>
      <c r="C2905" s="196">
        <v>6.02</v>
      </c>
      <c r="D2905" s="196">
        <v>6.17</v>
      </c>
      <c r="E2905" s="195" t="s">
        <v>583</v>
      </c>
      <c r="F2905" s="195" t="s">
        <v>19</v>
      </c>
    </row>
    <row r="2906" spans="1:6" x14ac:dyDescent="0.25">
      <c r="A2906" s="189" t="str">
        <f t="shared" si="45"/>
        <v>CA-MD 2636.026.17W</v>
      </c>
      <c r="B2906" s="195" t="s">
        <v>1988</v>
      </c>
      <c r="C2906" s="196">
        <v>6.02</v>
      </c>
      <c r="D2906" s="196">
        <v>6.17</v>
      </c>
      <c r="E2906" s="195" t="s">
        <v>583</v>
      </c>
      <c r="F2906" s="195" t="s">
        <v>432</v>
      </c>
    </row>
    <row r="2907" spans="1:6" x14ac:dyDescent="0.25">
      <c r="A2907" s="189" t="str">
        <f t="shared" si="45"/>
        <v>CA-MD 26400.57N</v>
      </c>
      <c r="B2907" s="195" t="s">
        <v>1989</v>
      </c>
      <c r="C2907" s="196">
        <v>0</v>
      </c>
      <c r="D2907" s="196">
        <v>0.56999999999999995</v>
      </c>
      <c r="E2907" s="195" t="s">
        <v>583</v>
      </c>
      <c r="F2907" s="195" t="s">
        <v>430</v>
      </c>
    </row>
    <row r="2908" spans="1:6" x14ac:dyDescent="0.25">
      <c r="A2908" s="189" t="str">
        <f t="shared" si="45"/>
        <v>CA-MD 26400.57S</v>
      </c>
      <c r="B2908" s="195" t="s">
        <v>1989</v>
      </c>
      <c r="C2908" s="196">
        <v>0</v>
      </c>
      <c r="D2908" s="196">
        <v>0.56999999999999995</v>
      </c>
      <c r="E2908" s="195" t="s">
        <v>583</v>
      </c>
      <c r="F2908" s="195" t="s">
        <v>438</v>
      </c>
    </row>
    <row r="2909" spans="1:6" x14ac:dyDescent="0.25">
      <c r="A2909" s="189" t="str">
        <f t="shared" si="45"/>
        <v>CA-MD 2640.571.72N</v>
      </c>
      <c r="B2909" s="195" t="s">
        <v>1989</v>
      </c>
      <c r="C2909" s="196">
        <v>0.56999999999999995</v>
      </c>
      <c r="D2909" s="196">
        <v>1.72</v>
      </c>
      <c r="E2909" s="195" t="s">
        <v>583</v>
      </c>
      <c r="F2909" s="195" t="s">
        <v>430</v>
      </c>
    </row>
    <row r="2910" spans="1:6" x14ac:dyDescent="0.25">
      <c r="A2910" s="189" t="str">
        <f t="shared" si="45"/>
        <v>CA-MD 2640.571.72S</v>
      </c>
      <c r="B2910" s="195" t="s">
        <v>1989</v>
      </c>
      <c r="C2910" s="196">
        <v>0.56999999999999995</v>
      </c>
      <c r="D2910" s="196">
        <v>1.72</v>
      </c>
      <c r="E2910" s="195" t="s">
        <v>583</v>
      </c>
      <c r="F2910" s="195" t="s">
        <v>438</v>
      </c>
    </row>
    <row r="2911" spans="1:6" x14ac:dyDescent="0.25">
      <c r="A2911" s="189" t="str">
        <f t="shared" si="45"/>
        <v>CA-MD 2641.721.78N</v>
      </c>
      <c r="B2911" s="195" t="s">
        <v>1989</v>
      </c>
      <c r="C2911" s="196">
        <v>1.72</v>
      </c>
      <c r="D2911" s="196">
        <v>1.78</v>
      </c>
      <c r="E2911" s="195" t="s">
        <v>583</v>
      </c>
      <c r="F2911" s="195" t="s">
        <v>430</v>
      </c>
    </row>
    <row r="2912" spans="1:6" x14ac:dyDescent="0.25">
      <c r="A2912" s="189" t="str">
        <f t="shared" si="45"/>
        <v>CA-MD 2641.721.78S</v>
      </c>
      <c r="B2912" s="195" t="s">
        <v>1989</v>
      </c>
      <c r="C2912" s="196">
        <v>1.72</v>
      </c>
      <c r="D2912" s="196">
        <v>1.78</v>
      </c>
      <c r="E2912" s="195" t="s">
        <v>583</v>
      </c>
      <c r="F2912" s="195" t="s">
        <v>438</v>
      </c>
    </row>
    <row r="2913" spans="1:6" x14ac:dyDescent="0.25">
      <c r="A2913" s="189" t="str">
        <f t="shared" si="45"/>
        <v>CA-MD 2641.782.67N</v>
      </c>
      <c r="B2913" s="195" t="s">
        <v>1989</v>
      </c>
      <c r="C2913" s="196">
        <v>1.78</v>
      </c>
      <c r="D2913" s="196">
        <v>2.67</v>
      </c>
      <c r="E2913" s="195" t="s">
        <v>583</v>
      </c>
      <c r="F2913" s="195" t="s">
        <v>430</v>
      </c>
    </row>
    <row r="2914" spans="1:6" x14ac:dyDescent="0.25">
      <c r="A2914" s="189" t="str">
        <f t="shared" si="45"/>
        <v>CA-MD 2641.782.67S</v>
      </c>
      <c r="B2914" s="195" t="s">
        <v>1989</v>
      </c>
      <c r="C2914" s="196">
        <v>1.78</v>
      </c>
      <c r="D2914" s="196">
        <v>2.67</v>
      </c>
      <c r="E2914" s="195" t="s">
        <v>583</v>
      </c>
      <c r="F2914" s="195" t="s">
        <v>438</v>
      </c>
    </row>
    <row r="2915" spans="1:6" x14ac:dyDescent="0.25">
      <c r="A2915" s="189" t="str">
        <f t="shared" si="45"/>
        <v>CA-MD 2642.672.68N</v>
      </c>
      <c r="B2915" s="195" t="s">
        <v>1989</v>
      </c>
      <c r="C2915" s="196">
        <v>2.67</v>
      </c>
      <c r="D2915" s="196">
        <v>2.68</v>
      </c>
      <c r="E2915" s="195" t="s">
        <v>583</v>
      </c>
      <c r="F2915" s="195" t="s">
        <v>430</v>
      </c>
    </row>
    <row r="2916" spans="1:6" x14ac:dyDescent="0.25">
      <c r="A2916" s="189" t="str">
        <f t="shared" si="45"/>
        <v>CA-MD 2642.672.68S</v>
      </c>
      <c r="B2916" s="195" t="s">
        <v>1989</v>
      </c>
      <c r="C2916" s="196">
        <v>2.67</v>
      </c>
      <c r="D2916" s="196">
        <v>2.68</v>
      </c>
      <c r="E2916" s="195" t="s">
        <v>583</v>
      </c>
      <c r="F2916" s="195" t="s">
        <v>438</v>
      </c>
    </row>
    <row r="2917" spans="1:6" x14ac:dyDescent="0.25">
      <c r="A2917" s="189" t="str">
        <f t="shared" si="45"/>
        <v>CA-MD 2642.686.66N</v>
      </c>
      <c r="B2917" s="195" t="s">
        <v>1989</v>
      </c>
      <c r="C2917" s="196">
        <v>2.68</v>
      </c>
      <c r="D2917" s="196">
        <v>6.66</v>
      </c>
      <c r="E2917" s="195" t="s">
        <v>583</v>
      </c>
      <c r="F2917" s="195" t="s">
        <v>430</v>
      </c>
    </row>
    <row r="2918" spans="1:6" x14ac:dyDescent="0.25">
      <c r="A2918" s="189" t="str">
        <f t="shared" si="45"/>
        <v>CA-MD 2642.686.66S</v>
      </c>
      <c r="B2918" s="195" t="s">
        <v>1989</v>
      </c>
      <c r="C2918" s="196">
        <v>2.68</v>
      </c>
      <c r="D2918" s="196">
        <v>6.66</v>
      </c>
      <c r="E2918" s="195" t="s">
        <v>583</v>
      </c>
      <c r="F2918" s="195" t="s">
        <v>438</v>
      </c>
    </row>
    <row r="2919" spans="1:6" x14ac:dyDescent="0.25">
      <c r="A2919" s="189" t="str">
        <f t="shared" si="45"/>
        <v>CA-MD 264A00.19N</v>
      </c>
      <c r="B2919" s="195" t="s">
        <v>1990</v>
      </c>
      <c r="C2919" s="196">
        <v>0</v>
      </c>
      <c r="D2919" s="196">
        <v>0.19</v>
      </c>
      <c r="E2919" s="195" t="s">
        <v>583</v>
      </c>
      <c r="F2919" s="195" t="s">
        <v>430</v>
      </c>
    </row>
    <row r="2920" spans="1:6" x14ac:dyDescent="0.25">
      <c r="A2920" s="189" t="str">
        <f t="shared" si="45"/>
        <v>CA-MD 264A00.19S</v>
      </c>
      <c r="B2920" s="195" t="s">
        <v>1990</v>
      </c>
      <c r="C2920" s="196">
        <v>0</v>
      </c>
      <c r="D2920" s="196">
        <v>0.19</v>
      </c>
      <c r="E2920" s="195" t="s">
        <v>583</v>
      </c>
      <c r="F2920" s="195" t="s">
        <v>438</v>
      </c>
    </row>
    <row r="2921" spans="1:6" x14ac:dyDescent="0.25">
      <c r="A2921" s="189" t="str">
        <f t="shared" si="45"/>
        <v>CA-MD 26501.75N</v>
      </c>
      <c r="B2921" s="195" t="s">
        <v>1991</v>
      </c>
      <c r="C2921" s="196">
        <v>0</v>
      </c>
      <c r="D2921" s="196">
        <v>1.75</v>
      </c>
      <c r="E2921" s="195" t="s">
        <v>583</v>
      </c>
      <c r="F2921" s="195" t="s">
        <v>430</v>
      </c>
    </row>
    <row r="2922" spans="1:6" x14ac:dyDescent="0.25">
      <c r="A2922" s="189" t="str">
        <f t="shared" si="45"/>
        <v>CA-MD 26501.75S</v>
      </c>
      <c r="B2922" s="195" t="s">
        <v>1991</v>
      </c>
      <c r="C2922" s="196">
        <v>0</v>
      </c>
      <c r="D2922" s="196">
        <v>1.75</v>
      </c>
      <c r="E2922" s="195" t="s">
        <v>583</v>
      </c>
      <c r="F2922" s="195" t="s">
        <v>438</v>
      </c>
    </row>
    <row r="2923" spans="1:6" x14ac:dyDescent="0.25">
      <c r="A2923" s="189" t="str">
        <f t="shared" si="45"/>
        <v>CA-MD 2A00.13N</v>
      </c>
      <c r="B2923" s="195" t="s">
        <v>1992</v>
      </c>
      <c r="C2923" s="196">
        <v>0</v>
      </c>
      <c r="D2923" s="196">
        <v>0.13</v>
      </c>
      <c r="E2923" s="195" t="s">
        <v>583</v>
      </c>
      <c r="F2923" s="195" t="s">
        <v>430</v>
      </c>
    </row>
    <row r="2924" spans="1:6" x14ac:dyDescent="0.25">
      <c r="A2924" s="189" t="str">
        <f t="shared" si="45"/>
        <v>CA-MD 2A00.13S</v>
      </c>
      <c r="B2924" s="195" t="s">
        <v>1992</v>
      </c>
      <c r="C2924" s="196">
        <v>0</v>
      </c>
      <c r="D2924" s="196">
        <v>0.13</v>
      </c>
      <c r="E2924" s="195" t="s">
        <v>583</v>
      </c>
      <c r="F2924" s="195" t="s">
        <v>438</v>
      </c>
    </row>
    <row r="2925" spans="1:6" x14ac:dyDescent="0.25">
      <c r="A2925" s="189" t="str">
        <f t="shared" si="45"/>
        <v>CA-MD 2AC00.39N</v>
      </c>
      <c r="B2925" s="195" t="s">
        <v>1993</v>
      </c>
      <c r="C2925" s="196">
        <v>0</v>
      </c>
      <c r="D2925" s="196">
        <v>0.39</v>
      </c>
      <c r="E2925" s="195" t="s">
        <v>583</v>
      </c>
      <c r="F2925" s="195" t="s">
        <v>430</v>
      </c>
    </row>
    <row r="2926" spans="1:6" x14ac:dyDescent="0.25">
      <c r="A2926" s="189" t="str">
        <f t="shared" si="45"/>
        <v>CA-MD 2AC00.39S</v>
      </c>
      <c r="B2926" s="195" t="s">
        <v>1993</v>
      </c>
      <c r="C2926" s="196">
        <v>0</v>
      </c>
      <c r="D2926" s="196">
        <v>0.39</v>
      </c>
      <c r="E2926" s="195" t="s">
        <v>583</v>
      </c>
      <c r="F2926" s="195" t="s">
        <v>438</v>
      </c>
    </row>
    <row r="2927" spans="1:6" x14ac:dyDescent="0.25">
      <c r="A2927" s="189" t="str">
        <f t="shared" si="45"/>
        <v>CA-MD 2AE00.03E</v>
      </c>
      <c r="B2927" s="195" t="s">
        <v>1994</v>
      </c>
      <c r="C2927" s="196">
        <v>0</v>
      </c>
      <c r="D2927" s="196">
        <v>0.03</v>
      </c>
      <c r="E2927" s="195" t="s">
        <v>598</v>
      </c>
      <c r="F2927" s="195" t="s">
        <v>19</v>
      </c>
    </row>
    <row r="2928" spans="1:6" x14ac:dyDescent="0.25">
      <c r="A2928" s="189" t="str">
        <f t="shared" si="45"/>
        <v>CA-MD 2AE00.03W</v>
      </c>
      <c r="B2928" s="195" t="s">
        <v>1994</v>
      </c>
      <c r="C2928" s="196">
        <v>0</v>
      </c>
      <c r="D2928" s="196">
        <v>0.03</v>
      </c>
      <c r="E2928" s="195" t="s">
        <v>593</v>
      </c>
      <c r="F2928" s="195" t="s">
        <v>432</v>
      </c>
    </row>
    <row r="2929" spans="1:6" x14ac:dyDescent="0.25">
      <c r="A2929" s="189" t="str">
        <f t="shared" si="45"/>
        <v>CA-MD 2AF00.04E</v>
      </c>
      <c r="B2929" s="195" t="s">
        <v>1995</v>
      </c>
      <c r="C2929" s="196">
        <v>0</v>
      </c>
      <c r="D2929" s="196">
        <v>0.04</v>
      </c>
      <c r="E2929" s="195" t="s">
        <v>598</v>
      </c>
      <c r="F2929" s="195" t="s">
        <v>19</v>
      </c>
    </row>
    <row r="2930" spans="1:6" x14ac:dyDescent="0.25">
      <c r="A2930" s="189" t="str">
        <f t="shared" si="45"/>
        <v>CA-MD 2AF00.04W</v>
      </c>
      <c r="B2930" s="195" t="s">
        <v>1995</v>
      </c>
      <c r="C2930" s="196">
        <v>0</v>
      </c>
      <c r="D2930" s="196">
        <v>0.04</v>
      </c>
      <c r="E2930" s="195" t="s">
        <v>593</v>
      </c>
      <c r="F2930" s="195" t="s">
        <v>432</v>
      </c>
    </row>
    <row r="2931" spans="1:6" x14ac:dyDescent="0.25">
      <c r="A2931" s="189" t="str">
        <f t="shared" si="45"/>
        <v>CA-MD 2AG00.2N</v>
      </c>
      <c r="B2931" s="195" t="s">
        <v>1996</v>
      </c>
      <c r="C2931" s="196">
        <v>0</v>
      </c>
      <c r="D2931" s="196">
        <v>0.2</v>
      </c>
      <c r="E2931" s="195" t="s">
        <v>583</v>
      </c>
      <c r="F2931" s="195" t="s">
        <v>430</v>
      </c>
    </row>
    <row r="2932" spans="1:6" x14ac:dyDescent="0.25">
      <c r="A2932" s="189" t="str">
        <f t="shared" si="45"/>
        <v>CA-MD 2AG00.2S</v>
      </c>
      <c r="B2932" s="195" t="s">
        <v>1996</v>
      </c>
      <c r="C2932" s="196">
        <v>0</v>
      </c>
      <c r="D2932" s="196">
        <v>0.2</v>
      </c>
      <c r="E2932" s="195" t="s">
        <v>583</v>
      </c>
      <c r="F2932" s="195" t="s">
        <v>438</v>
      </c>
    </row>
    <row r="2933" spans="1:6" x14ac:dyDescent="0.25">
      <c r="A2933" s="189" t="str">
        <f t="shared" si="45"/>
        <v>CA-MD 2B00.29N</v>
      </c>
      <c r="B2933" s="195" t="s">
        <v>1997</v>
      </c>
      <c r="C2933" s="196">
        <v>0</v>
      </c>
      <c r="D2933" s="196">
        <v>0.28999999999999998</v>
      </c>
      <c r="E2933" s="195" t="s">
        <v>583</v>
      </c>
      <c r="F2933" s="195" t="s">
        <v>430</v>
      </c>
    </row>
    <row r="2934" spans="1:6" x14ac:dyDescent="0.25">
      <c r="A2934" s="189" t="str">
        <f t="shared" si="45"/>
        <v>CA-MD 2B00.29S</v>
      </c>
      <c r="B2934" s="195" t="s">
        <v>1997</v>
      </c>
      <c r="C2934" s="196">
        <v>0</v>
      </c>
      <c r="D2934" s="196">
        <v>0.28999999999999998</v>
      </c>
      <c r="E2934" s="195" t="s">
        <v>583</v>
      </c>
      <c r="F2934" s="195" t="s">
        <v>438</v>
      </c>
    </row>
    <row r="2935" spans="1:6" x14ac:dyDescent="0.25">
      <c r="A2935" s="189" t="str">
        <f t="shared" si="45"/>
        <v>CA-MD 2C00.14N</v>
      </c>
      <c r="B2935" s="195" t="s">
        <v>1998</v>
      </c>
      <c r="C2935" s="196">
        <v>0</v>
      </c>
      <c r="D2935" s="196">
        <v>0.14000000000000001</v>
      </c>
      <c r="E2935" s="195" t="s">
        <v>583</v>
      </c>
      <c r="F2935" s="195" t="s">
        <v>430</v>
      </c>
    </row>
    <row r="2936" spans="1:6" x14ac:dyDescent="0.25">
      <c r="A2936" s="189" t="str">
        <f t="shared" si="45"/>
        <v>CA-MD 2C00.14S</v>
      </c>
      <c r="B2936" s="195" t="s">
        <v>1998</v>
      </c>
      <c r="C2936" s="196">
        <v>0</v>
      </c>
      <c r="D2936" s="196">
        <v>0.14000000000000001</v>
      </c>
      <c r="E2936" s="195" t="s">
        <v>583</v>
      </c>
      <c r="F2936" s="195" t="s">
        <v>438</v>
      </c>
    </row>
    <row r="2937" spans="1:6" x14ac:dyDescent="0.25">
      <c r="A2937" s="189" t="str">
        <f t="shared" si="45"/>
        <v>CA-MD 2D00.18N</v>
      </c>
      <c r="B2937" s="195" t="s">
        <v>1999</v>
      </c>
      <c r="C2937" s="196">
        <v>0</v>
      </c>
      <c r="D2937" s="196">
        <v>0.18</v>
      </c>
      <c r="E2937" s="195" t="s">
        <v>583</v>
      </c>
      <c r="F2937" s="195" t="s">
        <v>430</v>
      </c>
    </row>
    <row r="2938" spans="1:6" x14ac:dyDescent="0.25">
      <c r="A2938" s="189" t="str">
        <f t="shared" si="45"/>
        <v>CA-MD 2D00.18S</v>
      </c>
      <c r="B2938" s="195" t="s">
        <v>1999</v>
      </c>
      <c r="C2938" s="196">
        <v>0</v>
      </c>
      <c r="D2938" s="196">
        <v>0.18</v>
      </c>
      <c r="E2938" s="195" t="s">
        <v>583</v>
      </c>
      <c r="F2938" s="195" t="s">
        <v>438</v>
      </c>
    </row>
    <row r="2939" spans="1:6" x14ac:dyDescent="0.25">
      <c r="A2939" s="189" t="str">
        <f t="shared" si="45"/>
        <v>CA-MD 2E00.25N</v>
      </c>
      <c r="B2939" s="195" t="s">
        <v>2000</v>
      </c>
      <c r="C2939" s="196">
        <v>0</v>
      </c>
      <c r="D2939" s="196">
        <v>0.25</v>
      </c>
      <c r="E2939" s="195" t="s">
        <v>583</v>
      </c>
      <c r="F2939" s="195" t="s">
        <v>430</v>
      </c>
    </row>
    <row r="2940" spans="1:6" x14ac:dyDescent="0.25">
      <c r="A2940" s="189" t="str">
        <f t="shared" si="45"/>
        <v>CA-MD 2E00.25S</v>
      </c>
      <c r="B2940" s="195" t="s">
        <v>2000</v>
      </c>
      <c r="C2940" s="196">
        <v>0</v>
      </c>
      <c r="D2940" s="196">
        <v>0.25</v>
      </c>
      <c r="E2940" s="195" t="s">
        <v>583</v>
      </c>
      <c r="F2940" s="195" t="s">
        <v>438</v>
      </c>
    </row>
    <row r="2941" spans="1:6" x14ac:dyDescent="0.25">
      <c r="A2941" s="189" t="str">
        <f t="shared" si="45"/>
        <v>CA-MD 2F00.14N</v>
      </c>
      <c r="B2941" s="195" t="s">
        <v>2001</v>
      </c>
      <c r="C2941" s="196">
        <v>0</v>
      </c>
      <c r="D2941" s="196">
        <v>0.14000000000000001</v>
      </c>
      <c r="E2941" s="195" t="s">
        <v>583</v>
      </c>
      <c r="F2941" s="195" t="s">
        <v>430</v>
      </c>
    </row>
    <row r="2942" spans="1:6" x14ac:dyDescent="0.25">
      <c r="A2942" s="189" t="str">
        <f t="shared" si="45"/>
        <v>CA-MD 2F00.14S</v>
      </c>
      <c r="B2942" s="195" t="s">
        <v>2001</v>
      </c>
      <c r="C2942" s="196">
        <v>0</v>
      </c>
      <c r="D2942" s="196">
        <v>0.14000000000000001</v>
      </c>
      <c r="E2942" s="195" t="s">
        <v>583</v>
      </c>
      <c r="F2942" s="195" t="s">
        <v>438</v>
      </c>
    </row>
    <row r="2943" spans="1:6" x14ac:dyDescent="0.25">
      <c r="A2943" s="189" t="str">
        <f t="shared" si="45"/>
        <v>CA-MD 2G00.03E</v>
      </c>
      <c r="B2943" s="195" t="s">
        <v>2002</v>
      </c>
      <c r="C2943" s="196">
        <v>0</v>
      </c>
      <c r="D2943" s="196">
        <v>0.03</v>
      </c>
      <c r="E2943" s="195" t="s">
        <v>598</v>
      </c>
      <c r="F2943" s="195" t="s">
        <v>19</v>
      </c>
    </row>
    <row r="2944" spans="1:6" x14ac:dyDescent="0.25">
      <c r="A2944" s="189" t="str">
        <f t="shared" si="45"/>
        <v>CA-MD 2H00.03E</v>
      </c>
      <c r="B2944" s="195" t="s">
        <v>2003</v>
      </c>
      <c r="C2944" s="196">
        <v>0</v>
      </c>
      <c r="D2944" s="196">
        <v>0.03</v>
      </c>
      <c r="E2944" s="195" t="s">
        <v>598</v>
      </c>
      <c r="F2944" s="195" t="s">
        <v>19</v>
      </c>
    </row>
    <row r="2945" spans="1:6" x14ac:dyDescent="0.25">
      <c r="A2945" s="189" t="str">
        <f t="shared" si="45"/>
        <v>CA-MD 2H00.03W</v>
      </c>
      <c r="B2945" s="195" t="s">
        <v>2003</v>
      </c>
      <c r="C2945" s="196">
        <v>0</v>
      </c>
      <c r="D2945" s="196">
        <v>0.03</v>
      </c>
      <c r="E2945" s="195" t="s">
        <v>593</v>
      </c>
      <c r="F2945" s="195" t="s">
        <v>432</v>
      </c>
    </row>
    <row r="2946" spans="1:6" x14ac:dyDescent="0.25">
      <c r="A2946" s="189" t="str">
        <f t="shared" si="45"/>
        <v>CA-MD 2I00.03E</v>
      </c>
      <c r="B2946" s="195" t="s">
        <v>2004</v>
      </c>
      <c r="C2946" s="196">
        <v>0</v>
      </c>
      <c r="D2946" s="196">
        <v>0.03</v>
      </c>
      <c r="E2946" s="195" t="s">
        <v>598</v>
      </c>
      <c r="F2946" s="195" t="s">
        <v>19</v>
      </c>
    </row>
    <row r="2947" spans="1:6" x14ac:dyDescent="0.25">
      <c r="A2947" s="189" t="str">
        <f t="shared" ref="A2947:A3010" si="46">B2947&amp;C2947&amp;D2947&amp;F2947</f>
        <v>CA-MD 2I00.03W</v>
      </c>
      <c r="B2947" s="195" t="s">
        <v>2004</v>
      </c>
      <c r="C2947" s="196">
        <v>0</v>
      </c>
      <c r="D2947" s="196">
        <v>0.03</v>
      </c>
      <c r="E2947" s="195" t="s">
        <v>593</v>
      </c>
      <c r="F2947" s="195" t="s">
        <v>432</v>
      </c>
    </row>
    <row r="2948" spans="1:6" x14ac:dyDescent="0.25">
      <c r="A2948" s="189" t="str">
        <f t="shared" si="46"/>
        <v>CA-MD 2J00.13E</v>
      </c>
      <c r="B2948" s="195" t="s">
        <v>2005</v>
      </c>
      <c r="C2948" s="196">
        <v>0</v>
      </c>
      <c r="D2948" s="196">
        <v>0.13</v>
      </c>
      <c r="E2948" s="195" t="s">
        <v>583</v>
      </c>
      <c r="F2948" s="195" t="s">
        <v>19</v>
      </c>
    </row>
    <row r="2949" spans="1:6" x14ac:dyDescent="0.25">
      <c r="A2949" s="189" t="str">
        <f t="shared" si="46"/>
        <v>CA-MD 2J00.13W</v>
      </c>
      <c r="B2949" s="195" t="s">
        <v>2005</v>
      </c>
      <c r="C2949" s="196">
        <v>0</v>
      </c>
      <c r="D2949" s="196">
        <v>0.13</v>
      </c>
      <c r="E2949" s="195" t="s">
        <v>583</v>
      </c>
      <c r="F2949" s="195" t="s">
        <v>432</v>
      </c>
    </row>
    <row r="2950" spans="1:6" x14ac:dyDescent="0.25">
      <c r="A2950" s="189" t="str">
        <f t="shared" si="46"/>
        <v>CA-MD 2K00.03E</v>
      </c>
      <c r="B2950" s="195" t="s">
        <v>2006</v>
      </c>
      <c r="C2950" s="196">
        <v>0</v>
      </c>
      <c r="D2950" s="196">
        <v>0.03</v>
      </c>
      <c r="E2950" s="195" t="s">
        <v>598</v>
      </c>
      <c r="F2950" s="195" t="s">
        <v>19</v>
      </c>
    </row>
    <row r="2951" spans="1:6" x14ac:dyDescent="0.25">
      <c r="A2951" s="189" t="str">
        <f t="shared" si="46"/>
        <v>CA-MD 2K00.03W</v>
      </c>
      <c r="B2951" s="195" t="s">
        <v>2006</v>
      </c>
      <c r="C2951" s="196">
        <v>0</v>
      </c>
      <c r="D2951" s="196">
        <v>0.03</v>
      </c>
      <c r="E2951" s="195" t="s">
        <v>593</v>
      </c>
      <c r="F2951" s="195" t="s">
        <v>432</v>
      </c>
    </row>
    <row r="2952" spans="1:6" x14ac:dyDescent="0.25">
      <c r="A2952" s="189" t="str">
        <f t="shared" si="46"/>
        <v>CA-MD 2L1.681.79E</v>
      </c>
      <c r="B2952" s="195" t="s">
        <v>2007</v>
      </c>
      <c r="C2952" s="196">
        <v>1.68</v>
      </c>
      <c r="D2952" s="196">
        <v>1.79</v>
      </c>
      <c r="E2952" s="195" t="s">
        <v>583</v>
      </c>
      <c r="F2952" s="195" t="s">
        <v>19</v>
      </c>
    </row>
    <row r="2953" spans="1:6" x14ac:dyDescent="0.25">
      <c r="A2953" s="189" t="str">
        <f t="shared" si="46"/>
        <v>CA-MD 2L1.681.79W</v>
      </c>
      <c r="B2953" s="195" t="s">
        <v>2007</v>
      </c>
      <c r="C2953" s="196">
        <v>1.68</v>
      </c>
      <c r="D2953" s="196">
        <v>1.79</v>
      </c>
      <c r="E2953" s="195" t="s">
        <v>583</v>
      </c>
      <c r="F2953" s="195" t="s">
        <v>432</v>
      </c>
    </row>
    <row r="2954" spans="1:6" x14ac:dyDescent="0.25">
      <c r="A2954" s="189" t="str">
        <f t="shared" si="46"/>
        <v>CA-MD 2M00.1N</v>
      </c>
      <c r="B2954" s="195" t="s">
        <v>2008</v>
      </c>
      <c r="C2954" s="196">
        <v>0</v>
      </c>
      <c r="D2954" s="196">
        <v>0.1</v>
      </c>
      <c r="E2954" s="195" t="s">
        <v>583</v>
      </c>
      <c r="F2954" s="195" t="s">
        <v>430</v>
      </c>
    </row>
    <row r="2955" spans="1:6" x14ac:dyDescent="0.25">
      <c r="A2955" s="189" t="str">
        <f t="shared" si="46"/>
        <v>CA-MD 2M00.1S</v>
      </c>
      <c r="B2955" s="195" t="s">
        <v>2008</v>
      </c>
      <c r="C2955" s="196">
        <v>0</v>
      </c>
      <c r="D2955" s="196">
        <v>0.1</v>
      </c>
      <c r="E2955" s="195" t="s">
        <v>583</v>
      </c>
      <c r="F2955" s="195" t="s">
        <v>438</v>
      </c>
    </row>
    <row r="2956" spans="1:6" x14ac:dyDescent="0.25">
      <c r="A2956" s="189" t="str">
        <f t="shared" si="46"/>
        <v>CA-MD 2N00.11E</v>
      </c>
      <c r="B2956" s="195" t="s">
        <v>2009</v>
      </c>
      <c r="C2956" s="196">
        <v>0</v>
      </c>
      <c r="D2956" s="196">
        <v>0.11</v>
      </c>
      <c r="E2956" s="195" t="s">
        <v>583</v>
      </c>
      <c r="F2956" s="195" t="s">
        <v>19</v>
      </c>
    </row>
    <row r="2957" spans="1:6" x14ac:dyDescent="0.25">
      <c r="A2957" s="189" t="str">
        <f t="shared" si="46"/>
        <v>CA-MD 2N00.11W</v>
      </c>
      <c r="B2957" s="195" t="s">
        <v>2009</v>
      </c>
      <c r="C2957" s="196">
        <v>0</v>
      </c>
      <c r="D2957" s="196">
        <v>0.11</v>
      </c>
      <c r="E2957" s="195" t="s">
        <v>583</v>
      </c>
      <c r="F2957" s="195" t="s">
        <v>432</v>
      </c>
    </row>
    <row r="2958" spans="1:6" x14ac:dyDescent="0.25">
      <c r="A2958" s="189" t="str">
        <f t="shared" si="46"/>
        <v>CA-MD 2O00.04E</v>
      </c>
      <c r="B2958" s="195" t="s">
        <v>2010</v>
      </c>
      <c r="C2958" s="196">
        <v>0</v>
      </c>
      <c r="D2958" s="196">
        <v>0.04</v>
      </c>
      <c r="E2958" s="195" t="s">
        <v>598</v>
      </c>
      <c r="F2958" s="195" t="s">
        <v>19</v>
      </c>
    </row>
    <row r="2959" spans="1:6" x14ac:dyDescent="0.25">
      <c r="A2959" s="189" t="str">
        <f t="shared" si="46"/>
        <v>CA-MD 2O00.04W</v>
      </c>
      <c r="B2959" s="195" t="s">
        <v>2010</v>
      </c>
      <c r="C2959" s="196">
        <v>0</v>
      </c>
      <c r="D2959" s="196">
        <v>0.04</v>
      </c>
      <c r="E2959" s="195" t="s">
        <v>593</v>
      </c>
      <c r="F2959" s="195" t="s">
        <v>432</v>
      </c>
    </row>
    <row r="2960" spans="1:6" x14ac:dyDescent="0.25">
      <c r="A2960" s="189" t="str">
        <f t="shared" si="46"/>
        <v>CA-MD 2P00.14E</v>
      </c>
      <c r="B2960" s="195" t="s">
        <v>2011</v>
      </c>
      <c r="C2960" s="196">
        <v>0</v>
      </c>
      <c r="D2960" s="196">
        <v>0.14000000000000001</v>
      </c>
      <c r="E2960" s="195" t="s">
        <v>583</v>
      </c>
      <c r="F2960" s="195" t="s">
        <v>19</v>
      </c>
    </row>
    <row r="2961" spans="1:6" x14ac:dyDescent="0.25">
      <c r="A2961" s="189" t="str">
        <f t="shared" si="46"/>
        <v>CA-MD 2P00.14W</v>
      </c>
      <c r="B2961" s="195" t="s">
        <v>2011</v>
      </c>
      <c r="C2961" s="196">
        <v>0</v>
      </c>
      <c r="D2961" s="196">
        <v>0.14000000000000001</v>
      </c>
      <c r="E2961" s="195" t="s">
        <v>583</v>
      </c>
      <c r="F2961" s="195" t="s">
        <v>432</v>
      </c>
    </row>
    <row r="2962" spans="1:6" x14ac:dyDescent="0.25">
      <c r="A2962" s="189" t="str">
        <f t="shared" si="46"/>
        <v>CA-MD 2Q00.06E</v>
      </c>
      <c r="B2962" s="195" t="s">
        <v>2012</v>
      </c>
      <c r="C2962" s="196">
        <v>0</v>
      </c>
      <c r="D2962" s="196">
        <v>0.06</v>
      </c>
      <c r="E2962" s="195" t="s">
        <v>598</v>
      </c>
      <c r="F2962" s="195" t="s">
        <v>19</v>
      </c>
    </row>
    <row r="2963" spans="1:6" x14ac:dyDescent="0.25">
      <c r="A2963" s="189" t="str">
        <f t="shared" si="46"/>
        <v>CA-MD 2Q00.06W</v>
      </c>
      <c r="B2963" s="195" t="s">
        <v>2012</v>
      </c>
      <c r="C2963" s="196">
        <v>0</v>
      </c>
      <c r="D2963" s="196">
        <v>0.06</v>
      </c>
      <c r="E2963" s="195" t="s">
        <v>593</v>
      </c>
      <c r="F2963" s="195" t="s">
        <v>432</v>
      </c>
    </row>
    <row r="2964" spans="1:6" x14ac:dyDescent="0.25">
      <c r="A2964" s="189" t="str">
        <f t="shared" si="46"/>
        <v>CA-MD 2S00.15N</v>
      </c>
      <c r="B2964" s="195" t="s">
        <v>2013</v>
      </c>
      <c r="C2964" s="196">
        <v>0</v>
      </c>
      <c r="D2964" s="196">
        <v>0.15</v>
      </c>
      <c r="E2964" s="195" t="s">
        <v>583</v>
      </c>
      <c r="F2964" s="195" t="s">
        <v>430</v>
      </c>
    </row>
    <row r="2965" spans="1:6" x14ac:dyDescent="0.25">
      <c r="A2965" s="189" t="str">
        <f t="shared" si="46"/>
        <v>CA-MD 2S00.15S</v>
      </c>
      <c r="B2965" s="195" t="s">
        <v>2013</v>
      </c>
      <c r="C2965" s="196">
        <v>0</v>
      </c>
      <c r="D2965" s="196">
        <v>0.15</v>
      </c>
      <c r="E2965" s="195" t="s">
        <v>583</v>
      </c>
      <c r="F2965" s="195" t="s">
        <v>438</v>
      </c>
    </row>
    <row r="2966" spans="1:6" x14ac:dyDescent="0.25">
      <c r="A2966" s="189" t="str">
        <f t="shared" si="46"/>
        <v>CA-MD 2T00.28N</v>
      </c>
      <c r="B2966" s="195" t="s">
        <v>2014</v>
      </c>
      <c r="C2966" s="196">
        <v>0</v>
      </c>
      <c r="D2966" s="196">
        <v>0.28000000000000003</v>
      </c>
      <c r="E2966" s="195" t="s">
        <v>583</v>
      </c>
      <c r="F2966" s="195" t="s">
        <v>430</v>
      </c>
    </row>
    <row r="2967" spans="1:6" x14ac:dyDescent="0.25">
      <c r="A2967" s="189" t="str">
        <f t="shared" si="46"/>
        <v>CA-MD 2T00.28S</v>
      </c>
      <c r="B2967" s="195" t="s">
        <v>2014</v>
      </c>
      <c r="C2967" s="196">
        <v>0</v>
      </c>
      <c r="D2967" s="196">
        <v>0.28000000000000003</v>
      </c>
      <c r="E2967" s="195" t="s">
        <v>583</v>
      </c>
      <c r="F2967" s="195" t="s">
        <v>438</v>
      </c>
    </row>
    <row r="2968" spans="1:6" x14ac:dyDescent="0.25">
      <c r="A2968" s="189" t="str">
        <f t="shared" si="46"/>
        <v>CA-MD 2W00.03E</v>
      </c>
      <c r="B2968" s="195" t="s">
        <v>2015</v>
      </c>
      <c r="C2968" s="196">
        <v>0</v>
      </c>
      <c r="D2968" s="196">
        <v>0.03</v>
      </c>
      <c r="E2968" s="195" t="s">
        <v>598</v>
      </c>
      <c r="F2968" s="195" t="s">
        <v>19</v>
      </c>
    </row>
    <row r="2969" spans="1:6" x14ac:dyDescent="0.25">
      <c r="A2969" s="189" t="str">
        <f t="shared" si="46"/>
        <v>CA-MD 2W00.03W</v>
      </c>
      <c r="B2969" s="195" t="s">
        <v>2015</v>
      </c>
      <c r="C2969" s="196">
        <v>0</v>
      </c>
      <c r="D2969" s="196">
        <v>0.03</v>
      </c>
      <c r="E2969" s="195" t="s">
        <v>593</v>
      </c>
      <c r="F2969" s="195" t="s">
        <v>432</v>
      </c>
    </row>
    <row r="2970" spans="1:6" x14ac:dyDescent="0.25">
      <c r="A2970" s="189" t="str">
        <f t="shared" si="46"/>
        <v>CA-MD 2X0.50.53E</v>
      </c>
      <c r="B2970" s="195" t="s">
        <v>2016</v>
      </c>
      <c r="C2970" s="196">
        <v>0.5</v>
      </c>
      <c r="D2970" s="196">
        <v>0.53</v>
      </c>
      <c r="E2970" s="195" t="s">
        <v>598</v>
      </c>
      <c r="F2970" s="195" t="s">
        <v>19</v>
      </c>
    </row>
    <row r="2971" spans="1:6" x14ac:dyDescent="0.25">
      <c r="A2971" s="189" t="str">
        <f t="shared" si="46"/>
        <v>CA-MD 2X0.50.53W</v>
      </c>
      <c r="B2971" s="195" t="s">
        <v>2016</v>
      </c>
      <c r="C2971" s="196">
        <v>0.5</v>
      </c>
      <c r="D2971" s="196">
        <v>0.53</v>
      </c>
      <c r="E2971" s="195" t="s">
        <v>593</v>
      </c>
      <c r="F2971" s="195" t="s">
        <v>432</v>
      </c>
    </row>
    <row r="2972" spans="1:6" x14ac:dyDescent="0.25">
      <c r="A2972" s="189" t="str">
        <f t="shared" si="46"/>
        <v>CA-MD 2Y00.02N</v>
      </c>
      <c r="B2972" s="195" t="s">
        <v>2017</v>
      </c>
      <c r="C2972" s="196">
        <v>0</v>
      </c>
      <c r="D2972" s="196">
        <v>0.02</v>
      </c>
      <c r="E2972" s="195" t="s">
        <v>589</v>
      </c>
      <c r="F2972" s="195" t="s">
        <v>430</v>
      </c>
    </row>
    <row r="2973" spans="1:6" x14ac:dyDescent="0.25">
      <c r="A2973" s="189" t="str">
        <f t="shared" si="46"/>
        <v>CA-MD 2Y00.02S</v>
      </c>
      <c r="B2973" s="195" t="s">
        <v>2017</v>
      </c>
      <c r="C2973" s="196">
        <v>0</v>
      </c>
      <c r="D2973" s="196">
        <v>0.02</v>
      </c>
      <c r="E2973" s="195" t="s">
        <v>595</v>
      </c>
      <c r="F2973" s="195" t="s">
        <v>438</v>
      </c>
    </row>
    <row r="2974" spans="1:6" x14ac:dyDescent="0.25">
      <c r="A2974" s="189" t="str">
        <f t="shared" si="46"/>
        <v>CA-MD 2Z1.831.94N</v>
      </c>
      <c r="B2974" s="195" t="s">
        <v>2018</v>
      </c>
      <c r="C2974" s="196">
        <v>1.83</v>
      </c>
      <c r="D2974" s="196">
        <v>1.94</v>
      </c>
      <c r="E2974" s="195" t="s">
        <v>583</v>
      </c>
      <c r="F2974" s="195" t="s">
        <v>430</v>
      </c>
    </row>
    <row r="2975" spans="1:6" x14ac:dyDescent="0.25">
      <c r="A2975" s="189" t="str">
        <f t="shared" si="46"/>
        <v>CA-MD 2Z1.831.94S</v>
      </c>
      <c r="B2975" s="195" t="s">
        <v>2018</v>
      </c>
      <c r="C2975" s="196">
        <v>1.83</v>
      </c>
      <c r="D2975" s="196">
        <v>1.94</v>
      </c>
      <c r="E2975" s="195" t="s">
        <v>583</v>
      </c>
      <c r="F2975" s="195" t="s">
        <v>438</v>
      </c>
    </row>
    <row r="2976" spans="1:6" x14ac:dyDescent="0.25">
      <c r="A2976" s="189" t="str">
        <f t="shared" si="46"/>
        <v>CA-MD 400.49N</v>
      </c>
      <c r="B2976" s="195" t="s">
        <v>537</v>
      </c>
      <c r="C2976" s="196">
        <v>0</v>
      </c>
      <c r="D2976" s="196">
        <v>0.49</v>
      </c>
      <c r="E2976" s="195" t="s">
        <v>583</v>
      </c>
      <c r="F2976" s="195" t="s">
        <v>430</v>
      </c>
    </row>
    <row r="2977" spans="1:6" x14ac:dyDescent="0.25">
      <c r="A2977" s="189" t="str">
        <f t="shared" si="46"/>
        <v>CA-MD 400.49S</v>
      </c>
      <c r="B2977" s="195" t="s">
        <v>537</v>
      </c>
      <c r="C2977" s="196">
        <v>0</v>
      </c>
      <c r="D2977" s="196">
        <v>0.49</v>
      </c>
      <c r="E2977" s="195" t="s">
        <v>583</v>
      </c>
      <c r="F2977" s="195" t="s">
        <v>438</v>
      </c>
    </row>
    <row r="2978" spans="1:6" x14ac:dyDescent="0.25">
      <c r="A2978" s="189" t="str">
        <f t="shared" si="46"/>
        <v>CA-MD 40.490.71N</v>
      </c>
      <c r="B2978" s="195" t="s">
        <v>537</v>
      </c>
      <c r="C2978" s="196">
        <v>0.49</v>
      </c>
      <c r="D2978" s="196">
        <v>0.71</v>
      </c>
      <c r="E2978" s="195" t="s">
        <v>583</v>
      </c>
      <c r="F2978" s="195" t="s">
        <v>430</v>
      </c>
    </row>
    <row r="2979" spans="1:6" x14ac:dyDescent="0.25">
      <c r="A2979" s="189" t="str">
        <f t="shared" si="46"/>
        <v>CA-MD 40.490.71S</v>
      </c>
      <c r="B2979" s="195" t="s">
        <v>537</v>
      </c>
      <c r="C2979" s="196">
        <v>0.49</v>
      </c>
      <c r="D2979" s="196">
        <v>0.71</v>
      </c>
      <c r="E2979" s="195" t="s">
        <v>583</v>
      </c>
      <c r="F2979" s="195" t="s">
        <v>438</v>
      </c>
    </row>
    <row r="2980" spans="1:6" x14ac:dyDescent="0.25">
      <c r="A2980" s="189" t="str">
        <f t="shared" si="46"/>
        <v>CA-MD 40.7111.71N</v>
      </c>
      <c r="B2980" s="195" t="s">
        <v>537</v>
      </c>
      <c r="C2980" s="196">
        <v>0.71</v>
      </c>
      <c r="D2980" s="196">
        <v>11.71</v>
      </c>
      <c r="E2980" s="195" t="s">
        <v>583</v>
      </c>
      <c r="F2980" s="195" t="s">
        <v>430</v>
      </c>
    </row>
    <row r="2981" spans="1:6" x14ac:dyDescent="0.25">
      <c r="A2981" s="189" t="str">
        <f t="shared" si="46"/>
        <v>CA-MD 40.7111.71S</v>
      </c>
      <c r="B2981" s="195" t="s">
        <v>537</v>
      </c>
      <c r="C2981" s="196">
        <v>0.71</v>
      </c>
      <c r="D2981" s="196">
        <v>11.71</v>
      </c>
      <c r="E2981" s="195" t="s">
        <v>583</v>
      </c>
      <c r="F2981" s="195" t="s">
        <v>438</v>
      </c>
    </row>
    <row r="2982" spans="1:6" x14ac:dyDescent="0.25">
      <c r="A2982" s="189" t="str">
        <f t="shared" si="46"/>
        <v>CA-MD 411.7122.71N</v>
      </c>
      <c r="B2982" s="195" t="s">
        <v>537</v>
      </c>
      <c r="C2982" s="196">
        <v>11.71</v>
      </c>
      <c r="D2982" s="196">
        <v>22.71</v>
      </c>
      <c r="E2982" s="195" t="s">
        <v>589</v>
      </c>
      <c r="F2982" s="195" t="s">
        <v>430</v>
      </c>
    </row>
    <row r="2983" spans="1:6" x14ac:dyDescent="0.25">
      <c r="A2983" s="189" t="str">
        <f t="shared" si="46"/>
        <v>CA-MD 411.7122.71S</v>
      </c>
      <c r="B2983" s="195" t="s">
        <v>537</v>
      </c>
      <c r="C2983" s="196">
        <v>11.71</v>
      </c>
      <c r="D2983" s="196">
        <v>22.71</v>
      </c>
      <c r="E2983" s="195" t="s">
        <v>595</v>
      </c>
      <c r="F2983" s="195" t="s">
        <v>438</v>
      </c>
    </row>
    <row r="2984" spans="1:6" x14ac:dyDescent="0.25">
      <c r="A2984" s="189" t="str">
        <f t="shared" si="46"/>
        <v>CA-MD 422.7128.11N</v>
      </c>
      <c r="B2984" s="195" t="s">
        <v>537</v>
      </c>
      <c r="C2984" s="196">
        <v>22.71</v>
      </c>
      <c r="D2984" s="196">
        <v>28.11</v>
      </c>
      <c r="E2984" s="195" t="s">
        <v>583</v>
      </c>
      <c r="F2984" s="195" t="s">
        <v>430</v>
      </c>
    </row>
    <row r="2985" spans="1:6" x14ac:dyDescent="0.25">
      <c r="A2985" s="189" t="str">
        <f t="shared" si="46"/>
        <v>CA-MD 422.7128.11S</v>
      </c>
      <c r="B2985" s="195" t="s">
        <v>537</v>
      </c>
      <c r="C2985" s="196">
        <v>22.71</v>
      </c>
      <c r="D2985" s="196">
        <v>28.11</v>
      </c>
      <c r="E2985" s="195" t="s">
        <v>583</v>
      </c>
      <c r="F2985" s="195" t="s">
        <v>438</v>
      </c>
    </row>
    <row r="2986" spans="1:6" x14ac:dyDescent="0.25">
      <c r="A2986" s="189" t="str">
        <f t="shared" si="46"/>
        <v>CA-MD 4 RP2-3600.17W</v>
      </c>
      <c r="B2986" s="195" t="s">
        <v>2019</v>
      </c>
      <c r="C2986" s="196">
        <v>0</v>
      </c>
      <c r="D2986" s="196">
        <v>0.17</v>
      </c>
      <c r="E2986" s="195" t="s">
        <v>593</v>
      </c>
      <c r="F2986" s="195" t="s">
        <v>432</v>
      </c>
    </row>
    <row r="2987" spans="1:6" x14ac:dyDescent="0.25">
      <c r="A2987" s="189" t="str">
        <f t="shared" si="46"/>
        <v>CA-MD 4 RP4-3600.11E</v>
      </c>
      <c r="B2987" s="195" t="s">
        <v>2020</v>
      </c>
      <c r="C2987" s="196">
        <v>0</v>
      </c>
      <c r="D2987" s="196">
        <v>0.11</v>
      </c>
      <c r="E2987" s="195" t="s">
        <v>598</v>
      </c>
      <c r="F2987" s="195" t="s">
        <v>19</v>
      </c>
    </row>
    <row r="2988" spans="1:6" x14ac:dyDescent="0.25">
      <c r="A2988" s="189" t="str">
        <f t="shared" si="46"/>
        <v>CA-MD 4 RP5-3600.11E</v>
      </c>
      <c r="B2988" s="195" t="s">
        <v>2021</v>
      </c>
      <c r="C2988" s="196">
        <v>0</v>
      </c>
      <c r="D2988" s="196">
        <v>0.11</v>
      </c>
      <c r="E2988" s="195" t="s">
        <v>598</v>
      </c>
      <c r="F2988" s="195" t="s">
        <v>19</v>
      </c>
    </row>
    <row r="2989" spans="1:6" x14ac:dyDescent="0.25">
      <c r="A2989" s="189" t="str">
        <f t="shared" si="46"/>
        <v>CA-MD 4 RP5-360.110.29E</v>
      </c>
      <c r="B2989" s="195" t="s">
        <v>2021</v>
      </c>
      <c r="C2989" s="196">
        <v>0.11</v>
      </c>
      <c r="D2989" s="196">
        <v>0.28999999999999998</v>
      </c>
      <c r="E2989" s="195" t="s">
        <v>598</v>
      </c>
      <c r="F2989" s="195" t="s">
        <v>19</v>
      </c>
    </row>
    <row r="2990" spans="1:6" x14ac:dyDescent="0.25">
      <c r="A2990" s="189" t="str">
        <f t="shared" si="46"/>
        <v>CA-MD 40202.86E</v>
      </c>
      <c r="B2990" s="195" t="s">
        <v>2022</v>
      </c>
      <c r="C2990" s="196">
        <v>0</v>
      </c>
      <c r="D2990" s="196">
        <v>2.86</v>
      </c>
      <c r="E2990" s="195" t="s">
        <v>583</v>
      </c>
      <c r="F2990" s="195" t="s">
        <v>19</v>
      </c>
    </row>
    <row r="2991" spans="1:6" x14ac:dyDescent="0.25">
      <c r="A2991" s="189" t="str">
        <f t="shared" si="46"/>
        <v>CA-MD 40202.86W</v>
      </c>
      <c r="B2991" s="195" t="s">
        <v>2022</v>
      </c>
      <c r="C2991" s="196">
        <v>0</v>
      </c>
      <c r="D2991" s="196">
        <v>2.86</v>
      </c>
      <c r="E2991" s="195" t="s">
        <v>583</v>
      </c>
      <c r="F2991" s="195" t="s">
        <v>432</v>
      </c>
    </row>
    <row r="2992" spans="1:6" x14ac:dyDescent="0.25">
      <c r="A2992" s="189" t="str">
        <f t="shared" si="46"/>
        <v>CA-MD 4022.863.85E</v>
      </c>
      <c r="B2992" s="195" t="s">
        <v>2022</v>
      </c>
      <c r="C2992" s="196">
        <v>2.86</v>
      </c>
      <c r="D2992" s="196">
        <v>3.85</v>
      </c>
      <c r="E2992" s="195" t="s">
        <v>583</v>
      </c>
      <c r="F2992" s="195" t="s">
        <v>19</v>
      </c>
    </row>
    <row r="2993" spans="1:6" x14ac:dyDescent="0.25">
      <c r="A2993" s="189" t="str">
        <f t="shared" si="46"/>
        <v>CA-MD 4022.863.85W</v>
      </c>
      <c r="B2993" s="195" t="s">
        <v>2022</v>
      </c>
      <c r="C2993" s="196">
        <v>2.86</v>
      </c>
      <c r="D2993" s="196">
        <v>3.85</v>
      </c>
      <c r="E2993" s="195" t="s">
        <v>583</v>
      </c>
      <c r="F2993" s="195" t="s">
        <v>432</v>
      </c>
    </row>
    <row r="2994" spans="1:6" x14ac:dyDescent="0.25">
      <c r="A2994" s="189" t="str">
        <f t="shared" si="46"/>
        <v>CA-MD 4023.854.33E</v>
      </c>
      <c r="B2994" s="195" t="s">
        <v>2022</v>
      </c>
      <c r="C2994" s="196">
        <v>3.85</v>
      </c>
      <c r="D2994" s="196">
        <v>4.33</v>
      </c>
      <c r="E2994" s="195" t="s">
        <v>583</v>
      </c>
      <c r="F2994" s="195" t="s">
        <v>19</v>
      </c>
    </row>
    <row r="2995" spans="1:6" x14ac:dyDescent="0.25">
      <c r="A2995" s="189" t="str">
        <f t="shared" si="46"/>
        <v>CA-MD 4023.854.33W</v>
      </c>
      <c r="B2995" s="195" t="s">
        <v>2022</v>
      </c>
      <c r="C2995" s="196">
        <v>3.85</v>
      </c>
      <c r="D2995" s="196">
        <v>4.33</v>
      </c>
      <c r="E2995" s="195" t="s">
        <v>583</v>
      </c>
      <c r="F2995" s="195" t="s">
        <v>432</v>
      </c>
    </row>
    <row r="2996" spans="1:6" x14ac:dyDescent="0.25">
      <c r="A2996" s="189" t="str">
        <f t="shared" si="46"/>
        <v>CA-MD 49702.68E</v>
      </c>
      <c r="B2996" s="195" t="s">
        <v>2023</v>
      </c>
      <c r="C2996" s="196">
        <v>0</v>
      </c>
      <c r="D2996" s="196">
        <v>2.68</v>
      </c>
      <c r="E2996" s="195" t="s">
        <v>583</v>
      </c>
      <c r="F2996" s="195" t="s">
        <v>19</v>
      </c>
    </row>
    <row r="2997" spans="1:6" x14ac:dyDescent="0.25">
      <c r="A2997" s="189" t="str">
        <f t="shared" si="46"/>
        <v>CA-MD 49702.68W</v>
      </c>
      <c r="B2997" s="195" t="s">
        <v>2023</v>
      </c>
      <c r="C2997" s="196">
        <v>0</v>
      </c>
      <c r="D2997" s="196">
        <v>2.68</v>
      </c>
      <c r="E2997" s="195" t="s">
        <v>583</v>
      </c>
      <c r="F2997" s="195" t="s">
        <v>432</v>
      </c>
    </row>
    <row r="2998" spans="1:6" x14ac:dyDescent="0.25">
      <c r="A2998" s="189" t="str">
        <f t="shared" si="46"/>
        <v>CA-MD 50603.79E</v>
      </c>
      <c r="B2998" s="195" t="s">
        <v>2024</v>
      </c>
      <c r="C2998" s="196">
        <v>0</v>
      </c>
      <c r="D2998" s="196">
        <v>3.79</v>
      </c>
      <c r="E2998" s="195" t="s">
        <v>583</v>
      </c>
      <c r="F2998" s="195" t="s">
        <v>19</v>
      </c>
    </row>
    <row r="2999" spans="1:6" x14ac:dyDescent="0.25">
      <c r="A2999" s="189" t="str">
        <f t="shared" si="46"/>
        <v>CA-MD 50603.79W</v>
      </c>
      <c r="B2999" s="195" t="s">
        <v>2024</v>
      </c>
      <c r="C2999" s="196">
        <v>0</v>
      </c>
      <c r="D2999" s="196">
        <v>3.79</v>
      </c>
      <c r="E2999" s="195" t="s">
        <v>583</v>
      </c>
      <c r="F2999" s="195" t="s">
        <v>432</v>
      </c>
    </row>
    <row r="3000" spans="1:6" x14ac:dyDescent="0.25">
      <c r="A3000" s="189" t="str">
        <f t="shared" si="46"/>
        <v>CA-MD 50801.2N</v>
      </c>
      <c r="B3000" s="195" t="s">
        <v>2025</v>
      </c>
      <c r="C3000" s="196">
        <v>0</v>
      </c>
      <c r="D3000" s="196">
        <v>1.2</v>
      </c>
      <c r="E3000" s="195" t="s">
        <v>583</v>
      </c>
      <c r="F3000" s="195" t="s">
        <v>430</v>
      </c>
    </row>
    <row r="3001" spans="1:6" x14ac:dyDescent="0.25">
      <c r="A3001" s="189" t="str">
        <f t="shared" si="46"/>
        <v>CA-MD 50801.2S</v>
      </c>
      <c r="B3001" s="195" t="s">
        <v>2025</v>
      </c>
      <c r="C3001" s="196">
        <v>0</v>
      </c>
      <c r="D3001" s="196">
        <v>1.2</v>
      </c>
      <c r="E3001" s="195" t="s">
        <v>583</v>
      </c>
      <c r="F3001" s="195" t="s">
        <v>438</v>
      </c>
    </row>
    <row r="3002" spans="1:6" x14ac:dyDescent="0.25">
      <c r="A3002" s="189" t="str">
        <f t="shared" si="46"/>
        <v>CA-MD 50900.95E</v>
      </c>
      <c r="B3002" s="195" t="s">
        <v>2026</v>
      </c>
      <c r="C3002" s="196">
        <v>0</v>
      </c>
      <c r="D3002" s="196">
        <v>0.95</v>
      </c>
      <c r="E3002" s="195" t="s">
        <v>583</v>
      </c>
      <c r="F3002" s="195" t="s">
        <v>19</v>
      </c>
    </row>
    <row r="3003" spans="1:6" x14ac:dyDescent="0.25">
      <c r="A3003" s="189" t="str">
        <f t="shared" si="46"/>
        <v>CA-MD 50900.95W</v>
      </c>
      <c r="B3003" s="195" t="s">
        <v>2026</v>
      </c>
      <c r="C3003" s="196">
        <v>0</v>
      </c>
      <c r="D3003" s="196">
        <v>0.95</v>
      </c>
      <c r="E3003" s="195" t="s">
        <v>583</v>
      </c>
      <c r="F3003" s="195" t="s">
        <v>432</v>
      </c>
    </row>
    <row r="3004" spans="1:6" x14ac:dyDescent="0.25">
      <c r="A3004" s="189" t="str">
        <f t="shared" si="46"/>
        <v>CA-MD 52102.24N</v>
      </c>
      <c r="B3004" s="195" t="s">
        <v>2027</v>
      </c>
      <c r="C3004" s="196">
        <v>0</v>
      </c>
      <c r="D3004" s="196">
        <v>2.2400000000000002</v>
      </c>
      <c r="E3004" s="195" t="s">
        <v>583</v>
      </c>
      <c r="F3004" s="195" t="s">
        <v>430</v>
      </c>
    </row>
    <row r="3005" spans="1:6" x14ac:dyDescent="0.25">
      <c r="A3005" s="189" t="str">
        <f t="shared" si="46"/>
        <v>CA-MD 52102.24S</v>
      </c>
      <c r="B3005" s="195" t="s">
        <v>2027</v>
      </c>
      <c r="C3005" s="196">
        <v>0</v>
      </c>
      <c r="D3005" s="196">
        <v>2.2400000000000002</v>
      </c>
      <c r="E3005" s="195" t="s">
        <v>583</v>
      </c>
      <c r="F3005" s="195" t="s">
        <v>438</v>
      </c>
    </row>
    <row r="3006" spans="1:6" x14ac:dyDescent="0.25">
      <c r="A3006" s="189" t="str">
        <f t="shared" si="46"/>
        <v>CA-MD 5212.243.93N</v>
      </c>
      <c r="B3006" s="195" t="s">
        <v>2027</v>
      </c>
      <c r="C3006" s="196">
        <v>2.2400000000000002</v>
      </c>
      <c r="D3006" s="196">
        <v>3.93</v>
      </c>
      <c r="E3006" s="195" t="s">
        <v>583</v>
      </c>
      <c r="F3006" s="195" t="s">
        <v>430</v>
      </c>
    </row>
    <row r="3007" spans="1:6" x14ac:dyDescent="0.25">
      <c r="A3007" s="189" t="str">
        <f t="shared" si="46"/>
        <v>CA-MD 5212.243.93S</v>
      </c>
      <c r="B3007" s="195" t="s">
        <v>2027</v>
      </c>
      <c r="C3007" s="196">
        <v>2.2400000000000002</v>
      </c>
      <c r="D3007" s="196">
        <v>3.93</v>
      </c>
      <c r="E3007" s="195" t="s">
        <v>583</v>
      </c>
      <c r="F3007" s="195" t="s">
        <v>438</v>
      </c>
    </row>
    <row r="3008" spans="1:6" x14ac:dyDescent="0.25">
      <c r="A3008" s="189" t="str">
        <f t="shared" si="46"/>
        <v>CA-MD 5213.934.43N</v>
      </c>
      <c r="B3008" s="195" t="s">
        <v>2027</v>
      </c>
      <c r="C3008" s="196">
        <v>3.93</v>
      </c>
      <c r="D3008" s="196">
        <v>4.43</v>
      </c>
      <c r="E3008" s="195" t="s">
        <v>583</v>
      </c>
      <c r="F3008" s="195" t="s">
        <v>430</v>
      </c>
    </row>
    <row r="3009" spans="1:6" x14ac:dyDescent="0.25">
      <c r="A3009" s="189" t="str">
        <f t="shared" si="46"/>
        <v>CA-MD 5213.934.43S</v>
      </c>
      <c r="B3009" s="195" t="s">
        <v>2027</v>
      </c>
      <c r="C3009" s="196">
        <v>3.93</v>
      </c>
      <c r="D3009" s="196">
        <v>4.43</v>
      </c>
      <c r="E3009" s="195" t="s">
        <v>583</v>
      </c>
      <c r="F3009" s="195" t="s">
        <v>438</v>
      </c>
    </row>
    <row r="3010" spans="1:6" x14ac:dyDescent="0.25">
      <c r="A3010" s="189" t="str">
        <f t="shared" si="46"/>
        <v>CA-MD 52400.22N</v>
      </c>
      <c r="B3010" s="195" t="s">
        <v>2028</v>
      </c>
      <c r="C3010" s="196">
        <v>0</v>
      </c>
      <c r="D3010" s="196">
        <v>0.22</v>
      </c>
      <c r="E3010" s="195" t="s">
        <v>583</v>
      </c>
      <c r="F3010" s="195" t="s">
        <v>430</v>
      </c>
    </row>
    <row r="3011" spans="1:6" x14ac:dyDescent="0.25">
      <c r="A3011" s="189" t="str">
        <f t="shared" ref="A3011:A3074" si="47">B3011&amp;C3011&amp;D3011&amp;F3011</f>
        <v>CA-MD 52400.22S</v>
      </c>
      <c r="B3011" s="195" t="s">
        <v>2028</v>
      </c>
      <c r="C3011" s="196">
        <v>0</v>
      </c>
      <c r="D3011" s="196">
        <v>0.22</v>
      </c>
      <c r="E3011" s="195" t="s">
        <v>583</v>
      </c>
      <c r="F3011" s="195" t="s">
        <v>438</v>
      </c>
    </row>
    <row r="3012" spans="1:6" x14ac:dyDescent="0.25">
      <c r="A3012" s="189" t="str">
        <f t="shared" si="47"/>
        <v>CA-MD 5240.220.76N</v>
      </c>
      <c r="B3012" s="195" t="s">
        <v>2028</v>
      </c>
      <c r="C3012" s="196">
        <v>0.22</v>
      </c>
      <c r="D3012" s="196">
        <v>0.76</v>
      </c>
      <c r="E3012" s="195" t="s">
        <v>583</v>
      </c>
      <c r="F3012" s="195" t="s">
        <v>430</v>
      </c>
    </row>
    <row r="3013" spans="1:6" x14ac:dyDescent="0.25">
      <c r="A3013" s="189" t="str">
        <f t="shared" si="47"/>
        <v>CA-MD 5240.220.76S</v>
      </c>
      <c r="B3013" s="195" t="s">
        <v>2028</v>
      </c>
      <c r="C3013" s="196">
        <v>0.22</v>
      </c>
      <c r="D3013" s="196">
        <v>0.76</v>
      </c>
      <c r="E3013" s="195" t="s">
        <v>583</v>
      </c>
      <c r="F3013" s="195" t="s">
        <v>438</v>
      </c>
    </row>
    <row r="3014" spans="1:6" x14ac:dyDescent="0.25">
      <c r="A3014" s="189" t="str">
        <f t="shared" si="47"/>
        <v>CA-MD 75200.15N</v>
      </c>
      <c r="B3014" s="195" t="s">
        <v>2029</v>
      </c>
      <c r="C3014" s="196">
        <v>0</v>
      </c>
      <c r="D3014" s="196">
        <v>0.15</v>
      </c>
      <c r="E3014" s="195" t="s">
        <v>589</v>
      </c>
      <c r="F3014" s="195" t="s">
        <v>430</v>
      </c>
    </row>
    <row r="3015" spans="1:6" x14ac:dyDescent="0.25">
      <c r="A3015" s="189" t="str">
        <f t="shared" si="47"/>
        <v>CA-MD 75200.15S</v>
      </c>
      <c r="B3015" s="195" t="s">
        <v>2029</v>
      </c>
      <c r="C3015" s="196">
        <v>0</v>
      </c>
      <c r="D3015" s="196">
        <v>0.15</v>
      </c>
      <c r="E3015" s="195" t="s">
        <v>595</v>
      </c>
      <c r="F3015" s="195" t="s">
        <v>438</v>
      </c>
    </row>
    <row r="3016" spans="1:6" x14ac:dyDescent="0.25">
      <c r="A3016" s="189" t="str">
        <f t="shared" si="47"/>
        <v>CA-MD 76000.47N</v>
      </c>
      <c r="B3016" s="195" t="s">
        <v>2030</v>
      </c>
      <c r="C3016" s="196">
        <v>0</v>
      </c>
      <c r="D3016" s="196">
        <v>0.47</v>
      </c>
      <c r="E3016" s="195" t="s">
        <v>583</v>
      </c>
      <c r="F3016" s="195" t="s">
        <v>430</v>
      </c>
    </row>
    <row r="3017" spans="1:6" x14ac:dyDescent="0.25">
      <c r="A3017" s="189" t="str">
        <f t="shared" si="47"/>
        <v>CA-MD 76000.47S</v>
      </c>
      <c r="B3017" s="195" t="s">
        <v>2030</v>
      </c>
      <c r="C3017" s="196">
        <v>0</v>
      </c>
      <c r="D3017" s="196">
        <v>0.47</v>
      </c>
      <c r="E3017" s="195" t="s">
        <v>583</v>
      </c>
      <c r="F3017" s="195" t="s">
        <v>438</v>
      </c>
    </row>
    <row r="3018" spans="1:6" x14ac:dyDescent="0.25">
      <c r="A3018" s="189" t="str">
        <f t="shared" si="47"/>
        <v>CA-MD 7600.471N</v>
      </c>
      <c r="B3018" s="195" t="s">
        <v>2030</v>
      </c>
      <c r="C3018" s="196">
        <v>0.47</v>
      </c>
      <c r="D3018" s="196">
        <v>1</v>
      </c>
      <c r="E3018" s="195" t="s">
        <v>583</v>
      </c>
      <c r="F3018" s="195" t="s">
        <v>430</v>
      </c>
    </row>
    <row r="3019" spans="1:6" x14ac:dyDescent="0.25">
      <c r="A3019" s="189" t="str">
        <f t="shared" si="47"/>
        <v>CA-MD 7600.471S</v>
      </c>
      <c r="B3019" s="195" t="s">
        <v>2030</v>
      </c>
      <c r="C3019" s="196">
        <v>0.47</v>
      </c>
      <c r="D3019" s="196">
        <v>1</v>
      </c>
      <c r="E3019" s="195" t="s">
        <v>583</v>
      </c>
      <c r="F3019" s="195" t="s">
        <v>438</v>
      </c>
    </row>
    <row r="3020" spans="1:6" x14ac:dyDescent="0.25">
      <c r="A3020" s="189" t="str">
        <f t="shared" si="47"/>
        <v>CA-MD 76013.07N</v>
      </c>
      <c r="B3020" s="195" t="s">
        <v>2030</v>
      </c>
      <c r="C3020" s="196">
        <v>1</v>
      </c>
      <c r="D3020" s="196">
        <v>3.07</v>
      </c>
      <c r="E3020" s="195" t="s">
        <v>583</v>
      </c>
      <c r="F3020" s="195" t="s">
        <v>430</v>
      </c>
    </row>
    <row r="3021" spans="1:6" x14ac:dyDescent="0.25">
      <c r="A3021" s="189" t="str">
        <f t="shared" si="47"/>
        <v>CA-MD 76013.07S</v>
      </c>
      <c r="B3021" s="195" t="s">
        <v>2030</v>
      </c>
      <c r="C3021" s="196">
        <v>1</v>
      </c>
      <c r="D3021" s="196">
        <v>3.07</v>
      </c>
      <c r="E3021" s="195" t="s">
        <v>583</v>
      </c>
      <c r="F3021" s="195" t="s">
        <v>438</v>
      </c>
    </row>
    <row r="3022" spans="1:6" x14ac:dyDescent="0.25">
      <c r="A3022" s="189" t="str">
        <f t="shared" si="47"/>
        <v>CA-MD 7603.074.65N</v>
      </c>
      <c r="B3022" s="195" t="s">
        <v>2030</v>
      </c>
      <c r="C3022" s="196">
        <v>3.07</v>
      </c>
      <c r="D3022" s="196">
        <v>4.6500000000000004</v>
      </c>
      <c r="E3022" s="195" t="s">
        <v>583</v>
      </c>
      <c r="F3022" s="195" t="s">
        <v>430</v>
      </c>
    </row>
    <row r="3023" spans="1:6" x14ac:dyDescent="0.25">
      <c r="A3023" s="189" t="str">
        <f t="shared" si="47"/>
        <v>CA-MD 7603.074.65S</v>
      </c>
      <c r="B3023" s="195" t="s">
        <v>2030</v>
      </c>
      <c r="C3023" s="196">
        <v>3.07</v>
      </c>
      <c r="D3023" s="196">
        <v>4.6500000000000004</v>
      </c>
      <c r="E3023" s="195" t="s">
        <v>583</v>
      </c>
      <c r="F3023" s="195" t="s">
        <v>438</v>
      </c>
    </row>
    <row r="3024" spans="1:6" x14ac:dyDescent="0.25">
      <c r="A3024" s="189" t="str">
        <f t="shared" si="47"/>
        <v>CA-MD 76100.23E</v>
      </c>
      <c r="B3024" s="195" t="s">
        <v>2031</v>
      </c>
      <c r="C3024" s="196">
        <v>0</v>
      </c>
      <c r="D3024" s="196">
        <v>0.23</v>
      </c>
      <c r="E3024" s="195" t="s">
        <v>583</v>
      </c>
      <c r="F3024" s="195" t="s">
        <v>19</v>
      </c>
    </row>
    <row r="3025" spans="1:6" x14ac:dyDescent="0.25">
      <c r="A3025" s="189" t="str">
        <f t="shared" si="47"/>
        <v>CA-MD 76100.23W</v>
      </c>
      <c r="B3025" s="195" t="s">
        <v>2031</v>
      </c>
      <c r="C3025" s="196">
        <v>0</v>
      </c>
      <c r="D3025" s="196">
        <v>0.23</v>
      </c>
      <c r="E3025" s="195" t="s">
        <v>583</v>
      </c>
      <c r="F3025" s="195" t="s">
        <v>432</v>
      </c>
    </row>
    <row r="3026" spans="1:6" x14ac:dyDescent="0.25">
      <c r="A3026" s="189" t="str">
        <f t="shared" si="47"/>
        <v>CA-MD 76400.09E</v>
      </c>
      <c r="B3026" s="195" t="s">
        <v>2032</v>
      </c>
      <c r="C3026" s="196">
        <v>0</v>
      </c>
      <c r="D3026" s="196">
        <v>0.09</v>
      </c>
      <c r="E3026" s="195" t="s">
        <v>583</v>
      </c>
      <c r="F3026" s="195" t="s">
        <v>19</v>
      </c>
    </row>
    <row r="3027" spans="1:6" x14ac:dyDescent="0.25">
      <c r="A3027" s="189" t="str">
        <f t="shared" si="47"/>
        <v>CA-MD 76400.09W</v>
      </c>
      <c r="B3027" s="195" t="s">
        <v>2032</v>
      </c>
      <c r="C3027" s="196">
        <v>0</v>
      </c>
      <c r="D3027" s="196">
        <v>0.09</v>
      </c>
      <c r="E3027" s="195" t="s">
        <v>583</v>
      </c>
      <c r="F3027" s="195" t="s">
        <v>432</v>
      </c>
    </row>
    <row r="3028" spans="1:6" x14ac:dyDescent="0.25">
      <c r="A3028" s="189" t="str">
        <f t="shared" si="47"/>
        <v>CA-MD 764A00.06N</v>
      </c>
      <c r="B3028" s="195" t="s">
        <v>2033</v>
      </c>
      <c r="C3028" s="196">
        <v>0</v>
      </c>
      <c r="D3028" s="196">
        <v>0.06</v>
      </c>
      <c r="E3028" s="195" t="s">
        <v>589</v>
      </c>
      <c r="F3028" s="195" t="s">
        <v>430</v>
      </c>
    </row>
    <row r="3029" spans="1:6" x14ac:dyDescent="0.25">
      <c r="A3029" s="189" t="str">
        <f t="shared" si="47"/>
        <v>CA-MD 764A00.06S</v>
      </c>
      <c r="B3029" s="195" t="s">
        <v>2033</v>
      </c>
      <c r="C3029" s="196">
        <v>0</v>
      </c>
      <c r="D3029" s="196">
        <v>0.06</v>
      </c>
      <c r="E3029" s="195" t="s">
        <v>595</v>
      </c>
      <c r="F3029" s="195" t="s">
        <v>438</v>
      </c>
    </row>
    <row r="3030" spans="1:6" x14ac:dyDescent="0.25">
      <c r="A3030" s="189" t="str">
        <f t="shared" si="47"/>
        <v>CA-MD 76502N</v>
      </c>
      <c r="B3030" s="195" t="s">
        <v>2034</v>
      </c>
      <c r="C3030" s="196">
        <v>0</v>
      </c>
      <c r="D3030" s="196">
        <v>2</v>
      </c>
      <c r="E3030" s="195" t="s">
        <v>583</v>
      </c>
      <c r="F3030" s="195" t="s">
        <v>430</v>
      </c>
    </row>
    <row r="3031" spans="1:6" x14ac:dyDescent="0.25">
      <c r="A3031" s="189" t="str">
        <f t="shared" si="47"/>
        <v>CA-MD 76502S</v>
      </c>
      <c r="B3031" s="195" t="s">
        <v>2034</v>
      </c>
      <c r="C3031" s="196">
        <v>0</v>
      </c>
      <c r="D3031" s="196">
        <v>2</v>
      </c>
      <c r="E3031" s="195" t="s">
        <v>583</v>
      </c>
      <c r="F3031" s="195" t="s">
        <v>438</v>
      </c>
    </row>
    <row r="3032" spans="1:6" x14ac:dyDescent="0.25">
      <c r="A3032" s="189" t="str">
        <f t="shared" si="47"/>
        <v>CA-MD 76524.16N</v>
      </c>
      <c r="B3032" s="195" t="s">
        <v>2034</v>
      </c>
      <c r="C3032" s="196">
        <v>2</v>
      </c>
      <c r="D3032" s="196">
        <v>4.16</v>
      </c>
      <c r="E3032" s="195" t="s">
        <v>583</v>
      </c>
      <c r="F3032" s="195" t="s">
        <v>430</v>
      </c>
    </row>
    <row r="3033" spans="1:6" x14ac:dyDescent="0.25">
      <c r="A3033" s="189" t="str">
        <f t="shared" si="47"/>
        <v>CA-MD 76524.16S</v>
      </c>
      <c r="B3033" s="195" t="s">
        <v>2034</v>
      </c>
      <c r="C3033" s="196">
        <v>2</v>
      </c>
      <c r="D3033" s="196">
        <v>4.16</v>
      </c>
      <c r="E3033" s="195" t="s">
        <v>583</v>
      </c>
      <c r="F3033" s="195" t="s">
        <v>438</v>
      </c>
    </row>
    <row r="3034" spans="1:6" x14ac:dyDescent="0.25">
      <c r="A3034" s="189" t="str">
        <f t="shared" si="47"/>
        <v>CA-MD 7654.165.07N</v>
      </c>
      <c r="B3034" s="195" t="s">
        <v>2034</v>
      </c>
      <c r="C3034" s="196">
        <v>4.16</v>
      </c>
      <c r="D3034" s="196">
        <v>5.07</v>
      </c>
      <c r="E3034" s="195" t="s">
        <v>583</v>
      </c>
      <c r="F3034" s="195" t="s">
        <v>430</v>
      </c>
    </row>
    <row r="3035" spans="1:6" x14ac:dyDescent="0.25">
      <c r="A3035" s="189" t="str">
        <f t="shared" si="47"/>
        <v>CA-MD 7654.165.07S</v>
      </c>
      <c r="B3035" s="195" t="s">
        <v>2034</v>
      </c>
      <c r="C3035" s="196">
        <v>4.16</v>
      </c>
      <c r="D3035" s="196">
        <v>5.07</v>
      </c>
      <c r="E3035" s="195" t="s">
        <v>583</v>
      </c>
      <c r="F3035" s="195" t="s">
        <v>438</v>
      </c>
    </row>
    <row r="3036" spans="1:6" x14ac:dyDescent="0.25">
      <c r="A3036" s="189" t="str">
        <f t="shared" si="47"/>
        <v>CA-MD 765A02.15N</v>
      </c>
      <c r="B3036" s="195" t="s">
        <v>2035</v>
      </c>
      <c r="C3036" s="196">
        <v>0</v>
      </c>
      <c r="D3036" s="196">
        <v>2.15</v>
      </c>
      <c r="E3036" s="195" t="s">
        <v>583</v>
      </c>
      <c r="F3036" s="195" t="s">
        <v>430</v>
      </c>
    </row>
    <row r="3037" spans="1:6" x14ac:dyDescent="0.25">
      <c r="A3037" s="189" t="str">
        <f t="shared" si="47"/>
        <v>CA-MD 765A02.15S</v>
      </c>
      <c r="B3037" s="195" t="s">
        <v>2035</v>
      </c>
      <c r="C3037" s="196">
        <v>0</v>
      </c>
      <c r="D3037" s="196">
        <v>2.15</v>
      </c>
      <c r="E3037" s="195" t="s">
        <v>583</v>
      </c>
      <c r="F3037" s="195" t="s">
        <v>438</v>
      </c>
    </row>
    <row r="3038" spans="1:6" x14ac:dyDescent="0.25">
      <c r="A3038" s="189" t="str">
        <f t="shared" si="47"/>
        <v>CA-MD 765B00.13N</v>
      </c>
      <c r="B3038" s="195" t="s">
        <v>2036</v>
      </c>
      <c r="C3038" s="196">
        <v>0</v>
      </c>
      <c r="D3038" s="196">
        <v>0.13</v>
      </c>
      <c r="E3038" s="195" t="s">
        <v>583</v>
      </c>
      <c r="F3038" s="195" t="s">
        <v>430</v>
      </c>
    </row>
    <row r="3039" spans="1:6" x14ac:dyDescent="0.25">
      <c r="A3039" s="189" t="str">
        <f t="shared" si="47"/>
        <v>CA-MD 765B00.13S</v>
      </c>
      <c r="B3039" s="195" t="s">
        <v>2036</v>
      </c>
      <c r="C3039" s="196">
        <v>0</v>
      </c>
      <c r="D3039" s="196">
        <v>0.13</v>
      </c>
      <c r="E3039" s="195" t="s">
        <v>583</v>
      </c>
      <c r="F3039" s="195" t="s">
        <v>438</v>
      </c>
    </row>
    <row r="3040" spans="1:6" x14ac:dyDescent="0.25">
      <c r="A3040" s="189" t="str">
        <f t="shared" si="47"/>
        <v>CA-MD 765C00.05N</v>
      </c>
      <c r="B3040" s="195" t="s">
        <v>2037</v>
      </c>
      <c r="C3040" s="196">
        <v>0</v>
      </c>
      <c r="D3040" s="196">
        <v>0.05</v>
      </c>
      <c r="E3040" s="195" t="s">
        <v>589</v>
      </c>
      <c r="F3040" s="195" t="s">
        <v>430</v>
      </c>
    </row>
    <row r="3041" spans="1:6" x14ac:dyDescent="0.25">
      <c r="A3041" s="189" t="str">
        <f t="shared" si="47"/>
        <v>CA-MD 765C00.05S</v>
      </c>
      <c r="B3041" s="195" t="s">
        <v>2037</v>
      </c>
      <c r="C3041" s="196">
        <v>0</v>
      </c>
      <c r="D3041" s="196">
        <v>0.05</v>
      </c>
      <c r="E3041" s="195" t="s">
        <v>595</v>
      </c>
      <c r="F3041" s="195" t="s">
        <v>438</v>
      </c>
    </row>
    <row r="3042" spans="1:6" x14ac:dyDescent="0.25">
      <c r="A3042" s="189" t="str">
        <f t="shared" si="47"/>
        <v>CA-MD 765D00.9N</v>
      </c>
      <c r="B3042" s="195" t="s">
        <v>2038</v>
      </c>
      <c r="C3042" s="196">
        <v>0</v>
      </c>
      <c r="D3042" s="196">
        <v>0.9</v>
      </c>
      <c r="E3042" s="195" t="s">
        <v>583</v>
      </c>
      <c r="F3042" s="195" t="s">
        <v>430</v>
      </c>
    </row>
    <row r="3043" spans="1:6" x14ac:dyDescent="0.25">
      <c r="A3043" s="189" t="str">
        <f t="shared" si="47"/>
        <v>CA-MD 765D00.9S</v>
      </c>
      <c r="B3043" s="195" t="s">
        <v>2038</v>
      </c>
      <c r="C3043" s="196">
        <v>0</v>
      </c>
      <c r="D3043" s="196">
        <v>0.9</v>
      </c>
      <c r="E3043" s="195" t="s">
        <v>583</v>
      </c>
      <c r="F3043" s="195" t="s">
        <v>438</v>
      </c>
    </row>
    <row r="3044" spans="1:6" x14ac:dyDescent="0.25">
      <c r="A3044" s="189" t="str">
        <f t="shared" si="47"/>
        <v>CA-MD 765E00.15N</v>
      </c>
      <c r="B3044" s="195" t="s">
        <v>2039</v>
      </c>
      <c r="C3044" s="196">
        <v>0</v>
      </c>
      <c r="D3044" s="196">
        <v>0.15</v>
      </c>
      <c r="E3044" s="195" t="s">
        <v>583</v>
      </c>
      <c r="F3044" s="195" t="s">
        <v>430</v>
      </c>
    </row>
    <row r="3045" spans="1:6" x14ac:dyDescent="0.25">
      <c r="A3045" s="189" t="str">
        <f t="shared" si="47"/>
        <v>CA-MD 765E00.15S</v>
      </c>
      <c r="B3045" s="195" t="s">
        <v>2039</v>
      </c>
      <c r="C3045" s="196">
        <v>0</v>
      </c>
      <c r="D3045" s="196">
        <v>0.15</v>
      </c>
      <c r="E3045" s="195" t="s">
        <v>583</v>
      </c>
      <c r="F3045" s="195" t="s">
        <v>438</v>
      </c>
    </row>
    <row r="3046" spans="1:6" x14ac:dyDescent="0.25">
      <c r="A3046" s="189" t="str">
        <f t="shared" si="47"/>
        <v>CA-MD 765F00.05N</v>
      </c>
      <c r="B3046" s="195" t="s">
        <v>2040</v>
      </c>
      <c r="C3046" s="196">
        <v>0</v>
      </c>
      <c r="D3046" s="196">
        <v>0.05</v>
      </c>
      <c r="E3046" s="195" t="s">
        <v>589</v>
      </c>
      <c r="F3046" s="195" t="s">
        <v>430</v>
      </c>
    </row>
    <row r="3047" spans="1:6" x14ac:dyDescent="0.25">
      <c r="A3047" s="189" t="str">
        <f t="shared" si="47"/>
        <v>CA-MD 765F00.05S</v>
      </c>
      <c r="B3047" s="195" t="s">
        <v>2040</v>
      </c>
      <c r="C3047" s="196">
        <v>0</v>
      </c>
      <c r="D3047" s="196">
        <v>0.05</v>
      </c>
      <c r="E3047" s="195" t="s">
        <v>595</v>
      </c>
      <c r="F3047" s="195" t="s">
        <v>438</v>
      </c>
    </row>
    <row r="3048" spans="1:6" x14ac:dyDescent="0.25">
      <c r="A3048" s="189" t="str">
        <f t="shared" si="47"/>
        <v>CA-MD 765G00.18N</v>
      </c>
      <c r="B3048" s="195" t="s">
        <v>2041</v>
      </c>
      <c r="C3048" s="196">
        <v>0</v>
      </c>
      <c r="D3048" s="196">
        <v>0.18</v>
      </c>
      <c r="E3048" s="195" t="s">
        <v>589</v>
      </c>
      <c r="F3048" s="195" t="s">
        <v>430</v>
      </c>
    </row>
    <row r="3049" spans="1:6" x14ac:dyDescent="0.25">
      <c r="A3049" s="189" t="str">
        <f t="shared" si="47"/>
        <v>CA-MD 765G00.18S</v>
      </c>
      <c r="B3049" s="195" t="s">
        <v>2041</v>
      </c>
      <c r="C3049" s="196">
        <v>0</v>
      </c>
      <c r="D3049" s="196">
        <v>0.18</v>
      </c>
      <c r="E3049" s="195" t="s">
        <v>595</v>
      </c>
      <c r="F3049" s="195" t="s">
        <v>438</v>
      </c>
    </row>
    <row r="3050" spans="1:6" x14ac:dyDescent="0.25">
      <c r="A3050" s="189" t="str">
        <f t="shared" si="47"/>
        <v>CA-MD 765H00.28N</v>
      </c>
      <c r="B3050" s="195" t="s">
        <v>2042</v>
      </c>
      <c r="C3050" s="196">
        <v>0</v>
      </c>
      <c r="D3050" s="196">
        <v>0.28000000000000003</v>
      </c>
      <c r="E3050" s="195" t="s">
        <v>583</v>
      </c>
      <c r="F3050" s="195" t="s">
        <v>430</v>
      </c>
    </row>
    <row r="3051" spans="1:6" x14ac:dyDescent="0.25">
      <c r="A3051" s="189" t="str">
        <f t="shared" si="47"/>
        <v>CA-MD 765H00.28S</v>
      </c>
      <c r="B3051" s="195" t="s">
        <v>2042</v>
      </c>
      <c r="C3051" s="196">
        <v>0</v>
      </c>
      <c r="D3051" s="196">
        <v>0.28000000000000003</v>
      </c>
      <c r="E3051" s="195" t="s">
        <v>583</v>
      </c>
      <c r="F3051" s="195" t="s">
        <v>438</v>
      </c>
    </row>
    <row r="3052" spans="1:6" x14ac:dyDescent="0.25">
      <c r="A3052" s="189" t="str">
        <f t="shared" si="47"/>
        <v>CA-MD 765I00.87N</v>
      </c>
      <c r="B3052" s="195" t="s">
        <v>2043</v>
      </c>
      <c r="C3052" s="196">
        <v>0</v>
      </c>
      <c r="D3052" s="196">
        <v>0.87</v>
      </c>
      <c r="E3052" s="195" t="s">
        <v>583</v>
      </c>
      <c r="F3052" s="195" t="s">
        <v>430</v>
      </c>
    </row>
    <row r="3053" spans="1:6" x14ac:dyDescent="0.25">
      <c r="A3053" s="189" t="str">
        <f t="shared" si="47"/>
        <v>CA-MD 765I00.87S</v>
      </c>
      <c r="B3053" s="195" t="s">
        <v>2043</v>
      </c>
      <c r="C3053" s="196">
        <v>0</v>
      </c>
      <c r="D3053" s="196">
        <v>0.87</v>
      </c>
      <c r="E3053" s="195" t="s">
        <v>583</v>
      </c>
      <c r="F3053" s="195" t="s">
        <v>438</v>
      </c>
    </row>
    <row r="3054" spans="1:6" x14ac:dyDescent="0.25">
      <c r="A3054" s="189" t="str">
        <f t="shared" si="47"/>
        <v>CA-MD 765J00.48E</v>
      </c>
      <c r="B3054" s="195" t="s">
        <v>2044</v>
      </c>
      <c r="C3054" s="196">
        <v>0</v>
      </c>
      <c r="D3054" s="196">
        <v>0.48</v>
      </c>
      <c r="E3054" s="195" t="s">
        <v>583</v>
      </c>
      <c r="F3054" s="195" t="s">
        <v>19</v>
      </c>
    </row>
    <row r="3055" spans="1:6" x14ac:dyDescent="0.25">
      <c r="A3055" s="189" t="str">
        <f t="shared" si="47"/>
        <v>CA-MD 765J00.48W</v>
      </c>
      <c r="B3055" s="195" t="s">
        <v>2044</v>
      </c>
      <c r="C3055" s="196">
        <v>0</v>
      </c>
      <c r="D3055" s="196">
        <v>0.48</v>
      </c>
      <c r="E3055" s="195" t="s">
        <v>583</v>
      </c>
      <c r="F3055" s="195" t="s">
        <v>432</v>
      </c>
    </row>
    <row r="3056" spans="1:6" x14ac:dyDescent="0.25">
      <c r="A3056" s="189" t="str">
        <f t="shared" si="47"/>
        <v>CA-MD 765K0.520.76E</v>
      </c>
      <c r="B3056" s="195" t="s">
        <v>2045</v>
      </c>
      <c r="C3056" s="196">
        <v>0.52</v>
      </c>
      <c r="D3056" s="196">
        <v>0.76</v>
      </c>
      <c r="E3056" s="195" t="s">
        <v>583</v>
      </c>
      <c r="F3056" s="195" t="s">
        <v>19</v>
      </c>
    </row>
    <row r="3057" spans="1:6" x14ac:dyDescent="0.25">
      <c r="A3057" s="189" t="str">
        <f t="shared" si="47"/>
        <v>CA-MD 765K0.520.76W</v>
      </c>
      <c r="B3057" s="195" t="s">
        <v>2045</v>
      </c>
      <c r="C3057" s="196">
        <v>0.52</v>
      </c>
      <c r="D3057" s="196">
        <v>0.76</v>
      </c>
      <c r="E3057" s="195" t="s">
        <v>583</v>
      </c>
      <c r="F3057" s="195" t="s">
        <v>432</v>
      </c>
    </row>
    <row r="3058" spans="1:6" x14ac:dyDescent="0.25">
      <c r="A3058" s="189" t="str">
        <f t="shared" si="47"/>
        <v>CA-MD 765M00.03N</v>
      </c>
      <c r="B3058" s="195" t="s">
        <v>2046</v>
      </c>
      <c r="C3058" s="196">
        <v>0</v>
      </c>
      <c r="D3058" s="196">
        <v>0.03</v>
      </c>
      <c r="E3058" s="195" t="s">
        <v>589</v>
      </c>
      <c r="F3058" s="195" t="s">
        <v>430</v>
      </c>
    </row>
    <row r="3059" spans="1:6" x14ac:dyDescent="0.25">
      <c r="A3059" s="189" t="str">
        <f t="shared" si="47"/>
        <v>CA-MD 765M00.03S</v>
      </c>
      <c r="B3059" s="195" t="s">
        <v>2046</v>
      </c>
      <c r="C3059" s="196">
        <v>0</v>
      </c>
      <c r="D3059" s="196">
        <v>0.03</v>
      </c>
      <c r="E3059" s="195" t="s">
        <v>595</v>
      </c>
      <c r="F3059" s="195" t="s">
        <v>438</v>
      </c>
    </row>
    <row r="3060" spans="1:6" x14ac:dyDescent="0.25">
      <c r="A3060" s="189" t="str">
        <f t="shared" si="47"/>
        <v>CA-MD 765N00.89N</v>
      </c>
      <c r="B3060" s="195" t="s">
        <v>2047</v>
      </c>
      <c r="C3060" s="196">
        <v>0</v>
      </c>
      <c r="D3060" s="196">
        <v>0.89</v>
      </c>
      <c r="E3060" s="195" t="s">
        <v>583</v>
      </c>
      <c r="F3060" s="195" t="s">
        <v>430</v>
      </c>
    </row>
    <row r="3061" spans="1:6" x14ac:dyDescent="0.25">
      <c r="A3061" s="189" t="str">
        <f t="shared" si="47"/>
        <v>CA-MD 765N00.89S</v>
      </c>
      <c r="B3061" s="195" t="s">
        <v>2047</v>
      </c>
      <c r="C3061" s="196">
        <v>0</v>
      </c>
      <c r="D3061" s="196">
        <v>0.89</v>
      </c>
      <c r="E3061" s="195" t="s">
        <v>583</v>
      </c>
      <c r="F3061" s="195" t="s">
        <v>438</v>
      </c>
    </row>
    <row r="3062" spans="1:6" x14ac:dyDescent="0.25">
      <c r="A3062" s="189" t="str">
        <f t="shared" si="47"/>
        <v>CA-MD 765O00.14N</v>
      </c>
      <c r="B3062" s="195" t="s">
        <v>2048</v>
      </c>
      <c r="C3062" s="196">
        <v>0</v>
      </c>
      <c r="D3062" s="196">
        <v>0.14000000000000001</v>
      </c>
      <c r="E3062" s="195" t="s">
        <v>583</v>
      </c>
      <c r="F3062" s="195" t="s">
        <v>430</v>
      </c>
    </row>
    <row r="3063" spans="1:6" x14ac:dyDescent="0.25">
      <c r="A3063" s="189" t="str">
        <f t="shared" si="47"/>
        <v>CA-MD 765O00.14S</v>
      </c>
      <c r="B3063" s="195" t="s">
        <v>2048</v>
      </c>
      <c r="C3063" s="196">
        <v>0</v>
      </c>
      <c r="D3063" s="196">
        <v>0.14000000000000001</v>
      </c>
      <c r="E3063" s="195" t="s">
        <v>583</v>
      </c>
      <c r="F3063" s="195" t="s">
        <v>438</v>
      </c>
    </row>
    <row r="3064" spans="1:6" x14ac:dyDescent="0.25">
      <c r="A3064" s="189" t="str">
        <f t="shared" si="47"/>
        <v>CA-MD 765P00.83N</v>
      </c>
      <c r="B3064" s="195" t="s">
        <v>2049</v>
      </c>
      <c r="C3064" s="196">
        <v>0</v>
      </c>
      <c r="D3064" s="196">
        <v>0.83</v>
      </c>
      <c r="E3064" s="195" t="s">
        <v>583</v>
      </c>
      <c r="F3064" s="195" t="s">
        <v>430</v>
      </c>
    </row>
    <row r="3065" spans="1:6" x14ac:dyDescent="0.25">
      <c r="A3065" s="189" t="str">
        <f t="shared" si="47"/>
        <v>CA-MD 765P00.83S</v>
      </c>
      <c r="B3065" s="195" t="s">
        <v>2049</v>
      </c>
      <c r="C3065" s="196">
        <v>0</v>
      </c>
      <c r="D3065" s="196">
        <v>0.83</v>
      </c>
      <c r="E3065" s="195" t="s">
        <v>583</v>
      </c>
      <c r="F3065" s="195" t="s">
        <v>438</v>
      </c>
    </row>
    <row r="3066" spans="1:6" x14ac:dyDescent="0.25">
      <c r="A3066" s="189" t="str">
        <f t="shared" si="47"/>
        <v>CA-MD 765P0.830.84N</v>
      </c>
      <c r="B3066" s="195" t="s">
        <v>2049</v>
      </c>
      <c r="C3066" s="196">
        <v>0.83</v>
      </c>
      <c r="D3066" s="196">
        <v>0.84</v>
      </c>
      <c r="E3066" s="195" t="s">
        <v>583</v>
      </c>
      <c r="F3066" s="195" t="s">
        <v>430</v>
      </c>
    </row>
    <row r="3067" spans="1:6" x14ac:dyDescent="0.25">
      <c r="A3067" s="189" t="str">
        <f t="shared" si="47"/>
        <v>CA-MD 765P0.830.84S</v>
      </c>
      <c r="B3067" s="195" t="s">
        <v>2049</v>
      </c>
      <c r="C3067" s="196">
        <v>0.83</v>
      </c>
      <c r="D3067" s="196">
        <v>0.84</v>
      </c>
      <c r="E3067" s="195" t="s">
        <v>583</v>
      </c>
      <c r="F3067" s="195" t="s">
        <v>438</v>
      </c>
    </row>
    <row r="3068" spans="1:6" x14ac:dyDescent="0.25">
      <c r="A3068" s="189" t="str">
        <f t="shared" si="47"/>
        <v>CA-MD 765Q01N</v>
      </c>
      <c r="B3068" s="195" t="s">
        <v>2050</v>
      </c>
      <c r="C3068" s="196">
        <v>0</v>
      </c>
      <c r="D3068" s="196">
        <v>1</v>
      </c>
      <c r="E3068" s="195" t="s">
        <v>583</v>
      </c>
      <c r="F3068" s="195" t="s">
        <v>430</v>
      </c>
    </row>
    <row r="3069" spans="1:6" x14ac:dyDescent="0.25">
      <c r="A3069" s="189" t="str">
        <f t="shared" si="47"/>
        <v>CA-MD 765Q01S</v>
      </c>
      <c r="B3069" s="195" t="s">
        <v>2050</v>
      </c>
      <c r="C3069" s="196">
        <v>0</v>
      </c>
      <c r="D3069" s="196">
        <v>1</v>
      </c>
      <c r="E3069" s="195" t="s">
        <v>583</v>
      </c>
      <c r="F3069" s="195" t="s">
        <v>438</v>
      </c>
    </row>
    <row r="3070" spans="1:6" x14ac:dyDescent="0.25">
      <c r="A3070" s="189" t="str">
        <f t="shared" si="47"/>
        <v>CA-MD 765Q12.12N</v>
      </c>
      <c r="B3070" s="195" t="s">
        <v>2050</v>
      </c>
      <c r="C3070" s="196">
        <v>1</v>
      </c>
      <c r="D3070" s="196">
        <v>2.12</v>
      </c>
      <c r="E3070" s="195" t="s">
        <v>583</v>
      </c>
      <c r="F3070" s="195" t="s">
        <v>430</v>
      </c>
    </row>
    <row r="3071" spans="1:6" x14ac:dyDescent="0.25">
      <c r="A3071" s="189" t="str">
        <f t="shared" si="47"/>
        <v>CA-MD 765Q12.12S</v>
      </c>
      <c r="B3071" s="195" t="s">
        <v>2050</v>
      </c>
      <c r="C3071" s="196">
        <v>1</v>
      </c>
      <c r="D3071" s="196">
        <v>2.12</v>
      </c>
      <c r="E3071" s="195" t="s">
        <v>583</v>
      </c>
      <c r="F3071" s="195" t="s">
        <v>438</v>
      </c>
    </row>
    <row r="3072" spans="1:6" x14ac:dyDescent="0.25">
      <c r="A3072" s="189" t="str">
        <f t="shared" si="47"/>
        <v>CA-MD 765Q2.123.23N</v>
      </c>
      <c r="B3072" s="195" t="s">
        <v>2050</v>
      </c>
      <c r="C3072" s="196">
        <v>2.12</v>
      </c>
      <c r="D3072" s="196">
        <v>3.23</v>
      </c>
      <c r="E3072" s="195" t="s">
        <v>583</v>
      </c>
      <c r="F3072" s="195" t="s">
        <v>430</v>
      </c>
    </row>
    <row r="3073" spans="1:6" x14ac:dyDescent="0.25">
      <c r="A3073" s="189" t="str">
        <f t="shared" si="47"/>
        <v>CA-MD 765Q2.123.23S</v>
      </c>
      <c r="B3073" s="195" t="s">
        <v>2050</v>
      </c>
      <c r="C3073" s="196">
        <v>2.12</v>
      </c>
      <c r="D3073" s="196">
        <v>3.23</v>
      </c>
      <c r="E3073" s="195" t="s">
        <v>583</v>
      </c>
      <c r="F3073" s="195" t="s">
        <v>438</v>
      </c>
    </row>
    <row r="3074" spans="1:6" x14ac:dyDescent="0.25">
      <c r="A3074" s="189" t="str">
        <f t="shared" si="47"/>
        <v>CA-MD 765Q3.235.25N</v>
      </c>
      <c r="B3074" s="195" t="s">
        <v>2050</v>
      </c>
      <c r="C3074" s="196">
        <v>3.23</v>
      </c>
      <c r="D3074" s="196">
        <v>5.25</v>
      </c>
      <c r="E3074" s="195" t="s">
        <v>583</v>
      </c>
      <c r="F3074" s="195" t="s">
        <v>430</v>
      </c>
    </row>
    <row r="3075" spans="1:6" x14ac:dyDescent="0.25">
      <c r="A3075" s="189" t="str">
        <f t="shared" ref="A3075:A3138" si="48">B3075&amp;C3075&amp;D3075&amp;F3075</f>
        <v>CA-MD 765Q3.235.25S</v>
      </c>
      <c r="B3075" s="195" t="s">
        <v>2050</v>
      </c>
      <c r="C3075" s="196">
        <v>3.23</v>
      </c>
      <c r="D3075" s="196">
        <v>5.25</v>
      </c>
      <c r="E3075" s="195" t="s">
        <v>583</v>
      </c>
      <c r="F3075" s="195" t="s">
        <v>438</v>
      </c>
    </row>
    <row r="3076" spans="1:6" x14ac:dyDescent="0.25">
      <c r="A3076" s="189" t="str">
        <f t="shared" si="48"/>
        <v>CA-MD 765Q5.255.54N</v>
      </c>
      <c r="B3076" s="195" t="s">
        <v>2050</v>
      </c>
      <c r="C3076" s="196">
        <v>5.25</v>
      </c>
      <c r="D3076" s="196">
        <v>5.54</v>
      </c>
      <c r="E3076" s="195" t="s">
        <v>583</v>
      </c>
      <c r="F3076" s="195" t="s">
        <v>430</v>
      </c>
    </row>
    <row r="3077" spans="1:6" x14ac:dyDescent="0.25">
      <c r="A3077" s="189" t="str">
        <f t="shared" si="48"/>
        <v>CA-MD 765Q5.255.54S</v>
      </c>
      <c r="B3077" s="195" t="s">
        <v>2050</v>
      </c>
      <c r="C3077" s="196">
        <v>5.25</v>
      </c>
      <c r="D3077" s="196">
        <v>5.54</v>
      </c>
      <c r="E3077" s="195" t="s">
        <v>583</v>
      </c>
      <c r="F3077" s="195" t="s">
        <v>438</v>
      </c>
    </row>
    <row r="3078" spans="1:6" x14ac:dyDescent="0.25">
      <c r="A3078" s="189" t="str">
        <f t="shared" si="48"/>
        <v>CA-MD 765Q5.545.91N</v>
      </c>
      <c r="B3078" s="195" t="s">
        <v>2050</v>
      </c>
      <c r="C3078" s="196">
        <v>5.54</v>
      </c>
      <c r="D3078" s="196">
        <v>5.91</v>
      </c>
      <c r="E3078" s="195" t="s">
        <v>583</v>
      </c>
      <c r="F3078" s="195" t="s">
        <v>430</v>
      </c>
    </row>
    <row r="3079" spans="1:6" x14ac:dyDescent="0.25">
      <c r="A3079" s="189" t="str">
        <f t="shared" si="48"/>
        <v>CA-MD 765Q5.545.91S</v>
      </c>
      <c r="B3079" s="195" t="s">
        <v>2050</v>
      </c>
      <c r="C3079" s="196">
        <v>5.54</v>
      </c>
      <c r="D3079" s="196">
        <v>5.91</v>
      </c>
      <c r="E3079" s="195" t="s">
        <v>583</v>
      </c>
      <c r="F3079" s="195" t="s">
        <v>438</v>
      </c>
    </row>
    <row r="3080" spans="1:6" x14ac:dyDescent="0.25">
      <c r="A3080" s="189" t="str">
        <f t="shared" si="48"/>
        <v>CA-MD 765R01.27N</v>
      </c>
      <c r="B3080" s="195" t="s">
        <v>2051</v>
      </c>
      <c r="C3080" s="196">
        <v>0</v>
      </c>
      <c r="D3080" s="196">
        <v>1.27</v>
      </c>
      <c r="E3080" s="195" t="s">
        <v>583</v>
      </c>
      <c r="F3080" s="195" t="s">
        <v>430</v>
      </c>
    </row>
    <row r="3081" spans="1:6" x14ac:dyDescent="0.25">
      <c r="A3081" s="189" t="str">
        <f t="shared" si="48"/>
        <v>CA-MD 765R01.27S</v>
      </c>
      <c r="B3081" s="195" t="s">
        <v>2051</v>
      </c>
      <c r="C3081" s="196">
        <v>0</v>
      </c>
      <c r="D3081" s="196">
        <v>1.27</v>
      </c>
      <c r="E3081" s="195" t="s">
        <v>583</v>
      </c>
      <c r="F3081" s="195" t="s">
        <v>438</v>
      </c>
    </row>
    <row r="3082" spans="1:6" x14ac:dyDescent="0.25">
      <c r="A3082" s="189" t="str">
        <f t="shared" si="48"/>
        <v>CA-MD 765S2.222.31E</v>
      </c>
      <c r="B3082" s="195" t="s">
        <v>2052</v>
      </c>
      <c r="C3082" s="196">
        <v>2.2200000000000002</v>
      </c>
      <c r="D3082" s="196">
        <v>2.31</v>
      </c>
      <c r="E3082" s="195" t="s">
        <v>583</v>
      </c>
      <c r="F3082" s="195" t="s">
        <v>19</v>
      </c>
    </row>
    <row r="3083" spans="1:6" x14ac:dyDescent="0.25">
      <c r="A3083" s="189" t="str">
        <f t="shared" si="48"/>
        <v>CA-MD 765S2.222.31W</v>
      </c>
      <c r="B3083" s="195" t="s">
        <v>2052</v>
      </c>
      <c r="C3083" s="196">
        <v>2.2200000000000002</v>
      </c>
      <c r="D3083" s="196">
        <v>2.31</v>
      </c>
      <c r="E3083" s="195" t="s">
        <v>583</v>
      </c>
      <c r="F3083" s="195" t="s">
        <v>432</v>
      </c>
    </row>
    <row r="3084" spans="1:6" x14ac:dyDescent="0.25">
      <c r="A3084" s="189" t="str">
        <f t="shared" si="48"/>
        <v>CA-MD 765T00.18N</v>
      </c>
      <c r="B3084" s="195" t="s">
        <v>2053</v>
      </c>
      <c r="C3084" s="196">
        <v>0</v>
      </c>
      <c r="D3084" s="196">
        <v>0.18</v>
      </c>
      <c r="E3084" s="195" t="s">
        <v>583</v>
      </c>
      <c r="F3084" s="195" t="s">
        <v>430</v>
      </c>
    </row>
    <row r="3085" spans="1:6" x14ac:dyDescent="0.25">
      <c r="A3085" s="189" t="str">
        <f t="shared" si="48"/>
        <v>CA-MD 765T00.18S</v>
      </c>
      <c r="B3085" s="195" t="s">
        <v>2053</v>
      </c>
      <c r="C3085" s="196">
        <v>0</v>
      </c>
      <c r="D3085" s="196">
        <v>0.18</v>
      </c>
      <c r="E3085" s="195" t="s">
        <v>583</v>
      </c>
      <c r="F3085" s="195" t="s">
        <v>438</v>
      </c>
    </row>
    <row r="3086" spans="1:6" x14ac:dyDescent="0.25">
      <c r="A3086" s="189" t="str">
        <f t="shared" si="48"/>
        <v>CA-MD 765U00.11N</v>
      </c>
      <c r="B3086" s="195" t="s">
        <v>2054</v>
      </c>
      <c r="C3086" s="196">
        <v>0</v>
      </c>
      <c r="D3086" s="196">
        <v>0.11</v>
      </c>
      <c r="E3086" s="195" t="s">
        <v>583</v>
      </c>
      <c r="F3086" s="195" t="s">
        <v>430</v>
      </c>
    </row>
    <row r="3087" spans="1:6" x14ac:dyDescent="0.25">
      <c r="A3087" s="189" t="str">
        <f t="shared" si="48"/>
        <v>CA-MD 765U00.11S</v>
      </c>
      <c r="B3087" s="195" t="s">
        <v>2054</v>
      </c>
      <c r="C3087" s="196">
        <v>0</v>
      </c>
      <c r="D3087" s="196">
        <v>0.11</v>
      </c>
      <c r="E3087" s="195" t="s">
        <v>583</v>
      </c>
      <c r="F3087" s="195" t="s">
        <v>438</v>
      </c>
    </row>
    <row r="3088" spans="1:6" x14ac:dyDescent="0.25">
      <c r="A3088" s="189" t="str">
        <f t="shared" si="48"/>
        <v>CA-MD 765V00.07N</v>
      </c>
      <c r="B3088" s="195" t="s">
        <v>2055</v>
      </c>
      <c r="C3088" s="196">
        <v>0</v>
      </c>
      <c r="D3088" s="196">
        <v>7.0000000000000007E-2</v>
      </c>
      <c r="E3088" s="195" t="s">
        <v>589</v>
      </c>
      <c r="F3088" s="195" t="s">
        <v>430</v>
      </c>
    </row>
    <row r="3089" spans="1:6" x14ac:dyDescent="0.25">
      <c r="A3089" s="189" t="str">
        <f t="shared" si="48"/>
        <v>CA-MD 765V00.07S</v>
      </c>
      <c r="B3089" s="195" t="s">
        <v>2055</v>
      </c>
      <c r="C3089" s="196">
        <v>0</v>
      </c>
      <c r="D3089" s="196">
        <v>7.0000000000000007E-2</v>
      </c>
      <c r="E3089" s="195" t="s">
        <v>595</v>
      </c>
      <c r="F3089" s="195" t="s">
        <v>438</v>
      </c>
    </row>
    <row r="3090" spans="1:6" x14ac:dyDescent="0.25">
      <c r="A3090" s="189" t="str">
        <f t="shared" si="48"/>
        <v>CA-MD 765W00.2N</v>
      </c>
      <c r="B3090" s="195" t="s">
        <v>2056</v>
      </c>
      <c r="C3090" s="196">
        <v>0</v>
      </c>
      <c r="D3090" s="196">
        <v>0.2</v>
      </c>
      <c r="E3090" s="195" t="s">
        <v>583</v>
      </c>
      <c r="F3090" s="195" t="s">
        <v>430</v>
      </c>
    </row>
    <row r="3091" spans="1:6" x14ac:dyDescent="0.25">
      <c r="A3091" s="189" t="str">
        <f t="shared" si="48"/>
        <v>CA-MD 765W00.2S</v>
      </c>
      <c r="B3091" s="195" t="s">
        <v>2056</v>
      </c>
      <c r="C3091" s="196">
        <v>0</v>
      </c>
      <c r="D3091" s="196">
        <v>0.2</v>
      </c>
      <c r="E3091" s="195" t="s">
        <v>583</v>
      </c>
      <c r="F3091" s="195" t="s">
        <v>438</v>
      </c>
    </row>
    <row r="3092" spans="1:6" x14ac:dyDescent="0.25">
      <c r="A3092" s="189" t="str">
        <f t="shared" si="48"/>
        <v>CA-MD 765X00.24N</v>
      </c>
      <c r="B3092" s="195" t="s">
        <v>2057</v>
      </c>
      <c r="C3092" s="196">
        <v>0</v>
      </c>
      <c r="D3092" s="196">
        <v>0.24</v>
      </c>
      <c r="E3092" s="195" t="s">
        <v>583</v>
      </c>
      <c r="F3092" s="195" t="s">
        <v>430</v>
      </c>
    </row>
    <row r="3093" spans="1:6" x14ac:dyDescent="0.25">
      <c r="A3093" s="189" t="str">
        <f t="shared" si="48"/>
        <v>CA-MD 765X00.24S</v>
      </c>
      <c r="B3093" s="195" t="s">
        <v>2057</v>
      </c>
      <c r="C3093" s="196">
        <v>0</v>
      </c>
      <c r="D3093" s="196">
        <v>0.24</v>
      </c>
      <c r="E3093" s="195" t="s">
        <v>583</v>
      </c>
      <c r="F3093" s="195" t="s">
        <v>438</v>
      </c>
    </row>
    <row r="3094" spans="1:6" x14ac:dyDescent="0.25">
      <c r="A3094" s="189" t="str">
        <f t="shared" si="48"/>
        <v>CA-MD 765Y00.12E</v>
      </c>
      <c r="B3094" s="195" t="s">
        <v>2058</v>
      </c>
      <c r="C3094" s="196">
        <v>0</v>
      </c>
      <c r="D3094" s="196">
        <v>0.12</v>
      </c>
      <c r="E3094" s="195" t="s">
        <v>598</v>
      </c>
      <c r="F3094" s="195" t="s">
        <v>19</v>
      </c>
    </row>
    <row r="3095" spans="1:6" x14ac:dyDescent="0.25">
      <c r="A3095" s="189" t="str">
        <f t="shared" si="48"/>
        <v>CA-MD 765Y00.12W</v>
      </c>
      <c r="B3095" s="195" t="s">
        <v>2058</v>
      </c>
      <c r="C3095" s="196">
        <v>0</v>
      </c>
      <c r="D3095" s="196">
        <v>0.12</v>
      </c>
      <c r="E3095" s="195" t="s">
        <v>593</v>
      </c>
      <c r="F3095" s="195" t="s">
        <v>432</v>
      </c>
    </row>
    <row r="3096" spans="1:6" x14ac:dyDescent="0.25">
      <c r="A3096" s="189" t="str">
        <f t="shared" si="48"/>
        <v>CA-MD 76800.68E</v>
      </c>
      <c r="B3096" s="195" t="s">
        <v>2059</v>
      </c>
      <c r="C3096" s="196">
        <v>0</v>
      </c>
      <c r="D3096" s="196">
        <v>0.68</v>
      </c>
      <c r="E3096" s="195" t="s">
        <v>583</v>
      </c>
      <c r="F3096" s="195" t="s">
        <v>19</v>
      </c>
    </row>
    <row r="3097" spans="1:6" x14ac:dyDescent="0.25">
      <c r="A3097" s="189" t="str">
        <f t="shared" si="48"/>
        <v>CA-MD 76800.68W</v>
      </c>
      <c r="B3097" s="195" t="s">
        <v>2059</v>
      </c>
      <c r="C3097" s="196">
        <v>0</v>
      </c>
      <c r="D3097" s="196">
        <v>0.68</v>
      </c>
      <c r="E3097" s="195" t="s">
        <v>583</v>
      </c>
      <c r="F3097" s="195" t="s">
        <v>432</v>
      </c>
    </row>
    <row r="3098" spans="1:6" x14ac:dyDescent="0.25">
      <c r="A3098" s="189" t="str">
        <f t="shared" si="48"/>
        <v>CA-MD 77800.96N</v>
      </c>
      <c r="B3098" s="195" t="s">
        <v>2060</v>
      </c>
      <c r="C3098" s="196">
        <v>0</v>
      </c>
      <c r="D3098" s="196">
        <v>0.96</v>
      </c>
      <c r="E3098" s="195" t="s">
        <v>583</v>
      </c>
      <c r="F3098" s="195" t="s">
        <v>430</v>
      </c>
    </row>
    <row r="3099" spans="1:6" x14ac:dyDescent="0.25">
      <c r="A3099" s="189" t="str">
        <f t="shared" si="48"/>
        <v>CA-MD 77800.96S</v>
      </c>
      <c r="B3099" s="195" t="s">
        <v>2060</v>
      </c>
      <c r="C3099" s="196">
        <v>0</v>
      </c>
      <c r="D3099" s="196">
        <v>0.96</v>
      </c>
      <c r="E3099" s="195" t="s">
        <v>583</v>
      </c>
      <c r="F3099" s="195" t="s">
        <v>438</v>
      </c>
    </row>
    <row r="3100" spans="1:6" x14ac:dyDescent="0.25">
      <c r="A3100" s="189" t="str">
        <f t="shared" si="48"/>
        <v>CE-IS 95 RP10-10900.35W</v>
      </c>
      <c r="B3100" s="195" t="s">
        <v>2061</v>
      </c>
      <c r="C3100" s="196">
        <v>0</v>
      </c>
      <c r="D3100" s="196">
        <v>0.35</v>
      </c>
      <c r="E3100" s="195" t="s">
        <v>593</v>
      </c>
      <c r="F3100" s="195" t="s">
        <v>432</v>
      </c>
    </row>
    <row r="3101" spans="1:6" x14ac:dyDescent="0.25">
      <c r="A3101" s="189" t="str">
        <f t="shared" si="48"/>
        <v>CE-IS 95 RP1-10000.28S</v>
      </c>
      <c r="B3101" s="195" t="s">
        <v>2062</v>
      </c>
      <c r="C3101" s="196">
        <v>0</v>
      </c>
      <c r="D3101" s="196">
        <v>0.28000000000000003</v>
      </c>
      <c r="E3101" s="195" t="s">
        <v>595</v>
      </c>
      <c r="F3101" s="195" t="s">
        <v>438</v>
      </c>
    </row>
    <row r="3102" spans="1:6" x14ac:dyDescent="0.25">
      <c r="A3102" s="189" t="str">
        <f t="shared" si="48"/>
        <v>CE-IS 95 RP1-10900.18N</v>
      </c>
      <c r="B3102" s="195" t="s">
        <v>2063</v>
      </c>
      <c r="C3102" s="196">
        <v>0</v>
      </c>
      <c r="D3102" s="196">
        <v>0.18</v>
      </c>
      <c r="E3102" s="195" t="s">
        <v>589</v>
      </c>
      <c r="F3102" s="195" t="s">
        <v>430</v>
      </c>
    </row>
    <row r="3103" spans="1:6" x14ac:dyDescent="0.25">
      <c r="A3103" s="189" t="str">
        <f t="shared" si="48"/>
        <v>CE-IS 95 RP1-9300.04N</v>
      </c>
      <c r="B3103" s="195" t="s">
        <v>2064</v>
      </c>
      <c r="C3103" s="196">
        <v>0</v>
      </c>
      <c r="D3103" s="196">
        <v>0.04</v>
      </c>
      <c r="E3103" s="195" t="s">
        <v>589</v>
      </c>
      <c r="F3103" s="195" t="s">
        <v>430</v>
      </c>
    </row>
    <row r="3104" spans="1:6" x14ac:dyDescent="0.25">
      <c r="A3104" s="189" t="str">
        <f t="shared" si="48"/>
        <v>CE-IS 95 RP2-10000.39W</v>
      </c>
      <c r="B3104" s="195" t="s">
        <v>2065</v>
      </c>
      <c r="C3104" s="196">
        <v>0</v>
      </c>
      <c r="D3104" s="196">
        <v>0.39</v>
      </c>
      <c r="E3104" s="195" t="s">
        <v>593</v>
      </c>
      <c r="F3104" s="195" t="s">
        <v>432</v>
      </c>
    </row>
    <row r="3105" spans="1:6" x14ac:dyDescent="0.25">
      <c r="A3105" s="189" t="str">
        <f t="shared" si="48"/>
        <v>CE-IS 95 RP2-10900.26W</v>
      </c>
      <c r="B3105" s="195" t="s">
        <v>2066</v>
      </c>
      <c r="C3105" s="196">
        <v>0</v>
      </c>
      <c r="D3105" s="196">
        <v>0.26</v>
      </c>
      <c r="E3105" s="195" t="s">
        <v>593</v>
      </c>
      <c r="F3105" s="195" t="s">
        <v>432</v>
      </c>
    </row>
    <row r="3106" spans="1:6" x14ac:dyDescent="0.25">
      <c r="A3106" s="189" t="str">
        <f t="shared" si="48"/>
        <v>CE-IS 95 RP2-9300.02N</v>
      </c>
      <c r="B3106" s="195" t="s">
        <v>2067</v>
      </c>
      <c r="C3106" s="196">
        <v>0</v>
      </c>
      <c r="D3106" s="196">
        <v>0.02</v>
      </c>
      <c r="E3106" s="195" t="s">
        <v>589</v>
      </c>
      <c r="F3106" s="195" t="s">
        <v>430</v>
      </c>
    </row>
    <row r="3107" spans="1:6" x14ac:dyDescent="0.25">
      <c r="A3107" s="189" t="str">
        <f t="shared" si="48"/>
        <v>CE-IS 95 RP3-10000.06E</v>
      </c>
      <c r="B3107" s="195" t="s">
        <v>2068</v>
      </c>
      <c r="C3107" s="196">
        <v>0</v>
      </c>
      <c r="D3107" s="196">
        <v>0.06</v>
      </c>
      <c r="E3107" s="195" t="s">
        <v>598</v>
      </c>
      <c r="F3107" s="195" t="s">
        <v>19</v>
      </c>
    </row>
    <row r="3108" spans="1:6" x14ac:dyDescent="0.25">
      <c r="A3108" s="189" t="str">
        <f t="shared" si="48"/>
        <v>CE-IS 95 RP3-10900.21E</v>
      </c>
      <c r="B3108" s="195" t="s">
        <v>2069</v>
      </c>
      <c r="C3108" s="196">
        <v>0</v>
      </c>
      <c r="D3108" s="196">
        <v>0.21</v>
      </c>
      <c r="E3108" s="195" t="s">
        <v>598</v>
      </c>
      <c r="F3108" s="195" t="s">
        <v>19</v>
      </c>
    </row>
    <row r="3109" spans="1:6" x14ac:dyDescent="0.25">
      <c r="A3109" s="189" t="str">
        <f t="shared" si="48"/>
        <v>CE-IS 95 RP4-10000.6N</v>
      </c>
      <c r="B3109" s="195" t="s">
        <v>2070</v>
      </c>
      <c r="C3109" s="196">
        <v>0</v>
      </c>
      <c r="D3109" s="196">
        <v>0.6</v>
      </c>
      <c r="E3109" s="195" t="s">
        <v>589</v>
      </c>
      <c r="F3109" s="195" t="s">
        <v>430</v>
      </c>
    </row>
    <row r="3110" spans="1:6" x14ac:dyDescent="0.25">
      <c r="A3110" s="189" t="str">
        <f t="shared" si="48"/>
        <v>CE-IS 95 RP4-10900.31N</v>
      </c>
      <c r="B3110" s="195" t="s">
        <v>2071</v>
      </c>
      <c r="C3110" s="196">
        <v>0</v>
      </c>
      <c r="D3110" s="196">
        <v>0.31</v>
      </c>
      <c r="E3110" s="195" t="s">
        <v>589</v>
      </c>
      <c r="F3110" s="195" t="s">
        <v>430</v>
      </c>
    </row>
    <row r="3111" spans="1:6" x14ac:dyDescent="0.25">
      <c r="A3111" s="189" t="str">
        <f t="shared" si="48"/>
        <v>CE-IS 95 RP4-9300.64N</v>
      </c>
      <c r="B3111" s="195" t="s">
        <v>2072</v>
      </c>
      <c r="C3111" s="196">
        <v>0</v>
      </c>
      <c r="D3111" s="196">
        <v>0.64</v>
      </c>
      <c r="E3111" s="195" t="s">
        <v>589</v>
      </c>
      <c r="F3111" s="195" t="s">
        <v>430</v>
      </c>
    </row>
    <row r="3112" spans="1:6" x14ac:dyDescent="0.25">
      <c r="A3112" s="189" t="str">
        <f t="shared" si="48"/>
        <v>CE-IS 95 RP5-10000.12E</v>
      </c>
      <c r="B3112" s="195" t="s">
        <v>2073</v>
      </c>
      <c r="C3112" s="196">
        <v>0</v>
      </c>
      <c r="D3112" s="196">
        <v>0.12</v>
      </c>
      <c r="E3112" s="195" t="s">
        <v>598</v>
      </c>
      <c r="F3112" s="195" t="s">
        <v>19</v>
      </c>
    </row>
    <row r="3113" spans="1:6" x14ac:dyDescent="0.25">
      <c r="A3113" s="189" t="str">
        <f t="shared" si="48"/>
        <v>CE-IS 95 RP5-10900.19S</v>
      </c>
      <c r="B3113" s="195" t="s">
        <v>2074</v>
      </c>
      <c r="C3113" s="196">
        <v>0</v>
      </c>
      <c r="D3113" s="196">
        <v>0.19</v>
      </c>
      <c r="E3113" s="195" t="s">
        <v>595</v>
      </c>
      <c r="F3113" s="195" t="s">
        <v>438</v>
      </c>
    </row>
    <row r="3114" spans="1:6" x14ac:dyDescent="0.25">
      <c r="A3114" s="189" t="str">
        <f t="shared" si="48"/>
        <v>CE-IS 95 RP5-9300.04S</v>
      </c>
      <c r="B3114" s="195" t="s">
        <v>2075</v>
      </c>
      <c r="C3114" s="196">
        <v>0</v>
      </c>
      <c r="D3114" s="196">
        <v>0.04</v>
      </c>
      <c r="E3114" s="195" t="s">
        <v>595</v>
      </c>
      <c r="F3114" s="195" t="s">
        <v>438</v>
      </c>
    </row>
    <row r="3115" spans="1:6" x14ac:dyDescent="0.25">
      <c r="A3115" s="189" t="str">
        <f t="shared" si="48"/>
        <v>CE-IS 95 RP6-10000.44E</v>
      </c>
      <c r="B3115" s="195" t="s">
        <v>2076</v>
      </c>
      <c r="C3115" s="196">
        <v>0</v>
      </c>
      <c r="D3115" s="196">
        <v>0.44</v>
      </c>
      <c r="E3115" s="195" t="s">
        <v>598</v>
      </c>
      <c r="F3115" s="195" t="s">
        <v>19</v>
      </c>
    </row>
    <row r="3116" spans="1:6" x14ac:dyDescent="0.25">
      <c r="A3116" s="189" t="str">
        <f t="shared" si="48"/>
        <v>CE-IS 95 RP6-10900.3E</v>
      </c>
      <c r="B3116" s="195" t="s">
        <v>2077</v>
      </c>
      <c r="C3116" s="196">
        <v>0</v>
      </c>
      <c r="D3116" s="196">
        <v>0.3</v>
      </c>
      <c r="E3116" s="195" t="s">
        <v>598</v>
      </c>
      <c r="F3116" s="195" t="s">
        <v>19</v>
      </c>
    </row>
    <row r="3117" spans="1:6" x14ac:dyDescent="0.25">
      <c r="A3117" s="189" t="str">
        <f t="shared" si="48"/>
        <v>CE-IS 95 RP6-9300.27E</v>
      </c>
      <c r="B3117" s="195" t="s">
        <v>2078</v>
      </c>
      <c r="C3117" s="196">
        <v>0</v>
      </c>
      <c r="D3117" s="196">
        <v>0.27</v>
      </c>
      <c r="E3117" s="195" t="s">
        <v>598</v>
      </c>
      <c r="F3117" s="195" t="s">
        <v>19</v>
      </c>
    </row>
    <row r="3118" spans="1:6" x14ac:dyDescent="0.25">
      <c r="A3118" s="189" t="str">
        <f t="shared" si="48"/>
        <v>CE-IS 95 RP7-10000.25N</v>
      </c>
      <c r="B3118" s="195" t="s">
        <v>2079</v>
      </c>
      <c r="C3118" s="196">
        <v>0</v>
      </c>
      <c r="D3118" s="196">
        <v>0.25</v>
      </c>
      <c r="E3118" s="195" t="s">
        <v>589</v>
      </c>
      <c r="F3118" s="195" t="s">
        <v>430</v>
      </c>
    </row>
    <row r="3119" spans="1:6" x14ac:dyDescent="0.25">
      <c r="A3119" s="189" t="str">
        <f t="shared" si="48"/>
        <v>CE-IS 95 RP7-10900.23W</v>
      </c>
      <c r="B3119" s="195" t="s">
        <v>2080</v>
      </c>
      <c r="C3119" s="196">
        <v>0</v>
      </c>
      <c r="D3119" s="196">
        <v>0.23</v>
      </c>
      <c r="E3119" s="195" t="s">
        <v>593</v>
      </c>
      <c r="F3119" s="195" t="s">
        <v>432</v>
      </c>
    </row>
    <row r="3120" spans="1:6" x14ac:dyDescent="0.25">
      <c r="A3120" s="189" t="str">
        <f t="shared" si="48"/>
        <v>CE-IS 95 RP7-9300.4W</v>
      </c>
      <c r="B3120" s="195" t="s">
        <v>2081</v>
      </c>
      <c r="C3120" s="196">
        <v>0</v>
      </c>
      <c r="D3120" s="196">
        <v>0.4</v>
      </c>
      <c r="E3120" s="195" t="s">
        <v>593</v>
      </c>
      <c r="F3120" s="195" t="s">
        <v>432</v>
      </c>
    </row>
    <row r="3121" spans="1:6" x14ac:dyDescent="0.25">
      <c r="A3121" s="189" t="str">
        <f t="shared" si="48"/>
        <v>CE-IS 95 RP8-10000.46S</v>
      </c>
      <c r="B3121" s="195" t="s">
        <v>2082</v>
      </c>
      <c r="C3121" s="196">
        <v>0</v>
      </c>
      <c r="D3121" s="196">
        <v>0.46</v>
      </c>
      <c r="E3121" s="195" t="s">
        <v>595</v>
      </c>
      <c r="F3121" s="195" t="s">
        <v>438</v>
      </c>
    </row>
    <row r="3122" spans="1:6" x14ac:dyDescent="0.25">
      <c r="A3122" s="189" t="str">
        <f t="shared" si="48"/>
        <v>CE-IS 95 RP8-10900.51S</v>
      </c>
      <c r="B3122" s="195" t="s">
        <v>2083</v>
      </c>
      <c r="C3122" s="196">
        <v>0</v>
      </c>
      <c r="D3122" s="196">
        <v>0.51</v>
      </c>
      <c r="E3122" s="195" t="s">
        <v>595</v>
      </c>
      <c r="F3122" s="195" t="s">
        <v>438</v>
      </c>
    </row>
    <row r="3123" spans="1:6" x14ac:dyDescent="0.25">
      <c r="A3123" s="189" t="str">
        <f t="shared" si="48"/>
        <v>CE-IS 95 RP8-9300.23E</v>
      </c>
      <c r="B3123" s="195" t="s">
        <v>2084</v>
      </c>
      <c r="C3123" s="196">
        <v>0</v>
      </c>
      <c r="D3123" s="196">
        <v>0.23</v>
      </c>
      <c r="E3123" s="195" t="s">
        <v>598</v>
      </c>
      <c r="F3123" s="195" t="s">
        <v>19</v>
      </c>
    </row>
    <row r="3124" spans="1:6" x14ac:dyDescent="0.25">
      <c r="A3124" s="189" t="str">
        <f t="shared" si="48"/>
        <v>CE-IS 95 RP9-10001.05W</v>
      </c>
      <c r="B3124" s="195" t="s">
        <v>2085</v>
      </c>
      <c r="C3124" s="196">
        <v>0</v>
      </c>
      <c r="D3124" s="196">
        <v>1.05</v>
      </c>
      <c r="E3124" s="195" t="s">
        <v>593</v>
      </c>
      <c r="F3124" s="195" t="s">
        <v>432</v>
      </c>
    </row>
    <row r="3125" spans="1:6" x14ac:dyDescent="0.25">
      <c r="A3125" s="189" t="str">
        <f t="shared" si="48"/>
        <v>CE-IS 95 RP9-10900.37E</v>
      </c>
      <c r="B3125" s="195" t="s">
        <v>2086</v>
      </c>
      <c r="C3125" s="196">
        <v>0</v>
      </c>
      <c r="D3125" s="196">
        <v>0.37</v>
      </c>
      <c r="E3125" s="195" t="s">
        <v>598</v>
      </c>
      <c r="F3125" s="195" t="s">
        <v>19</v>
      </c>
    </row>
    <row r="3126" spans="1:6" x14ac:dyDescent="0.25">
      <c r="A3126" s="189" t="str">
        <f t="shared" si="48"/>
        <v>CE-IS 95R00.65S</v>
      </c>
      <c r="B3126" s="195" t="s">
        <v>2087</v>
      </c>
      <c r="C3126" s="196">
        <v>0</v>
      </c>
      <c r="D3126" s="196">
        <v>0.65</v>
      </c>
      <c r="E3126" s="195" t="s">
        <v>595</v>
      </c>
      <c r="F3126" s="195" t="s">
        <v>438</v>
      </c>
    </row>
    <row r="3127" spans="1:6" x14ac:dyDescent="0.25">
      <c r="A3127" s="189" t="str">
        <f t="shared" si="48"/>
        <v>CE-IS 95S00.88N</v>
      </c>
      <c r="B3127" s="195" t="s">
        <v>2088</v>
      </c>
      <c r="C3127" s="196">
        <v>0</v>
      </c>
      <c r="D3127" s="196">
        <v>0.88</v>
      </c>
      <c r="E3127" s="195" t="s">
        <v>589</v>
      </c>
      <c r="F3127" s="195" t="s">
        <v>430</v>
      </c>
    </row>
    <row r="3128" spans="1:6" x14ac:dyDescent="0.25">
      <c r="A3128" s="189" t="str">
        <f t="shared" si="48"/>
        <v>CE-MD 21300.13S</v>
      </c>
      <c r="B3128" s="195" t="s">
        <v>457</v>
      </c>
      <c r="C3128" s="196">
        <v>0</v>
      </c>
      <c r="D3128" s="196">
        <v>0.13</v>
      </c>
      <c r="E3128" s="195" t="s">
        <v>595</v>
      </c>
      <c r="F3128" s="195" t="s">
        <v>438</v>
      </c>
    </row>
    <row r="3129" spans="1:6" x14ac:dyDescent="0.25">
      <c r="A3129" s="189" t="str">
        <f t="shared" si="48"/>
        <v>CE-MD 21300.2N</v>
      </c>
      <c r="B3129" s="195" t="s">
        <v>457</v>
      </c>
      <c r="C3129" s="196">
        <v>0</v>
      </c>
      <c r="D3129" s="196">
        <v>0.2</v>
      </c>
      <c r="E3129" s="195" t="s">
        <v>589</v>
      </c>
      <c r="F3129" s="195" t="s">
        <v>430</v>
      </c>
    </row>
    <row r="3130" spans="1:6" x14ac:dyDescent="0.25">
      <c r="A3130" s="189" t="str">
        <f t="shared" si="48"/>
        <v>CE-MD 2130.130.2S</v>
      </c>
      <c r="B3130" s="195" t="s">
        <v>457</v>
      </c>
      <c r="C3130" s="196">
        <v>0.13</v>
      </c>
      <c r="D3130" s="196">
        <v>0.2</v>
      </c>
      <c r="E3130" s="195" t="s">
        <v>595</v>
      </c>
      <c r="F3130" s="195" t="s">
        <v>438</v>
      </c>
    </row>
    <row r="3131" spans="1:6" x14ac:dyDescent="0.25">
      <c r="A3131" s="189" t="str">
        <f t="shared" si="48"/>
        <v>CE-MD 2130.22.69S</v>
      </c>
      <c r="B3131" s="195" t="s">
        <v>457</v>
      </c>
      <c r="C3131" s="196">
        <v>0.2</v>
      </c>
      <c r="D3131" s="196">
        <v>2.69</v>
      </c>
      <c r="E3131" s="195" t="s">
        <v>595</v>
      </c>
      <c r="F3131" s="195" t="s">
        <v>438</v>
      </c>
    </row>
    <row r="3132" spans="1:6" x14ac:dyDescent="0.25">
      <c r="A3132" s="189" t="str">
        <f t="shared" si="48"/>
        <v>CE-MD 2130.22.72N</v>
      </c>
      <c r="B3132" s="195" t="s">
        <v>457</v>
      </c>
      <c r="C3132" s="196">
        <v>0.2</v>
      </c>
      <c r="D3132" s="196">
        <v>2.72</v>
      </c>
      <c r="E3132" s="195" t="s">
        <v>589</v>
      </c>
      <c r="F3132" s="195" t="s">
        <v>430</v>
      </c>
    </row>
    <row r="3133" spans="1:6" x14ac:dyDescent="0.25">
      <c r="A3133" s="189" t="str">
        <f t="shared" si="48"/>
        <v>CE-MD 2132.696.85S</v>
      </c>
      <c r="B3133" s="195" t="s">
        <v>457</v>
      </c>
      <c r="C3133" s="196">
        <v>2.69</v>
      </c>
      <c r="D3133" s="196">
        <v>6.85</v>
      </c>
      <c r="E3133" s="195" t="s">
        <v>595</v>
      </c>
      <c r="F3133" s="195" t="s">
        <v>438</v>
      </c>
    </row>
    <row r="3134" spans="1:6" x14ac:dyDescent="0.25">
      <c r="A3134" s="189" t="str">
        <f t="shared" si="48"/>
        <v>CE-MD 2132.726.85N</v>
      </c>
      <c r="B3134" s="195" t="s">
        <v>457</v>
      </c>
      <c r="C3134" s="196">
        <v>2.72</v>
      </c>
      <c r="D3134" s="196">
        <v>6.85</v>
      </c>
      <c r="E3134" s="195" t="s">
        <v>589</v>
      </c>
      <c r="F3134" s="195" t="s">
        <v>430</v>
      </c>
    </row>
    <row r="3135" spans="1:6" x14ac:dyDescent="0.25">
      <c r="A3135" s="189" t="str">
        <f t="shared" si="48"/>
        <v>CE-MD 2136.857.08N</v>
      </c>
      <c r="B3135" s="195" t="s">
        <v>457</v>
      </c>
      <c r="C3135" s="196">
        <v>6.85</v>
      </c>
      <c r="D3135" s="196">
        <v>7.08</v>
      </c>
      <c r="E3135" s="195" t="s">
        <v>589</v>
      </c>
      <c r="F3135" s="195" t="s">
        <v>430</v>
      </c>
    </row>
    <row r="3136" spans="1:6" x14ac:dyDescent="0.25">
      <c r="A3136" s="189" t="str">
        <f t="shared" si="48"/>
        <v>CE-MD 2136.857.12S</v>
      </c>
      <c r="B3136" s="195" t="s">
        <v>457</v>
      </c>
      <c r="C3136" s="196">
        <v>6.85</v>
      </c>
      <c r="D3136" s="196">
        <v>7.12</v>
      </c>
      <c r="E3136" s="195" t="s">
        <v>595</v>
      </c>
      <c r="F3136" s="195" t="s">
        <v>438</v>
      </c>
    </row>
    <row r="3137" spans="1:6" x14ac:dyDescent="0.25">
      <c r="A3137" s="189" t="str">
        <f t="shared" si="48"/>
        <v>CE-MD 2137.087.3N</v>
      </c>
      <c r="B3137" s="195" t="s">
        <v>457</v>
      </c>
      <c r="C3137" s="196">
        <v>7.08</v>
      </c>
      <c r="D3137" s="196">
        <v>7.3</v>
      </c>
      <c r="E3137" s="195" t="s">
        <v>589</v>
      </c>
      <c r="F3137" s="195" t="s">
        <v>430</v>
      </c>
    </row>
    <row r="3138" spans="1:6" x14ac:dyDescent="0.25">
      <c r="A3138" s="189" t="str">
        <f t="shared" si="48"/>
        <v>CE-MD 2137.127.35S</v>
      </c>
      <c r="B3138" s="195" t="s">
        <v>457</v>
      </c>
      <c r="C3138" s="196">
        <v>7.12</v>
      </c>
      <c r="D3138" s="196">
        <v>7.35</v>
      </c>
      <c r="E3138" s="195" t="s">
        <v>595</v>
      </c>
      <c r="F3138" s="195" t="s">
        <v>438</v>
      </c>
    </row>
    <row r="3139" spans="1:6" x14ac:dyDescent="0.25">
      <c r="A3139" s="189" t="str">
        <f t="shared" ref="A3139:A3202" si="49">B3139&amp;C3139&amp;D3139&amp;F3139</f>
        <v>CE-MD 2137.37.65N</v>
      </c>
      <c r="B3139" s="195" t="s">
        <v>457</v>
      </c>
      <c r="C3139" s="196">
        <v>7.3</v>
      </c>
      <c r="D3139" s="196">
        <v>7.65</v>
      </c>
      <c r="E3139" s="195" t="s">
        <v>589</v>
      </c>
      <c r="F3139" s="195" t="s">
        <v>430</v>
      </c>
    </row>
    <row r="3140" spans="1:6" x14ac:dyDescent="0.25">
      <c r="A3140" s="189" t="str">
        <f t="shared" si="49"/>
        <v>CE-MD 2137.357.65S</v>
      </c>
      <c r="B3140" s="195" t="s">
        <v>457</v>
      </c>
      <c r="C3140" s="196">
        <v>7.35</v>
      </c>
      <c r="D3140" s="196">
        <v>7.65</v>
      </c>
      <c r="E3140" s="195" t="s">
        <v>595</v>
      </c>
      <c r="F3140" s="195" t="s">
        <v>438</v>
      </c>
    </row>
    <row r="3141" spans="1:6" x14ac:dyDescent="0.25">
      <c r="A3141" s="189" t="str">
        <f t="shared" si="49"/>
        <v>CE-MD 2137.659.4N</v>
      </c>
      <c r="B3141" s="195" t="s">
        <v>457</v>
      </c>
      <c r="C3141" s="196">
        <v>7.65</v>
      </c>
      <c r="D3141" s="196">
        <v>9.4</v>
      </c>
      <c r="E3141" s="195" t="s">
        <v>583</v>
      </c>
      <c r="F3141" s="195" t="s">
        <v>430</v>
      </c>
    </row>
    <row r="3142" spans="1:6" x14ac:dyDescent="0.25">
      <c r="A3142" s="189" t="str">
        <f t="shared" si="49"/>
        <v>CE-MD 2137.659.4S</v>
      </c>
      <c r="B3142" s="195" t="s">
        <v>457</v>
      </c>
      <c r="C3142" s="196">
        <v>7.65</v>
      </c>
      <c r="D3142" s="196">
        <v>9.4</v>
      </c>
      <c r="E3142" s="195" t="s">
        <v>583</v>
      </c>
      <c r="F3142" s="195" t="s">
        <v>438</v>
      </c>
    </row>
    <row r="3143" spans="1:6" x14ac:dyDescent="0.25">
      <c r="A3143" s="189" t="str">
        <f t="shared" si="49"/>
        <v>CE-MD 2139.49.85N</v>
      </c>
      <c r="B3143" s="195" t="s">
        <v>457</v>
      </c>
      <c r="C3143" s="196">
        <v>9.4</v>
      </c>
      <c r="D3143" s="196">
        <v>9.85</v>
      </c>
      <c r="E3143" s="195" t="s">
        <v>583</v>
      </c>
      <c r="F3143" s="195" t="s">
        <v>430</v>
      </c>
    </row>
    <row r="3144" spans="1:6" x14ac:dyDescent="0.25">
      <c r="A3144" s="189" t="str">
        <f t="shared" si="49"/>
        <v>CE-MD 2139.49.85S</v>
      </c>
      <c r="B3144" s="195" t="s">
        <v>457</v>
      </c>
      <c r="C3144" s="196">
        <v>9.4</v>
      </c>
      <c r="D3144" s="196">
        <v>9.85</v>
      </c>
      <c r="E3144" s="195" t="s">
        <v>583</v>
      </c>
      <c r="F3144" s="195" t="s">
        <v>438</v>
      </c>
    </row>
    <row r="3145" spans="1:6" x14ac:dyDescent="0.25">
      <c r="A3145" s="189" t="str">
        <f t="shared" si="49"/>
        <v>CE-MD 2139.8517.03N</v>
      </c>
      <c r="B3145" s="195" t="s">
        <v>457</v>
      </c>
      <c r="C3145" s="196">
        <v>9.85</v>
      </c>
      <c r="D3145" s="196">
        <v>17.03</v>
      </c>
      <c r="E3145" s="195" t="s">
        <v>583</v>
      </c>
      <c r="F3145" s="195" t="s">
        <v>430</v>
      </c>
    </row>
    <row r="3146" spans="1:6" x14ac:dyDescent="0.25">
      <c r="A3146" s="189" t="str">
        <f t="shared" si="49"/>
        <v>CE-MD 2139.8517.03S</v>
      </c>
      <c r="B3146" s="195" t="s">
        <v>457</v>
      </c>
      <c r="C3146" s="196">
        <v>9.85</v>
      </c>
      <c r="D3146" s="196">
        <v>17.03</v>
      </c>
      <c r="E3146" s="195" t="s">
        <v>583</v>
      </c>
      <c r="F3146" s="195" t="s">
        <v>438</v>
      </c>
    </row>
    <row r="3147" spans="1:6" x14ac:dyDescent="0.25">
      <c r="A3147" s="189" t="str">
        <f t="shared" si="49"/>
        <v>CE-MD 21317.0317.95N</v>
      </c>
      <c r="B3147" s="195" t="s">
        <v>457</v>
      </c>
      <c r="C3147" s="196">
        <v>17.03</v>
      </c>
      <c r="D3147" s="196">
        <v>17.95</v>
      </c>
      <c r="E3147" s="195" t="s">
        <v>583</v>
      </c>
      <c r="F3147" s="195" t="s">
        <v>430</v>
      </c>
    </row>
    <row r="3148" spans="1:6" x14ac:dyDescent="0.25">
      <c r="A3148" s="189" t="str">
        <f t="shared" si="49"/>
        <v>CE-MD 21317.0317.95S</v>
      </c>
      <c r="B3148" s="195" t="s">
        <v>457</v>
      </c>
      <c r="C3148" s="196">
        <v>17.03</v>
      </c>
      <c r="D3148" s="196">
        <v>17.95</v>
      </c>
      <c r="E3148" s="195" t="s">
        <v>583</v>
      </c>
      <c r="F3148" s="195" t="s">
        <v>438</v>
      </c>
    </row>
    <row r="3149" spans="1:6" x14ac:dyDescent="0.25">
      <c r="A3149" s="189" t="str">
        <f t="shared" si="49"/>
        <v>CE-MD 21317.9518.32N</v>
      </c>
      <c r="B3149" s="195" t="s">
        <v>457</v>
      </c>
      <c r="C3149" s="196">
        <v>17.95</v>
      </c>
      <c r="D3149" s="196">
        <v>18.32</v>
      </c>
      <c r="E3149" s="195" t="s">
        <v>583</v>
      </c>
      <c r="F3149" s="195" t="s">
        <v>430</v>
      </c>
    </row>
    <row r="3150" spans="1:6" x14ac:dyDescent="0.25">
      <c r="A3150" s="189" t="str">
        <f t="shared" si="49"/>
        <v>CE-MD 21317.9518.32S</v>
      </c>
      <c r="B3150" s="195" t="s">
        <v>457</v>
      </c>
      <c r="C3150" s="196">
        <v>17.95</v>
      </c>
      <c r="D3150" s="196">
        <v>18.32</v>
      </c>
      <c r="E3150" s="195" t="s">
        <v>583</v>
      </c>
      <c r="F3150" s="195" t="s">
        <v>438</v>
      </c>
    </row>
    <row r="3151" spans="1:6" x14ac:dyDescent="0.25">
      <c r="A3151" s="189" t="str">
        <f t="shared" si="49"/>
        <v>CE-MD 21318.3219.01N</v>
      </c>
      <c r="B3151" s="195" t="s">
        <v>457</v>
      </c>
      <c r="C3151" s="196">
        <v>18.32</v>
      </c>
      <c r="D3151" s="196">
        <v>19.010000000000002</v>
      </c>
      <c r="E3151" s="195" t="s">
        <v>583</v>
      </c>
      <c r="F3151" s="195" t="s">
        <v>430</v>
      </c>
    </row>
    <row r="3152" spans="1:6" x14ac:dyDescent="0.25">
      <c r="A3152" s="189" t="str">
        <f t="shared" si="49"/>
        <v>CE-MD 21318.3219.01S</v>
      </c>
      <c r="B3152" s="195" t="s">
        <v>457</v>
      </c>
      <c r="C3152" s="196">
        <v>18.32</v>
      </c>
      <c r="D3152" s="196">
        <v>19.010000000000002</v>
      </c>
      <c r="E3152" s="195" t="s">
        <v>583</v>
      </c>
      <c r="F3152" s="195" t="s">
        <v>438</v>
      </c>
    </row>
    <row r="3153" spans="1:6" x14ac:dyDescent="0.25">
      <c r="A3153" s="189" t="str">
        <f t="shared" si="49"/>
        <v>CE-MD 21319.0119.3N</v>
      </c>
      <c r="B3153" s="195" t="s">
        <v>457</v>
      </c>
      <c r="C3153" s="196">
        <v>19.010000000000002</v>
      </c>
      <c r="D3153" s="196">
        <v>19.3</v>
      </c>
      <c r="E3153" s="195" t="s">
        <v>583</v>
      </c>
      <c r="F3153" s="195" t="s">
        <v>430</v>
      </c>
    </row>
    <row r="3154" spans="1:6" x14ac:dyDescent="0.25">
      <c r="A3154" s="189" t="str">
        <f t="shared" si="49"/>
        <v>CE-MD 21319.0119.3S</v>
      </c>
      <c r="B3154" s="195" t="s">
        <v>457</v>
      </c>
      <c r="C3154" s="196">
        <v>19.010000000000002</v>
      </c>
      <c r="D3154" s="196">
        <v>19.3</v>
      </c>
      <c r="E3154" s="195" t="s">
        <v>583</v>
      </c>
      <c r="F3154" s="195" t="s">
        <v>438</v>
      </c>
    </row>
    <row r="3155" spans="1:6" x14ac:dyDescent="0.25">
      <c r="A3155" s="189" t="str">
        <f t="shared" si="49"/>
        <v>CE-MD 21319.320.61N</v>
      </c>
      <c r="B3155" s="195" t="s">
        <v>457</v>
      </c>
      <c r="C3155" s="196">
        <v>19.3</v>
      </c>
      <c r="D3155" s="196">
        <v>20.61</v>
      </c>
      <c r="E3155" s="195" t="s">
        <v>583</v>
      </c>
      <c r="F3155" s="195" t="s">
        <v>430</v>
      </c>
    </row>
    <row r="3156" spans="1:6" x14ac:dyDescent="0.25">
      <c r="A3156" s="189" t="str">
        <f t="shared" si="49"/>
        <v>CE-MD 21319.320.61S</v>
      </c>
      <c r="B3156" s="195" t="s">
        <v>457</v>
      </c>
      <c r="C3156" s="196">
        <v>19.3</v>
      </c>
      <c r="D3156" s="196">
        <v>20.61</v>
      </c>
      <c r="E3156" s="195" t="s">
        <v>583</v>
      </c>
      <c r="F3156" s="195" t="s">
        <v>438</v>
      </c>
    </row>
    <row r="3157" spans="1:6" x14ac:dyDescent="0.25">
      <c r="A3157" s="189" t="str">
        <f t="shared" si="49"/>
        <v>CE-MD 21320.6122.3N</v>
      </c>
      <c r="B3157" s="195" t="s">
        <v>457</v>
      </c>
      <c r="C3157" s="196">
        <v>20.61</v>
      </c>
      <c r="D3157" s="196">
        <v>22.3</v>
      </c>
      <c r="E3157" s="195" t="s">
        <v>583</v>
      </c>
      <c r="F3157" s="195" t="s">
        <v>430</v>
      </c>
    </row>
    <row r="3158" spans="1:6" x14ac:dyDescent="0.25">
      <c r="A3158" s="189" t="str">
        <f t="shared" si="49"/>
        <v>CE-MD 21320.6122.3S</v>
      </c>
      <c r="B3158" s="195" t="s">
        <v>457</v>
      </c>
      <c r="C3158" s="196">
        <v>20.61</v>
      </c>
      <c r="D3158" s="196">
        <v>22.3</v>
      </c>
      <c r="E3158" s="195" t="s">
        <v>583</v>
      </c>
      <c r="F3158" s="195" t="s">
        <v>438</v>
      </c>
    </row>
    <row r="3159" spans="1:6" x14ac:dyDescent="0.25">
      <c r="A3159" s="189" t="str">
        <f t="shared" si="49"/>
        <v>CE-MD 21322.322.45N</v>
      </c>
      <c r="B3159" s="195" t="s">
        <v>457</v>
      </c>
      <c r="C3159" s="196">
        <v>22.3</v>
      </c>
      <c r="D3159" s="196">
        <v>22.45</v>
      </c>
      <c r="E3159" s="195" t="s">
        <v>583</v>
      </c>
      <c r="F3159" s="195" t="s">
        <v>430</v>
      </c>
    </row>
    <row r="3160" spans="1:6" x14ac:dyDescent="0.25">
      <c r="A3160" s="189" t="str">
        <f t="shared" si="49"/>
        <v>CE-MD 21322.322.45S</v>
      </c>
      <c r="B3160" s="195" t="s">
        <v>457</v>
      </c>
      <c r="C3160" s="196">
        <v>22.3</v>
      </c>
      <c r="D3160" s="196">
        <v>22.45</v>
      </c>
      <c r="E3160" s="195" t="s">
        <v>583</v>
      </c>
      <c r="F3160" s="195" t="s">
        <v>438</v>
      </c>
    </row>
    <row r="3161" spans="1:6" x14ac:dyDescent="0.25">
      <c r="A3161" s="189" t="str">
        <f t="shared" si="49"/>
        <v>CE-MD 21322.4523.39N</v>
      </c>
      <c r="B3161" s="195" t="s">
        <v>457</v>
      </c>
      <c r="C3161" s="196">
        <v>22.45</v>
      </c>
      <c r="D3161" s="196">
        <v>23.39</v>
      </c>
      <c r="E3161" s="195" t="s">
        <v>583</v>
      </c>
      <c r="F3161" s="195" t="s">
        <v>430</v>
      </c>
    </row>
    <row r="3162" spans="1:6" x14ac:dyDescent="0.25">
      <c r="A3162" s="189" t="str">
        <f t="shared" si="49"/>
        <v>CE-MD 21322.4523.39S</v>
      </c>
      <c r="B3162" s="195" t="s">
        <v>457</v>
      </c>
      <c r="C3162" s="196">
        <v>22.45</v>
      </c>
      <c r="D3162" s="196">
        <v>23.39</v>
      </c>
      <c r="E3162" s="195" t="s">
        <v>583</v>
      </c>
      <c r="F3162" s="195" t="s">
        <v>438</v>
      </c>
    </row>
    <row r="3163" spans="1:6" x14ac:dyDescent="0.25">
      <c r="A3163" s="189" t="str">
        <f t="shared" si="49"/>
        <v>CE-MD 21323.3923.4N</v>
      </c>
      <c r="B3163" s="195" t="s">
        <v>457</v>
      </c>
      <c r="C3163" s="196">
        <v>23.39</v>
      </c>
      <c r="D3163" s="196">
        <v>23.4</v>
      </c>
      <c r="E3163" s="195" t="s">
        <v>583</v>
      </c>
      <c r="F3163" s="195" t="s">
        <v>430</v>
      </c>
    </row>
    <row r="3164" spans="1:6" x14ac:dyDescent="0.25">
      <c r="A3164" s="189" t="str">
        <f t="shared" si="49"/>
        <v>CE-MD 21323.3923.4S</v>
      </c>
      <c r="B3164" s="195" t="s">
        <v>457</v>
      </c>
      <c r="C3164" s="196">
        <v>23.39</v>
      </c>
      <c r="D3164" s="196">
        <v>23.4</v>
      </c>
      <c r="E3164" s="195" t="s">
        <v>583</v>
      </c>
      <c r="F3164" s="195" t="s">
        <v>438</v>
      </c>
    </row>
    <row r="3165" spans="1:6" x14ac:dyDescent="0.25">
      <c r="A3165" s="189" t="str">
        <f t="shared" si="49"/>
        <v>CE-MD 21323.425.94N</v>
      </c>
      <c r="B3165" s="195" t="s">
        <v>457</v>
      </c>
      <c r="C3165" s="196">
        <v>23.4</v>
      </c>
      <c r="D3165" s="196">
        <v>25.94</v>
      </c>
      <c r="E3165" s="195" t="s">
        <v>583</v>
      </c>
      <c r="F3165" s="195" t="s">
        <v>430</v>
      </c>
    </row>
    <row r="3166" spans="1:6" x14ac:dyDescent="0.25">
      <c r="A3166" s="189" t="str">
        <f t="shared" si="49"/>
        <v>CE-MD 21323.425.94S</v>
      </c>
      <c r="B3166" s="195" t="s">
        <v>457</v>
      </c>
      <c r="C3166" s="196">
        <v>23.4</v>
      </c>
      <c r="D3166" s="196">
        <v>25.94</v>
      </c>
      <c r="E3166" s="195" t="s">
        <v>583</v>
      </c>
      <c r="F3166" s="195" t="s">
        <v>438</v>
      </c>
    </row>
    <row r="3167" spans="1:6" x14ac:dyDescent="0.25">
      <c r="A3167" s="189" t="str">
        <f t="shared" si="49"/>
        <v>CE-MD 21325.9427.48N</v>
      </c>
      <c r="B3167" s="195" t="s">
        <v>457</v>
      </c>
      <c r="C3167" s="196">
        <v>25.94</v>
      </c>
      <c r="D3167" s="196">
        <v>27.48</v>
      </c>
      <c r="E3167" s="195" t="s">
        <v>583</v>
      </c>
      <c r="F3167" s="195" t="s">
        <v>430</v>
      </c>
    </row>
    <row r="3168" spans="1:6" x14ac:dyDescent="0.25">
      <c r="A3168" s="189" t="str">
        <f t="shared" si="49"/>
        <v>CE-MD 21325.9427.48S</v>
      </c>
      <c r="B3168" s="195" t="s">
        <v>457</v>
      </c>
      <c r="C3168" s="196">
        <v>25.94</v>
      </c>
      <c r="D3168" s="196">
        <v>27.48</v>
      </c>
      <c r="E3168" s="195" t="s">
        <v>583</v>
      </c>
      <c r="F3168" s="195" t="s">
        <v>438</v>
      </c>
    </row>
    <row r="3169" spans="1:6" x14ac:dyDescent="0.25">
      <c r="A3169" s="189" t="str">
        <f t="shared" si="49"/>
        <v>CE-MD 22200.65N</v>
      </c>
      <c r="B3169" s="195" t="s">
        <v>2089</v>
      </c>
      <c r="C3169" s="196">
        <v>0</v>
      </c>
      <c r="D3169" s="196">
        <v>0.65</v>
      </c>
      <c r="E3169" s="195" t="s">
        <v>583</v>
      </c>
      <c r="F3169" s="195" t="s">
        <v>430</v>
      </c>
    </row>
    <row r="3170" spans="1:6" x14ac:dyDescent="0.25">
      <c r="A3170" s="189" t="str">
        <f t="shared" si="49"/>
        <v>CE-MD 22200.65S</v>
      </c>
      <c r="B3170" s="195" t="s">
        <v>2089</v>
      </c>
      <c r="C3170" s="196">
        <v>0</v>
      </c>
      <c r="D3170" s="196">
        <v>0.65</v>
      </c>
      <c r="E3170" s="195" t="s">
        <v>583</v>
      </c>
      <c r="F3170" s="195" t="s">
        <v>438</v>
      </c>
    </row>
    <row r="3171" spans="1:6" x14ac:dyDescent="0.25">
      <c r="A3171" s="189" t="str">
        <f t="shared" si="49"/>
        <v>CE-MD 2220.650.67N</v>
      </c>
      <c r="B3171" s="195" t="s">
        <v>2089</v>
      </c>
      <c r="C3171" s="196">
        <v>0.65</v>
      </c>
      <c r="D3171" s="196">
        <v>0.67</v>
      </c>
      <c r="E3171" s="195" t="s">
        <v>583</v>
      </c>
      <c r="F3171" s="195" t="s">
        <v>430</v>
      </c>
    </row>
    <row r="3172" spans="1:6" x14ac:dyDescent="0.25">
      <c r="A3172" s="189" t="str">
        <f t="shared" si="49"/>
        <v>CE-MD 2220.650.67S</v>
      </c>
      <c r="B3172" s="195" t="s">
        <v>2089</v>
      </c>
      <c r="C3172" s="196">
        <v>0.65</v>
      </c>
      <c r="D3172" s="196">
        <v>0.67</v>
      </c>
      <c r="E3172" s="195" t="s">
        <v>583</v>
      </c>
      <c r="F3172" s="195" t="s">
        <v>438</v>
      </c>
    </row>
    <row r="3173" spans="1:6" x14ac:dyDescent="0.25">
      <c r="A3173" s="189" t="str">
        <f t="shared" si="49"/>
        <v>CE-MD 2220.670.88N</v>
      </c>
      <c r="B3173" s="195" t="s">
        <v>2089</v>
      </c>
      <c r="C3173" s="196">
        <v>0.67</v>
      </c>
      <c r="D3173" s="196">
        <v>0.88</v>
      </c>
      <c r="E3173" s="195" t="s">
        <v>589</v>
      </c>
      <c r="F3173" s="195" t="s">
        <v>430</v>
      </c>
    </row>
    <row r="3174" spans="1:6" x14ac:dyDescent="0.25">
      <c r="A3174" s="189" t="str">
        <f t="shared" si="49"/>
        <v>CE-MD 2220.672S</v>
      </c>
      <c r="B3174" s="195" t="s">
        <v>2089</v>
      </c>
      <c r="C3174" s="196">
        <v>0.67</v>
      </c>
      <c r="D3174" s="196">
        <v>2</v>
      </c>
      <c r="E3174" s="195" t="s">
        <v>595</v>
      </c>
      <c r="F3174" s="195" t="s">
        <v>438</v>
      </c>
    </row>
    <row r="3175" spans="1:6" x14ac:dyDescent="0.25">
      <c r="A3175" s="189" t="str">
        <f t="shared" si="49"/>
        <v>CE-MD 2220.882N</v>
      </c>
      <c r="B3175" s="195" t="s">
        <v>2089</v>
      </c>
      <c r="C3175" s="196">
        <v>0.88</v>
      </c>
      <c r="D3175" s="196">
        <v>2</v>
      </c>
      <c r="E3175" s="195" t="s">
        <v>589</v>
      </c>
      <c r="F3175" s="195" t="s">
        <v>430</v>
      </c>
    </row>
    <row r="3176" spans="1:6" x14ac:dyDescent="0.25">
      <c r="A3176" s="189" t="str">
        <f t="shared" si="49"/>
        <v>CE-MD 22222.4N</v>
      </c>
      <c r="B3176" s="195" t="s">
        <v>2089</v>
      </c>
      <c r="C3176" s="196">
        <v>2</v>
      </c>
      <c r="D3176" s="196">
        <v>2.4</v>
      </c>
      <c r="E3176" s="195" t="s">
        <v>583</v>
      </c>
      <c r="F3176" s="195" t="s">
        <v>430</v>
      </c>
    </row>
    <row r="3177" spans="1:6" x14ac:dyDescent="0.25">
      <c r="A3177" s="189" t="str">
        <f t="shared" si="49"/>
        <v>CE-MD 22222.4S</v>
      </c>
      <c r="B3177" s="195" t="s">
        <v>2089</v>
      </c>
      <c r="C3177" s="196">
        <v>2</v>
      </c>
      <c r="D3177" s="196">
        <v>2.4</v>
      </c>
      <c r="E3177" s="195" t="s">
        <v>583</v>
      </c>
      <c r="F3177" s="195" t="s">
        <v>438</v>
      </c>
    </row>
    <row r="3178" spans="1:6" x14ac:dyDescent="0.25">
      <c r="A3178" s="189" t="str">
        <f t="shared" si="49"/>
        <v>CE-MD 2222.42.42N</v>
      </c>
      <c r="B3178" s="195" t="s">
        <v>2089</v>
      </c>
      <c r="C3178" s="196">
        <v>2.4</v>
      </c>
      <c r="D3178" s="196">
        <v>2.42</v>
      </c>
      <c r="E3178" s="195" t="s">
        <v>583</v>
      </c>
      <c r="F3178" s="195" t="s">
        <v>430</v>
      </c>
    </row>
    <row r="3179" spans="1:6" x14ac:dyDescent="0.25">
      <c r="A3179" s="189" t="str">
        <f t="shared" si="49"/>
        <v>CE-MD 2222.42.42S</v>
      </c>
      <c r="B3179" s="195" t="s">
        <v>2089</v>
      </c>
      <c r="C3179" s="196">
        <v>2.4</v>
      </c>
      <c r="D3179" s="196">
        <v>2.42</v>
      </c>
      <c r="E3179" s="195" t="s">
        <v>583</v>
      </c>
      <c r="F3179" s="195" t="s">
        <v>438</v>
      </c>
    </row>
    <row r="3180" spans="1:6" x14ac:dyDescent="0.25">
      <c r="A3180" s="189" t="str">
        <f t="shared" si="49"/>
        <v>CE-MD 2222.422.85N</v>
      </c>
      <c r="B3180" s="195" t="s">
        <v>2089</v>
      </c>
      <c r="C3180" s="196">
        <v>2.42</v>
      </c>
      <c r="D3180" s="196">
        <v>2.85</v>
      </c>
      <c r="E3180" s="195" t="s">
        <v>583</v>
      </c>
      <c r="F3180" s="195" t="s">
        <v>430</v>
      </c>
    </row>
    <row r="3181" spans="1:6" x14ac:dyDescent="0.25">
      <c r="A3181" s="189" t="str">
        <f t="shared" si="49"/>
        <v>CE-MD 2222.422.85S</v>
      </c>
      <c r="B3181" s="195" t="s">
        <v>2089</v>
      </c>
      <c r="C3181" s="196">
        <v>2.42</v>
      </c>
      <c r="D3181" s="196">
        <v>2.85</v>
      </c>
      <c r="E3181" s="195" t="s">
        <v>583</v>
      </c>
      <c r="F3181" s="195" t="s">
        <v>438</v>
      </c>
    </row>
    <row r="3182" spans="1:6" x14ac:dyDescent="0.25">
      <c r="A3182" s="189" t="str">
        <f t="shared" si="49"/>
        <v>CE-MD 2222.853.43N</v>
      </c>
      <c r="B3182" s="195" t="s">
        <v>2089</v>
      </c>
      <c r="C3182" s="196">
        <v>2.85</v>
      </c>
      <c r="D3182" s="196">
        <v>3.43</v>
      </c>
      <c r="E3182" s="195" t="s">
        <v>583</v>
      </c>
      <c r="F3182" s="195" t="s">
        <v>430</v>
      </c>
    </row>
    <row r="3183" spans="1:6" x14ac:dyDescent="0.25">
      <c r="A3183" s="189" t="str">
        <f t="shared" si="49"/>
        <v>CE-MD 2222.853.43S</v>
      </c>
      <c r="B3183" s="195" t="s">
        <v>2089</v>
      </c>
      <c r="C3183" s="196">
        <v>2.85</v>
      </c>
      <c r="D3183" s="196">
        <v>3.43</v>
      </c>
      <c r="E3183" s="195" t="s">
        <v>583</v>
      </c>
      <c r="F3183" s="195" t="s">
        <v>438</v>
      </c>
    </row>
    <row r="3184" spans="1:6" x14ac:dyDescent="0.25">
      <c r="A3184" s="189" t="str">
        <f t="shared" si="49"/>
        <v>CE-MD 2223.436.7N</v>
      </c>
      <c r="B3184" s="195" t="s">
        <v>2089</v>
      </c>
      <c r="C3184" s="196">
        <v>3.43</v>
      </c>
      <c r="D3184" s="196">
        <v>6.7</v>
      </c>
      <c r="E3184" s="195" t="s">
        <v>583</v>
      </c>
      <c r="F3184" s="195" t="s">
        <v>430</v>
      </c>
    </row>
    <row r="3185" spans="1:6" x14ac:dyDescent="0.25">
      <c r="A3185" s="189" t="str">
        <f t="shared" si="49"/>
        <v>CE-MD 2223.436.7S</v>
      </c>
      <c r="B3185" s="195" t="s">
        <v>2089</v>
      </c>
      <c r="C3185" s="196">
        <v>3.43</v>
      </c>
      <c r="D3185" s="196">
        <v>6.7</v>
      </c>
      <c r="E3185" s="195" t="s">
        <v>583</v>
      </c>
      <c r="F3185" s="195" t="s">
        <v>438</v>
      </c>
    </row>
    <row r="3186" spans="1:6" x14ac:dyDescent="0.25">
      <c r="A3186" s="189" t="str">
        <f t="shared" si="49"/>
        <v>CE-MD 2226.711.2N</v>
      </c>
      <c r="B3186" s="195" t="s">
        <v>2089</v>
      </c>
      <c r="C3186" s="196">
        <v>6.7</v>
      </c>
      <c r="D3186" s="196">
        <v>11.2</v>
      </c>
      <c r="E3186" s="195" t="s">
        <v>583</v>
      </c>
      <c r="F3186" s="195" t="s">
        <v>430</v>
      </c>
    </row>
    <row r="3187" spans="1:6" x14ac:dyDescent="0.25">
      <c r="A3187" s="189" t="str">
        <f t="shared" si="49"/>
        <v>CE-MD 2226.711.2S</v>
      </c>
      <c r="B3187" s="195" t="s">
        <v>2089</v>
      </c>
      <c r="C3187" s="196">
        <v>6.7</v>
      </c>
      <c r="D3187" s="196">
        <v>11.2</v>
      </c>
      <c r="E3187" s="195" t="s">
        <v>583</v>
      </c>
      <c r="F3187" s="195" t="s">
        <v>438</v>
      </c>
    </row>
    <row r="3188" spans="1:6" x14ac:dyDescent="0.25">
      <c r="A3188" s="189" t="str">
        <f t="shared" si="49"/>
        <v>CE-MD 22211.211.36N</v>
      </c>
      <c r="B3188" s="195" t="s">
        <v>2089</v>
      </c>
      <c r="C3188" s="196">
        <v>11.2</v>
      </c>
      <c r="D3188" s="196">
        <v>11.36</v>
      </c>
      <c r="E3188" s="195" t="s">
        <v>583</v>
      </c>
      <c r="F3188" s="195" t="s">
        <v>430</v>
      </c>
    </row>
    <row r="3189" spans="1:6" x14ac:dyDescent="0.25">
      <c r="A3189" s="189" t="str">
        <f t="shared" si="49"/>
        <v>CE-MD 22211.211.36S</v>
      </c>
      <c r="B3189" s="195" t="s">
        <v>2089</v>
      </c>
      <c r="C3189" s="196">
        <v>11.2</v>
      </c>
      <c r="D3189" s="196">
        <v>11.36</v>
      </c>
      <c r="E3189" s="195" t="s">
        <v>583</v>
      </c>
      <c r="F3189" s="195" t="s">
        <v>438</v>
      </c>
    </row>
    <row r="3190" spans="1:6" x14ac:dyDescent="0.25">
      <c r="A3190" s="189" t="str">
        <f t="shared" si="49"/>
        <v>CE-MD 222B00.85N</v>
      </c>
      <c r="B3190" s="195" t="s">
        <v>2090</v>
      </c>
      <c r="C3190" s="196">
        <v>0</v>
      </c>
      <c r="D3190" s="196">
        <v>0.85</v>
      </c>
      <c r="E3190" s="195" t="s">
        <v>589</v>
      </c>
      <c r="F3190" s="195" t="s">
        <v>430</v>
      </c>
    </row>
    <row r="3191" spans="1:6" x14ac:dyDescent="0.25">
      <c r="A3191" s="189" t="str">
        <f t="shared" si="49"/>
        <v>CE-MD 222B00.89S</v>
      </c>
      <c r="B3191" s="195" t="s">
        <v>2090</v>
      </c>
      <c r="C3191" s="196">
        <v>0</v>
      </c>
      <c r="D3191" s="196">
        <v>0.89</v>
      </c>
      <c r="E3191" s="195" t="s">
        <v>595</v>
      </c>
      <c r="F3191" s="195" t="s">
        <v>438</v>
      </c>
    </row>
    <row r="3192" spans="1:6" x14ac:dyDescent="0.25">
      <c r="A3192" s="189" t="str">
        <f t="shared" si="49"/>
        <v>CE-MD 222C00.48E</v>
      </c>
      <c r="B3192" s="195" t="s">
        <v>2091</v>
      </c>
      <c r="C3192" s="196">
        <v>0</v>
      </c>
      <c r="D3192" s="196">
        <v>0.48</v>
      </c>
      <c r="E3192" s="195" t="s">
        <v>598</v>
      </c>
      <c r="F3192" s="195" t="s">
        <v>19</v>
      </c>
    </row>
    <row r="3193" spans="1:6" x14ac:dyDescent="0.25">
      <c r="A3193" s="189" t="str">
        <f t="shared" si="49"/>
        <v>CE-MD 222C00.48W</v>
      </c>
      <c r="B3193" s="195" t="s">
        <v>2091</v>
      </c>
      <c r="C3193" s="196">
        <v>0</v>
      </c>
      <c r="D3193" s="196">
        <v>0.48</v>
      </c>
      <c r="E3193" s="195" t="s">
        <v>593</v>
      </c>
      <c r="F3193" s="195" t="s">
        <v>432</v>
      </c>
    </row>
    <row r="3194" spans="1:6" x14ac:dyDescent="0.25">
      <c r="A3194" s="189" t="str">
        <f t="shared" si="49"/>
        <v>CE-MD 26701.9E</v>
      </c>
      <c r="B3194" s="195" t="s">
        <v>2092</v>
      </c>
      <c r="C3194" s="196">
        <v>0</v>
      </c>
      <c r="D3194" s="196">
        <v>1.9</v>
      </c>
      <c r="E3194" s="195" t="s">
        <v>583</v>
      </c>
      <c r="F3194" s="195" t="s">
        <v>19</v>
      </c>
    </row>
    <row r="3195" spans="1:6" x14ac:dyDescent="0.25">
      <c r="A3195" s="189" t="str">
        <f t="shared" si="49"/>
        <v>CE-MD 26701.9W</v>
      </c>
      <c r="B3195" s="195" t="s">
        <v>2092</v>
      </c>
      <c r="C3195" s="196">
        <v>0</v>
      </c>
      <c r="D3195" s="196">
        <v>1.9</v>
      </c>
      <c r="E3195" s="195" t="s">
        <v>583</v>
      </c>
      <c r="F3195" s="195" t="s">
        <v>432</v>
      </c>
    </row>
    <row r="3196" spans="1:6" x14ac:dyDescent="0.25">
      <c r="A3196" s="189" t="str">
        <f t="shared" si="49"/>
        <v>CE-MD 26800.28N</v>
      </c>
      <c r="B3196" s="195" t="s">
        <v>2093</v>
      </c>
      <c r="C3196" s="196">
        <v>0</v>
      </c>
      <c r="D3196" s="196">
        <v>0.28000000000000003</v>
      </c>
      <c r="E3196" s="195" t="s">
        <v>589</v>
      </c>
      <c r="F3196" s="195" t="s">
        <v>430</v>
      </c>
    </row>
    <row r="3197" spans="1:6" x14ac:dyDescent="0.25">
      <c r="A3197" s="189" t="str">
        <f t="shared" si="49"/>
        <v>CE-MD 26800.28S</v>
      </c>
      <c r="B3197" s="195" t="s">
        <v>2093</v>
      </c>
      <c r="C3197" s="196">
        <v>0</v>
      </c>
      <c r="D3197" s="196">
        <v>0.28000000000000003</v>
      </c>
      <c r="E3197" s="195" t="s">
        <v>595</v>
      </c>
      <c r="F3197" s="195" t="s">
        <v>438</v>
      </c>
    </row>
    <row r="3198" spans="1:6" x14ac:dyDescent="0.25">
      <c r="A3198" s="189" t="str">
        <f t="shared" si="49"/>
        <v>CE-MD 2680.280.55N</v>
      </c>
      <c r="B3198" s="195" t="s">
        <v>2093</v>
      </c>
      <c r="C3198" s="196">
        <v>0.28000000000000003</v>
      </c>
      <c r="D3198" s="196">
        <v>0.55000000000000004</v>
      </c>
      <c r="E3198" s="195" t="s">
        <v>589</v>
      </c>
      <c r="F3198" s="195" t="s">
        <v>430</v>
      </c>
    </row>
    <row r="3199" spans="1:6" x14ac:dyDescent="0.25">
      <c r="A3199" s="189" t="str">
        <f t="shared" si="49"/>
        <v>CE-MD 2680.280.55S</v>
      </c>
      <c r="B3199" s="195" t="s">
        <v>2093</v>
      </c>
      <c r="C3199" s="196">
        <v>0.28000000000000003</v>
      </c>
      <c r="D3199" s="196">
        <v>0.55000000000000004</v>
      </c>
      <c r="E3199" s="195" t="s">
        <v>595</v>
      </c>
      <c r="F3199" s="195" t="s">
        <v>438</v>
      </c>
    </row>
    <row r="3200" spans="1:6" x14ac:dyDescent="0.25">
      <c r="A3200" s="189" t="str">
        <f t="shared" si="49"/>
        <v>CE-MD 2680.550.95N</v>
      </c>
      <c r="B3200" s="195" t="s">
        <v>2093</v>
      </c>
      <c r="C3200" s="196">
        <v>0.55000000000000004</v>
      </c>
      <c r="D3200" s="196">
        <v>0.95</v>
      </c>
      <c r="E3200" s="195" t="s">
        <v>589</v>
      </c>
      <c r="F3200" s="195" t="s">
        <v>430</v>
      </c>
    </row>
    <row r="3201" spans="1:6" x14ac:dyDescent="0.25">
      <c r="A3201" s="189" t="str">
        <f t="shared" si="49"/>
        <v>CE-MD 2680.550.95S</v>
      </c>
      <c r="B3201" s="195" t="s">
        <v>2093</v>
      </c>
      <c r="C3201" s="196">
        <v>0.55000000000000004</v>
      </c>
      <c r="D3201" s="196">
        <v>0.95</v>
      </c>
      <c r="E3201" s="195" t="s">
        <v>595</v>
      </c>
      <c r="F3201" s="195" t="s">
        <v>438</v>
      </c>
    </row>
    <row r="3202" spans="1:6" x14ac:dyDescent="0.25">
      <c r="A3202" s="189" t="str">
        <f t="shared" si="49"/>
        <v>CE-MD 27202.38N</v>
      </c>
      <c r="B3202" s="195" t="s">
        <v>2094</v>
      </c>
      <c r="C3202" s="196">
        <v>0</v>
      </c>
      <c r="D3202" s="196">
        <v>2.38</v>
      </c>
      <c r="E3202" s="195" t="s">
        <v>583</v>
      </c>
      <c r="F3202" s="195" t="s">
        <v>430</v>
      </c>
    </row>
    <row r="3203" spans="1:6" x14ac:dyDescent="0.25">
      <c r="A3203" s="189" t="str">
        <f t="shared" ref="A3203:A3266" si="50">B3203&amp;C3203&amp;D3203&amp;F3203</f>
        <v>CE-MD 27202.38S</v>
      </c>
      <c r="B3203" s="195" t="s">
        <v>2094</v>
      </c>
      <c r="C3203" s="196">
        <v>0</v>
      </c>
      <c r="D3203" s="196">
        <v>2.38</v>
      </c>
      <c r="E3203" s="195" t="s">
        <v>583</v>
      </c>
      <c r="F3203" s="195" t="s">
        <v>438</v>
      </c>
    </row>
    <row r="3204" spans="1:6" x14ac:dyDescent="0.25">
      <c r="A3204" s="189" t="str">
        <f t="shared" si="50"/>
        <v>CE-MD 2722.385.37N</v>
      </c>
      <c r="B3204" s="195" t="s">
        <v>2094</v>
      </c>
      <c r="C3204" s="196">
        <v>2.38</v>
      </c>
      <c r="D3204" s="196">
        <v>5.37</v>
      </c>
      <c r="E3204" s="195" t="s">
        <v>583</v>
      </c>
      <c r="F3204" s="195" t="s">
        <v>430</v>
      </c>
    </row>
    <row r="3205" spans="1:6" x14ac:dyDescent="0.25">
      <c r="A3205" s="189" t="str">
        <f t="shared" si="50"/>
        <v>CE-MD 2722.385.37S</v>
      </c>
      <c r="B3205" s="195" t="s">
        <v>2094</v>
      </c>
      <c r="C3205" s="196">
        <v>2.38</v>
      </c>
      <c r="D3205" s="196">
        <v>5.37</v>
      </c>
      <c r="E3205" s="195" t="s">
        <v>583</v>
      </c>
      <c r="F3205" s="195" t="s">
        <v>438</v>
      </c>
    </row>
    <row r="3206" spans="1:6" x14ac:dyDescent="0.25">
      <c r="A3206" s="189" t="str">
        <f t="shared" si="50"/>
        <v>CE-MD 2725.375.7N</v>
      </c>
      <c r="B3206" s="195" t="s">
        <v>2094</v>
      </c>
      <c r="C3206" s="196">
        <v>5.37</v>
      </c>
      <c r="D3206" s="196">
        <v>5.7</v>
      </c>
      <c r="E3206" s="195" t="s">
        <v>583</v>
      </c>
      <c r="F3206" s="195" t="s">
        <v>430</v>
      </c>
    </row>
    <row r="3207" spans="1:6" x14ac:dyDescent="0.25">
      <c r="A3207" s="189" t="str">
        <f t="shared" si="50"/>
        <v>CE-MD 2725.375.7S</v>
      </c>
      <c r="B3207" s="195" t="s">
        <v>2094</v>
      </c>
      <c r="C3207" s="196">
        <v>5.37</v>
      </c>
      <c r="D3207" s="196">
        <v>5.7</v>
      </c>
      <c r="E3207" s="195" t="s">
        <v>583</v>
      </c>
      <c r="F3207" s="195" t="s">
        <v>438</v>
      </c>
    </row>
    <row r="3208" spans="1:6" x14ac:dyDescent="0.25">
      <c r="A3208" s="189" t="str">
        <f t="shared" si="50"/>
        <v>CE-MD 2725.79.45N</v>
      </c>
      <c r="B3208" s="195" t="s">
        <v>2094</v>
      </c>
      <c r="C3208" s="196">
        <v>5.7</v>
      </c>
      <c r="D3208" s="196">
        <v>9.4499999999999993</v>
      </c>
      <c r="E3208" s="195" t="s">
        <v>583</v>
      </c>
      <c r="F3208" s="195" t="s">
        <v>430</v>
      </c>
    </row>
    <row r="3209" spans="1:6" x14ac:dyDescent="0.25">
      <c r="A3209" s="189" t="str">
        <f t="shared" si="50"/>
        <v>CE-MD 2725.79.45S</v>
      </c>
      <c r="B3209" s="195" t="s">
        <v>2094</v>
      </c>
      <c r="C3209" s="196">
        <v>5.7</v>
      </c>
      <c r="D3209" s="196">
        <v>9.4499999999999993</v>
      </c>
      <c r="E3209" s="195" t="s">
        <v>583</v>
      </c>
      <c r="F3209" s="195" t="s">
        <v>438</v>
      </c>
    </row>
    <row r="3210" spans="1:6" x14ac:dyDescent="0.25">
      <c r="A3210" s="189" t="str">
        <f t="shared" si="50"/>
        <v>CE-MD 2729.4510.45N</v>
      </c>
      <c r="B3210" s="195" t="s">
        <v>2094</v>
      </c>
      <c r="C3210" s="196">
        <v>9.4499999999999993</v>
      </c>
      <c r="D3210" s="196">
        <v>10.45</v>
      </c>
      <c r="E3210" s="195" t="s">
        <v>583</v>
      </c>
      <c r="F3210" s="195" t="s">
        <v>430</v>
      </c>
    </row>
    <row r="3211" spans="1:6" x14ac:dyDescent="0.25">
      <c r="A3211" s="189" t="str">
        <f t="shared" si="50"/>
        <v>CE-MD 2729.4510.45S</v>
      </c>
      <c r="B3211" s="195" t="s">
        <v>2094</v>
      </c>
      <c r="C3211" s="196">
        <v>9.4499999999999993</v>
      </c>
      <c r="D3211" s="196">
        <v>10.45</v>
      </c>
      <c r="E3211" s="195" t="s">
        <v>583</v>
      </c>
      <c r="F3211" s="195" t="s">
        <v>438</v>
      </c>
    </row>
    <row r="3212" spans="1:6" x14ac:dyDescent="0.25">
      <c r="A3212" s="189" t="str">
        <f t="shared" si="50"/>
        <v>CE-MD 27210.4510.84S</v>
      </c>
      <c r="B3212" s="195" t="s">
        <v>2094</v>
      </c>
      <c r="C3212" s="196">
        <v>10.45</v>
      </c>
      <c r="D3212" s="196">
        <v>10.84</v>
      </c>
      <c r="E3212" s="195" t="s">
        <v>595</v>
      </c>
      <c r="F3212" s="195" t="s">
        <v>438</v>
      </c>
    </row>
    <row r="3213" spans="1:6" x14ac:dyDescent="0.25">
      <c r="A3213" s="189" t="str">
        <f t="shared" si="50"/>
        <v>CE-MD 27210.4510.89N</v>
      </c>
      <c r="B3213" s="195" t="s">
        <v>2094</v>
      </c>
      <c r="C3213" s="196">
        <v>10.45</v>
      </c>
      <c r="D3213" s="196">
        <v>10.89</v>
      </c>
      <c r="E3213" s="195" t="s">
        <v>589</v>
      </c>
      <c r="F3213" s="195" t="s">
        <v>430</v>
      </c>
    </row>
    <row r="3214" spans="1:6" x14ac:dyDescent="0.25">
      <c r="A3214" s="189" t="str">
        <f t="shared" si="50"/>
        <v>CE-MD 27210.8410.89S</v>
      </c>
      <c r="B3214" s="195" t="s">
        <v>2094</v>
      </c>
      <c r="C3214" s="196">
        <v>10.84</v>
      </c>
      <c r="D3214" s="196">
        <v>10.89</v>
      </c>
      <c r="E3214" s="195" t="s">
        <v>595</v>
      </c>
      <c r="F3214" s="195" t="s">
        <v>438</v>
      </c>
    </row>
    <row r="3215" spans="1:6" x14ac:dyDescent="0.25">
      <c r="A3215" s="189" t="str">
        <f t="shared" si="50"/>
        <v>CE-MD 27210.8911.6N</v>
      </c>
      <c r="B3215" s="195" t="s">
        <v>2094</v>
      </c>
      <c r="C3215" s="196">
        <v>10.89</v>
      </c>
      <c r="D3215" s="196">
        <v>11.6</v>
      </c>
      <c r="E3215" s="195" t="s">
        <v>589</v>
      </c>
      <c r="F3215" s="195" t="s">
        <v>430</v>
      </c>
    </row>
    <row r="3216" spans="1:6" x14ac:dyDescent="0.25">
      <c r="A3216" s="189" t="str">
        <f t="shared" si="50"/>
        <v>CE-MD 27210.8911.8S</v>
      </c>
      <c r="B3216" s="195" t="s">
        <v>2094</v>
      </c>
      <c r="C3216" s="196">
        <v>10.89</v>
      </c>
      <c r="D3216" s="196">
        <v>11.8</v>
      </c>
      <c r="E3216" s="195" t="s">
        <v>595</v>
      </c>
      <c r="F3216" s="195" t="s">
        <v>438</v>
      </c>
    </row>
    <row r="3217" spans="1:6" x14ac:dyDescent="0.25">
      <c r="A3217" s="189" t="str">
        <f t="shared" si="50"/>
        <v>CE-MD 27211.612.1N</v>
      </c>
      <c r="B3217" s="195" t="s">
        <v>2094</v>
      </c>
      <c r="C3217" s="196">
        <v>11.6</v>
      </c>
      <c r="D3217" s="196">
        <v>12.1</v>
      </c>
      <c r="E3217" s="195" t="s">
        <v>589</v>
      </c>
      <c r="F3217" s="195" t="s">
        <v>430</v>
      </c>
    </row>
    <row r="3218" spans="1:6" x14ac:dyDescent="0.25">
      <c r="A3218" s="189" t="str">
        <f t="shared" si="50"/>
        <v>CE-MD 27211.812.22S</v>
      </c>
      <c r="B3218" s="195" t="s">
        <v>2094</v>
      </c>
      <c r="C3218" s="196">
        <v>11.8</v>
      </c>
      <c r="D3218" s="196">
        <v>12.22</v>
      </c>
      <c r="E3218" s="195" t="s">
        <v>595</v>
      </c>
      <c r="F3218" s="195" t="s">
        <v>438</v>
      </c>
    </row>
    <row r="3219" spans="1:6" x14ac:dyDescent="0.25">
      <c r="A3219" s="189" t="str">
        <f t="shared" si="50"/>
        <v>CE-MD 27212.112.22N</v>
      </c>
      <c r="B3219" s="195" t="s">
        <v>2094</v>
      </c>
      <c r="C3219" s="196">
        <v>12.1</v>
      </c>
      <c r="D3219" s="196">
        <v>12.22</v>
      </c>
      <c r="E3219" s="195" t="s">
        <v>589</v>
      </c>
      <c r="F3219" s="195" t="s">
        <v>430</v>
      </c>
    </row>
    <row r="3220" spans="1:6" x14ac:dyDescent="0.25">
      <c r="A3220" s="189" t="str">
        <f t="shared" si="50"/>
        <v>CE-MD 27212.2212.5N</v>
      </c>
      <c r="B3220" s="195" t="s">
        <v>2094</v>
      </c>
      <c r="C3220" s="196">
        <v>12.22</v>
      </c>
      <c r="D3220" s="196">
        <v>12.5</v>
      </c>
      <c r="E3220" s="195" t="s">
        <v>583</v>
      </c>
      <c r="F3220" s="195" t="s">
        <v>430</v>
      </c>
    </row>
    <row r="3221" spans="1:6" x14ac:dyDescent="0.25">
      <c r="A3221" s="189" t="str">
        <f t="shared" si="50"/>
        <v>CE-MD 27212.2212.5S</v>
      </c>
      <c r="B3221" s="195" t="s">
        <v>2094</v>
      </c>
      <c r="C3221" s="196">
        <v>12.22</v>
      </c>
      <c r="D3221" s="196">
        <v>12.5</v>
      </c>
      <c r="E3221" s="195" t="s">
        <v>583</v>
      </c>
      <c r="F3221" s="195" t="s">
        <v>438</v>
      </c>
    </row>
    <row r="3222" spans="1:6" x14ac:dyDescent="0.25">
      <c r="A3222" s="189" t="str">
        <f t="shared" si="50"/>
        <v>CE-MD 27212.613.1N</v>
      </c>
      <c r="B3222" s="195" t="s">
        <v>2094</v>
      </c>
      <c r="C3222" s="196">
        <v>12.6</v>
      </c>
      <c r="D3222" s="196">
        <v>13.1</v>
      </c>
      <c r="E3222" s="195" t="s">
        <v>583</v>
      </c>
      <c r="F3222" s="195" t="s">
        <v>430</v>
      </c>
    </row>
    <row r="3223" spans="1:6" x14ac:dyDescent="0.25">
      <c r="A3223" s="189" t="str">
        <f t="shared" si="50"/>
        <v>CE-MD 27212.613.1S</v>
      </c>
      <c r="B3223" s="195" t="s">
        <v>2094</v>
      </c>
      <c r="C3223" s="196">
        <v>12.6</v>
      </c>
      <c r="D3223" s="196">
        <v>13.1</v>
      </c>
      <c r="E3223" s="195" t="s">
        <v>583</v>
      </c>
      <c r="F3223" s="195" t="s">
        <v>438</v>
      </c>
    </row>
    <row r="3224" spans="1:6" x14ac:dyDescent="0.25">
      <c r="A3224" s="189" t="str">
        <f t="shared" si="50"/>
        <v>CE-MD 27213.113.6N</v>
      </c>
      <c r="B3224" s="195" t="s">
        <v>2094</v>
      </c>
      <c r="C3224" s="196">
        <v>13.1</v>
      </c>
      <c r="D3224" s="196">
        <v>13.6</v>
      </c>
      <c r="E3224" s="195" t="s">
        <v>583</v>
      </c>
      <c r="F3224" s="195" t="s">
        <v>430</v>
      </c>
    </row>
    <row r="3225" spans="1:6" x14ac:dyDescent="0.25">
      <c r="A3225" s="189" t="str">
        <f t="shared" si="50"/>
        <v>CE-MD 27213.113.6S</v>
      </c>
      <c r="B3225" s="195" t="s">
        <v>2094</v>
      </c>
      <c r="C3225" s="196">
        <v>13.1</v>
      </c>
      <c r="D3225" s="196">
        <v>13.6</v>
      </c>
      <c r="E3225" s="195" t="s">
        <v>583</v>
      </c>
      <c r="F3225" s="195" t="s">
        <v>438</v>
      </c>
    </row>
    <row r="3226" spans="1:6" x14ac:dyDescent="0.25">
      <c r="A3226" s="189" t="str">
        <f t="shared" si="50"/>
        <v>CE-MD 27215.0217.95N</v>
      </c>
      <c r="B3226" s="195" t="s">
        <v>2094</v>
      </c>
      <c r="C3226" s="196">
        <v>15.02</v>
      </c>
      <c r="D3226" s="196">
        <v>17.95</v>
      </c>
      <c r="E3226" s="195" t="s">
        <v>583</v>
      </c>
      <c r="F3226" s="195" t="s">
        <v>430</v>
      </c>
    </row>
    <row r="3227" spans="1:6" x14ac:dyDescent="0.25">
      <c r="A3227" s="189" t="str">
        <f t="shared" si="50"/>
        <v>CE-MD 27215.0217.95S</v>
      </c>
      <c r="B3227" s="195" t="s">
        <v>2094</v>
      </c>
      <c r="C3227" s="196">
        <v>15.02</v>
      </c>
      <c r="D3227" s="196">
        <v>17.95</v>
      </c>
      <c r="E3227" s="195" t="s">
        <v>583</v>
      </c>
      <c r="F3227" s="195" t="s">
        <v>438</v>
      </c>
    </row>
    <row r="3228" spans="1:6" x14ac:dyDescent="0.25">
      <c r="A3228" s="189" t="str">
        <f t="shared" si="50"/>
        <v>CE-MD 27217.9518.25N</v>
      </c>
      <c r="B3228" s="195" t="s">
        <v>2094</v>
      </c>
      <c r="C3228" s="196">
        <v>17.95</v>
      </c>
      <c r="D3228" s="196">
        <v>18.25</v>
      </c>
      <c r="E3228" s="195" t="s">
        <v>583</v>
      </c>
      <c r="F3228" s="195" t="s">
        <v>430</v>
      </c>
    </row>
    <row r="3229" spans="1:6" x14ac:dyDescent="0.25">
      <c r="A3229" s="189" t="str">
        <f t="shared" si="50"/>
        <v>CE-MD 27217.9518.25S</v>
      </c>
      <c r="B3229" s="195" t="s">
        <v>2094</v>
      </c>
      <c r="C3229" s="196">
        <v>17.95</v>
      </c>
      <c r="D3229" s="196">
        <v>18.25</v>
      </c>
      <c r="E3229" s="195" t="s">
        <v>583</v>
      </c>
      <c r="F3229" s="195" t="s">
        <v>438</v>
      </c>
    </row>
    <row r="3230" spans="1:6" x14ac:dyDescent="0.25">
      <c r="A3230" s="189" t="str">
        <f t="shared" si="50"/>
        <v>CE-MD 27218.4519.25N</v>
      </c>
      <c r="B3230" s="195" t="s">
        <v>2094</v>
      </c>
      <c r="C3230" s="196">
        <v>18.45</v>
      </c>
      <c r="D3230" s="196">
        <v>19.25</v>
      </c>
      <c r="E3230" s="195" t="s">
        <v>583</v>
      </c>
      <c r="F3230" s="195" t="s">
        <v>430</v>
      </c>
    </row>
    <row r="3231" spans="1:6" x14ac:dyDescent="0.25">
      <c r="A3231" s="189" t="str">
        <f t="shared" si="50"/>
        <v>CE-MD 27218.4519.25S</v>
      </c>
      <c r="B3231" s="195" t="s">
        <v>2094</v>
      </c>
      <c r="C3231" s="196">
        <v>18.45</v>
      </c>
      <c r="D3231" s="196">
        <v>19.25</v>
      </c>
      <c r="E3231" s="195" t="s">
        <v>583</v>
      </c>
      <c r="F3231" s="195" t="s">
        <v>438</v>
      </c>
    </row>
    <row r="3232" spans="1:6" x14ac:dyDescent="0.25">
      <c r="A3232" s="189" t="str">
        <f t="shared" si="50"/>
        <v>CE-MD 27219.2519.9N</v>
      </c>
      <c r="B3232" s="195" t="s">
        <v>2094</v>
      </c>
      <c r="C3232" s="196">
        <v>19.25</v>
      </c>
      <c r="D3232" s="196">
        <v>19.899999999999999</v>
      </c>
      <c r="E3232" s="195" t="s">
        <v>583</v>
      </c>
      <c r="F3232" s="195" t="s">
        <v>430</v>
      </c>
    </row>
    <row r="3233" spans="1:6" x14ac:dyDescent="0.25">
      <c r="A3233" s="189" t="str">
        <f t="shared" si="50"/>
        <v>CE-MD 27219.2519.9S</v>
      </c>
      <c r="B3233" s="195" t="s">
        <v>2094</v>
      </c>
      <c r="C3233" s="196">
        <v>19.25</v>
      </c>
      <c r="D3233" s="196">
        <v>19.899999999999999</v>
      </c>
      <c r="E3233" s="195" t="s">
        <v>583</v>
      </c>
      <c r="F3233" s="195" t="s">
        <v>438</v>
      </c>
    </row>
    <row r="3234" spans="1:6" x14ac:dyDescent="0.25">
      <c r="A3234" s="189" t="str">
        <f t="shared" si="50"/>
        <v>CE-MD 27219.919.95N</v>
      </c>
      <c r="B3234" s="195" t="s">
        <v>2094</v>
      </c>
      <c r="C3234" s="196">
        <v>19.899999999999999</v>
      </c>
      <c r="D3234" s="196">
        <v>19.95</v>
      </c>
      <c r="E3234" s="195" t="s">
        <v>583</v>
      </c>
      <c r="F3234" s="195" t="s">
        <v>430</v>
      </c>
    </row>
    <row r="3235" spans="1:6" x14ac:dyDescent="0.25">
      <c r="A3235" s="189" t="str">
        <f t="shared" si="50"/>
        <v>CE-MD 27219.919.95S</v>
      </c>
      <c r="B3235" s="195" t="s">
        <v>2094</v>
      </c>
      <c r="C3235" s="196">
        <v>19.899999999999999</v>
      </c>
      <c r="D3235" s="196">
        <v>19.95</v>
      </c>
      <c r="E3235" s="195" t="s">
        <v>583</v>
      </c>
      <c r="F3235" s="195" t="s">
        <v>438</v>
      </c>
    </row>
    <row r="3236" spans="1:6" x14ac:dyDescent="0.25">
      <c r="A3236" s="189" t="str">
        <f t="shared" si="50"/>
        <v>CE-MD 27219.9520.15N</v>
      </c>
      <c r="B3236" s="195" t="s">
        <v>2094</v>
      </c>
      <c r="C3236" s="196">
        <v>19.95</v>
      </c>
      <c r="D3236" s="196">
        <v>20.149999999999999</v>
      </c>
      <c r="E3236" s="195" t="s">
        <v>583</v>
      </c>
      <c r="F3236" s="195" t="s">
        <v>430</v>
      </c>
    </row>
    <row r="3237" spans="1:6" x14ac:dyDescent="0.25">
      <c r="A3237" s="189" t="str">
        <f t="shared" si="50"/>
        <v>CE-MD 27219.9520.15S</v>
      </c>
      <c r="B3237" s="195" t="s">
        <v>2094</v>
      </c>
      <c r="C3237" s="196">
        <v>19.95</v>
      </c>
      <c r="D3237" s="196">
        <v>20.149999999999999</v>
      </c>
      <c r="E3237" s="195" t="s">
        <v>583</v>
      </c>
      <c r="F3237" s="195" t="s">
        <v>438</v>
      </c>
    </row>
    <row r="3238" spans="1:6" x14ac:dyDescent="0.25">
      <c r="A3238" s="189" t="str">
        <f t="shared" si="50"/>
        <v>CE-MD 27220.1520.67N</v>
      </c>
      <c r="B3238" s="195" t="s">
        <v>2094</v>
      </c>
      <c r="C3238" s="196">
        <v>20.149999999999999</v>
      </c>
      <c r="D3238" s="196">
        <v>20.67</v>
      </c>
      <c r="E3238" s="195" t="s">
        <v>583</v>
      </c>
      <c r="F3238" s="195" t="s">
        <v>430</v>
      </c>
    </row>
    <row r="3239" spans="1:6" x14ac:dyDescent="0.25">
      <c r="A3239" s="189" t="str">
        <f t="shared" si="50"/>
        <v>CE-MD 27220.1520.67S</v>
      </c>
      <c r="B3239" s="195" t="s">
        <v>2094</v>
      </c>
      <c r="C3239" s="196">
        <v>20.149999999999999</v>
      </c>
      <c r="D3239" s="196">
        <v>20.67</v>
      </c>
      <c r="E3239" s="195" t="s">
        <v>583</v>
      </c>
      <c r="F3239" s="195" t="s">
        <v>438</v>
      </c>
    </row>
    <row r="3240" spans="1:6" x14ac:dyDescent="0.25">
      <c r="A3240" s="189" t="str">
        <f t="shared" si="50"/>
        <v>CE-MD 27300.05E</v>
      </c>
      <c r="B3240" s="195" t="s">
        <v>2095</v>
      </c>
      <c r="C3240" s="196">
        <v>0</v>
      </c>
      <c r="D3240" s="196">
        <v>0.05</v>
      </c>
      <c r="E3240" s="195" t="s">
        <v>583</v>
      </c>
      <c r="F3240" s="195" t="s">
        <v>19</v>
      </c>
    </row>
    <row r="3241" spans="1:6" x14ac:dyDescent="0.25">
      <c r="A3241" s="189" t="str">
        <f t="shared" si="50"/>
        <v>CE-MD 27300.05W</v>
      </c>
      <c r="B3241" s="195" t="s">
        <v>2095</v>
      </c>
      <c r="C3241" s="196">
        <v>0</v>
      </c>
      <c r="D3241" s="196">
        <v>0.05</v>
      </c>
      <c r="E3241" s="195" t="s">
        <v>583</v>
      </c>
      <c r="F3241" s="195" t="s">
        <v>432</v>
      </c>
    </row>
    <row r="3242" spans="1:6" x14ac:dyDescent="0.25">
      <c r="A3242" s="189" t="str">
        <f t="shared" si="50"/>
        <v>CE-MD 2730.050.61E</v>
      </c>
      <c r="B3242" s="195" t="s">
        <v>2095</v>
      </c>
      <c r="C3242" s="196">
        <v>0.05</v>
      </c>
      <c r="D3242" s="196">
        <v>0.61</v>
      </c>
      <c r="E3242" s="195" t="s">
        <v>583</v>
      </c>
      <c r="F3242" s="195" t="s">
        <v>19</v>
      </c>
    </row>
    <row r="3243" spans="1:6" x14ac:dyDescent="0.25">
      <c r="A3243" s="189" t="str">
        <f t="shared" si="50"/>
        <v>CE-MD 2730.050.61W</v>
      </c>
      <c r="B3243" s="195" t="s">
        <v>2095</v>
      </c>
      <c r="C3243" s="196">
        <v>0.05</v>
      </c>
      <c r="D3243" s="196">
        <v>0.61</v>
      </c>
      <c r="E3243" s="195" t="s">
        <v>583</v>
      </c>
      <c r="F3243" s="195" t="s">
        <v>432</v>
      </c>
    </row>
    <row r="3244" spans="1:6" x14ac:dyDescent="0.25">
      <c r="A3244" s="189" t="str">
        <f t="shared" si="50"/>
        <v>CE-MD 2730.610.85E</v>
      </c>
      <c r="B3244" s="195" t="s">
        <v>2095</v>
      </c>
      <c r="C3244" s="196">
        <v>0.61</v>
      </c>
      <c r="D3244" s="196">
        <v>0.85</v>
      </c>
      <c r="E3244" s="195" t="s">
        <v>583</v>
      </c>
      <c r="F3244" s="195" t="s">
        <v>19</v>
      </c>
    </row>
    <row r="3245" spans="1:6" x14ac:dyDescent="0.25">
      <c r="A3245" s="189" t="str">
        <f t="shared" si="50"/>
        <v>CE-MD 2730.610.85W</v>
      </c>
      <c r="B3245" s="195" t="s">
        <v>2095</v>
      </c>
      <c r="C3245" s="196">
        <v>0.61</v>
      </c>
      <c r="D3245" s="196">
        <v>0.85</v>
      </c>
      <c r="E3245" s="195" t="s">
        <v>583</v>
      </c>
      <c r="F3245" s="195" t="s">
        <v>432</v>
      </c>
    </row>
    <row r="3246" spans="1:6" x14ac:dyDescent="0.25">
      <c r="A3246" s="189" t="str">
        <f t="shared" si="50"/>
        <v>CE-MD 2730.851.15E</v>
      </c>
      <c r="B3246" s="195" t="s">
        <v>2095</v>
      </c>
      <c r="C3246" s="196">
        <v>0.85</v>
      </c>
      <c r="D3246" s="196">
        <v>1.1499999999999999</v>
      </c>
      <c r="E3246" s="195" t="s">
        <v>583</v>
      </c>
      <c r="F3246" s="195" t="s">
        <v>19</v>
      </c>
    </row>
    <row r="3247" spans="1:6" x14ac:dyDescent="0.25">
      <c r="A3247" s="189" t="str">
        <f t="shared" si="50"/>
        <v>CE-MD 2730.851.15W</v>
      </c>
      <c r="B3247" s="195" t="s">
        <v>2095</v>
      </c>
      <c r="C3247" s="196">
        <v>0.85</v>
      </c>
      <c r="D3247" s="196">
        <v>1.1499999999999999</v>
      </c>
      <c r="E3247" s="195" t="s">
        <v>583</v>
      </c>
      <c r="F3247" s="195" t="s">
        <v>432</v>
      </c>
    </row>
    <row r="3248" spans="1:6" x14ac:dyDescent="0.25">
      <c r="A3248" s="189" t="str">
        <f t="shared" si="50"/>
        <v>CE-MD 2731.152.1E</v>
      </c>
      <c r="B3248" s="195" t="s">
        <v>2095</v>
      </c>
      <c r="C3248" s="196">
        <v>1.1499999999999999</v>
      </c>
      <c r="D3248" s="196">
        <v>2.1</v>
      </c>
      <c r="E3248" s="195" t="s">
        <v>583</v>
      </c>
      <c r="F3248" s="195" t="s">
        <v>19</v>
      </c>
    </row>
    <row r="3249" spans="1:6" x14ac:dyDescent="0.25">
      <c r="A3249" s="189" t="str">
        <f t="shared" si="50"/>
        <v>CE-MD 2731.152.1W</v>
      </c>
      <c r="B3249" s="195" t="s">
        <v>2095</v>
      </c>
      <c r="C3249" s="196">
        <v>1.1499999999999999</v>
      </c>
      <c r="D3249" s="196">
        <v>2.1</v>
      </c>
      <c r="E3249" s="195" t="s">
        <v>583</v>
      </c>
      <c r="F3249" s="195" t="s">
        <v>432</v>
      </c>
    </row>
    <row r="3250" spans="1:6" x14ac:dyDescent="0.25">
      <c r="A3250" s="189" t="str">
        <f t="shared" si="50"/>
        <v>CE-MD 2732.13.45E</v>
      </c>
      <c r="B3250" s="195" t="s">
        <v>2095</v>
      </c>
      <c r="C3250" s="196">
        <v>2.1</v>
      </c>
      <c r="D3250" s="196">
        <v>3.45</v>
      </c>
      <c r="E3250" s="195" t="s">
        <v>583</v>
      </c>
      <c r="F3250" s="195" t="s">
        <v>19</v>
      </c>
    </row>
    <row r="3251" spans="1:6" x14ac:dyDescent="0.25">
      <c r="A3251" s="189" t="str">
        <f t="shared" si="50"/>
        <v>CE-MD 2732.13.45W</v>
      </c>
      <c r="B3251" s="195" t="s">
        <v>2095</v>
      </c>
      <c r="C3251" s="196">
        <v>2.1</v>
      </c>
      <c r="D3251" s="196">
        <v>3.45</v>
      </c>
      <c r="E3251" s="195" t="s">
        <v>583</v>
      </c>
      <c r="F3251" s="195" t="s">
        <v>432</v>
      </c>
    </row>
    <row r="3252" spans="1:6" x14ac:dyDescent="0.25">
      <c r="A3252" s="189" t="str">
        <f t="shared" si="50"/>
        <v>CE-MD 2733.456.9E</v>
      </c>
      <c r="B3252" s="195" t="s">
        <v>2095</v>
      </c>
      <c r="C3252" s="196">
        <v>3.45</v>
      </c>
      <c r="D3252" s="196">
        <v>6.9</v>
      </c>
      <c r="E3252" s="195" t="s">
        <v>583</v>
      </c>
      <c r="F3252" s="195" t="s">
        <v>19</v>
      </c>
    </row>
    <row r="3253" spans="1:6" x14ac:dyDescent="0.25">
      <c r="A3253" s="189" t="str">
        <f t="shared" si="50"/>
        <v>CE-MD 2733.456.9W</v>
      </c>
      <c r="B3253" s="195" t="s">
        <v>2095</v>
      </c>
      <c r="C3253" s="196">
        <v>3.45</v>
      </c>
      <c r="D3253" s="196">
        <v>6.9</v>
      </c>
      <c r="E3253" s="195" t="s">
        <v>583</v>
      </c>
      <c r="F3253" s="195" t="s">
        <v>432</v>
      </c>
    </row>
    <row r="3254" spans="1:6" x14ac:dyDescent="0.25">
      <c r="A3254" s="189" t="str">
        <f t="shared" si="50"/>
        <v>CE-MD 2736.98.75E</v>
      </c>
      <c r="B3254" s="195" t="s">
        <v>2095</v>
      </c>
      <c r="C3254" s="196">
        <v>6.9</v>
      </c>
      <c r="D3254" s="196">
        <v>8.75</v>
      </c>
      <c r="E3254" s="195" t="s">
        <v>583</v>
      </c>
      <c r="F3254" s="195" t="s">
        <v>19</v>
      </c>
    </row>
    <row r="3255" spans="1:6" x14ac:dyDescent="0.25">
      <c r="A3255" s="189" t="str">
        <f t="shared" si="50"/>
        <v>CE-MD 2736.98.75W</v>
      </c>
      <c r="B3255" s="195" t="s">
        <v>2095</v>
      </c>
      <c r="C3255" s="196">
        <v>6.9</v>
      </c>
      <c r="D3255" s="196">
        <v>8.75</v>
      </c>
      <c r="E3255" s="195" t="s">
        <v>583</v>
      </c>
      <c r="F3255" s="195" t="s">
        <v>432</v>
      </c>
    </row>
    <row r="3256" spans="1:6" x14ac:dyDescent="0.25">
      <c r="A3256" s="189" t="str">
        <f t="shared" si="50"/>
        <v>CE-MD 2738.7511.65E</v>
      </c>
      <c r="B3256" s="195" t="s">
        <v>2095</v>
      </c>
      <c r="C3256" s="196">
        <v>8.75</v>
      </c>
      <c r="D3256" s="196">
        <v>11.65</v>
      </c>
      <c r="E3256" s="195" t="s">
        <v>583</v>
      </c>
      <c r="F3256" s="195" t="s">
        <v>19</v>
      </c>
    </row>
    <row r="3257" spans="1:6" x14ac:dyDescent="0.25">
      <c r="A3257" s="189" t="str">
        <f t="shared" si="50"/>
        <v>CE-MD 2738.7511.65W</v>
      </c>
      <c r="B3257" s="195" t="s">
        <v>2095</v>
      </c>
      <c r="C3257" s="196">
        <v>8.75</v>
      </c>
      <c r="D3257" s="196">
        <v>11.65</v>
      </c>
      <c r="E3257" s="195" t="s">
        <v>583</v>
      </c>
      <c r="F3257" s="195" t="s">
        <v>432</v>
      </c>
    </row>
    <row r="3258" spans="1:6" x14ac:dyDescent="0.25">
      <c r="A3258" s="189" t="str">
        <f t="shared" si="50"/>
        <v>CE-MD 27311.6512.1E</v>
      </c>
      <c r="B3258" s="195" t="s">
        <v>2095</v>
      </c>
      <c r="C3258" s="196">
        <v>11.65</v>
      </c>
      <c r="D3258" s="196">
        <v>12.1</v>
      </c>
      <c r="E3258" s="195" t="s">
        <v>583</v>
      </c>
      <c r="F3258" s="195" t="s">
        <v>19</v>
      </c>
    </row>
    <row r="3259" spans="1:6" x14ac:dyDescent="0.25">
      <c r="A3259" s="189" t="str">
        <f t="shared" si="50"/>
        <v>CE-MD 27311.6512.1W</v>
      </c>
      <c r="B3259" s="195" t="s">
        <v>2095</v>
      </c>
      <c r="C3259" s="196">
        <v>11.65</v>
      </c>
      <c r="D3259" s="196">
        <v>12.1</v>
      </c>
      <c r="E3259" s="195" t="s">
        <v>583</v>
      </c>
      <c r="F3259" s="195" t="s">
        <v>432</v>
      </c>
    </row>
    <row r="3260" spans="1:6" x14ac:dyDescent="0.25">
      <c r="A3260" s="189" t="str">
        <f t="shared" si="50"/>
        <v>CE-MD 27312.112.32E</v>
      </c>
      <c r="B3260" s="195" t="s">
        <v>2095</v>
      </c>
      <c r="C3260" s="196">
        <v>12.1</v>
      </c>
      <c r="D3260" s="196">
        <v>12.32</v>
      </c>
      <c r="E3260" s="195" t="s">
        <v>583</v>
      </c>
      <c r="F3260" s="195" t="s">
        <v>19</v>
      </c>
    </row>
    <row r="3261" spans="1:6" x14ac:dyDescent="0.25">
      <c r="A3261" s="189" t="str">
        <f t="shared" si="50"/>
        <v>CE-MD 27312.112.32W</v>
      </c>
      <c r="B3261" s="195" t="s">
        <v>2095</v>
      </c>
      <c r="C3261" s="196">
        <v>12.1</v>
      </c>
      <c r="D3261" s="196">
        <v>12.32</v>
      </c>
      <c r="E3261" s="195" t="s">
        <v>583</v>
      </c>
      <c r="F3261" s="195" t="s">
        <v>432</v>
      </c>
    </row>
    <row r="3262" spans="1:6" x14ac:dyDescent="0.25">
      <c r="A3262" s="189" t="str">
        <f t="shared" si="50"/>
        <v>CE-MD 27312.3212.65E</v>
      </c>
      <c r="B3262" s="195" t="s">
        <v>2095</v>
      </c>
      <c r="C3262" s="196">
        <v>12.32</v>
      </c>
      <c r="D3262" s="196">
        <v>12.65</v>
      </c>
      <c r="E3262" s="195" t="s">
        <v>583</v>
      </c>
      <c r="F3262" s="195" t="s">
        <v>19</v>
      </c>
    </row>
    <row r="3263" spans="1:6" x14ac:dyDescent="0.25">
      <c r="A3263" s="189" t="str">
        <f t="shared" si="50"/>
        <v>CE-MD 27312.3212.65W</v>
      </c>
      <c r="B3263" s="195" t="s">
        <v>2095</v>
      </c>
      <c r="C3263" s="196">
        <v>12.32</v>
      </c>
      <c r="D3263" s="196">
        <v>12.65</v>
      </c>
      <c r="E3263" s="195" t="s">
        <v>583</v>
      </c>
      <c r="F3263" s="195" t="s">
        <v>432</v>
      </c>
    </row>
    <row r="3264" spans="1:6" x14ac:dyDescent="0.25">
      <c r="A3264" s="189" t="str">
        <f t="shared" si="50"/>
        <v>CE-MD 27312.6515.15E</v>
      </c>
      <c r="B3264" s="195" t="s">
        <v>2095</v>
      </c>
      <c r="C3264" s="196">
        <v>12.65</v>
      </c>
      <c r="D3264" s="196">
        <v>15.15</v>
      </c>
      <c r="E3264" s="195" t="s">
        <v>583</v>
      </c>
      <c r="F3264" s="195" t="s">
        <v>19</v>
      </c>
    </row>
    <row r="3265" spans="1:6" x14ac:dyDescent="0.25">
      <c r="A3265" s="189" t="str">
        <f t="shared" si="50"/>
        <v>CE-MD 27312.6515.15W</v>
      </c>
      <c r="B3265" s="195" t="s">
        <v>2095</v>
      </c>
      <c r="C3265" s="196">
        <v>12.65</v>
      </c>
      <c r="D3265" s="196">
        <v>15.15</v>
      </c>
      <c r="E3265" s="195" t="s">
        <v>583</v>
      </c>
      <c r="F3265" s="195" t="s">
        <v>432</v>
      </c>
    </row>
    <row r="3266" spans="1:6" x14ac:dyDescent="0.25">
      <c r="A3266" s="189" t="str">
        <f t="shared" si="50"/>
        <v>CE-MD 27315.1515.2E</v>
      </c>
      <c r="B3266" s="195" t="s">
        <v>2095</v>
      </c>
      <c r="C3266" s="196">
        <v>15.15</v>
      </c>
      <c r="D3266" s="196">
        <v>15.2</v>
      </c>
      <c r="E3266" s="195" t="s">
        <v>583</v>
      </c>
      <c r="F3266" s="195" t="s">
        <v>19</v>
      </c>
    </row>
    <row r="3267" spans="1:6" x14ac:dyDescent="0.25">
      <c r="A3267" s="189" t="str">
        <f t="shared" ref="A3267:A3330" si="51">B3267&amp;C3267&amp;D3267&amp;F3267</f>
        <v>CE-MD 27315.1515.2W</v>
      </c>
      <c r="B3267" s="195" t="s">
        <v>2095</v>
      </c>
      <c r="C3267" s="196">
        <v>15.15</v>
      </c>
      <c r="D3267" s="196">
        <v>15.2</v>
      </c>
      <c r="E3267" s="195" t="s">
        <v>583</v>
      </c>
      <c r="F3267" s="195" t="s">
        <v>432</v>
      </c>
    </row>
    <row r="3268" spans="1:6" x14ac:dyDescent="0.25">
      <c r="A3268" s="189" t="str">
        <f t="shared" si="51"/>
        <v>CE-MD 27315.215.4E</v>
      </c>
      <c r="B3268" s="195" t="s">
        <v>2095</v>
      </c>
      <c r="C3268" s="196">
        <v>15.2</v>
      </c>
      <c r="D3268" s="196">
        <v>15.4</v>
      </c>
      <c r="E3268" s="195" t="s">
        <v>583</v>
      </c>
      <c r="F3268" s="195" t="s">
        <v>19</v>
      </c>
    </row>
    <row r="3269" spans="1:6" x14ac:dyDescent="0.25">
      <c r="A3269" s="189" t="str">
        <f t="shared" si="51"/>
        <v>CE-MD 27315.215.4W</v>
      </c>
      <c r="B3269" s="195" t="s">
        <v>2095</v>
      </c>
      <c r="C3269" s="196">
        <v>15.2</v>
      </c>
      <c r="D3269" s="196">
        <v>15.4</v>
      </c>
      <c r="E3269" s="195" t="s">
        <v>583</v>
      </c>
      <c r="F3269" s="195" t="s">
        <v>432</v>
      </c>
    </row>
    <row r="3270" spans="1:6" x14ac:dyDescent="0.25">
      <c r="A3270" s="189" t="str">
        <f t="shared" si="51"/>
        <v>CE-MD 27315.416.58E</v>
      </c>
      <c r="B3270" s="195" t="s">
        <v>2095</v>
      </c>
      <c r="C3270" s="196">
        <v>15.4</v>
      </c>
      <c r="D3270" s="196">
        <v>16.579999999999998</v>
      </c>
      <c r="E3270" s="195" t="s">
        <v>583</v>
      </c>
      <c r="F3270" s="195" t="s">
        <v>19</v>
      </c>
    </row>
    <row r="3271" spans="1:6" x14ac:dyDescent="0.25">
      <c r="A3271" s="189" t="str">
        <f t="shared" si="51"/>
        <v>CE-MD 27315.416.58W</v>
      </c>
      <c r="B3271" s="195" t="s">
        <v>2095</v>
      </c>
      <c r="C3271" s="196">
        <v>15.4</v>
      </c>
      <c r="D3271" s="196">
        <v>16.579999999999998</v>
      </c>
      <c r="E3271" s="195" t="s">
        <v>583</v>
      </c>
      <c r="F3271" s="195" t="s">
        <v>432</v>
      </c>
    </row>
    <row r="3272" spans="1:6" x14ac:dyDescent="0.25">
      <c r="A3272" s="189" t="str">
        <f t="shared" si="51"/>
        <v>CE-MD 273A00.22E</v>
      </c>
      <c r="B3272" s="195" t="s">
        <v>2096</v>
      </c>
      <c r="C3272" s="196">
        <v>0</v>
      </c>
      <c r="D3272" s="196">
        <v>0.22</v>
      </c>
      <c r="E3272" s="195" t="s">
        <v>598</v>
      </c>
      <c r="F3272" s="195" t="s">
        <v>19</v>
      </c>
    </row>
    <row r="3273" spans="1:6" x14ac:dyDescent="0.25">
      <c r="A3273" s="189" t="str">
        <f t="shared" si="51"/>
        <v>CE-MD 273A0.070.22W</v>
      </c>
      <c r="B3273" s="195" t="s">
        <v>2096</v>
      </c>
      <c r="C3273" s="196">
        <v>7.0000000000000007E-2</v>
      </c>
      <c r="D3273" s="196">
        <v>0.22</v>
      </c>
      <c r="E3273" s="195" t="s">
        <v>593</v>
      </c>
      <c r="F3273" s="195" t="s">
        <v>432</v>
      </c>
    </row>
    <row r="3274" spans="1:6" x14ac:dyDescent="0.25">
      <c r="A3274" s="189" t="str">
        <f t="shared" si="51"/>
        <v>CE-MD 27402.95E</v>
      </c>
      <c r="B3274" s="195" t="s">
        <v>2097</v>
      </c>
      <c r="C3274" s="196">
        <v>0</v>
      </c>
      <c r="D3274" s="196">
        <v>2.95</v>
      </c>
      <c r="E3274" s="195" t="s">
        <v>583</v>
      </c>
      <c r="F3274" s="195" t="s">
        <v>19</v>
      </c>
    </row>
    <row r="3275" spans="1:6" x14ac:dyDescent="0.25">
      <c r="A3275" s="189" t="str">
        <f t="shared" si="51"/>
        <v>CE-MD 27402.95W</v>
      </c>
      <c r="B3275" s="195" t="s">
        <v>2097</v>
      </c>
      <c r="C3275" s="196">
        <v>0</v>
      </c>
      <c r="D3275" s="196">
        <v>2.95</v>
      </c>
      <c r="E3275" s="195" t="s">
        <v>583</v>
      </c>
      <c r="F3275" s="195" t="s">
        <v>432</v>
      </c>
    </row>
    <row r="3276" spans="1:6" x14ac:dyDescent="0.25">
      <c r="A3276" s="189" t="str">
        <f t="shared" si="51"/>
        <v>CE-MD 2742.956.93E</v>
      </c>
      <c r="B3276" s="195" t="s">
        <v>2097</v>
      </c>
      <c r="C3276" s="196">
        <v>2.95</v>
      </c>
      <c r="D3276" s="196">
        <v>6.93</v>
      </c>
      <c r="E3276" s="195" t="s">
        <v>583</v>
      </c>
      <c r="F3276" s="195" t="s">
        <v>19</v>
      </c>
    </row>
    <row r="3277" spans="1:6" x14ac:dyDescent="0.25">
      <c r="A3277" s="189" t="str">
        <f t="shared" si="51"/>
        <v>CE-MD 2742.956.93W</v>
      </c>
      <c r="B3277" s="195" t="s">
        <v>2097</v>
      </c>
      <c r="C3277" s="196">
        <v>2.95</v>
      </c>
      <c r="D3277" s="196">
        <v>6.93</v>
      </c>
      <c r="E3277" s="195" t="s">
        <v>583</v>
      </c>
      <c r="F3277" s="195" t="s">
        <v>432</v>
      </c>
    </row>
    <row r="3278" spans="1:6" x14ac:dyDescent="0.25">
      <c r="A3278" s="189" t="str">
        <f t="shared" si="51"/>
        <v>CE-MD 2746.937.35E</v>
      </c>
      <c r="B3278" s="195" t="s">
        <v>2097</v>
      </c>
      <c r="C3278" s="196">
        <v>6.93</v>
      </c>
      <c r="D3278" s="196">
        <v>7.35</v>
      </c>
      <c r="E3278" s="195" t="s">
        <v>583</v>
      </c>
      <c r="F3278" s="195" t="s">
        <v>19</v>
      </c>
    </row>
    <row r="3279" spans="1:6" x14ac:dyDescent="0.25">
      <c r="A3279" s="189" t="str">
        <f t="shared" si="51"/>
        <v>CE-MD 2746.937.35W</v>
      </c>
      <c r="B3279" s="195" t="s">
        <v>2097</v>
      </c>
      <c r="C3279" s="196">
        <v>6.93</v>
      </c>
      <c r="D3279" s="196">
        <v>7.35</v>
      </c>
      <c r="E3279" s="195" t="s">
        <v>583</v>
      </c>
      <c r="F3279" s="195" t="s">
        <v>432</v>
      </c>
    </row>
    <row r="3280" spans="1:6" x14ac:dyDescent="0.25">
      <c r="A3280" s="189" t="str">
        <f t="shared" si="51"/>
        <v>CE-MD 274A00.12N</v>
      </c>
      <c r="B3280" s="195" t="s">
        <v>2098</v>
      </c>
      <c r="C3280" s="196">
        <v>0</v>
      </c>
      <c r="D3280" s="196">
        <v>0.12</v>
      </c>
      <c r="E3280" s="195" t="s">
        <v>589</v>
      </c>
      <c r="F3280" s="195" t="s">
        <v>430</v>
      </c>
    </row>
    <row r="3281" spans="1:6" x14ac:dyDescent="0.25">
      <c r="A3281" s="189" t="str">
        <f t="shared" si="51"/>
        <v>CE-MD 274A00.12S</v>
      </c>
      <c r="B3281" s="195" t="s">
        <v>2098</v>
      </c>
      <c r="C3281" s="196">
        <v>0</v>
      </c>
      <c r="D3281" s="196">
        <v>0.12</v>
      </c>
      <c r="E3281" s="195" t="s">
        <v>595</v>
      </c>
      <c r="F3281" s="195" t="s">
        <v>438</v>
      </c>
    </row>
    <row r="3282" spans="1:6" x14ac:dyDescent="0.25">
      <c r="A3282" s="189" t="str">
        <f t="shared" si="51"/>
        <v>CE-MD 274B00.56N</v>
      </c>
      <c r="B3282" s="195" t="s">
        <v>2099</v>
      </c>
      <c r="C3282" s="196">
        <v>0</v>
      </c>
      <c r="D3282" s="196">
        <v>0.56000000000000005</v>
      </c>
      <c r="E3282" s="195" t="s">
        <v>589</v>
      </c>
      <c r="F3282" s="195" t="s">
        <v>430</v>
      </c>
    </row>
    <row r="3283" spans="1:6" x14ac:dyDescent="0.25">
      <c r="A3283" s="189" t="str">
        <f t="shared" si="51"/>
        <v>CE-MD 274B00.56S</v>
      </c>
      <c r="B3283" s="195" t="s">
        <v>2099</v>
      </c>
      <c r="C3283" s="196">
        <v>0</v>
      </c>
      <c r="D3283" s="196">
        <v>0.56000000000000005</v>
      </c>
      <c r="E3283" s="195" t="s">
        <v>595</v>
      </c>
      <c r="F3283" s="195" t="s">
        <v>438</v>
      </c>
    </row>
    <row r="3284" spans="1:6" x14ac:dyDescent="0.25">
      <c r="A3284" s="189" t="str">
        <f t="shared" si="51"/>
        <v>CE-MD 27502.22N</v>
      </c>
      <c r="B3284" s="195" t="s">
        <v>2100</v>
      </c>
      <c r="C3284" s="196">
        <v>0</v>
      </c>
      <c r="D3284" s="196">
        <v>2.2200000000000002</v>
      </c>
      <c r="E3284" s="195" t="s">
        <v>583</v>
      </c>
      <c r="F3284" s="195" t="s">
        <v>430</v>
      </c>
    </row>
    <row r="3285" spans="1:6" x14ac:dyDescent="0.25">
      <c r="A3285" s="189" t="str">
        <f t="shared" si="51"/>
        <v>CE-MD 27502.22S</v>
      </c>
      <c r="B3285" s="195" t="s">
        <v>2100</v>
      </c>
      <c r="C3285" s="196">
        <v>0</v>
      </c>
      <c r="D3285" s="196">
        <v>2.2200000000000002</v>
      </c>
      <c r="E3285" s="195" t="s">
        <v>583</v>
      </c>
      <c r="F3285" s="195" t="s">
        <v>438</v>
      </c>
    </row>
    <row r="3286" spans="1:6" x14ac:dyDescent="0.25">
      <c r="A3286" s="189" t="str">
        <f t="shared" si="51"/>
        <v>CE-MD 27602N</v>
      </c>
      <c r="B3286" s="195" t="s">
        <v>2101</v>
      </c>
      <c r="C3286" s="196">
        <v>0</v>
      </c>
      <c r="D3286" s="196">
        <v>2</v>
      </c>
      <c r="E3286" s="195" t="s">
        <v>583</v>
      </c>
      <c r="F3286" s="195" t="s">
        <v>430</v>
      </c>
    </row>
    <row r="3287" spans="1:6" x14ac:dyDescent="0.25">
      <c r="A3287" s="189" t="str">
        <f t="shared" si="51"/>
        <v>CE-MD 27602S</v>
      </c>
      <c r="B3287" s="195" t="s">
        <v>2101</v>
      </c>
      <c r="C3287" s="196">
        <v>0</v>
      </c>
      <c r="D3287" s="196">
        <v>2</v>
      </c>
      <c r="E3287" s="195" t="s">
        <v>583</v>
      </c>
      <c r="F3287" s="195" t="s">
        <v>438</v>
      </c>
    </row>
    <row r="3288" spans="1:6" x14ac:dyDescent="0.25">
      <c r="A3288" s="189" t="str">
        <f t="shared" si="51"/>
        <v>CE-MD 27623.05N</v>
      </c>
      <c r="B3288" s="195" t="s">
        <v>2101</v>
      </c>
      <c r="C3288" s="196">
        <v>2</v>
      </c>
      <c r="D3288" s="196">
        <v>3.05</v>
      </c>
      <c r="E3288" s="195" t="s">
        <v>583</v>
      </c>
      <c r="F3288" s="195" t="s">
        <v>430</v>
      </c>
    </row>
    <row r="3289" spans="1:6" x14ac:dyDescent="0.25">
      <c r="A3289" s="189" t="str">
        <f t="shared" si="51"/>
        <v>CE-MD 27623.05S</v>
      </c>
      <c r="B3289" s="195" t="s">
        <v>2101</v>
      </c>
      <c r="C3289" s="196">
        <v>2</v>
      </c>
      <c r="D3289" s="196">
        <v>3.05</v>
      </c>
      <c r="E3289" s="195" t="s">
        <v>583</v>
      </c>
      <c r="F3289" s="195" t="s">
        <v>438</v>
      </c>
    </row>
    <row r="3290" spans="1:6" x14ac:dyDescent="0.25">
      <c r="A3290" s="189" t="str">
        <f t="shared" si="51"/>
        <v>CE-MD 2763.053.27N</v>
      </c>
      <c r="B3290" s="195" t="s">
        <v>2101</v>
      </c>
      <c r="C3290" s="196">
        <v>3.05</v>
      </c>
      <c r="D3290" s="196">
        <v>3.27</v>
      </c>
      <c r="E3290" s="195" t="s">
        <v>583</v>
      </c>
      <c r="F3290" s="195" t="s">
        <v>430</v>
      </c>
    </row>
    <row r="3291" spans="1:6" x14ac:dyDescent="0.25">
      <c r="A3291" s="189" t="str">
        <f t="shared" si="51"/>
        <v>CE-MD 2763.053.27S</v>
      </c>
      <c r="B3291" s="195" t="s">
        <v>2101</v>
      </c>
      <c r="C3291" s="196">
        <v>3.05</v>
      </c>
      <c r="D3291" s="196">
        <v>3.27</v>
      </c>
      <c r="E3291" s="195" t="s">
        <v>583</v>
      </c>
      <c r="F3291" s="195" t="s">
        <v>438</v>
      </c>
    </row>
    <row r="3292" spans="1:6" x14ac:dyDescent="0.25">
      <c r="A3292" s="189" t="str">
        <f t="shared" si="51"/>
        <v>CE-MD 2763.273.5N</v>
      </c>
      <c r="B3292" s="195" t="s">
        <v>2101</v>
      </c>
      <c r="C3292" s="196">
        <v>3.27</v>
      </c>
      <c r="D3292" s="196">
        <v>3.5</v>
      </c>
      <c r="E3292" s="195" t="s">
        <v>583</v>
      </c>
      <c r="F3292" s="195" t="s">
        <v>430</v>
      </c>
    </row>
    <row r="3293" spans="1:6" x14ac:dyDescent="0.25">
      <c r="A3293" s="189" t="str">
        <f t="shared" si="51"/>
        <v>CE-MD 2763.273.5S</v>
      </c>
      <c r="B3293" s="195" t="s">
        <v>2101</v>
      </c>
      <c r="C3293" s="196">
        <v>3.27</v>
      </c>
      <c r="D3293" s="196">
        <v>3.5</v>
      </c>
      <c r="E3293" s="195" t="s">
        <v>583</v>
      </c>
      <c r="F3293" s="195" t="s">
        <v>438</v>
      </c>
    </row>
    <row r="3294" spans="1:6" x14ac:dyDescent="0.25">
      <c r="A3294" s="189" t="str">
        <f t="shared" si="51"/>
        <v>CE-MD 2763.56.35N</v>
      </c>
      <c r="B3294" s="195" t="s">
        <v>2101</v>
      </c>
      <c r="C3294" s="196">
        <v>3.5</v>
      </c>
      <c r="D3294" s="196">
        <v>6.35</v>
      </c>
      <c r="E3294" s="195" t="s">
        <v>583</v>
      </c>
      <c r="F3294" s="195" t="s">
        <v>430</v>
      </c>
    </row>
    <row r="3295" spans="1:6" x14ac:dyDescent="0.25">
      <c r="A3295" s="189" t="str">
        <f t="shared" si="51"/>
        <v>CE-MD 2763.56.35S</v>
      </c>
      <c r="B3295" s="195" t="s">
        <v>2101</v>
      </c>
      <c r="C3295" s="196">
        <v>3.5</v>
      </c>
      <c r="D3295" s="196">
        <v>6.35</v>
      </c>
      <c r="E3295" s="195" t="s">
        <v>583</v>
      </c>
      <c r="F3295" s="195" t="s">
        <v>438</v>
      </c>
    </row>
    <row r="3296" spans="1:6" x14ac:dyDescent="0.25">
      <c r="A3296" s="189" t="str">
        <f t="shared" si="51"/>
        <v>CE-MD 2766.357.32N</v>
      </c>
      <c r="B3296" s="195" t="s">
        <v>2101</v>
      </c>
      <c r="C3296" s="196">
        <v>6.35</v>
      </c>
      <c r="D3296" s="196">
        <v>7.32</v>
      </c>
      <c r="E3296" s="195" t="s">
        <v>583</v>
      </c>
      <c r="F3296" s="195" t="s">
        <v>430</v>
      </c>
    </row>
    <row r="3297" spans="1:6" x14ac:dyDescent="0.25">
      <c r="A3297" s="189" t="str">
        <f t="shared" si="51"/>
        <v>CE-MD 2766.357.32S</v>
      </c>
      <c r="B3297" s="195" t="s">
        <v>2101</v>
      </c>
      <c r="C3297" s="196">
        <v>6.35</v>
      </c>
      <c r="D3297" s="196">
        <v>7.32</v>
      </c>
      <c r="E3297" s="195" t="s">
        <v>583</v>
      </c>
      <c r="F3297" s="195" t="s">
        <v>438</v>
      </c>
    </row>
    <row r="3298" spans="1:6" x14ac:dyDescent="0.25">
      <c r="A3298" s="189" t="str">
        <f t="shared" si="51"/>
        <v>CE-MD 2767.327.85N</v>
      </c>
      <c r="B3298" s="195" t="s">
        <v>2101</v>
      </c>
      <c r="C3298" s="196">
        <v>7.32</v>
      </c>
      <c r="D3298" s="196">
        <v>7.85</v>
      </c>
      <c r="E3298" s="195" t="s">
        <v>583</v>
      </c>
      <c r="F3298" s="195" t="s">
        <v>430</v>
      </c>
    </row>
    <row r="3299" spans="1:6" x14ac:dyDescent="0.25">
      <c r="A3299" s="189" t="str">
        <f t="shared" si="51"/>
        <v>CE-MD 2767.327.85S</v>
      </c>
      <c r="B3299" s="195" t="s">
        <v>2101</v>
      </c>
      <c r="C3299" s="196">
        <v>7.32</v>
      </c>
      <c r="D3299" s="196">
        <v>7.85</v>
      </c>
      <c r="E3299" s="195" t="s">
        <v>583</v>
      </c>
      <c r="F3299" s="195" t="s">
        <v>438</v>
      </c>
    </row>
    <row r="3300" spans="1:6" x14ac:dyDescent="0.25">
      <c r="A3300" s="189" t="str">
        <f t="shared" si="51"/>
        <v>CE-MD 27700.65E</v>
      </c>
      <c r="B3300" s="195" t="s">
        <v>2102</v>
      </c>
      <c r="C3300" s="196">
        <v>0</v>
      </c>
      <c r="D3300" s="196">
        <v>0.65</v>
      </c>
      <c r="E3300" s="195" t="s">
        <v>583</v>
      </c>
      <c r="F3300" s="195" t="s">
        <v>19</v>
      </c>
    </row>
    <row r="3301" spans="1:6" x14ac:dyDescent="0.25">
      <c r="A3301" s="189" t="str">
        <f t="shared" si="51"/>
        <v>CE-MD 27700.65W</v>
      </c>
      <c r="B3301" s="195" t="s">
        <v>2102</v>
      </c>
      <c r="C3301" s="196">
        <v>0</v>
      </c>
      <c r="D3301" s="196">
        <v>0.65</v>
      </c>
      <c r="E3301" s="195" t="s">
        <v>583</v>
      </c>
      <c r="F3301" s="195" t="s">
        <v>432</v>
      </c>
    </row>
    <row r="3302" spans="1:6" x14ac:dyDescent="0.25">
      <c r="A3302" s="189" t="str">
        <f t="shared" si="51"/>
        <v>CE-MD 2770.650.8E</v>
      </c>
      <c r="B3302" s="195" t="s">
        <v>2102</v>
      </c>
      <c r="C3302" s="196">
        <v>0.65</v>
      </c>
      <c r="D3302" s="196">
        <v>0.8</v>
      </c>
      <c r="E3302" s="195" t="s">
        <v>583</v>
      </c>
      <c r="F3302" s="195" t="s">
        <v>19</v>
      </c>
    </row>
    <row r="3303" spans="1:6" x14ac:dyDescent="0.25">
      <c r="A3303" s="189" t="str">
        <f t="shared" si="51"/>
        <v>CE-MD 2770.650.8W</v>
      </c>
      <c r="B3303" s="195" t="s">
        <v>2102</v>
      </c>
      <c r="C3303" s="196">
        <v>0.65</v>
      </c>
      <c r="D3303" s="196">
        <v>0.8</v>
      </c>
      <c r="E3303" s="195" t="s">
        <v>583</v>
      </c>
      <c r="F3303" s="195" t="s">
        <v>432</v>
      </c>
    </row>
    <row r="3304" spans="1:6" x14ac:dyDescent="0.25">
      <c r="A3304" s="189" t="str">
        <f t="shared" si="51"/>
        <v>CE-MD 2770.81.1E</v>
      </c>
      <c r="B3304" s="195" t="s">
        <v>2102</v>
      </c>
      <c r="C3304" s="196">
        <v>0.8</v>
      </c>
      <c r="D3304" s="196">
        <v>1.1000000000000001</v>
      </c>
      <c r="E3304" s="195" t="s">
        <v>583</v>
      </c>
      <c r="F3304" s="195" t="s">
        <v>19</v>
      </c>
    </row>
    <row r="3305" spans="1:6" x14ac:dyDescent="0.25">
      <c r="A3305" s="189" t="str">
        <f t="shared" si="51"/>
        <v>CE-MD 2770.81.1W</v>
      </c>
      <c r="B3305" s="195" t="s">
        <v>2102</v>
      </c>
      <c r="C3305" s="196">
        <v>0.8</v>
      </c>
      <c r="D3305" s="196">
        <v>1.1000000000000001</v>
      </c>
      <c r="E3305" s="195" t="s">
        <v>583</v>
      </c>
      <c r="F3305" s="195" t="s">
        <v>432</v>
      </c>
    </row>
    <row r="3306" spans="1:6" x14ac:dyDescent="0.25">
      <c r="A3306" s="189" t="str">
        <f t="shared" si="51"/>
        <v>CE-MD 2771.12.51E</v>
      </c>
      <c r="B3306" s="195" t="s">
        <v>2102</v>
      </c>
      <c r="C3306" s="196">
        <v>1.1000000000000001</v>
      </c>
      <c r="D3306" s="196">
        <v>2.5099999999999998</v>
      </c>
      <c r="E3306" s="195" t="s">
        <v>583</v>
      </c>
      <c r="F3306" s="195" t="s">
        <v>19</v>
      </c>
    </row>
    <row r="3307" spans="1:6" x14ac:dyDescent="0.25">
      <c r="A3307" s="189" t="str">
        <f t="shared" si="51"/>
        <v>CE-MD 2771.12.51W</v>
      </c>
      <c r="B3307" s="195" t="s">
        <v>2102</v>
      </c>
      <c r="C3307" s="196">
        <v>1.1000000000000001</v>
      </c>
      <c r="D3307" s="196">
        <v>2.5099999999999998</v>
      </c>
      <c r="E3307" s="195" t="s">
        <v>583</v>
      </c>
      <c r="F3307" s="195" t="s">
        <v>432</v>
      </c>
    </row>
    <row r="3308" spans="1:6" x14ac:dyDescent="0.25">
      <c r="A3308" s="189" t="str">
        <f t="shared" si="51"/>
        <v>CE-MD 27901.1S</v>
      </c>
      <c r="B3308" s="195" t="s">
        <v>2103</v>
      </c>
      <c r="C3308" s="196">
        <v>0</v>
      </c>
      <c r="D3308" s="196">
        <v>1.1000000000000001</v>
      </c>
      <c r="E3308" s="195" t="s">
        <v>595</v>
      </c>
      <c r="F3308" s="195" t="s">
        <v>438</v>
      </c>
    </row>
    <row r="3309" spans="1:6" x14ac:dyDescent="0.25">
      <c r="A3309" s="189" t="str">
        <f t="shared" si="51"/>
        <v>CE-MD 2790.081.1N</v>
      </c>
      <c r="B3309" s="195" t="s">
        <v>2103</v>
      </c>
      <c r="C3309" s="196">
        <v>0.08</v>
      </c>
      <c r="D3309" s="196">
        <v>1.1000000000000001</v>
      </c>
      <c r="E3309" s="195" t="s">
        <v>589</v>
      </c>
      <c r="F3309" s="195" t="s">
        <v>430</v>
      </c>
    </row>
    <row r="3310" spans="1:6" x14ac:dyDescent="0.25">
      <c r="A3310" s="189" t="str">
        <f t="shared" si="51"/>
        <v>CE-MD 2791.11.8N</v>
      </c>
      <c r="B3310" s="195" t="s">
        <v>2103</v>
      </c>
      <c r="C3310" s="196">
        <v>1.1000000000000001</v>
      </c>
      <c r="D3310" s="196">
        <v>1.8</v>
      </c>
      <c r="E3310" s="195" t="s">
        <v>583</v>
      </c>
      <c r="F3310" s="195" t="s">
        <v>430</v>
      </c>
    </row>
    <row r="3311" spans="1:6" x14ac:dyDescent="0.25">
      <c r="A3311" s="189" t="str">
        <f t="shared" si="51"/>
        <v>CE-MD 2791.11.8S</v>
      </c>
      <c r="B3311" s="195" t="s">
        <v>2103</v>
      </c>
      <c r="C3311" s="196">
        <v>1.1000000000000001</v>
      </c>
      <c r="D3311" s="196">
        <v>1.8</v>
      </c>
      <c r="E3311" s="195" t="s">
        <v>583</v>
      </c>
      <c r="F3311" s="195" t="s">
        <v>438</v>
      </c>
    </row>
    <row r="3312" spans="1:6" x14ac:dyDescent="0.25">
      <c r="A3312" s="189" t="str">
        <f t="shared" si="51"/>
        <v>CE-MD 2791.81.9N</v>
      </c>
      <c r="B3312" s="195" t="s">
        <v>2103</v>
      </c>
      <c r="C3312" s="196">
        <v>1.8</v>
      </c>
      <c r="D3312" s="196">
        <v>1.9</v>
      </c>
      <c r="E3312" s="195" t="s">
        <v>589</v>
      </c>
      <c r="F3312" s="195" t="s">
        <v>430</v>
      </c>
    </row>
    <row r="3313" spans="1:6" x14ac:dyDescent="0.25">
      <c r="A3313" s="189" t="str">
        <f t="shared" si="51"/>
        <v>CE-MD 28101.49E</v>
      </c>
      <c r="B3313" s="195" t="s">
        <v>2104</v>
      </c>
      <c r="C3313" s="196">
        <v>0</v>
      </c>
      <c r="D3313" s="196">
        <v>1.49</v>
      </c>
      <c r="E3313" s="195" t="s">
        <v>583</v>
      </c>
      <c r="F3313" s="195" t="s">
        <v>19</v>
      </c>
    </row>
    <row r="3314" spans="1:6" x14ac:dyDescent="0.25">
      <c r="A3314" s="189" t="str">
        <f t="shared" si="51"/>
        <v>CE-MD 28101.49W</v>
      </c>
      <c r="B3314" s="195" t="s">
        <v>2104</v>
      </c>
      <c r="C3314" s="196">
        <v>0</v>
      </c>
      <c r="D3314" s="196">
        <v>1.49</v>
      </c>
      <c r="E3314" s="195" t="s">
        <v>583</v>
      </c>
      <c r="F3314" s="195" t="s">
        <v>432</v>
      </c>
    </row>
    <row r="3315" spans="1:6" x14ac:dyDescent="0.25">
      <c r="A3315" s="189" t="str">
        <f t="shared" si="51"/>
        <v>CE-MD 2811.491.5E</v>
      </c>
      <c r="B3315" s="195" t="s">
        <v>2104</v>
      </c>
      <c r="C3315" s="196">
        <v>1.49</v>
      </c>
      <c r="D3315" s="196">
        <v>1.5</v>
      </c>
      <c r="E3315" s="195" t="s">
        <v>583</v>
      </c>
      <c r="F3315" s="195" t="s">
        <v>19</v>
      </c>
    </row>
    <row r="3316" spans="1:6" x14ac:dyDescent="0.25">
      <c r="A3316" s="189" t="str">
        <f t="shared" si="51"/>
        <v>CE-MD 2811.491.5W</v>
      </c>
      <c r="B3316" s="195" t="s">
        <v>2104</v>
      </c>
      <c r="C3316" s="196">
        <v>1.49</v>
      </c>
      <c r="D3316" s="196">
        <v>1.5</v>
      </c>
      <c r="E3316" s="195" t="s">
        <v>583</v>
      </c>
      <c r="F3316" s="195" t="s">
        <v>432</v>
      </c>
    </row>
    <row r="3317" spans="1:6" x14ac:dyDescent="0.25">
      <c r="A3317" s="189" t="str">
        <f t="shared" si="51"/>
        <v>CE-MD 2811.52.12E</v>
      </c>
      <c r="B3317" s="195" t="s">
        <v>2104</v>
      </c>
      <c r="C3317" s="196">
        <v>1.5</v>
      </c>
      <c r="D3317" s="196">
        <v>2.12</v>
      </c>
      <c r="E3317" s="195" t="s">
        <v>583</v>
      </c>
      <c r="F3317" s="195" t="s">
        <v>19</v>
      </c>
    </row>
    <row r="3318" spans="1:6" x14ac:dyDescent="0.25">
      <c r="A3318" s="189" t="str">
        <f t="shared" si="51"/>
        <v>CE-MD 2811.52.12W</v>
      </c>
      <c r="B3318" s="195" t="s">
        <v>2104</v>
      </c>
      <c r="C3318" s="196">
        <v>1.5</v>
      </c>
      <c r="D3318" s="196">
        <v>2.12</v>
      </c>
      <c r="E3318" s="195" t="s">
        <v>583</v>
      </c>
      <c r="F3318" s="195" t="s">
        <v>432</v>
      </c>
    </row>
    <row r="3319" spans="1:6" x14ac:dyDescent="0.25">
      <c r="A3319" s="189" t="str">
        <f t="shared" si="51"/>
        <v>CE-MD 28200.14E</v>
      </c>
      <c r="B3319" s="195" t="s">
        <v>2105</v>
      </c>
      <c r="C3319" s="196">
        <v>0</v>
      </c>
      <c r="D3319" s="196">
        <v>0.14000000000000001</v>
      </c>
      <c r="E3319" s="195" t="s">
        <v>583</v>
      </c>
      <c r="F3319" s="195" t="s">
        <v>19</v>
      </c>
    </row>
    <row r="3320" spans="1:6" x14ac:dyDescent="0.25">
      <c r="A3320" s="189" t="str">
        <f t="shared" si="51"/>
        <v>CE-MD 28200.14W</v>
      </c>
      <c r="B3320" s="195" t="s">
        <v>2105</v>
      </c>
      <c r="C3320" s="196">
        <v>0</v>
      </c>
      <c r="D3320" s="196">
        <v>0.14000000000000001</v>
      </c>
      <c r="E3320" s="195" t="s">
        <v>583</v>
      </c>
      <c r="F3320" s="195" t="s">
        <v>432</v>
      </c>
    </row>
    <row r="3321" spans="1:6" x14ac:dyDescent="0.25">
      <c r="A3321" s="189" t="str">
        <f t="shared" si="51"/>
        <v>CE-MD 2820.140.2E</v>
      </c>
      <c r="B3321" s="195" t="s">
        <v>2105</v>
      </c>
      <c r="C3321" s="196">
        <v>0.14000000000000001</v>
      </c>
      <c r="D3321" s="196">
        <v>0.2</v>
      </c>
      <c r="E3321" s="195" t="s">
        <v>583</v>
      </c>
      <c r="F3321" s="195" t="s">
        <v>19</v>
      </c>
    </row>
    <row r="3322" spans="1:6" x14ac:dyDescent="0.25">
      <c r="A3322" s="189" t="str">
        <f t="shared" si="51"/>
        <v>CE-MD 2820.140.2W</v>
      </c>
      <c r="B3322" s="195" t="s">
        <v>2105</v>
      </c>
      <c r="C3322" s="196">
        <v>0.14000000000000001</v>
      </c>
      <c r="D3322" s="196">
        <v>0.2</v>
      </c>
      <c r="E3322" s="195" t="s">
        <v>583</v>
      </c>
      <c r="F3322" s="195" t="s">
        <v>432</v>
      </c>
    </row>
    <row r="3323" spans="1:6" x14ac:dyDescent="0.25">
      <c r="A3323" s="189" t="str">
        <f t="shared" si="51"/>
        <v>CE-MD 2820.21.25E</v>
      </c>
      <c r="B3323" s="195" t="s">
        <v>2105</v>
      </c>
      <c r="C3323" s="196">
        <v>0.2</v>
      </c>
      <c r="D3323" s="196">
        <v>1.25</v>
      </c>
      <c r="E3323" s="195" t="s">
        <v>583</v>
      </c>
      <c r="F3323" s="195" t="s">
        <v>19</v>
      </c>
    </row>
    <row r="3324" spans="1:6" x14ac:dyDescent="0.25">
      <c r="A3324" s="189" t="str">
        <f t="shared" si="51"/>
        <v>CE-MD 2820.21.25W</v>
      </c>
      <c r="B3324" s="195" t="s">
        <v>2105</v>
      </c>
      <c r="C3324" s="196">
        <v>0.2</v>
      </c>
      <c r="D3324" s="196">
        <v>1.25</v>
      </c>
      <c r="E3324" s="195" t="s">
        <v>583</v>
      </c>
      <c r="F3324" s="195" t="s">
        <v>432</v>
      </c>
    </row>
    <row r="3325" spans="1:6" x14ac:dyDescent="0.25">
      <c r="A3325" s="189" t="str">
        <f t="shared" si="51"/>
        <v>CE-MD 2821.252.05E</v>
      </c>
      <c r="B3325" s="195" t="s">
        <v>2105</v>
      </c>
      <c r="C3325" s="196">
        <v>1.25</v>
      </c>
      <c r="D3325" s="196">
        <v>2.0499999999999998</v>
      </c>
      <c r="E3325" s="195" t="s">
        <v>583</v>
      </c>
      <c r="F3325" s="195" t="s">
        <v>19</v>
      </c>
    </row>
    <row r="3326" spans="1:6" x14ac:dyDescent="0.25">
      <c r="A3326" s="189" t="str">
        <f t="shared" si="51"/>
        <v>CE-MD 2821.252.05W</v>
      </c>
      <c r="B3326" s="195" t="s">
        <v>2105</v>
      </c>
      <c r="C3326" s="196">
        <v>1.25</v>
      </c>
      <c r="D3326" s="196">
        <v>2.0499999999999998</v>
      </c>
      <c r="E3326" s="195" t="s">
        <v>583</v>
      </c>
      <c r="F3326" s="195" t="s">
        <v>432</v>
      </c>
    </row>
    <row r="3327" spans="1:6" x14ac:dyDescent="0.25">
      <c r="A3327" s="189" t="str">
        <f t="shared" si="51"/>
        <v>CE-MD 2822.052.3E</v>
      </c>
      <c r="B3327" s="195" t="s">
        <v>2105</v>
      </c>
      <c r="C3327" s="196">
        <v>2.0499999999999998</v>
      </c>
      <c r="D3327" s="196">
        <v>2.2999999999999998</v>
      </c>
      <c r="E3327" s="195" t="s">
        <v>583</v>
      </c>
      <c r="F3327" s="195" t="s">
        <v>19</v>
      </c>
    </row>
    <row r="3328" spans="1:6" x14ac:dyDescent="0.25">
      <c r="A3328" s="189" t="str">
        <f t="shared" si="51"/>
        <v>CE-MD 2822.052.3W</v>
      </c>
      <c r="B3328" s="195" t="s">
        <v>2105</v>
      </c>
      <c r="C3328" s="196">
        <v>2.0499999999999998</v>
      </c>
      <c r="D3328" s="196">
        <v>2.2999999999999998</v>
      </c>
      <c r="E3328" s="195" t="s">
        <v>583</v>
      </c>
      <c r="F3328" s="195" t="s">
        <v>432</v>
      </c>
    </row>
    <row r="3329" spans="1:6" x14ac:dyDescent="0.25">
      <c r="A3329" s="189" t="str">
        <f t="shared" si="51"/>
        <v>CE-MD 2822.34.5E</v>
      </c>
      <c r="B3329" s="195" t="s">
        <v>2105</v>
      </c>
      <c r="C3329" s="196">
        <v>2.2999999999999998</v>
      </c>
      <c r="D3329" s="196">
        <v>4.5</v>
      </c>
      <c r="E3329" s="195" t="s">
        <v>583</v>
      </c>
      <c r="F3329" s="195" t="s">
        <v>19</v>
      </c>
    </row>
    <row r="3330" spans="1:6" x14ac:dyDescent="0.25">
      <c r="A3330" s="189" t="str">
        <f t="shared" si="51"/>
        <v>CE-MD 2822.34.5W</v>
      </c>
      <c r="B3330" s="195" t="s">
        <v>2105</v>
      </c>
      <c r="C3330" s="196">
        <v>2.2999999999999998</v>
      </c>
      <c r="D3330" s="196">
        <v>4.5</v>
      </c>
      <c r="E3330" s="195" t="s">
        <v>583</v>
      </c>
      <c r="F3330" s="195" t="s">
        <v>432</v>
      </c>
    </row>
    <row r="3331" spans="1:6" x14ac:dyDescent="0.25">
      <c r="A3331" s="189" t="str">
        <f t="shared" ref="A3331:A3394" si="52">B3331&amp;C3331&amp;D3331&amp;F3331</f>
        <v>CE-MD 2824.56.2E</v>
      </c>
      <c r="B3331" s="195" t="s">
        <v>2105</v>
      </c>
      <c r="C3331" s="196">
        <v>4.5</v>
      </c>
      <c r="D3331" s="196">
        <v>6.2</v>
      </c>
      <c r="E3331" s="195" t="s">
        <v>583</v>
      </c>
      <c r="F3331" s="195" t="s">
        <v>19</v>
      </c>
    </row>
    <row r="3332" spans="1:6" x14ac:dyDescent="0.25">
      <c r="A3332" s="189" t="str">
        <f t="shared" si="52"/>
        <v>CE-MD 2824.56.2W</v>
      </c>
      <c r="B3332" s="195" t="s">
        <v>2105</v>
      </c>
      <c r="C3332" s="196">
        <v>4.5</v>
      </c>
      <c r="D3332" s="196">
        <v>6.2</v>
      </c>
      <c r="E3332" s="195" t="s">
        <v>583</v>
      </c>
      <c r="F3332" s="195" t="s">
        <v>432</v>
      </c>
    </row>
    <row r="3333" spans="1:6" x14ac:dyDescent="0.25">
      <c r="A3333" s="189" t="str">
        <f t="shared" si="52"/>
        <v>CE-MD 2826.26.25E</v>
      </c>
      <c r="B3333" s="195" t="s">
        <v>2105</v>
      </c>
      <c r="C3333" s="196">
        <v>6.2</v>
      </c>
      <c r="D3333" s="196">
        <v>6.25</v>
      </c>
      <c r="E3333" s="195" t="s">
        <v>583</v>
      </c>
      <c r="F3333" s="195" t="s">
        <v>19</v>
      </c>
    </row>
    <row r="3334" spans="1:6" x14ac:dyDescent="0.25">
      <c r="A3334" s="189" t="str">
        <f t="shared" si="52"/>
        <v>CE-MD 2826.26.25W</v>
      </c>
      <c r="B3334" s="195" t="s">
        <v>2105</v>
      </c>
      <c r="C3334" s="196">
        <v>6.2</v>
      </c>
      <c r="D3334" s="196">
        <v>6.25</v>
      </c>
      <c r="E3334" s="195" t="s">
        <v>583</v>
      </c>
      <c r="F3334" s="195" t="s">
        <v>432</v>
      </c>
    </row>
    <row r="3335" spans="1:6" x14ac:dyDescent="0.25">
      <c r="A3335" s="189" t="str">
        <f t="shared" si="52"/>
        <v>CE-MD 2826.256.7E</v>
      </c>
      <c r="B3335" s="195" t="s">
        <v>2105</v>
      </c>
      <c r="C3335" s="196">
        <v>6.25</v>
      </c>
      <c r="D3335" s="196">
        <v>6.7</v>
      </c>
      <c r="E3335" s="195" t="s">
        <v>583</v>
      </c>
      <c r="F3335" s="195" t="s">
        <v>19</v>
      </c>
    </row>
    <row r="3336" spans="1:6" x14ac:dyDescent="0.25">
      <c r="A3336" s="189" t="str">
        <f t="shared" si="52"/>
        <v>CE-MD 2826.256.7W</v>
      </c>
      <c r="B3336" s="195" t="s">
        <v>2105</v>
      </c>
      <c r="C3336" s="196">
        <v>6.25</v>
      </c>
      <c r="D3336" s="196">
        <v>6.7</v>
      </c>
      <c r="E3336" s="195" t="s">
        <v>583</v>
      </c>
      <c r="F3336" s="195" t="s">
        <v>432</v>
      </c>
    </row>
    <row r="3337" spans="1:6" x14ac:dyDescent="0.25">
      <c r="A3337" s="189" t="str">
        <f t="shared" si="52"/>
        <v>CE-MD 2826.77.2E</v>
      </c>
      <c r="B3337" s="195" t="s">
        <v>2105</v>
      </c>
      <c r="C3337" s="196">
        <v>6.7</v>
      </c>
      <c r="D3337" s="196">
        <v>7.2</v>
      </c>
      <c r="E3337" s="195" t="s">
        <v>583</v>
      </c>
      <c r="F3337" s="195" t="s">
        <v>19</v>
      </c>
    </row>
    <row r="3338" spans="1:6" x14ac:dyDescent="0.25">
      <c r="A3338" s="189" t="str">
        <f t="shared" si="52"/>
        <v>CE-MD 2826.77.2W</v>
      </c>
      <c r="B3338" s="195" t="s">
        <v>2105</v>
      </c>
      <c r="C3338" s="196">
        <v>6.7</v>
      </c>
      <c r="D3338" s="196">
        <v>7.2</v>
      </c>
      <c r="E3338" s="195" t="s">
        <v>583</v>
      </c>
      <c r="F3338" s="195" t="s">
        <v>432</v>
      </c>
    </row>
    <row r="3339" spans="1:6" x14ac:dyDescent="0.25">
      <c r="A3339" s="189" t="str">
        <f t="shared" si="52"/>
        <v>CE-MD 2827.212.43E</v>
      </c>
      <c r="B3339" s="195" t="s">
        <v>2105</v>
      </c>
      <c r="C3339" s="196">
        <v>7.2</v>
      </c>
      <c r="D3339" s="196">
        <v>12.43</v>
      </c>
      <c r="E3339" s="195" t="s">
        <v>583</v>
      </c>
      <c r="F3339" s="195" t="s">
        <v>19</v>
      </c>
    </row>
    <row r="3340" spans="1:6" x14ac:dyDescent="0.25">
      <c r="A3340" s="189" t="str">
        <f t="shared" si="52"/>
        <v>CE-MD 2827.212.43W</v>
      </c>
      <c r="B3340" s="195" t="s">
        <v>2105</v>
      </c>
      <c r="C3340" s="196">
        <v>7.2</v>
      </c>
      <c r="D3340" s="196">
        <v>12.43</v>
      </c>
      <c r="E3340" s="195" t="s">
        <v>583</v>
      </c>
      <c r="F3340" s="195" t="s">
        <v>432</v>
      </c>
    </row>
    <row r="3341" spans="1:6" x14ac:dyDescent="0.25">
      <c r="A3341" s="189" t="str">
        <f t="shared" si="52"/>
        <v>CE-MD 28400.25N</v>
      </c>
      <c r="B3341" s="195" t="s">
        <v>2106</v>
      </c>
      <c r="C3341" s="196">
        <v>0</v>
      </c>
      <c r="D3341" s="196">
        <v>0.25</v>
      </c>
      <c r="E3341" s="195" t="s">
        <v>589</v>
      </c>
      <c r="F3341" s="195" t="s">
        <v>430</v>
      </c>
    </row>
    <row r="3342" spans="1:6" x14ac:dyDescent="0.25">
      <c r="A3342" s="189" t="str">
        <f t="shared" si="52"/>
        <v>CE-MD 28400.25S</v>
      </c>
      <c r="B3342" s="195" t="s">
        <v>2106</v>
      </c>
      <c r="C3342" s="196">
        <v>0</v>
      </c>
      <c r="D3342" s="196">
        <v>0.25</v>
      </c>
      <c r="E3342" s="195" t="s">
        <v>595</v>
      </c>
      <c r="F3342" s="195" t="s">
        <v>438</v>
      </c>
    </row>
    <row r="3343" spans="1:6" x14ac:dyDescent="0.25">
      <c r="A3343" s="189" t="str">
        <f t="shared" si="52"/>
        <v>CE-MD 28500.29E</v>
      </c>
      <c r="B3343" s="195" t="s">
        <v>2107</v>
      </c>
      <c r="C3343" s="196">
        <v>0</v>
      </c>
      <c r="D3343" s="196">
        <v>0.28999999999999998</v>
      </c>
      <c r="E3343" s="195" t="s">
        <v>583</v>
      </c>
      <c r="F3343" s="195" t="s">
        <v>19</v>
      </c>
    </row>
    <row r="3344" spans="1:6" x14ac:dyDescent="0.25">
      <c r="A3344" s="189" t="str">
        <f t="shared" si="52"/>
        <v>CE-MD 28500.29W</v>
      </c>
      <c r="B3344" s="195" t="s">
        <v>2107</v>
      </c>
      <c r="C3344" s="196">
        <v>0</v>
      </c>
      <c r="D3344" s="196">
        <v>0.28999999999999998</v>
      </c>
      <c r="E3344" s="195" t="s">
        <v>583</v>
      </c>
      <c r="F3344" s="195" t="s">
        <v>432</v>
      </c>
    </row>
    <row r="3345" spans="1:6" x14ac:dyDescent="0.25">
      <c r="A3345" s="189" t="str">
        <f t="shared" si="52"/>
        <v>CE-MD 2850.290.76E</v>
      </c>
      <c r="B3345" s="195" t="s">
        <v>2107</v>
      </c>
      <c r="C3345" s="196">
        <v>0.28999999999999998</v>
      </c>
      <c r="D3345" s="196">
        <v>0.76</v>
      </c>
      <c r="E3345" s="195" t="s">
        <v>583</v>
      </c>
      <c r="F3345" s="195" t="s">
        <v>19</v>
      </c>
    </row>
    <row r="3346" spans="1:6" x14ac:dyDescent="0.25">
      <c r="A3346" s="189" t="str">
        <f t="shared" si="52"/>
        <v>CE-MD 2850.290.76W</v>
      </c>
      <c r="B3346" s="195" t="s">
        <v>2107</v>
      </c>
      <c r="C3346" s="196">
        <v>0.28999999999999998</v>
      </c>
      <c r="D3346" s="196">
        <v>0.76</v>
      </c>
      <c r="E3346" s="195" t="s">
        <v>583</v>
      </c>
      <c r="F3346" s="195" t="s">
        <v>432</v>
      </c>
    </row>
    <row r="3347" spans="1:6" x14ac:dyDescent="0.25">
      <c r="A3347" s="189" t="str">
        <f t="shared" si="52"/>
        <v>CE-MD 2850.761.1E</v>
      </c>
      <c r="B3347" s="195" t="s">
        <v>2107</v>
      </c>
      <c r="C3347" s="196">
        <v>0.76</v>
      </c>
      <c r="D3347" s="196">
        <v>1.1000000000000001</v>
      </c>
      <c r="E3347" s="195" t="s">
        <v>583</v>
      </c>
      <c r="F3347" s="195" t="s">
        <v>19</v>
      </c>
    </row>
    <row r="3348" spans="1:6" x14ac:dyDescent="0.25">
      <c r="A3348" s="189" t="str">
        <f t="shared" si="52"/>
        <v>CE-MD 2850.761.1W</v>
      </c>
      <c r="B3348" s="195" t="s">
        <v>2107</v>
      </c>
      <c r="C3348" s="196">
        <v>0.76</v>
      </c>
      <c r="D3348" s="196">
        <v>1.1000000000000001</v>
      </c>
      <c r="E3348" s="195" t="s">
        <v>583</v>
      </c>
      <c r="F3348" s="195" t="s">
        <v>432</v>
      </c>
    </row>
    <row r="3349" spans="1:6" x14ac:dyDescent="0.25">
      <c r="A3349" s="189" t="str">
        <f t="shared" si="52"/>
        <v>CE-MD 2851.12.43E</v>
      </c>
      <c r="B3349" s="195" t="s">
        <v>2107</v>
      </c>
      <c r="C3349" s="196">
        <v>1.1000000000000001</v>
      </c>
      <c r="D3349" s="196">
        <v>2.4300000000000002</v>
      </c>
      <c r="E3349" s="195" t="s">
        <v>583</v>
      </c>
      <c r="F3349" s="195" t="s">
        <v>19</v>
      </c>
    </row>
    <row r="3350" spans="1:6" x14ac:dyDescent="0.25">
      <c r="A3350" s="189" t="str">
        <f t="shared" si="52"/>
        <v>CE-MD 2851.12.43W</v>
      </c>
      <c r="B3350" s="195" t="s">
        <v>2107</v>
      </c>
      <c r="C3350" s="196">
        <v>1.1000000000000001</v>
      </c>
      <c r="D3350" s="196">
        <v>2.4300000000000002</v>
      </c>
      <c r="E3350" s="195" t="s">
        <v>583</v>
      </c>
      <c r="F3350" s="195" t="s">
        <v>432</v>
      </c>
    </row>
    <row r="3351" spans="1:6" x14ac:dyDescent="0.25">
      <c r="A3351" s="189" t="str">
        <f t="shared" si="52"/>
        <v>CE-MD 28602.09E</v>
      </c>
      <c r="B3351" s="195" t="s">
        <v>2108</v>
      </c>
      <c r="C3351" s="196">
        <v>0</v>
      </c>
      <c r="D3351" s="196">
        <v>2.09</v>
      </c>
      <c r="E3351" s="195" t="s">
        <v>583</v>
      </c>
      <c r="F3351" s="195" t="s">
        <v>19</v>
      </c>
    </row>
    <row r="3352" spans="1:6" x14ac:dyDescent="0.25">
      <c r="A3352" s="189" t="str">
        <f t="shared" si="52"/>
        <v>CE-MD 28602.09W</v>
      </c>
      <c r="B3352" s="195" t="s">
        <v>2108</v>
      </c>
      <c r="C3352" s="196">
        <v>0</v>
      </c>
      <c r="D3352" s="196">
        <v>2.09</v>
      </c>
      <c r="E3352" s="195" t="s">
        <v>583</v>
      </c>
      <c r="F3352" s="195" t="s">
        <v>432</v>
      </c>
    </row>
    <row r="3353" spans="1:6" x14ac:dyDescent="0.25">
      <c r="A3353" s="189" t="str">
        <f t="shared" si="52"/>
        <v>CE-MD 29900.49N</v>
      </c>
      <c r="B3353" s="195" t="s">
        <v>2109</v>
      </c>
      <c r="C3353" s="196">
        <v>0</v>
      </c>
      <c r="D3353" s="196">
        <v>0.49</v>
      </c>
      <c r="E3353" s="195" t="s">
        <v>589</v>
      </c>
      <c r="F3353" s="195" t="s">
        <v>430</v>
      </c>
    </row>
    <row r="3354" spans="1:6" x14ac:dyDescent="0.25">
      <c r="A3354" s="189" t="str">
        <f t="shared" si="52"/>
        <v>CE-MD 29900.49S</v>
      </c>
      <c r="B3354" s="195" t="s">
        <v>2109</v>
      </c>
      <c r="C3354" s="196">
        <v>0</v>
      </c>
      <c r="D3354" s="196">
        <v>0.49</v>
      </c>
      <c r="E3354" s="195" t="s">
        <v>595</v>
      </c>
      <c r="F3354" s="195" t="s">
        <v>438</v>
      </c>
    </row>
    <row r="3355" spans="1:6" x14ac:dyDescent="0.25">
      <c r="A3355" s="189" t="str">
        <f t="shared" si="52"/>
        <v>CE-MD 31000.2E</v>
      </c>
      <c r="B3355" s="195" t="s">
        <v>2110</v>
      </c>
      <c r="C3355" s="196">
        <v>0</v>
      </c>
      <c r="D3355" s="196">
        <v>0.2</v>
      </c>
      <c r="E3355" s="195" t="s">
        <v>583</v>
      </c>
      <c r="F3355" s="195" t="s">
        <v>19</v>
      </c>
    </row>
    <row r="3356" spans="1:6" x14ac:dyDescent="0.25">
      <c r="A3356" s="189" t="str">
        <f t="shared" si="52"/>
        <v>CE-MD 31000.2W</v>
      </c>
      <c r="B3356" s="195" t="s">
        <v>2110</v>
      </c>
      <c r="C3356" s="196">
        <v>0</v>
      </c>
      <c r="D3356" s="196">
        <v>0.2</v>
      </c>
      <c r="E3356" s="195" t="s">
        <v>583</v>
      </c>
      <c r="F3356" s="195" t="s">
        <v>432</v>
      </c>
    </row>
    <row r="3357" spans="1:6" x14ac:dyDescent="0.25">
      <c r="A3357" s="189" t="str">
        <f t="shared" si="52"/>
        <v>CE-MD 3100.23.96E</v>
      </c>
      <c r="B3357" s="195" t="s">
        <v>2110</v>
      </c>
      <c r="C3357" s="196">
        <v>0.2</v>
      </c>
      <c r="D3357" s="196">
        <v>3.96</v>
      </c>
      <c r="E3357" s="195" t="s">
        <v>583</v>
      </c>
      <c r="F3357" s="195" t="s">
        <v>19</v>
      </c>
    </row>
    <row r="3358" spans="1:6" x14ac:dyDescent="0.25">
      <c r="A3358" s="189" t="str">
        <f t="shared" si="52"/>
        <v>CE-MD 3100.23.96W</v>
      </c>
      <c r="B3358" s="195" t="s">
        <v>2110</v>
      </c>
      <c r="C3358" s="196">
        <v>0.2</v>
      </c>
      <c r="D3358" s="196">
        <v>3.96</v>
      </c>
      <c r="E3358" s="195" t="s">
        <v>583</v>
      </c>
      <c r="F3358" s="195" t="s">
        <v>432</v>
      </c>
    </row>
    <row r="3359" spans="1:6" x14ac:dyDescent="0.25">
      <c r="A3359" s="189" t="str">
        <f t="shared" si="52"/>
        <v>CE-MD 31600.05N</v>
      </c>
      <c r="B3359" s="195" t="s">
        <v>2111</v>
      </c>
      <c r="C3359" s="196">
        <v>0</v>
      </c>
      <c r="D3359" s="196">
        <v>0.05</v>
      </c>
      <c r="E3359" s="195" t="s">
        <v>583</v>
      </c>
      <c r="F3359" s="195" t="s">
        <v>430</v>
      </c>
    </row>
    <row r="3360" spans="1:6" x14ac:dyDescent="0.25">
      <c r="A3360" s="189" t="str">
        <f t="shared" si="52"/>
        <v>CE-MD 31600.05S</v>
      </c>
      <c r="B3360" s="195" t="s">
        <v>2111</v>
      </c>
      <c r="C3360" s="196">
        <v>0</v>
      </c>
      <c r="D3360" s="196">
        <v>0.05</v>
      </c>
      <c r="E3360" s="195" t="s">
        <v>583</v>
      </c>
      <c r="F3360" s="195" t="s">
        <v>438</v>
      </c>
    </row>
    <row r="3361" spans="1:6" x14ac:dyDescent="0.25">
      <c r="A3361" s="189" t="str">
        <f t="shared" si="52"/>
        <v>CE-MD 3160.050.35N</v>
      </c>
      <c r="B3361" s="195" t="s">
        <v>2111</v>
      </c>
      <c r="C3361" s="196">
        <v>0.05</v>
      </c>
      <c r="D3361" s="196">
        <v>0.35</v>
      </c>
      <c r="E3361" s="195" t="s">
        <v>583</v>
      </c>
      <c r="F3361" s="195" t="s">
        <v>430</v>
      </c>
    </row>
    <row r="3362" spans="1:6" x14ac:dyDescent="0.25">
      <c r="A3362" s="189" t="str">
        <f t="shared" si="52"/>
        <v>CE-MD 3160.050.35S</v>
      </c>
      <c r="B3362" s="195" t="s">
        <v>2111</v>
      </c>
      <c r="C3362" s="196">
        <v>0.05</v>
      </c>
      <c r="D3362" s="196">
        <v>0.35</v>
      </c>
      <c r="E3362" s="195" t="s">
        <v>583</v>
      </c>
      <c r="F3362" s="195" t="s">
        <v>438</v>
      </c>
    </row>
    <row r="3363" spans="1:6" x14ac:dyDescent="0.25">
      <c r="A3363" s="189" t="str">
        <f t="shared" si="52"/>
        <v>CE-MD 3160.352.67N</v>
      </c>
      <c r="B3363" s="195" t="s">
        <v>2111</v>
      </c>
      <c r="C3363" s="196">
        <v>0.35</v>
      </c>
      <c r="D3363" s="196">
        <v>2.67</v>
      </c>
      <c r="E3363" s="195" t="s">
        <v>583</v>
      </c>
      <c r="F3363" s="195" t="s">
        <v>430</v>
      </c>
    </row>
    <row r="3364" spans="1:6" x14ac:dyDescent="0.25">
      <c r="A3364" s="189" t="str">
        <f t="shared" si="52"/>
        <v>CE-MD 3160.352.67S</v>
      </c>
      <c r="B3364" s="195" t="s">
        <v>2111</v>
      </c>
      <c r="C3364" s="196">
        <v>0.35</v>
      </c>
      <c r="D3364" s="196">
        <v>2.67</v>
      </c>
      <c r="E3364" s="195" t="s">
        <v>583</v>
      </c>
      <c r="F3364" s="195" t="s">
        <v>438</v>
      </c>
    </row>
    <row r="3365" spans="1:6" x14ac:dyDescent="0.25">
      <c r="A3365" s="189" t="str">
        <f t="shared" si="52"/>
        <v>CE-MD 32700.36E</v>
      </c>
      <c r="B3365" s="195" t="s">
        <v>2112</v>
      </c>
      <c r="C3365" s="196">
        <v>0</v>
      </c>
      <c r="D3365" s="196">
        <v>0.36</v>
      </c>
      <c r="E3365" s="195" t="s">
        <v>598</v>
      </c>
      <c r="F3365" s="195" t="s">
        <v>19</v>
      </c>
    </row>
    <row r="3366" spans="1:6" x14ac:dyDescent="0.25">
      <c r="A3366" s="189" t="str">
        <f t="shared" si="52"/>
        <v>CE-MD 32700.36W</v>
      </c>
      <c r="B3366" s="195" t="s">
        <v>2112</v>
      </c>
      <c r="C3366" s="196">
        <v>0</v>
      </c>
      <c r="D3366" s="196">
        <v>0.36</v>
      </c>
      <c r="E3366" s="195" t="s">
        <v>593</v>
      </c>
      <c r="F3366" s="195" t="s">
        <v>432</v>
      </c>
    </row>
    <row r="3367" spans="1:6" x14ac:dyDescent="0.25">
      <c r="A3367" s="189" t="str">
        <f t="shared" si="52"/>
        <v>CE-MD 34202.82N</v>
      </c>
      <c r="B3367" s="195" t="s">
        <v>2113</v>
      </c>
      <c r="C3367" s="196">
        <v>0</v>
      </c>
      <c r="D3367" s="196">
        <v>2.82</v>
      </c>
      <c r="E3367" s="195" t="s">
        <v>583</v>
      </c>
      <c r="F3367" s="195" t="s">
        <v>430</v>
      </c>
    </row>
    <row r="3368" spans="1:6" x14ac:dyDescent="0.25">
      <c r="A3368" s="189" t="str">
        <f t="shared" si="52"/>
        <v>CE-MD 34202.82S</v>
      </c>
      <c r="B3368" s="195" t="s">
        <v>2113</v>
      </c>
      <c r="C3368" s="196">
        <v>0</v>
      </c>
      <c r="D3368" s="196">
        <v>2.82</v>
      </c>
      <c r="E3368" s="195" t="s">
        <v>583</v>
      </c>
      <c r="F3368" s="195" t="s">
        <v>438</v>
      </c>
    </row>
    <row r="3369" spans="1:6" x14ac:dyDescent="0.25">
      <c r="A3369" s="189" t="str">
        <f t="shared" si="52"/>
        <v>CE-MD 537B00.06N</v>
      </c>
      <c r="B3369" s="195" t="s">
        <v>2114</v>
      </c>
      <c r="C3369" s="196">
        <v>0</v>
      </c>
      <c r="D3369" s="196">
        <v>0.06</v>
      </c>
      <c r="E3369" s="195" t="s">
        <v>589</v>
      </c>
      <c r="F3369" s="195" t="s">
        <v>430</v>
      </c>
    </row>
    <row r="3370" spans="1:6" x14ac:dyDescent="0.25">
      <c r="A3370" s="189" t="str">
        <f t="shared" si="52"/>
        <v>CE-MD 537B00.06S</v>
      </c>
      <c r="B3370" s="195" t="s">
        <v>2114</v>
      </c>
      <c r="C3370" s="196">
        <v>0</v>
      </c>
      <c r="D3370" s="196">
        <v>0.06</v>
      </c>
      <c r="E3370" s="195" t="s">
        <v>595</v>
      </c>
      <c r="F3370" s="195" t="s">
        <v>438</v>
      </c>
    </row>
    <row r="3371" spans="1:6" x14ac:dyDescent="0.25">
      <c r="A3371" s="189" t="str">
        <f t="shared" si="52"/>
        <v>CE-MD 537C00.45N</v>
      </c>
      <c r="B3371" s="195" t="s">
        <v>2115</v>
      </c>
      <c r="C3371" s="196">
        <v>0</v>
      </c>
      <c r="D3371" s="196">
        <v>0.45</v>
      </c>
      <c r="E3371" s="195" t="s">
        <v>589</v>
      </c>
      <c r="F3371" s="195" t="s">
        <v>430</v>
      </c>
    </row>
    <row r="3372" spans="1:6" x14ac:dyDescent="0.25">
      <c r="A3372" s="189" t="str">
        <f t="shared" si="52"/>
        <v>CE-MD 537C00.45S</v>
      </c>
      <c r="B3372" s="195" t="s">
        <v>2115</v>
      </c>
      <c r="C3372" s="196">
        <v>0</v>
      </c>
      <c r="D3372" s="196">
        <v>0.45</v>
      </c>
      <c r="E3372" s="195" t="s">
        <v>595</v>
      </c>
      <c r="F3372" s="195" t="s">
        <v>438</v>
      </c>
    </row>
    <row r="3373" spans="1:6" x14ac:dyDescent="0.25">
      <c r="A3373" s="189" t="str">
        <f t="shared" si="52"/>
        <v>CE-MD 537C0.450.49N</v>
      </c>
      <c r="B3373" s="195" t="s">
        <v>2115</v>
      </c>
      <c r="C3373" s="196">
        <v>0.45</v>
      </c>
      <c r="D3373" s="196">
        <v>0.49</v>
      </c>
      <c r="E3373" s="195" t="s">
        <v>589</v>
      </c>
      <c r="F3373" s="195" t="s">
        <v>430</v>
      </c>
    </row>
    <row r="3374" spans="1:6" x14ac:dyDescent="0.25">
      <c r="A3374" s="189" t="str">
        <f t="shared" si="52"/>
        <v>CE-MD 537C0.450.49S</v>
      </c>
      <c r="B3374" s="195" t="s">
        <v>2115</v>
      </c>
      <c r="C3374" s="196">
        <v>0.45</v>
      </c>
      <c r="D3374" s="196">
        <v>0.49</v>
      </c>
      <c r="E3374" s="195" t="s">
        <v>595</v>
      </c>
      <c r="F3374" s="195" t="s">
        <v>438</v>
      </c>
    </row>
    <row r="3375" spans="1:6" x14ac:dyDescent="0.25">
      <c r="A3375" s="189" t="str">
        <f t="shared" si="52"/>
        <v>CE-MD 537D00.09N</v>
      </c>
      <c r="B3375" s="195" t="s">
        <v>2116</v>
      </c>
      <c r="C3375" s="196">
        <v>0</v>
      </c>
      <c r="D3375" s="196">
        <v>0.09</v>
      </c>
      <c r="E3375" s="195" t="s">
        <v>589</v>
      </c>
      <c r="F3375" s="195" t="s">
        <v>430</v>
      </c>
    </row>
    <row r="3376" spans="1:6" x14ac:dyDescent="0.25">
      <c r="A3376" s="189" t="str">
        <f t="shared" si="52"/>
        <v>CE-MD 537D00.09S</v>
      </c>
      <c r="B3376" s="195" t="s">
        <v>2116</v>
      </c>
      <c r="C3376" s="196">
        <v>0</v>
      </c>
      <c r="D3376" s="196">
        <v>0.09</v>
      </c>
      <c r="E3376" s="195" t="s">
        <v>595</v>
      </c>
      <c r="F3376" s="195" t="s">
        <v>438</v>
      </c>
    </row>
    <row r="3377" spans="1:6" x14ac:dyDescent="0.25">
      <c r="A3377" s="189" t="str">
        <f t="shared" si="52"/>
        <v>CE-MD 537D0.090.21N</v>
      </c>
      <c r="B3377" s="195" t="s">
        <v>2116</v>
      </c>
      <c r="C3377" s="196">
        <v>0.09</v>
      </c>
      <c r="D3377" s="196">
        <v>0.21</v>
      </c>
      <c r="E3377" s="195" t="s">
        <v>589</v>
      </c>
      <c r="F3377" s="195" t="s">
        <v>430</v>
      </c>
    </row>
    <row r="3378" spans="1:6" x14ac:dyDescent="0.25">
      <c r="A3378" s="189" t="str">
        <f t="shared" si="52"/>
        <v>CE-MD 537D0.090.21S</v>
      </c>
      <c r="B3378" s="195" t="s">
        <v>2116</v>
      </c>
      <c r="C3378" s="196">
        <v>0.09</v>
      </c>
      <c r="D3378" s="196">
        <v>0.21</v>
      </c>
      <c r="E3378" s="195" t="s">
        <v>595</v>
      </c>
      <c r="F3378" s="195" t="s">
        <v>438</v>
      </c>
    </row>
    <row r="3379" spans="1:6" x14ac:dyDescent="0.25">
      <c r="A3379" s="189" t="str">
        <f t="shared" si="52"/>
        <v>CE-MD 537D0.210.25N</v>
      </c>
      <c r="B3379" s="195" t="s">
        <v>2116</v>
      </c>
      <c r="C3379" s="196">
        <v>0.21</v>
      </c>
      <c r="D3379" s="196">
        <v>0.25</v>
      </c>
      <c r="E3379" s="195" t="s">
        <v>589</v>
      </c>
      <c r="F3379" s="195" t="s">
        <v>430</v>
      </c>
    </row>
    <row r="3380" spans="1:6" x14ac:dyDescent="0.25">
      <c r="A3380" s="189" t="str">
        <f t="shared" si="52"/>
        <v>CE-MD 537D0.210.25S</v>
      </c>
      <c r="B3380" s="195" t="s">
        <v>2116</v>
      </c>
      <c r="C3380" s="196">
        <v>0.21</v>
      </c>
      <c r="D3380" s="196">
        <v>0.25</v>
      </c>
      <c r="E3380" s="195" t="s">
        <v>595</v>
      </c>
      <c r="F3380" s="195" t="s">
        <v>438</v>
      </c>
    </row>
    <row r="3381" spans="1:6" x14ac:dyDescent="0.25">
      <c r="A3381" s="189" t="str">
        <f t="shared" si="52"/>
        <v>CE-MD 54501.17N</v>
      </c>
      <c r="B3381" s="195" t="s">
        <v>2117</v>
      </c>
      <c r="C3381" s="196">
        <v>0</v>
      </c>
      <c r="D3381" s="196">
        <v>1.17</v>
      </c>
      <c r="E3381" s="195" t="s">
        <v>583</v>
      </c>
      <c r="F3381" s="195" t="s">
        <v>430</v>
      </c>
    </row>
    <row r="3382" spans="1:6" x14ac:dyDescent="0.25">
      <c r="A3382" s="189" t="str">
        <f t="shared" si="52"/>
        <v>CE-MD 54501.17S</v>
      </c>
      <c r="B3382" s="195" t="s">
        <v>2117</v>
      </c>
      <c r="C3382" s="196">
        <v>0</v>
      </c>
      <c r="D3382" s="196">
        <v>1.17</v>
      </c>
      <c r="E3382" s="195" t="s">
        <v>583</v>
      </c>
      <c r="F3382" s="195" t="s">
        <v>438</v>
      </c>
    </row>
    <row r="3383" spans="1:6" x14ac:dyDescent="0.25">
      <c r="A3383" s="189" t="str">
        <f t="shared" si="52"/>
        <v>CE-MD 5451.172.91N</v>
      </c>
      <c r="B3383" s="195" t="s">
        <v>2117</v>
      </c>
      <c r="C3383" s="196">
        <v>1.17</v>
      </c>
      <c r="D3383" s="196">
        <v>2.91</v>
      </c>
      <c r="E3383" s="195" t="s">
        <v>583</v>
      </c>
      <c r="F3383" s="195" t="s">
        <v>430</v>
      </c>
    </row>
    <row r="3384" spans="1:6" x14ac:dyDescent="0.25">
      <c r="A3384" s="189" t="str">
        <f t="shared" si="52"/>
        <v>CE-MD 5451.172.91S</v>
      </c>
      <c r="B3384" s="195" t="s">
        <v>2117</v>
      </c>
      <c r="C3384" s="196">
        <v>1.17</v>
      </c>
      <c r="D3384" s="196">
        <v>2.91</v>
      </c>
      <c r="E3384" s="195" t="s">
        <v>583</v>
      </c>
      <c r="F3384" s="195" t="s">
        <v>438</v>
      </c>
    </row>
    <row r="3385" spans="1:6" x14ac:dyDescent="0.25">
      <c r="A3385" s="189" t="str">
        <f t="shared" si="52"/>
        <v>CE-MD 5452.912.95N</v>
      </c>
      <c r="B3385" s="195" t="s">
        <v>2117</v>
      </c>
      <c r="C3385" s="196">
        <v>2.91</v>
      </c>
      <c r="D3385" s="196">
        <v>2.95</v>
      </c>
      <c r="E3385" s="195" t="s">
        <v>583</v>
      </c>
      <c r="F3385" s="195" t="s">
        <v>430</v>
      </c>
    </row>
    <row r="3386" spans="1:6" x14ac:dyDescent="0.25">
      <c r="A3386" s="189" t="str">
        <f t="shared" si="52"/>
        <v>CE-MD 5452.912.95S</v>
      </c>
      <c r="B3386" s="195" t="s">
        <v>2117</v>
      </c>
      <c r="C3386" s="196">
        <v>2.91</v>
      </c>
      <c r="D3386" s="196">
        <v>2.95</v>
      </c>
      <c r="E3386" s="195" t="s">
        <v>583</v>
      </c>
      <c r="F3386" s="195" t="s">
        <v>438</v>
      </c>
    </row>
    <row r="3387" spans="1:6" x14ac:dyDescent="0.25">
      <c r="A3387" s="189" t="str">
        <f t="shared" si="52"/>
        <v>CE-MD 5452.953.79N</v>
      </c>
      <c r="B3387" s="195" t="s">
        <v>2117</v>
      </c>
      <c r="C3387" s="196">
        <v>2.95</v>
      </c>
      <c r="D3387" s="196">
        <v>3.79</v>
      </c>
      <c r="E3387" s="195" t="s">
        <v>583</v>
      </c>
      <c r="F3387" s="195" t="s">
        <v>430</v>
      </c>
    </row>
    <row r="3388" spans="1:6" x14ac:dyDescent="0.25">
      <c r="A3388" s="189" t="str">
        <f t="shared" si="52"/>
        <v>CE-MD 5452.953.79S</v>
      </c>
      <c r="B3388" s="195" t="s">
        <v>2117</v>
      </c>
      <c r="C3388" s="196">
        <v>2.95</v>
      </c>
      <c r="D3388" s="196">
        <v>3.79</v>
      </c>
      <c r="E3388" s="195" t="s">
        <v>583</v>
      </c>
      <c r="F3388" s="195" t="s">
        <v>438</v>
      </c>
    </row>
    <row r="3389" spans="1:6" x14ac:dyDescent="0.25">
      <c r="A3389" s="189" t="str">
        <f t="shared" si="52"/>
        <v>CE-MD 5453.795.71N</v>
      </c>
      <c r="B3389" s="195" t="s">
        <v>2117</v>
      </c>
      <c r="C3389" s="196">
        <v>3.79</v>
      </c>
      <c r="D3389" s="196">
        <v>5.71</v>
      </c>
      <c r="E3389" s="195" t="s">
        <v>583</v>
      </c>
      <c r="F3389" s="195" t="s">
        <v>430</v>
      </c>
    </row>
    <row r="3390" spans="1:6" x14ac:dyDescent="0.25">
      <c r="A3390" s="189" t="str">
        <f t="shared" si="52"/>
        <v>CE-MD 5453.795.71S</v>
      </c>
      <c r="B3390" s="195" t="s">
        <v>2117</v>
      </c>
      <c r="C3390" s="196">
        <v>3.79</v>
      </c>
      <c r="D3390" s="196">
        <v>5.71</v>
      </c>
      <c r="E3390" s="195" t="s">
        <v>583</v>
      </c>
      <c r="F3390" s="195" t="s">
        <v>438</v>
      </c>
    </row>
    <row r="3391" spans="1:6" x14ac:dyDescent="0.25">
      <c r="A3391" s="189" t="str">
        <f t="shared" si="52"/>
        <v>CE-MD 5455.715.92N</v>
      </c>
      <c r="B3391" s="195" t="s">
        <v>2117</v>
      </c>
      <c r="C3391" s="196">
        <v>5.71</v>
      </c>
      <c r="D3391" s="196">
        <v>5.92</v>
      </c>
      <c r="E3391" s="195" t="s">
        <v>583</v>
      </c>
      <c r="F3391" s="195" t="s">
        <v>430</v>
      </c>
    </row>
    <row r="3392" spans="1:6" x14ac:dyDescent="0.25">
      <c r="A3392" s="189" t="str">
        <f t="shared" si="52"/>
        <v>CE-MD 5455.715.92S</v>
      </c>
      <c r="B3392" s="195" t="s">
        <v>2117</v>
      </c>
      <c r="C3392" s="196">
        <v>5.71</v>
      </c>
      <c r="D3392" s="196">
        <v>5.92</v>
      </c>
      <c r="E3392" s="195" t="s">
        <v>583</v>
      </c>
      <c r="F3392" s="195" t="s">
        <v>438</v>
      </c>
    </row>
    <row r="3393" spans="1:6" x14ac:dyDescent="0.25">
      <c r="A3393" s="189" t="str">
        <f t="shared" si="52"/>
        <v>CE-MD 591A00.28E</v>
      </c>
      <c r="B3393" s="195" t="s">
        <v>2118</v>
      </c>
      <c r="C3393" s="196">
        <v>0</v>
      </c>
      <c r="D3393" s="196">
        <v>0.28000000000000003</v>
      </c>
      <c r="E3393" s="195" t="s">
        <v>598</v>
      </c>
      <c r="F3393" s="195" t="s">
        <v>19</v>
      </c>
    </row>
    <row r="3394" spans="1:6" x14ac:dyDescent="0.25">
      <c r="A3394" s="189" t="str">
        <f t="shared" si="52"/>
        <v>CE-MD 591A00.28W</v>
      </c>
      <c r="B3394" s="195" t="s">
        <v>2118</v>
      </c>
      <c r="C3394" s="196">
        <v>0</v>
      </c>
      <c r="D3394" s="196">
        <v>0.28000000000000003</v>
      </c>
      <c r="E3394" s="195" t="s">
        <v>593</v>
      </c>
      <c r="F3394" s="195" t="s">
        <v>432</v>
      </c>
    </row>
    <row r="3395" spans="1:6" x14ac:dyDescent="0.25">
      <c r="A3395" s="189" t="str">
        <f t="shared" ref="A3395:A3458" si="53">B3395&amp;C3395&amp;D3395&amp;F3395</f>
        <v>CE-MD 591B00.8N</v>
      </c>
      <c r="B3395" s="195" t="s">
        <v>2119</v>
      </c>
      <c r="C3395" s="196">
        <v>0</v>
      </c>
      <c r="D3395" s="196">
        <v>0.8</v>
      </c>
      <c r="E3395" s="195" t="s">
        <v>589</v>
      </c>
      <c r="F3395" s="195" t="s">
        <v>430</v>
      </c>
    </row>
    <row r="3396" spans="1:6" x14ac:dyDescent="0.25">
      <c r="A3396" s="189" t="str">
        <f t="shared" si="53"/>
        <v>CE-MD 591B00.8S</v>
      </c>
      <c r="B3396" s="195" t="s">
        <v>2119</v>
      </c>
      <c r="C3396" s="196">
        <v>0</v>
      </c>
      <c r="D3396" s="196">
        <v>0.8</v>
      </c>
      <c r="E3396" s="195" t="s">
        <v>595</v>
      </c>
      <c r="F3396" s="195" t="s">
        <v>438</v>
      </c>
    </row>
    <row r="3397" spans="1:6" x14ac:dyDescent="0.25">
      <c r="A3397" s="189" t="str">
        <f t="shared" si="53"/>
        <v>CE-MD 72700.12N</v>
      </c>
      <c r="B3397" s="195" t="s">
        <v>2120</v>
      </c>
      <c r="C3397" s="196">
        <v>0</v>
      </c>
      <c r="D3397" s="196">
        <v>0.12</v>
      </c>
      <c r="E3397" s="195" t="s">
        <v>589</v>
      </c>
      <c r="F3397" s="195" t="s">
        <v>430</v>
      </c>
    </row>
    <row r="3398" spans="1:6" x14ac:dyDescent="0.25">
      <c r="A3398" s="189" t="str">
        <f t="shared" si="53"/>
        <v>CE-MD 72700.12S</v>
      </c>
      <c r="B3398" s="195" t="s">
        <v>2120</v>
      </c>
      <c r="C3398" s="196">
        <v>0</v>
      </c>
      <c r="D3398" s="196">
        <v>0.12</v>
      </c>
      <c r="E3398" s="195" t="s">
        <v>595</v>
      </c>
      <c r="F3398" s="195" t="s">
        <v>438</v>
      </c>
    </row>
    <row r="3399" spans="1:6" x14ac:dyDescent="0.25">
      <c r="A3399" s="189" t="str">
        <f t="shared" si="53"/>
        <v>CE-MD 727A00.09N</v>
      </c>
      <c r="B3399" s="195" t="s">
        <v>2121</v>
      </c>
      <c r="C3399" s="196">
        <v>0</v>
      </c>
      <c r="D3399" s="196">
        <v>0.09</v>
      </c>
      <c r="E3399" s="195" t="s">
        <v>589</v>
      </c>
      <c r="F3399" s="195" t="s">
        <v>430</v>
      </c>
    </row>
    <row r="3400" spans="1:6" x14ac:dyDescent="0.25">
      <c r="A3400" s="189" t="str">
        <f t="shared" si="53"/>
        <v>CE-MD 727A00.09S</v>
      </c>
      <c r="B3400" s="195" t="s">
        <v>2121</v>
      </c>
      <c r="C3400" s="196">
        <v>0</v>
      </c>
      <c r="D3400" s="196">
        <v>0.09</v>
      </c>
      <c r="E3400" s="195" t="s">
        <v>595</v>
      </c>
      <c r="F3400" s="195" t="s">
        <v>438</v>
      </c>
    </row>
    <row r="3401" spans="1:6" x14ac:dyDescent="0.25">
      <c r="A3401" s="189" t="str">
        <f t="shared" si="53"/>
        <v>CE-MD 78101.01N</v>
      </c>
      <c r="B3401" s="195" t="s">
        <v>2122</v>
      </c>
      <c r="C3401" s="196">
        <v>0</v>
      </c>
      <c r="D3401" s="196">
        <v>1.01</v>
      </c>
      <c r="E3401" s="195" t="s">
        <v>583</v>
      </c>
      <c r="F3401" s="195" t="s">
        <v>430</v>
      </c>
    </row>
    <row r="3402" spans="1:6" x14ac:dyDescent="0.25">
      <c r="A3402" s="189" t="str">
        <f t="shared" si="53"/>
        <v>CE-MD 78101.01S</v>
      </c>
      <c r="B3402" s="195" t="s">
        <v>2122</v>
      </c>
      <c r="C3402" s="196">
        <v>0</v>
      </c>
      <c r="D3402" s="196">
        <v>1.01</v>
      </c>
      <c r="E3402" s="195" t="s">
        <v>583</v>
      </c>
      <c r="F3402" s="195" t="s">
        <v>438</v>
      </c>
    </row>
    <row r="3403" spans="1:6" x14ac:dyDescent="0.25">
      <c r="A3403" s="189" t="str">
        <f t="shared" si="53"/>
        <v>CE-MD 7B0.451.19N</v>
      </c>
      <c r="B3403" s="195" t="s">
        <v>2123</v>
      </c>
      <c r="C3403" s="196">
        <v>0.45</v>
      </c>
      <c r="D3403" s="196">
        <v>1.19</v>
      </c>
      <c r="E3403" s="195" t="s">
        <v>583</v>
      </c>
      <c r="F3403" s="195" t="s">
        <v>430</v>
      </c>
    </row>
    <row r="3404" spans="1:6" x14ac:dyDescent="0.25">
      <c r="A3404" s="189" t="str">
        <f t="shared" si="53"/>
        <v>CE-MD 7B0.451.19S</v>
      </c>
      <c r="B3404" s="195" t="s">
        <v>2123</v>
      </c>
      <c r="C3404" s="196">
        <v>0.45</v>
      </c>
      <c r="D3404" s="196">
        <v>1.19</v>
      </c>
      <c r="E3404" s="195" t="s">
        <v>583</v>
      </c>
      <c r="F3404" s="195" t="s">
        <v>438</v>
      </c>
    </row>
    <row r="3405" spans="1:6" x14ac:dyDescent="0.25">
      <c r="A3405" s="189" t="str">
        <f t="shared" si="53"/>
        <v>CE-MD 7B1.193.56N</v>
      </c>
      <c r="B3405" s="195" t="s">
        <v>2123</v>
      </c>
      <c r="C3405" s="196">
        <v>1.19</v>
      </c>
      <c r="D3405" s="196">
        <v>3.56</v>
      </c>
      <c r="E3405" s="195" t="s">
        <v>583</v>
      </c>
      <c r="F3405" s="195" t="s">
        <v>430</v>
      </c>
    </row>
    <row r="3406" spans="1:6" x14ac:dyDescent="0.25">
      <c r="A3406" s="189" t="str">
        <f t="shared" si="53"/>
        <v>CE-MD 7B1.193.56S</v>
      </c>
      <c r="B3406" s="195" t="s">
        <v>2123</v>
      </c>
      <c r="C3406" s="196">
        <v>1.19</v>
      </c>
      <c r="D3406" s="196">
        <v>3.56</v>
      </c>
      <c r="E3406" s="195" t="s">
        <v>583</v>
      </c>
      <c r="F3406" s="195" t="s">
        <v>438</v>
      </c>
    </row>
    <row r="3407" spans="1:6" x14ac:dyDescent="0.25">
      <c r="A3407" s="189" t="str">
        <f t="shared" si="53"/>
        <v>CE-MD 7C01.23N</v>
      </c>
      <c r="B3407" s="195" t="s">
        <v>2124</v>
      </c>
      <c r="C3407" s="196">
        <v>0</v>
      </c>
      <c r="D3407" s="196">
        <v>1.23</v>
      </c>
      <c r="E3407" s="195" t="s">
        <v>583</v>
      </c>
      <c r="F3407" s="195" t="s">
        <v>430</v>
      </c>
    </row>
    <row r="3408" spans="1:6" x14ac:dyDescent="0.25">
      <c r="A3408" s="189" t="str">
        <f t="shared" si="53"/>
        <v>CE-MD 7C01.23S</v>
      </c>
      <c r="B3408" s="195" t="s">
        <v>2124</v>
      </c>
      <c r="C3408" s="196">
        <v>0</v>
      </c>
      <c r="D3408" s="196">
        <v>1.23</v>
      </c>
      <c r="E3408" s="195" t="s">
        <v>583</v>
      </c>
      <c r="F3408" s="195" t="s">
        <v>438</v>
      </c>
    </row>
    <row r="3409" spans="1:6" x14ac:dyDescent="0.25">
      <c r="A3409" s="189" t="str">
        <f t="shared" si="53"/>
        <v>CE-MD 7C1.234.85N</v>
      </c>
      <c r="B3409" s="195" t="s">
        <v>2124</v>
      </c>
      <c r="C3409" s="196">
        <v>1.23</v>
      </c>
      <c r="D3409" s="196">
        <v>4.8499999999999996</v>
      </c>
      <c r="E3409" s="195" t="s">
        <v>583</v>
      </c>
      <c r="F3409" s="195" t="s">
        <v>430</v>
      </c>
    </row>
    <row r="3410" spans="1:6" x14ac:dyDescent="0.25">
      <c r="A3410" s="189" t="str">
        <f t="shared" si="53"/>
        <v>CE-MD 7C1.234.85S</v>
      </c>
      <c r="B3410" s="195" t="s">
        <v>2124</v>
      </c>
      <c r="C3410" s="196">
        <v>1.23</v>
      </c>
      <c r="D3410" s="196">
        <v>4.8499999999999996</v>
      </c>
      <c r="E3410" s="195" t="s">
        <v>583</v>
      </c>
      <c r="F3410" s="195" t="s">
        <v>438</v>
      </c>
    </row>
    <row r="3411" spans="1:6" x14ac:dyDescent="0.25">
      <c r="A3411" s="189" t="str">
        <f t="shared" si="53"/>
        <v>CE-MD 7C4.855.44N</v>
      </c>
      <c r="B3411" s="195" t="s">
        <v>2124</v>
      </c>
      <c r="C3411" s="196">
        <v>4.8499999999999996</v>
      </c>
      <c r="D3411" s="196">
        <v>5.44</v>
      </c>
      <c r="E3411" s="195" t="s">
        <v>583</v>
      </c>
      <c r="F3411" s="195" t="s">
        <v>430</v>
      </c>
    </row>
    <row r="3412" spans="1:6" x14ac:dyDescent="0.25">
      <c r="A3412" s="189" t="str">
        <f t="shared" si="53"/>
        <v>CE-MD 7C4.855.44S</v>
      </c>
      <c r="B3412" s="195" t="s">
        <v>2124</v>
      </c>
      <c r="C3412" s="196">
        <v>4.8499999999999996</v>
      </c>
      <c r="D3412" s="196">
        <v>5.44</v>
      </c>
      <c r="E3412" s="195" t="s">
        <v>583</v>
      </c>
      <c r="F3412" s="195" t="s">
        <v>438</v>
      </c>
    </row>
    <row r="3413" spans="1:6" x14ac:dyDescent="0.25">
      <c r="A3413" s="189" t="str">
        <f t="shared" si="53"/>
        <v>CE-MD 7C5.447.89N</v>
      </c>
      <c r="B3413" s="195" t="s">
        <v>2124</v>
      </c>
      <c r="C3413" s="196">
        <v>5.44</v>
      </c>
      <c r="D3413" s="196">
        <v>7.89</v>
      </c>
      <c r="E3413" s="195" t="s">
        <v>583</v>
      </c>
      <c r="F3413" s="195" t="s">
        <v>430</v>
      </c>
    </row>
    <row r="3414" spans="1:6" x14ac:dyDescent="0.25">
      <c r="A3414" s="189" t="str">
        <f t="shared" si="53"/>
        <v>CE-MD 7C5.447.89S</v>
      </c>
      <c r="B3414" s="195" t="s">
        <v>2124</v>
      </c>
      <c r="C3414" s="196">
        <v>5.44</v>
      </c>
      <c r="D3414" s="196">
        <v>7.89</v>
      </c>
      <c r="E3414" s="195" t="s">
        <v>583</v>
      </c>
      <c r="F3414" s="195" t="s">
        <v>438</v>
      </c>
    </row>
    <row r="3415" spans="1:6" x14ac:dyDescent="0.25">
      <c r="A3415" s="189" t="str">
        <f t="shared" si="53"/>
        <v>CE-MD 7C7.899.73N</v>
      </c>
      <c r="B3415" s="195" t="s">
        <v>2124</v>
      </c>
      <c r="C3415" s="196">
        <v>7.89</v>
      </c>
      <c r="D3415" s="196">
        <v>9.73</v>
      </c>
      <c r="E3415" s="195" t="s">
        <v>583</v>
      </c>
      <c r="F3415" s="195" t="s">
        <v>430</v>
      </c>
    </row>
    <row r="3416" spans="1:6" x14ac:dyDescent="0.25">
      <c r="A3416" s="189" t="str">
        <f t="shared" si="53"/>
        <v>CE-MD 7C7.899.73S</v>
      </c>
      <c r="B3416" s="195" t="s">
        <v>2124</v>
      </c>
      <c r="C3416" s="196">
        <v>7.89</v>
      </c>
      <c r="D3416" s="196">
        <v>9.73</v>
      </c>
      <c r="E3416" s="195" t="s">
        <v>583</v>
      </c>
      <c r="F3416" s="195" t="s">
        <v>438</v>
      </c>
    </row>
    <row r="3417" spans="1:6" x14ac:dyDescent="0.25">
      <c r="A3417" s="189" t="str">
        <f t="shared" si="53"/>
        <v>CE-MD 7D1.061.66E</v>
      </c>
      <c r="B3417" s="195" t="s">
        <v>2125</v>
      </c>
      <c r="C3417" s="196">
        <v>1.06</v>
      </c>
      <c r="D3417" s="196">
        <v>1.66</v>
      </c>
      <c r="E3417" s="195" t="s">
        <v>583</v>
      </c>
      <c r="F3417" s="195" t="s">
        <v>19</v>
      </c>
    </row>
    <row r="3418" spans="1:6" x14ac:dyDescent="0.25">
      <c r="A3418" s="189" t="str">
        <f t="shared" si="53"/>
        <v>CE-MD 7D1.061.66W</v>
      </c>
      <c r="B3418" s="195" t="s">
        <v>2125</v>
      </c>
      <c r="C3418" s="196">
        <v>1.06</v>
      </c>
      <c r="D3418" s="196">
        <v>1.66</v>
      </c>
      <c r="E3418" s="195" t="s">
        <v>583</v>
      </c>
      <c r="F3418" s="195" t="s">
        <v>432</v>
      </c>
    </row>
    <row r="3419" spans="1:6" x14ac:dyDescent="0.25">
      <c r="A3419" s="189" t="str">
        <f t="shared" si="53"/>
        <v>CE-MD 7D1.662.51E</v>
      </c>
      <c r="B3419" s="195" t="s">
        <v>2125</v>
      </c>
      <c r="C3419" s="196">
        <v>1.66</v>
      </c>
      <c r="D3419" s="196">
        <v>2.5099999999999998</v>
      </c>
      <c r="E3419" s="195" t="s">
        <v>583</v>
      </c>
      <c r="F3419" s="195" t="s">
        <v>19</v>
      </c>
    </row>
    <row r="3420" spans="1:6" x14ac:dyDescent="0.25">
      <c r="A3420" s="189" t="str">
        <f t="shared" si="53"/>
        <v>CE-MD 7D1.662.51W</v>
      </c>
      <c r="B3420" s="195" t="s">
        <v>2125</v>
      </c>
      <c r="C3420" s="196">
        <v>1.66</v>
      </c>
      <c r="D3420" s="196">
        <v>2.5099999999999998</v>
      </c>
      <c r="E3420" s="195" t="s">
        <v>583</v>
      </c>
      <c r="F3420" s="195" t="s">
        <v>432</v>
      </c>
    </row>
    <row r="3421" spans="1:6" x14ac:dyDescent="0.25">
      <c r="A3421" s="189" t="str">
        <f t="shared" si="53"/>
        <v>CE-MD 7E00.09N</v>
      </c>
      <c r="B3421" s="195" t="s">
        <v>2126</v>
      </c>
      <c r="C3421" s="196">
        <v>0</v>
      </c>
      <c r="D3421" s="196">
        <v>0.09</v>
      </c>
      <c r="E3421" s="195" t="s">
        <v>589</v>
      </c>
      <c r="F3421" s="195" t="s">
        <v>430</v>
      </c>
    </row>
    <row r="3422" spans="1:6" x14ac:dyDescent="0.25">
      <c r="A3422" s="189" t="str">
        <f t="shared" si="53"/>
        <v>CE-MD 7H00.12N</v>
      </c>
      <c r="B3422" s="195" t="s">
        <v>2127</v>
      </c>
      <c r="C3422" s="196">
        <v>0</v>
      </c>
      <c r="D3422" s="196">
        <v>0.12</v>
      </c>
      <c r="E3422" s="195" t="s">
        <v>589</v>
      </c>
      <c r="F3422" s="195" t="s">
        <v>430</v>
      </c>
    </row>
    <row r="3423" spans="1:6" x14ac:dyDescent="0.25">
      <c r="A3423" s="189" t="str">
        <f t="shared" si="53"/>
        <v>CE-MD 7H00.12S</v>
      </c>
      <c r="B3423" s="195" t="s">
        <v>2127</v>
      </c>
      <c r="C3423" s="196">
        <v>0</v>
      </c>
      <c r="D3423" s="196">
        <v>0.12</v>
      </c>
      <c r="E3423" s="195" t="s">
        <v>595</v>
      </c>
      <c r="F3423" s="195" t="s">
        <v>438</v>
      </c>
    </row>
    <row r="3424" spans="1:6" x14ac:dyDescent="0.25">
      <c r="A3424" s="189" t="str">
        <f t="shared" si="53"/>
        <v>CE-MD 7K00.13E</v>
      </c>
      <c r="B3424" s="195" t="s">
        <v>2128</v>
      </c>
      <c r="C3424" s="196">
        <v>0</v>
      </c>
      <c r="D3424" s="196">
        <v>0.13</v>
      </c>
      <c r="E3424" s="195" t="s">
        <v>598</v>
      </c>
      <c r="F3424" s="195" t="s">
        <v>19</v>
      </c>
    </row>
    <row r="3425" spans="1:6" x14ac:dyDescent="0.25">
      <c r="A3425" s="189" t="str">
        <f t="shared" si="53"/>
        <v>CE-MD 7K00.13W</v>
      </c>
      <c r="B3425" s="195" t="s">
        <v>2128</v>
      </c>
      <c r="C3425" s="196">
        <v>0</v>
      </c>
      <c r="D3425" s="196">
        <v>0.13</v>
      </c>
      <c r="E3425" s="195" t="s">
        <v>593</v>
      </c>
      <c r="F3425" s="195" t="s">
        <v>432</v>
      </c>
    </row>
    <row r="3426" spans="1:6" x14ac:dyDescent="0.25">
      <c r="A3426" s="189" t="str">
        <f t="shared" si="53"/>
        <v>CE-MD 824A00.55N</v>
      </c>
      <c r="B3426" s="195" t="s">
        <v>2129</v>
      </c>
      <c r="C3426" s="196">
        <v>0</v>
      </c>
      <c r="D3426" s="196">
        <v>0.55000000000000004</v>
      </c>
      <c r="E3426" s="195" t="s">
        <v>583</v>
      </c>
      <c r="F3426" s="195" t="s">
        <v>430</v>
      </c>
    </row>
    <row r="3427" spans="1:6" x14ac:dyDescent="0.25">
      <c r="A3427" s="189" t="str">
        <f t="shared" si="53"/>
        <v>CE-MD 824A00.55S</v>
      </c>
      <c r="B3427" s="195" t="s">
        <v>2129</v>
      </c>
      <c r="C3427" s="196">
        <v>0</v>
      </c>
      <c r="D3427" s="196">
        <v>0.55000000000000004</v>
      </c>
      <c r="E3427" s="195" t="s">
        <v>583</v>
      </c>
      <c r="F3427" s="195" t="s">
        <v>438</v>
      </c>
    </row>
    <row r="3428" spans="1:6" x14ac:dyDescent="0.25">
      <c r="A3428" s="189" t="str">
        <f t="shared" si="53"/>
        <v>CE-MD 824A0.551.06N</v>
      </c>
      <c r="B3428" s="195" t="s">
        <v>2129</v>
      </c>
      <c r="C3428" s="196">
        <v>0.55000000000000004</v>
      </c>
      <c r="D3428" s="196">
        <v>1.06</v>
      </c>
      <c r="E3428" s="195" t="s">
        <v>583</v>
      </c>
      <c r="F3428" s="195" t="s">
        <v>430</v>
      </c>
    </row>
    <row r="3429" spans="1:6" x14ac:dyDescent="0.25">
      <c r="A3429" s="189" t="str">
        <f t="shared" si="53"/>
        <v>CE-MD 824A0.551.06S</v>
      </c>
      <c r="B3429" s="195" t="s">
        <v>2129</v>
      </c>
      <c r="C3429" s="196">
        <v>0.55000000000000004</v>
      </c>
      <c r="D3429" s="196">
        <v>1.06</v>
      </c>
      <c r="E3429" s="195" t="s">
        <v>583</v>
      </c>
      <c r="F3429" s="195" t="s">
        <v>438</v>
      </c>
    </row>
    <row r="3430" spans="1:6" x14ac:dyDescent="0.25">
      <c r="A3430" s="189" t="str">
        <f t="shared" si="53"/>
        <v>CE-MD 89600.21N</v>
      </c>
      <c r="B3430" s="195" t="s">
        <v>2130</v>
      </c>
      <c r="C3430" s="196">
        <v>0</v>
      </c>
      <c r="D3430" s="196">
        <v>0.21</v>
      </c>
      <c r="E3430" s="195" t="s">
        <v>589</v>
      </c>
      <c r="F3430" s="195" t="s">
        <v>430</v>
      </c>
    </row>
    <row r="3431" spans="1:6" x14ac:dyDescent="0.25">
      <c r="A3431" s="189" t="str">
        <f t="shared" si="53"/>
        <v>CE-MD 89600.21S</v>
      </c>
      <c r="B3431" s="195" t="s">
        <v>2130</v>
      </c>
      <c r="C3431" s="196">
        <v>0</v>
      </c>
      <c r="D3431" s="196">
        <v>0.21</v>
      </c>
      <c r="E3431" s="195" t="s">
        <v>595</v>
      </c>
      <c r="F3431" s="195" t="s">
        <v>438</v>
      </c>
    </row>
    <row r="3432" spans="1:6" x14ac:dyDescent="0.25">
      <c r="A3432" s="189" t="str">
        <f t="shared" si="53"/>
        <v>CE-US 100.44N</v>
      </c>
      <c r="B3432" s="195" t="s">
        <v>2131</v>
      </c>
      <c r="C3432" s="196">
        <v>0</v>
      </c>
      <c r="D3432" s="196">
        <v>0.44</v>
      </c>
      <c r="E3432" s="195" t="s">
        <v>583</v>
      </c>
      <c r="F3432" s="195" t="s">
        <v>430</v>
      </c>
    </row>
    <row r="3433" spans="1:6" x14ac:dyDescent="0.25">
      <c r="A3433" s="189" t="str">
        <f t="shared" si="53"/>
        <v>CE-US 100.44S</v>
      </c>
      <c r="B3433" s="195" t="s">
        <v>2131</v>
      </c>
      <c r="C3433" s="196">
        <v>0</v>
      </c>
      <c r="D3433" s="196">
        <v>0.44</v>
      </c>
      <c r="E3433" s="195" t="s">
        <v>583</v>
      </c>
      <c r="F3433" s="195" t="s">
        <v>438</v>
      </c>
    </row>
    <row r="3434" spans="1:6" x14ac:dyDescent="0.25">
      <c r="A3434" s="189" t="str">
        <f t="shared" si="53"/>
        <v>CE-US 10.440.47S</v>
      </c>
      <c r="B3434" s="195" t="s">
        <v>2131</v>
      </c>
      <c r="C3434" s="196">
        <v>0.44</v>
      </c>
      <c r="D3434" s="196">
        <v>0.47</v>
      </c>
      <c r="E3434" s="195" t="s">
        <v>595</v>
      </c>
      <c r="F3434" s="195" t="s">
        <v>438</v>
      </c>
    </row>
    <row r="3435" spans="1:6" x14ac:dyDescent="0.25">
      <c r="A3435" s="189" t="str">
        <f t="shared" si="53"/>
        <v>CE-US 10.440.54N</v>
      </c>
      <c r="B3435" s="195" t="s">
        <v>2131</v>
      </c>
      <c r="C3435" s="196">
        <v>0.44</v>
      </c>
      <c r="D3435" s="196">
        <v>0.54</v>
      </c>
      <c r="E3435" s="195" t="s">
        <v>589</v>
      </c>
      <c r="F3435" s="195" t="s">
        <v>430</v>
      </c>
    </row>
    <row r="3436" spans="1:6" x14ac:dyDescent="0.25">
      <c r="A3436" s="189" t="str">
        <f t="shared" si="53"/>
        <v>CE-US 10.475.15S</v>
      </c>
      <c r="B3436" s="195" t="s">
        <v>2131</v>
      </c>
      <c r="C3436" s="196">
        <v>0.47</v>
      </c>
      <c r="D3436" s="196">
        <v>5.15</v>
      </c>
      <c r="E3436" s="195" t="s">
        <v>595</v>
      </c>
      <c r="F3436" s="195" t="s">
        <v>438</v>
      </c>
    </row>
    <row r="3437" spans="1:6" x14ac:dyDescent="0.25">
      <c r="A3437" s="189" t="str">
        <f t="shared" si="53"/>
        <v>CE-US 10.540.56N</v>
      </c>
      <c r="B3437" s="195" t="s">
        <v>2131</v>
      </c>
      <c r="C3437" s="196">
        <v>0.54</v>
      </c>
      <c r="D3437" s="196">
        <v>0.56000000000000005</v>
      </c>
      <c r="E3437" s="195" t="s">
        <v>589</v>
      </c>
      <c r="F3437" s="195" t="s">
        <v>430</v>
      </c>
    </row>
    <row r="3438" spans="1:6" x14ac:dyDescent="0.25">
      <c r="A3438" s="189" t="str">
        <f t="shared" si="53"/>
        <v>CE-US 10.560.85N</v>
      </c>
      <c r="B3438" s="195" t="s">
        <v>2131</v>
      </c>
      <c r="C3438" s="196">
        <v>0.56000000000000005</v>
      </c>
      <c r="D3438" s="196">
        <v>0.85</v>
      </c>
      <c r="E3438" s="195" t="s">
        <v>589</v>
      </c>
      <c r="F3438" s="195" t="s">
        <v>430</v>
      </c>
    </row>
    <row r="3439" spans="1:6" x14ac:dyDescent="0.25">
      <c r="A3439" s="189" t="str">
        <f t="shared" si="53"/>
        <v>CE-US 10.850.92N</v>
      </c>
      <c r="B3439" s="195" t="s">
        <v>2131</v>
      </c>
      <c r="C3439" s="196">
        <v>0.85</v>
      </c>
      <c r="D3439" s="196">
        <v>0.92</v>
      </c>
      <c r="E3439" s="195" t="s">
        <v>589</v>
      </c>
      <c r="F3439" s="195" t="s">
        <v>430</v>
      </c>
    </row>
    <row r="3440" spans="1:6" x14ac:dyDescent="0.25">
      <c r="A3440" s="189" t="str">
        <f t="shared" si="53"/>
        <v>CE-US 10.925.15N</v>
      </c>
      <c r="B3440" s="195" t="s">
        <v>2131</v>
      </c>
      <c r="C3440" s="196">
        <v>0.92</v>
      </c>
      <c r="D3440" s="196">
        <v>5.15</v>
      </c>
      <c r="E3440" s="195" t="s">
        <v>589</v>
      </c>
      <c r="F3440" s="195" t="s">
        <v>430</v>
      </c>
    </row>
    <row r="3441" spans="1:6" x14ac:dyDescent="0.25">
      <c r="A3441" s="189" t="str">
        <f t="shared" si="53"/>
        <v>CE-US 15.155.4N</v>
      </c>
      <c r="B3441" s="195" t="s">
        <v>2131</v>
      </c>
      <c r="C3441" s="196">
        <v>5.15</v>
      </c>
      <c r="D3441" s="196">
        <v>5.4</v>
      </c>
      <c r="E3441" s="195" t="s">
        <v>583</v>
      </c>
      <c r="F3441" s="195" t="s">
        <v>430</v>
      </c>
    </row>
    <row r="3442" spans="1:6" x14ac:dyDescent="0.25">
      <c r="A3442" s="189" t="str">
        <f t="shared" si="53"/>
        <v>CE-US 15.155.4S</v>
      </c>
      <c r="B3442" s="195" t="s">
        <v>2131</v>
      </c>
      <c r="C3442" s="196">
        <v>5.15</v>
      </c>
      <c r="D3442" s="196">
        <v>5.4</v>
      </c>
      <c r="E3442" s="195" t="s">
        <v>583</v>
      </c>
      <c r="F3442" s="195" t="s">
        <v>438</v>
      </c>
    </row>
    <row r="3443" spans="1:6" x14ac:dyDescent="0.25">
      <c r="A3443" s="189" t="str">
        <f t="shared" si="53"/>
        <v>CE-US 15.47.01N</v>
      </c>
      <c r="B3443" s="195" t="s">
        <v>2131</v>
      </c>
      <c r="C3443" s="196">
        <v>5.4</v>
      </c>
      <c r="D3443" s="196">
        <v>7.01</v>
      </c>
      <c r="E3443" s="195" t="s">
        <v>583</v>
      </c>
      <c r="F3443" s="195" t="s">
        <v>430</v>
      </c>
    </row>
    <row r="3444" spans="1:6" x14ac:dyDescent="0.25">
      <c r="A3444" s="189" t="str">
        <f t="shared" si="53"/>
        <v>CE-US 15.47.01S</v>
      </c>
      <c r="B3444" s="195" t="s">
        <v>2131</v>
      </c>
      <c r="C3444" s="196">
        <v>5.4</v>
      </c>
      <c r="D3444" s="196">
        <v>7.01</v>
      </c>
      <c r="E3444" s="195" t="s">
        <v>583</v>
      </c>
      <c r="F3444" s="195" t="s">
        <v>438</v>
      </c>
    </row>
    <row r="3445" spans="1:6" x14ac:dyDescent="0.25">
      <c r="A3445" s="189" t="str">
        <f t="shared" si="53"/>
        <v>CE-US 17.019.23N</v>
      </c>
      <c r="B3445" s="195" t="s">
        <v>2131</v>
      </c>
      <c r="C3445" s="196">
        <v>7.01</v>
      </c>
      <c r="D3445" s="196">
        <v>9.23</v>
      </c>
      <c r="E3445" s="195" t="s">
        <v>583</v>
      </c>
      <c r="F3445" s="195" t="s">
        <v>430</v>
      </c>
    </row>
    <row r="3446" spans="1:6" x14ac:dyDescent="0.25">
      <c r="A3446" s="189" t="str">
        <f t="shared" si="53"/>
        <v>CE-US 17.019.23S</v>
      </c>
      <c r="B3446" s="195" t="s">
        <v>2131</v>
      </c>
      <c r="C3446" s="196">
        <v>7.01</v>
      </c>
      <c r="D3446" s="196">
        <v>9.23</v>
      </c>
      <c r="E3446" s="195" t="s">
        <v>583</v>
      </c>
      <c r="F3446" s="195" t="s">
        <v>438</v>
      </c>
    </row>
    <row r="3447" spans="1:6" x14ac:dyDescent="0.25">
      <c r="A3447" s="189" t="str">
        <f t="shared" si="53"/>
        <v>CE-US 22203.61N</v>
      </c>
      <c r="B3447" s="195" t="s">
        <v>2132</v>
      </c>
      <c r="C3447" s="196">
        <v>0</v>
      </c>
      <c r="D3447" s="196">
        <v>3.61</v>
      </c>
      <c r="E3447" s="195" t="s">
        <v>583</v>
      </c>
      <c r="F3447" s="195" t="s">
        <v>430</v>
      </c>
    </row>
    <row r="3448" spans="1:6" x14ac:dyDescent="0.25">
      <c r="A3448" s="189" t="str">
        <f t="shared" si="53"/>
        <v>CE-US 22203.61S</v>
      </c>
      <c r="B3448" s="195" t="s">
        <v>2132</v>
      </c>
      <c r="C3448" s="196">
        <v>0</v>
      </c>
      <c r="D3448" s="196">
        <v>3.61</v>
      </c>
      <c r="E3448" s="195" t="s">
        <v>583</v>
      </c>
      <c r="F3448" s="195" t="s">
        <v>438</v>
      </c>
    </row>
    <row r="3449" spans="1:6" x14ac:dyDescent="0.25">
      <c r="A3449" s="189" t="str">
        <f t="shared" si="53"/>
        <v>CH-MD 210J00.15N</v>
      </c>
      <c r="B3449" s="195" t="s">
        <v>2133</v>
      </c>
      <c r="C3449" s="196">
        <v>0</v>
      </c>
      <c r="D3449" s="196">
        <v>0.15</v>
      </c>
      <c r="E3449" s="195" t="s">
        <v>589</v>
      </c>
      <c r="F3449" s="195" t="s">
        <v>430</v>
      </c>
    </row>
    <row r="3450" spans="1:6" x14ac:dyDescent="0.25">
      <c r="A3450" s="189" t="str">
        <f t="shared" si="53"/>
        <v>CH-MD 210J00.15S</v>
      </c>
      <c r="B3450" s="195" t="s">
        <v>2133</v>
      </c>
      <c r="C3450" s="196">
        <v>0</v>
      </c>
      <c r="D3450" s="196">
        <v>0.15</v>
      </c>
      <c r="E3450" s="195" t="s">
        <v>595</v>
      </c>
      <c r="F3450" s="195" t="s">
        <v>438</v>
      </c>
    </row>
    <row r="3451" spans="1:6" x14ac:dyDescent="0.25">
      <c r="A3451" s="189" t="str">
        <f t="shared" si="53"/>
        <v>CH-MD 22405.75N</v>
      </c>
      <c r="B3451" s="195" t="s">
        <v>2134</v>
      </c>
      <c r="C3451" s="196">
        <v>0</v>
      </c>
      <c r="D3451" s="196">
        <v>5.75</v>
      </c>
      <c r="E3451" s="195" t="s">
        <v>583</v>
      </c>
      <c r="F3451" s="195" t="s">
        <v>430</v>
      </c>
    </row>
    <row r="3452" spans="1:6" x14ac:dyDescent="0.25">
      <c r="A3452" s="189" t="str">
        <f t="shared" si="53"/>
        <v>CH-MD 22405.75S</v>
      </c>
      <c r="B3452" s="195" t="s">
        <v>2134</v>
      </c>
      <c r="C3452" s="196">
        <v>0</v>
      </c>
      <c r="D3452" s="196">
        <v>5.75</v>
      </c>
      <c r="E3452" s="195" t="s">
        <v>583</v>
      </c>
      <c r="F3452" s="195" t="s">
        <v>438</v>
      </c>
    </row>
    <row r="3453" spans="1:6" x14ac:dyDescent="0.25">
      <c r="A3453" s="189" t="str">
        <f t="shared" si="53"/>
        <v>CH-MD 2245.7512.15N</v>
      </c>
      <c r="B3453" s="195" t="s">
        <v>2134</v>
      </c>
      <c r="C3453" s="196">
        <v>5.75</v>
      </c>
      <c r="D3453" s="196">
        <v>12.15</v>
      </c>
      <c r="E3453" s="195" t="s">
        <v>583</v>
      </c>
      <c r="F3453" s="195" t="s">
        <v>430</v>
      </c>
    </row>
    <row r="3454" spans="1:6" x14ac:dyDescent="0.25">
      <c r="A3454" s="189" t="str">
        <f t="shared" si="53"/>
        <v>CH-MD 2245.7512.15S</v>
      </c>
      <c r="B3454" s="195" t="s">
        <v>2134</v>
      </c>
      <c r="C3454" s="196">
        <v>5.75</v>
      </c>
      <c r="D3454" s="196">
        <v>12.15</v>
      </c>
      <c r="E3454" s="195" t="s">
        <v>583</v>
      </c>
      <c r="F3454" s="195" t="s">
        <v>438</v>
      </c>
    </row>
    <row r="3455" spans="1:6" x14ac:dyDescent="0.25">
      <c r="A3455" s="189" t="str">
        <f t="shared" si="53"/>
        <v>CH-MD 22412.1514.82N</v>
      </c>
      <c r="B3455" s="195" t="s">
        <v>2134</v>
      </c>
      <c r="C3455" s="196">
        <v>12.15</v>
      </c>
      <c r="D3455" s="196">
        <v>14.82</v>
      </c>
      <c r="E3455" s="195" t="s">
        <v>583</v>
      </c>
      <c r="F3455" s="195" t="s">
        <v>430</v>
      </c>
    </row>
    <row r="3456" spans="1:6" x14ac:dyDescent="0.25">
      <c r="A3456" s="189" t="str">
        <f t="shared" si="53"/>
        <v>CH-MD 22412.1514.82S</v>
      </c>
      <c r="B3456" s="195" t="s">
        <v>2134</v>
      </c>
      <c r="C3456" s="196">
        <v>12.15</v>
      </c>
      <c r="D3456" s="196">
        <v>14.82</v>
      </c>
      <c r="E3456" s="195" t="s">
        <v>583</v>
      </c>
      <c r="F3456" s="195" t="s">
        <v>438</v>
      </c>
    </row>
    <row r="3457" spans="1:6" x14ac:dyDescent="0.25">
      <c r="A3457" s="189" t="str">
        <f t="shared" si="53"/>
        <v>CH-MD 22414.8215.85N</v>
      </c>
      <c r="B3457" s="195" t="s">
        <v>2134</v>
      </c>
      <c r="C3457" s="196">
        <v>14.82</v>
      </c>
      <c r="D3457" s="196">
        <v>15.85</v>
      </c>
      <c r="E3457" s="195" t="s">
        <v>583</v>
      </c>
      <c r="F3457" s="195" t="s">
        <v>430</v>
      </c>
    </row>
    <row r="3458" spans="1:6" x14ac:dyDescent="0.25">
      <c r="A3458" s="189" t="str">
        <f t="shared" si="53"/>
        <v>CH-MD 22414.8215.85S</v>
      </c>
      <c r="B3458" s="195" t="s">
        <v>2134</v>
      </c>
      <c r="C3458" s="196">
        <v>14.82</v>
      </c>
      <c r="D3458" s="196">
        <v>15.85</v>
      </c>
      <c r="E3458" s="195" t="s">
        <v>583</v>
      </c>
      <c r="F3458" s="195" t="s">
        <v>438</v>
      </c>
    </row>
    <row r="3459" spans="1:6" x14ac:dyDescent="0.25">
      <c r="A3459" s="189" t="str">
        <f t="shared" ref="A3459:A3522" si="54">B3459&amp;C3459&amp;D3459&amp;F3459</f>
        <v>CH-MD 22415.8519.5N</v>
      </c>
      <c r="B3459" s="195" t="s">
        <v>2134</v>
      </c>
      <c r="C3459" s="196">
        <v>15.85</v>
      </c>
      <c r="D3459" s="196">
        <v>19.5</v>
      </c>
      <c r="E3459" s="195" t="s">
        <v>583</v>
      </c>
      <c r="F3459" s="195" t="s">
        <v>430</v>
      </c>
    </row>
    <row r="3460" spans="1:6" x14ac:dyDescent="0.25">
      <c r="A3460" s="189" t="str">
        <f t="shared" si="54"/>
        <v>CH-MD 22415.8519.5S</v>
      </c>
      <c r="B3460" s="195" t="s">
        <v>2134</v>
      </c>
      <c r="C3460" s="196">
        <v>15.85</v>
      </c>
      <c r="D3460" s="196">
        <v>19.5</v>
      </c>
      <c r="E3460" s="195" t="s">
        <v>583</v>
      </c>
      <c r="F3460" s="195" t="s">
        <v>438</v>
      </c>
    </row>
    <row r="3461" spans="1:6" x14ac:dyDescent="0.25">
      <c r="A3461" s="189" t="str">
        <f t="shared" si="54"/>
        <v>CH-MD 22419.520.85N</v>
      </c>
      <c r="B3461" s="195" t="s">
        <v>2134</v>
      </c>
      <c r="C3461" s="196">
        <v>19.5</v>
      </c>
      <c r="D3461" s="196">
        <v>20.85</v>
      </c>
      <c r="E3461" s="195" t="s">
        <v>583</v>
      </c>
      <c r="F3461" s="195" t="s">
        <v>430</v>
      </c>
    </row>
    <row r="3462" spans="1:6" x14ac:dyDescent="0.25">
      <c r="A3462" s="189" t="str">
        <f t="shared" si="54"/>
        <v>CH-MD 22419.520.85S</v>
      </c>
      <c r="B3462" s="195" t="s">
        <v>2134</v>
      </c>
      <c r="C3462" s="196">
        <v>19.5</v>
      </c>
      <c r="D3462" s="196">
        <v>20.85</v>
      </c>
      <c r="E3462" s="195" t="s">
        <v>583</v>
      </c>
      <c r="F3462" s="195" t="s">
        <v>438</v>
      </c>
    </row>
    <row r="3463" spans="1:6" x14ac:dyDescent="0.25">
      <c r="A3463" s="189" t="str">
        <f t="shared" si="54"/>
        <v>CH-MD 22420.8522.62N</v>
      </c>
      <c r="B3463" s="195" t="s">
        <v>2134</v>
      </c>
      <c r="C3463" s="196">
        <v>20.85</v>
      </c>
      <c r="D3463" s="196">
        <v>22.62</v>
      </c>
      <c r="E3463" s="195" t="s">
        <v>583</v>
      </c>
      <c r="F3463" s="195" t="s">
        <v>430</v>
      </c>
    </row>
    <row r="3464" spans="1:6" x14ac:dyDescent="0.25">
      <c r="A3464" s="189" t="str">
        <f t="shared" si="54"/>
        <v>CH-MD 22420.8522.62S</v>
      </c>
      <c r="B3464" s="195" t="s">
        <v>2134</v>
      </c>
      <c r="C3464" s="196">
        <v>20.85</v>
      </c>
      <c r="D3464" s="196">
        <v>22.62</v>
      </c>
      <c r="E3464" s="195" t="s">
        <v>583</v>
      </c>
      <c r="F3464" s="195" t="s">
        <v>438</v>
      </c>
    </row>
    <row r="3465" spans="1:6" x14ac:dyDescent="0.25">
      <c r="A3465" s="189" t="str">
        <f t="shared" si="54"/>
        <v>CH-MD 22422.6223.36N</v>
      </c>
      <c r="B3465" s="195" t="s">
        <v>2134</v>
      </c>
      <c r="C3465" s="196">
        <v>22.62</v>
      </c>
      <c r="D3465" s="196">
        <v>23.36</v>
      </c>
      <c r="E3465" s="195" t="s">
        <v>583</v>
      </c>
      <c r="F3465" s="195" t="s">
        <v>430</v>
      </c>
    </row>
    <row r="3466" spans="1:6" x14ac:dyDescent="0.25">
      <c r="A3466" s="189" t="str">
        <f t="shared" si="54"/>
        <v>CH-MD 22422.6223.36S</v>
      </c>
      <c r="B3466" s="195" t="s">
        <v>2134</v>
      </c>
      <c r="C3466" s="196">
        <v>22.62</v>
      </c>
      <c r="D3466" s="196">
        <v>23.36</v>
      </c>
      <c r="E3466" s="195" t="s">
        <v>583</v>
      </c>
      <c r="F3466" s="195" t="s">
        <v>438</v>
      </c>
    </row>
    <row r="3467" spans="1:6" x14ac:dyDescent="0.25">
      <c r="A3467" s="189" t="str">
        <f t="shared" si="54"/>
        <v>CH-MD 22423.3623.76N</v>
      </c>
      <c r="B3467" s="195" t="s">
        <v>2134</v>
      </c>
      <c r="C3467" s="196">
        <v>23.36</v>
      </c>
      <c r="D3467" s="196">
        <v>23.76</v>
      </c>
      <c r="E3467" s="195" t="s">
        <v>583</v>
      </c>
      <c r="F3467" s="195" t="s">
        <v>430</v>
      </c>
    </row>
    <row r="3468" spans="1:6" x14ac:dyDescent="0.25">
      <c r="A3468" s="189" t="str">
        <f t="shared" si="54"/>
        <v>CH-MD 22423.3623.76S</v>
      </c>
      <c r="B3468" s="195" t="s">
        <v>2134</v>
      </c>
      <c r="C3468" s="196">
        <v>23.36</v>
      </c>
      <c r="D3468" s="196">
        <v>23.76</v>
      </c>
      <c r="E3468" s="195" t="s">
        <v>583</v>
      </c>
      <c r="F3468" s="195" t="s">
        <v>438</v>
      </c>
    </row>
    <row r="3469" spans="1:6" x14ac:dyDescent="0.25">
      <c r="A3469" s="189" t="str">
        <f t="shared" si="54"/>
        <v>CH-MD 22423.7625.03N</v>
      </c>
      <c r="B3469" s="195" t="s">
        <v>2134</v>
      </c>
      <c r="C3469" s="196">
        <v>23.76</v>
      </c>
      <c r="D3469" s="196">
        <v>25.03</v>
      </c>
      <c r="E3469" s="195" t="s">
        <v>583</v>
      </c>
      <c r="F3469" s="195" t="s">
        <v>430</v>
      </c>
    </row>
    <row r="3470" spans="1:6" x14ac:dyDescent="0.25">
      <c r="A3470" s="189" t="str">
        <f t="shared" si="54"/>
        <v>CH-MD 22423.7625.03S</v>
      </c>
      <c r="B3470" s="195" t="s">
        <v>2134</v>
      </c>
      <c r="C3470" s="196">
        <v>23.76</v>
      </c>
      <c r="D3470" s="196">
        <v>25.03</v>
      </c>
      <c r="E3470" s="195" t="s">
        <v>583</v>
      </c>
      <c r="F3470" s="195" t="s">
        <v>438</v>
      </c>
    </row>
    <row r="3471" spans="1:6" x14ac:dyDescent="0.25">
      <c r="A3471" s="189" t="str">
        <f t="shared" si="54"/>
        <v>CH-MD 22425.0326.7N</v>
      </c>
      <c r="B3471" s="195" t="s">
        <v>2134</v>
      </c>
      <c r="C3471" s="196">
        <v>25.03</v>
      </c>
      <c r="D3471" s="196">
        <v>26.7</v>
      </c>
      <c r="E3471" s="195" t="s">
        <v>583</v>
      </c>
      <c r="F3471" s="195" t="s">
        <v>430</v>
      </c>
    </row>
    <row r="3472" spans="1:6" x14ac:dyDescent="0.25">
      <c r="A3472" s="189" t="str">
        <f t="shared" si="54"/>
        <v>CH-MD 22425.0326.7S</v>
      </c>
      <c r="B3472" s="195" t="s">
        <v>2134</v>
      </c>
      <c r="C3472" s="196">
        <v>25.03</v>
      </c>
      <c r="D3472" s="196">
        <v>26.7</v>
      </c>
      <c r="E3472" s="195" t="s">
        <v>583</v>
      </c>
      <c r="F3472" s="195" t="s">
        <v>438</v>
      </c>
    </row>
    <row r="3473" spans="1:6" x14ac:dyDescent="0.25">
      <c r="A3473" s="189" t="str">
        <f t="shared" si="54"/>
        <v>CH-MD 22500.31E</v>
      </c>
      <c r="B3473" s="195" t="s">
        <v>525</v>
      </c>
      <c r="C3473" s="196">
        <v>0</v>
      </c>
      <c r="D3473" s="196">
        <v>0.31</v>
      </c>
      <c r="E3473" s="195" t="s">
        <v>583</v>
      </c>
      <c r="F3473" s="195" t="s">
        <v>19</v>
      </c>
    </row>
    <row r="3474" spans="1:6" x14ac:dyDescent="0.25">
      <c r="A3474" s="189" t="str">
        <f t="shared" si="54"/>
        <v>CH-MD 22500.31W</v>
      </c>
      <c r="B3474" s="195" t="s">
        <v>525</v>
      </c>
      <c r="C3474" s="196">
        <v>0</v>
      </c>
      <c r="D3474" s="196">
        <v>0.31</v>
      </c>
      <c r="E3474" s="195" t="s">
        <v>583</v>
      </c>
      <c r="F3474" s="195" t="s">
        <v>432</v>
      </c>
    </row>
    <row r="3475" spans="1:6" x14ac:dyDescent="0.25">
      <c r="A3475" s="189" t="str">
        <f t="shared" si="54"/>
        <v>CH-MD 2250.313.6E</v>
      </c>
      <c r="B3475" s="195" t="s">
        <v>525</v>
      </c>
      <c r="C3475" s="196">
        <v>0.31</v>
      </c>
      <c r="D3475" s="196">
        <v>3.6</v>
      </c>
      <c r="E3475" s="195" t="s">
        <v>583</v>
      </c>
      <c r="F3475" s="195" t="s">
        <v>19</v>
      </c>
    </row>
    <row r="3476" spans="1:6" x14ac:dyDescent="0.25">
      <c r="A3476" s="189" t="str">
        <f t="shared" si="54"/>
        <v>CH-MD 2250.313.6W</v>
      </c>
      <c r="B3476" s="195" t="s">
        <v>525</v>
      </c>
      <c r="C3476" s="196">
        <v>0.31</v>
      </c>
      <c r="D3476" s="196">
        <v>3.6</v>
      </c>
      <c r="E3476" s="195" t="s">
        <v>583</v>
      </c>
      <c r="F3476" s="195" t="s">
        <v>432</v>
      </c>
    </row>
    <row r="3477" spans="1:6" x14ac:dyDescent="0.25">
      <c r="A3477" s="189" t="str">
        <f t="shared" si="54"/>
        <v>CH-MD 2253.65.4E</v>
      </c>
      <c r="B3477" s="195" t="s">
        <v>525</v>
      </c>
      <c r="C3477" s="196">
        <v>3.6</v>
      </c>
      <c r="D3477" s="196">
        <v>5.4</v>
      </c>
      <c r="E3477" s="195" t="s">
        <v>583</v>
      </c>
      <c r="F3477" s="195" t="s">
        <v>19</v>
      </c>
    </row>
    <row r="3478" spans="1:6" x14ac:dyDescent="0.25">
      <c r="A3478" s="189" t="str">
        <f t="shared" si="54"/>
        <v>CH-MD 2253.65.4W</v>
      </c>
      <c r="B3478" s="195" t="s">
        <v>525</v>
      </c>
      <c r="C3478" s="196">
        <v>3.6</v>
      </c>
      <c r="D3478" s="196">
        <v>5.4</v>
      </c>
      <c r="E3478" s="195" t="s">
        <v>583</v>
      </c>
      <c r="F3478" s="195" t="s">
        <v>432</v>
      </c>
    </row>
    <row r="3479" spans="1:6" x14ac:dyDescent="0.25">
      <c r="A3479" s="189" t="str">
        <f t="shared" si="54"/>
        <v>CH-MD 2255.49.73E</v>
      </c>
      <c r="B3479" s="195" t="s">
        <v>525</v>
      </c>
      <c r="C3479" s="196">
        <v>5.4</v>
      </c>
      <c r="D3479" s="196">
        <v>9.73</v>
      </c>
      <c r="E3479" s="195" t="s">
        <v>583</v>
      </c>
      <c r="F3479" s="195" t="s">
        <v>19</v>
      </c>
    </row>
    <row r="3480" spans="1:6" x14ac:dyDescent="0.25">
      <c r="A3480" s="189" t="str">
        <f t="shared" si="54"/>
        <v>CH-MD 2255.49.73W</v>
      </c>
      <c r="B3480" s="195" t="s">
        <v>525</v>
      </c>
      <c r="C3480" s="196">
        <v>5.4</v>
      </c>
      <c r="D3480" s="196">
        <v>9.73</v>
      </c>
      <c r="E3480" s="195" t="s">
        <v>583</v>
      </c>
      <c r="F3480" s="195" t="s">
        <v>432</v>
      </c>
    </row>
    <row r="3481" spans="1:6" x14ac:dyDescent="0.25">
      <c r="A3481" s="189" t="str">
        <f t="shared" si="54"/>
        <v>CH-MD 2259.7310.59E</v>
      </c>
      <c r="B3481" s="195" t="s">
        <v>525</v>
      </c>
      <c r="C3481" s="196">
        <v>9.73</v>
      </c>
      <c r="D3481" s="196">
        <v>10.59</v>
      </c>
      <c r="E3481" s="195" t="s">
        <v>583</v>
      </c>
      <c r="F3481" s="195" t="s">
        <v>19</v>
      </c>
    </row>
    <row r="3482" spans="1:6" x14ac:dyDescent="0.25">
      <c r="A3482" s="189" t="str">
        <f t="shared" si="54"/>
        <v>CH-MD 2259.7310.59W</v>
      </c>
      <c r="B3482" s="195" t="s">
        <v>525</v>
      </c>
      <c r="C3482" s="196">
        <v>9.73</v>
      </c>
      <c r="D3482" s="196">
        <v>10.59</v>
      </c>
      <c r="E3482" s="195" t="s">
        <v>583</v>
      </c>
      <c r="F3482" s="195" t="s">
        <v>432</v>
      </c>
    </row>
    <row r="3483" spans="1:6" x14ac:dyDescent="0.25">
      <c r="A3483" s="189" t="str">
        <f t="shared" si="54"/>
        <v>CH-MD 22700.22E</v>
      </c>
      <c r="B3483" s="195" t="s">
        <v>526</v>
      </c>
      <c r="C3483" s="196">
        <v>0</v>
      </c>
      <c r="D3483" s="196">
        <v>0.22</v>
      </c>
      <c r="E3483" s="195" t="s">
        <v>583</v>
      </c>
      <c r="F3483" s="195" t="s">
        <v>19</v>
      </c>
    </row>
    <row r="3484" spans="1:6" x14ac:dyDescent="0.25">
      <c r="A3484" s="189" t="str">
        <f t="shared" si="54"/>
        <v>CH-MD 22700.22W</v>
      </c>
      <c r="B3484" s="195" t="s">
        <v>526</v>
      </c>
      <c r="C3484" s="196">
        <v>0</v>
      </c>
      <c r="D3484" s="196">
        <v>0.22</v>
      </c>
      <c r="E3484" s="195" t="s">
        <v>583</v>
      </c>
      <c r="F3484" s="195" t="s">
        <v>432</v>
      </c>
    </row>
    <row r="3485" spans="1:6" x14ac:dyDescent="0.25">
      <c r="A3485" s="189" t="str">
        <f t="shared" si="54"/>
        <v>CH-MD 2270.221.59E</v>
      </c>
      <c r="B3485" s="195" t="s">
        <v>526</v>
      </c>
      <c r="C3485" s="196">
        <v>0.22</v>
      </c>
      <c r="D3485" s="196">
        <v>1.59</v>
      </c>
      <c r="E3485" s="195" t="s">
        <v>583</v>
      </c>
      <c r="F3485" s="195" t="s">
        <v>19</v>
      </c>
    </row>
    <row r="3486" spans="1:6" x14ac:dyDescent="0.25">
      <c r="A3486" s="189" t="str">
        <f t="shared" si="54"/>
        <v>CH-MD 2270.221.59W</v>
      </c>
      <c r="B3486" s="195" t="s">
        <v>526</v>
      </c>
      <c r="C3486" s="196">
        <v>0.22</v>
      </c>
      <c r="D3486" s="196">
        <v>1.59</v>
      </c>
      <c r="E3486" s="195" t="s">
        <v>583</v>
      </c>
      <c r="F3486" s="195" t="s">
        <v>432</v>
      </c>
    </row>
    <row r="3487" spans="1:6" x14ac:dyDescent="0.25">
      <c r="A3487" s="189" t="str">
        <f t="shared" si="54"/>
        <v>CH-MD 2271.592.18E</v>
      </c>
      <c r="B3487" s="195" t="s">
        <v>526</v>
      </c>
      <c r="C3487" s="196">
        <v>1.59</v>
      </c>
      <c r="D3487" s="196">
        <v>2.1800000000000002</v>
      </c>
      <c r="E3487" s="195" t="s">
        <v>583</v>
      </c>
      <c r="F3487" s="195" t="s">
        <v>19</v>
      </c>
    </row>
    <row r="3488" spans="1:6" x14ac:dyDescent="0.25">
      <c r="A3488" s="189" t="str">
        <f t="shared" si="54"/>
        <v>CH-MD 2271.592.18W</v>
      </c>
      <c r="B3488" s="195" t="s">
        <v>526</v>
      </c>
      <c r="C3488" s="196">
        <v>1.59</v>
      </c>
      <c r="D3488" s="196">
        <v>2.1800000000000002</v>
      </c>
      <c r="E3488" s="195" t="s">
        <v>583</v>
      </c>
      <c r="F3488" s="195" t="s">
        <v>432</v>
      </c>
    </row>
    <row r="3489" spans="1:6" x14ac:dyDescent="0.25">
      <c r="A3489" s="189" t="str">
        <f t="shared" si="54"/>
        <v>CH-MD 2272.182.64E</v>
      </c>
      <c r="B3489" s="195" t="s">
        <v>526</v>
      </c>
      <c r="C3489" s="196">
        <v>2.1800000000000002</v>
      </c>
      <c r="D3489" s="196">
        <v>2.64</v>
      </c>
      <c r="E3489" s="195" t="s">
        <v>583</v>
      </c>
      <c r="F3489" s="195" t="s">
        <v>19</v>
      </c>
    </row>
    <row r="3490" spans="1:6" x14ac:dyDescent="0.25">
      <c r="A3490" s="189" t="str">
        <f t="shared" si="54"/>
        <v>CH-MD 2272.182.64W</v>
      </c>
      <c r="B3490" s="195" t="s">
        <v>526</v>
      </c>
      <c r="C3490" s="196">
        <v>2.1800000000000002</v>
      </c>
      <c r="D3490" s="196">
        <v>2.64</v>
      </c>
      <c r="E3490" s="195" t="s">
        <v>583</v>
      </c>
      <c r="F3490" s="195" t="s">
        <v>432</v>
      </c>
    </row>
    <row r="3491" spans="1:6" x14ac:dyDescent="0.25">
      <c r="A3491" s="189" t="str">
        <f t="shared" si="54"/>
        <v>CH-MD 2272.643.05E</v>
      </c>
      <c r="B3491" s="195" t="s">
        <v>526</v>
      </c>
      <c r="C3491" s="196">
        <v>2.64</v>
      </c>
      <c r="D3491" s="196">
        <v>3.05</v>
      </c>
      <c r="E3491" s="195" t="s">
        <v>583</v>
      </c>
      <c r="F3491" s="195" t="s">
        <v>19</v>
      </c>
    </row>
    <row r="3492" spans="1:6" x14ac:dyDescent="0.25">
      <c r="A3492" s="189" t="str">
        <f t="shared" si="54"/>
        <v>CH-MD 2272.643.05W</v>
      </c>
      <c r="B3492" s="195" t="s">
        <v>526</v>
      </c>
      <c r="C3492" s="196">
        <v>2.64</v>
      </c>
      <c r="D3492" s="196">
        <v>3.05</v>
      </c>
      <c r="E3492" s="195" t="s">
        <v>583</v>
      </c>
      <c r="F3492" s="195" t="s">
        <v>432</v>
      </c>
    </row>
    <row r="3493" spans="1:6" x14ac:dyDescent="0.25">
      <c r="A3493" s="189" t="str">
        <f t="shared" si="54"/>
        <v>CH-MD 2273.054.38E</v>
      </c>
      <c r="B3493" s="195" t="s">
        <v>526</v>
      </c>
      <c r="C3493" s="196">
        <v>3.05</v>
      </c>
      <c r="D3493" s="196">
        <v>4.38</v>
      </c>
      <c r="E3493" s="195" t="s">
        <v>583</v>
      </c>
      <c r="F3493" s="195" t="s">
        <v>19</v>
      </c>
    </row>
    <row r="3494" spans="1:6" x14ac:dyDescent="0.25">
      <c r="A3494" s="189" t="str">
        <f t="shared" si="54"/>
        <v>CH-MD 2273.054.38W</v>
      </c>
      <c r="B3494" s="195" t="s">
        <v>526</v>
      </c>
      <c r="C3494" s="196">
        <v>3.05</v>
      </c>
      <c r="D3494" s="196">
        <v>4.38</v>
      </c>
      <c r="E3494" s="195" t="s">
        <v>583</v>
      </c>
      <c r="F3494" s="195" t="s">
        <v>432</v>
      </c>
    </row>
    <row r="3495" spans="1:6" x14ac:dyDescent="0.25">
      <c r="A3495" s="189" t="str">
        <f t="shared" si="54"/>
        <v>CH-MD 2274.385.24E</v>
      </c>
      <c r="B3495" s="195" t="s">
        <v>526</v>
      </c>
      <c r="C3495" s="196">
        <v>4.38</v>
      </c>
      <c r="D3495" s="196">
        <v>5.24</v>
      </c>
      <c r="E3495" s="195" t="s">
        <v>583</v>
      </c>
      <c r="F3495" s="195" t="s">
        <v>19</v>
      </c>
    </row>
    <row r="3496" spans="1:6" x14ac:dyDescent="0.25">
      <c r="A3496" s="189" t="str">
        <f t="shared" si="54"/>
        <v>CH-MD 2274.385.24W</v>
      </c>
      <c r="B3496" s="195" t="s">
        <v>526</v>
      </c>
      <c r="C3496" s="196">
        <v>4.38</v>
      </c>
      <c r="D3496" s="196">
        <v>5.24</v>
      </c>
      <c r="E3496" s="195" t="s">
        <v>583</v>
      </c>
      <c r="F3496" s="195" t="s">
        <v>432</v>
      </c>
    </row>
    <row r="3497" spans="1:6" x14ac:dyDescent="0.25">
      <c r="A3497" s="189" t="str">
        <f t="shared" si="54"/>
        <v>CH-MD 2275.2410.15E</v>
      </c>
      <c r="B3497" s="195" t="s">
        <v>526</v>
      </c>
      <c r="C3497" s="196">
        <v>5.24</v>
      </c>
      <c r="D3497" s="196">
        <v>10.15</v>
      </c>
      <c r="E3497" s="195" t="s">
        <v>583</v>
      </c>
      <c r="F3497" s="195" t="s">
        <v>19</v>
      </c>
    </row>
    <row r="3498" spans="1:6" x14ac:dyDescent="0.25">
      <c r="A3498" s="189" t="str">
        <f t="shared" si="54"/>
        <v>CH-MD 2275.2410.15W</v>
      </c>
      <c r="B3498" s="195" t="s">
        <v>526</v>
      </c>
      <c r="C3498" s="196">
        <v>5.24</v>
      </c>
      <c r="D3498" s="196">
        <v>10.15</v>
      </c>
      <c r="E3498" s="195" t="s">
        <v>583</v>
      </c>
      <c r="F3498" s="195" t="s">
        <v>432</v>
      </c>
    </row>
    <row r="3499" spans="1:6" x14ac:dyDescent="0.25">
      <c r="A3499" s="189" t="str">
        <f t="shared" si="54"/>
        <v>CH-MD 22710.1512.81E</v>
      </c>
      <c r="B3499" s="195" t="s">
        <v>526</v>
      </c>
      <c r="C3499" s="196">
        <v>10.15</v>
      </c>
      <c r="D3499" s="196">
        <v>12.81</v>
      </c>
      <c r="E3499" s="195" t="s">
        <v>583</v>
      </c>
      <c r="F3499" s="195" t="s">
        <v>19</v>
      </c>
    </row>
    <row r="3500" spans="1:6" x14ac:dyDescent="0.25">
      <c r="A3500" s="189" t="str">
        <f t="shared" si="54"/>
        <v>CH-MD 22710.1512.81W</v>
      </c>
      <c r="B3500" s="195" t="s">
        <v>526</v>
      </c>
      <c r="C3500" s="196">
        <v>10.15</v>
      </c>
      <c r="D3500" s="196">
        <v>12.81</v>
      </c>
      <c r="E3500" s="195" t="s">
        <v>583</v>
      </c>
      <c r="F3500" s="195" t="s">
        <v>432</v>
      </c>
    </row>
    <row r="3501" spans="1:6" x14ac:dyDescent="0.25">
      <c r="A3501" s="189" t="str">
        <f t="shared" si="54"/>
        <v>CH-MD 22712.8113.96E</v>
      </c>
      <c r="B3501" s="195" t="s">
        <v>526</v>
      </c>
      <c r="C3501" s="196">
        <v>12.81</v>
      </c>
      <c r="D3501" s="196">
        <v>13.96</v>
      </c>
      <c r="E3501" s="195" t="s">
        <v>583</v>
      </c>
      <c r="F3501" s="195" t="s">
        <v>19</v>
      </c>
    </row>
    <row r="3502" spans="1:6" x14ac:dyDescent="0.25">
      <c r="A3502" s="189" t="str">
        <f t="shared" si="54"/>
        <v>CH-MD 22712.8113.96W</v>
      </c>
      <c r="B3502" s="195" t="s">
        <v>526</v>
      </c>
      <c r="C3502" s="196">
        <v>12.81</v>
      </c>
      <c r="D3502" s="196">
        <v>13.96</v>
      </c>
      <c r="E3502" s="195" t="s">
        <v>583</v>
      </c>
      <c r="F3502" s="195" t="s">
        <v>432</v>
      </c>
    </row>
    <row r="3503" spans="1:6" x14ac:dyDescent="0.25">
      <c r="A3503" s="189" t="str">
        <f t="shared" si="54"/>
        <v>CH-MD 22900.86S</v>
      </c>
      <c r="B3503" s="195" t="s">
        <v>2135</v>
      </c>
      <c r="C3503" s="196">
        <v>0</v>
      </c>
      <c r="D3503" s="196">
        <v>0.86</v>
      </c>
      <c r="E3503" s="195" t="s">
        <v>595</v>
      </c>
      <c r="F3503" s="195" t="s">
        <v>438</v>
      </c>
    </row>
    <row r="3504" spans="1:6" x14ac:dyDescent="0.25">
      <c r="A3504" s="189" t="str">
        <f t="shared" si="54"/>
        <v>CH-MD 22901.1N</v>
      </c>
      <c r="B3504" s="195" t="s">
        <v>2135</v>
      </c>
      <c r="C3504" s="196">
        <v>0</v>
      </c>
      <c r="D3504" s="196">
        <v>1.1000000000000001</v>
      </c>
      <c r="E3504" s="195" t="s">
        <v>589</v>
      </c>
      <c r="F3504" s="195" t="s">
        <v>430</v>
      </c>
    </row>
    <row r="3505" spans="1:6" x14ac:dyDescent="0.25">
      <c r="A3505" s="189" t="str">
        <f t="shared" si="54"/>
        <v>CH-MD 2290.861.6S</v>
      </c>
      <c r="B3505" s="195" t="s">
        <v>2135</v>
      </c>
      <c r="C3505" s="196">
        <v>0.86</v>
      </c>
      <c r="D3505" s="196">
        <v>1.6</v>
      </c>
      <c r="E3505" s="195" t="s">
        <v>595</v>
      </c>
      <c r="F3505" s="195" t="s">
        <v>438</v>
      </c>
    </row>
    <row r="3506" spans="1:6" x14ac:dyDescent="0.25">
      <c r="A3506" s="189" t="str">
        <f t="shared" si="54"/>
        <v>CH-MD 2291.11.6N</v>
      </c>
      <c r="B3506" s="195" t="s">
        <v>2135</v>
      </c>
      <c r="C3506" s="196">
        <v>1.1000000000000001</v>
      </c>
      <c r="D3506" s="196">
        <v>1.6</v>
      </c>
      <c r="E3506" s="195" t="s">
        <v>589</v>
      </c>
      <c r="F3506" s="195" t="s">
        <v>430</v>
      </c>
    </row>
    <row r="3507" spans="1:6" x14ac:dyDescent="0.25">
      <c r="A3507" s="189" t="str">
        <f t="shared" si="54"/>
        <v>CH-MD 2291.63.25N</v>
      </c>
      <c r="B3507" s="195" t="s">
        <v>2135</v>
      </c>
      <c r="C3507" s="196">
        <v>1.6</v>
      </c>
      <c r="D3507" s="196">
        <v>3.25</v>
      </c>
      <c r="E3507" s="195" t="s">
        <v>583</v>
      </c>
      <c r="F3507" s="195" t="s">
        <v>430</v>
      </c>
    </row>
    <row r="3508" spans="1:6" x14ac:dyDescent="0.25">
      <c r="A3508" s="189" t="str">
        <f t="shared" si="54"/>
        <v>CH-MD 2291.63.25S</v>
      </c>
      <c r="B3508" s="195" t="s">
        <v>2135</v>
      </c>
      <c r="C3508" s="196">
        <v>1.6</v>
      </c>
      <c r="D3508" s="196">
        <v>3.25</v>
      </c>
      <c r="E3508" s="195" t="s">
        <v>583</v>
      </c>
      <c r="F3508" s="195" t="s">
        <v>438</v>
      </c>
    </row>
    <row r="3509" spans="1:6" x14ac:dyDescent="0.25">
      <c r="A3509" s="189" t="str">
        <f t="shared" si="54"/>
        <v>CH-MD 2293.255.25N</v>
      </c>
      <c r="B3509" s="195" t="s">
        <v>2135</v>
      </c>
      <c r="C3509" s="196">
        <v>3.25</v>
      </c>
      <c r="D3509" s="196">
        <v>5.25</v>
      </c>
      <c r="E3509" s="195" t="s">
        <v>583</v>
      </c>
      <c r="F3509" s="195" t="s">
        <v>430</v>
      </c>
    </row>
    <row r="3510" spans="1:6" x14ac:dyDescent="0.25">
      <c r="A3510" s="189" t="str">
        <f t="shared" si="54"/>
        <v>CH-MD 2293.255.25S</v>
      </c>
      <c r="B3510" s="195" t="s">
        <v>2135</v>
      </c>
      <c r="C3510" s="196">
        <v>3.25</v>
      </c>
      <c r="D3510" s="196">
        <v>5.25</v>
      </c>
      <c r="E3510" s="195" t="s">
        <v>583</v>
      </c>
      <c r="F3510" s="195" t="s">
        <v>438</v>
      </c>
    </row>
    <row r="3511" spans="1:6" x14ac:dyDescent="0.25">
      <c r="A3511" s="189" t="str">
        <f t="shared" si="54"/>
        <v>CH-MD 23103.5E</v>
      </c>
      <c r="B3511" s="195" t="s">
        <v>2136</v>
      </c>
      <c r="C3511" s="196">
        <v>0</v>
      </c>
      <c r="D3511" s="196">
        <v>3.5</v>
      </c>
      <c r="E3511" s="195" t="s">
        <v>583</v>
      </c>
      <c r="F3511" s="195" t="s">
        <v>19</v>
      </c>
    </row>
    <row r="3512" spans="1:6" x14ac:dyDescent="0.25">
      <c r="A3512" s="189" t="str">
        <f t="shared" si="54"/>
        <v>CH-MD 23103.5W</v>
      </c>
      <c r="B3512" s="195" t="s">
        <v>2136</v>
      </c>
      <c r="C3512" s="196">
        <v>0</v>
      </c>
      <c r="D3512" s="196">
        <v>3.5</v>
      </c>
      <c r="E3512" s="195" t="s">
        <v>583</v>
      </c>
      <c r="F3512" s="195" t="s">
        <v>432</v>
      </c>
    </row>
    <row r="3513" spans="1:6" x14ac:dyDescent="0.25">
      <c r="A3513" s="189" t="str">
        <f t="shared" si="54"/>
        <v>CH-MD 2313.7110.2E</v>
      </c>
      <c r="B3513" s="195" t="s">
        <v>2136</v>
      </c>
      <c r="C3513" s="196">
        <v>3.71</v>
      </c>
      <c r="D3513" s="196">
        <v>10.199999999999999</v>
      </c>
      <c r="E3513" s="195" t="s">
        <v>583</v>
      </c>
      <c r="F3513" s="195" t="s">
        <v>19</v>
      </c>
    </row>
    <row r="3514" spans="1:6" x14ac:dyDescent="0.25">
      <c r="A3514" s="189" t="str">
        <f t="shared" si="54"/>
        <v>CH-MD 2313.7110.2W</v>
      </c>
      <c r="B3514" s="195" t="s">
        <v>2136</v>
      </c>
      <c r="C3514" s="196">
        <v>3.71</v>
      </c>
      <c r="D3514" s="196">
        <v>10.199999999999999</v>
      </c>
      <c r="E3514" s="195" t="s">
        <v>583</v>
      </c>
      <c r="F3514" s="195" t="s">
        <v>432</v>
      </c>
    </row>
    <row r="3515" spans="1:6" x14ac:dyDescent="0.25">
      <c r="A3515" s="189" t="str">
        <f t="shared" si="54"/>
        <v>CH-MD 23110.210.23E</v>
      </c>
      <c r="B3515" s="195" t="s">
        <v>2136</v>
      </c>
      <c r="C3515" s="196">
        <v>10.199999999999999</v>
      </c>
      <c r="D3515" s="196">
        <v>10.23</v>
      </c>
      <c r="E3515" s="195" t="s">
        <v>598</v>
      </c>
      <c r="F3515" s="195" t="s">
        <v>19</v>
      </c>
    </row>
    <row r="3516" spans="1:6" x14ac:dyDescent="0.25">
      <c r="A3516" s="189" t="str">
        <f t="shared" si="54"/>
        <v>CH-MD 23110.210.25W</v>
      </c>
      <c r="B3516" s="195" t="s">
        <v>2136</v>
      </c>
      <c r="C3516" s="196">
        <v>10.199999999999999</v>
      </c>
      <c r="D3516" s="196">
        <v>10.25</v>
      </c>
      <c r="E3516" s="195" t="s">
        <v>593</v>
      </c>
      <c r="F3516" s="195" t="s">
        <v>432</v>
      </c>
    </row>
    <row r="3517" spans="1:6" x14ac:dyDescent="0.25">
      <c r="A3517" s="189" t="str">
        <f t="shared" si="54"/>
        <v>CH-MD 23110.2310.52E</v>
      </c>
      <c r="B3517" s="195" t="s">
        <v>2136</v>
      </c>
      <c r="C3517" s="196">
        <v>10.23</v>
      </c>
      <c r="D3517" s="196">
        <v>10.52</v>
      </c>
      <c r="E3517" s="195" t="s">
        <v>598</v>
      </c>
      <c r="F3517" s="195" t="s">
        <v>19</v>
      </c>
    </row>
    <row r="3518" spans="1:6" x14ac:dyDescent="0.25">
      <c r="A3518" s="189" t="str">
        <f t="shared" si="54"/>
        <v>CH-MD 23110.2510.52W</v>
      </c>
      <c r="B3518" s="195" t="s">
        <v>2136</v>
      </c>
      <c r="C3518" s="196">
        <v>10.25</v>
      </c>
      <c r="D3518" s="196">
        <v>10.52</v>
      </c>
      <c r="E3518" s="195" t="s">
        <v>593</v>
      </c>
      <c r="F3518" s="195" t="s">
        <v>432</v>
      </c>
    </row>
    <row r="3519" spans="1:6" x14ac:dyDescent="0.25">
      <c r="A3519" s="189" t="str">
        <f t="shared" si="54"/>
        <v>CH-MD 23400.97E</v>
      </c>
      <c r="B3519" s="195" t="s">
        <v>2137</v>
      </c>
      <c r="C3519" s="196">
        <v>0</v>
      </c>
      <c r="D3519" s="196">
        <v>0.97</v>
      </c>
      <c r="E3519" s="195" t="s">
        <v>583</v>
      </c>
      <c r="F3519" s="195" t="s">
        <v>19</v>
      </c>
    </row>
    <row r="3520" spans="1:6" x14ac:dyDescent="0.25">
      <c r="A3520" s="189" t="str">
        <f t="shared" si="54"/>
        <v>CH-MD 23400.97W</v>
      </c>
      <c r="B3520" s="195" t="s">
        <v>2137</v>
      </c>
      <c r="C3520" s="196">
        <v>0</v>
      </c>
      <c r="D3520" s="196">
        <v>0.97</v>
      </c>
      <c r="E3520" s="195" t="s">
        <v>583</v>
      </c>
      <c r="F3520" s="195" t="s">
        <v>432</v>
      </c>
    </row>
    <row r="3521" spans="1:6" x14ac:dyDescent="0.25">
      <c r="A3521" s="189" t="str">
        <f t="shared" si="54"/>
        <v>CH-MD 2340.971.07E</v>
      </c>
      <c r="B3521" s="195" t="s">
        <v>2137</v>
      </c>
      <c r="C3521" s="196">
        <v>0.97</v>
      </c>
      <c r="D3521" s="196">
        <v>1.07</v>
      </c>
      <c r="E3521" s="195" t="s">
        <v>583</v>
      </c>
      <c r="F3521" s="195" t="s">
        <v>19</v>
      </c>
    </row>
    <row r="3522" spans="1:6" x14ac:dyDescent="0.25">
      <c r="A3522" s="189" t="str">
        <f t="shared" si="54"/>
        <v>CH-MD 2340.971.07W</v>
      </c>
      <c r="B3522" s="195" t="s">
        <v>2137</v>
      </c>
      <c r="C3522" s="196">
        <v>0.97</v>
      </c>
      <c r="D3522" s="196">
        <v>1.07</v>
      </c>
      <c r="E3522" s="195" t="s">
        <v>583</v>
      </c>
      <c r="F3522" s="195" t="s">
        <v>432</v>
      </c>
    </row>
    <row r="3523" spans="1:6" x14ac:dyDescent="0.25">
      <c r="A3523" s="189" t="str">
        <f t="shared" ref="A3523:A3586" si="55">B3523&amp;C3523&amp;D3523&amp;F3523</f>
        <v>CH-MD 2341.071.47E</v>
      </c>
      <c r="B3523" s="195" t="s">
        <v>2137</v>
      </c>
      <c r="C3523" s="196">
        <v>1.07</v>
      </c>
      <c r="D3523" s="196">
        <v>1.47</v>
      </c>
      <c r="E3523" s="195" t="s">
        <v>583</v>
      </c>
      <c r="F3523" s="195" t="s">
        <v>19</v>
      </c>
    </row>
    <row r="3524" spans="1:6" x14ac:dyDescent="0.25">
      <c r="A3524" s="189" t="str">
        <f t="shared" si="55"/>
        <v>CH-MD 2341.071.47W</v>
      </c>
      <c r="B3524" s="195" t="s">
        <v>2137</v>
      </c>
      <c r="C3524" s="196">
        <v>1.07</v>
      </c>
      <c r="D3524" s="196">
        <v>1.47</v>
      </c>
      <c r="E3524" s="195" t="s">
        <v>583</v>
      </c>
      <c r="F3524" s="195" t="s">
        <v>432</v>
      </c>
    </row>
    <row r="3525" spans="1:6" x14ac:dyDescent="0.25">
      <c r="A3525" s="189" t="str">
        <f t="shared" si="55"/>
        <v>CH-MD 2341.471.52E</v>
      </c>
      <c r="B3525" s="195" t="s">
        <v>2137</v>
      </c>
      <c r="C3525" s="196">
        <v>1.47</v>
      </c>
      <c r="D3525" s="196">
        <v>1.52</v>
      </c>
      <c r="E3525" s="195" t="s">
        <v>583</v>
      </c>
      <c r="F3525" s="195" t="s">
        <v>19</v>
      </c>
    </row>
    <row r="3526" spans="1:6" x14ac:dyDescent="0.25">
      <c r="A3526" s="189" t="str">
        <f t="shared" si="55"/>
        <v>CH-MD 2341.471.52W</v>
      </c>
      <c r="B3526" s="195" t="s">
        <v>2137</v>
      </c>
      <c r="C3526" s="196">
        <v>1.47</v>
      </c>
      <c r="D3526" s="196">
        <v>1.52</v>
      </c>
      <c r="E3526" s="195" t="s">
        <v>583</v>
      </c>
      <c r="F3526" s="195" t="s">
        <v>432</v>
      </c>
    </row>
    <row r="3527" spans="1:6" x14ac:dyDescent="0.25">
      <c r="A3527" s="189" t="str">
        <f t="shared" si="55"/>
        <v>CH-MD 2341.522.17E</v>
      </c>
      <c r="B3527" s="195" t="s">
        <v>2137</v>
      </c>
      <c r="C3527" s="196">
        <v>1.52</v>
      </c>
      <c r="D3527" s="196">
        <v>2.17</v>
      </c>
      <c r="E3527" s="195" t="s">
        <v>583</v>
      </c>
      <c r="F3527" s="195" t="s">
        <v>19</v>
      </c>
    </row>
    <row r="3528" spans="1:6" x14ac:dyDescent="0.25">
      <c r="A3528" s="189" t="str">
        <f t="shared" si="55"/>
        <v>CH-MD 2341.522.17W</v>
      </c>
      <c r="B3528" s="195" t="s">
        <v>2137</v>
      </c>
      <c r="C3528" s="196">
        <v>1.52</v>
      </c>
      <c r="D3528" s="196">
        <v>2.17</v>
      </c>
      <c r="E3528" s="195" t="s">
        <v>583</v>
      </c>
      <c r="F3528" s="195" t="s">
        <v>432</v>
      </c>
    </row>
    <row r="3529" spans="1:6" x14ac:dyDescent="0.25">
      <c r="A3529" s="189" t="str">
        <f t="shared" si="55"/>
        <v>CH-MD 2342.173.41E</v>
      </c>
      <c r="B3529" s="195" t="s">
        <v>2137</v>
      </c>
      <c r="C3529" s="196">
        <v>2.17</v>
      </c>
      <c r="D3529" s="196">
        <v>3.41</v>
      </c>
      <c r="E3529" s="195" t="s">
        <v>583</v>
      </c>
      <c r="F3529" s="195" t="s">
        <v>19</v>
      </c>
    </row>
    <row r="3530" spans="1:6" x14ac:dyDescent="0.25">
      <c r="A3530" s="189" t="str">
        <f t="shared" si="55"/>
        <v>CH-MD 2342.173.41W</v>
      </c>
      <c r="B3530" s="195" t="s">
        <v>2137</v>
      </c>
      <c r="C3530" s="196">
        <v>2.17</v>
      </c>
      <c r="D3530" s="196">
        <v>3.41</v>
      </c>
      <c r="E3530" s="195" t="s">
        <v>583</v>
      </c>
      <c r="F3530" s="195" t="s">
        <v>432</v>
      </c>
    </row>
    <row r="3531" spans="1:6" x14ac:dyDescent="0.25">
      <c r="A3531" s="189" t="str">
        <f t="shared" si="55"/>
        <v>CH-MD 2343.416.36E</v>
      </c>
      <c r="B3531" s="195" t="s">
        <v>2137</v>
      </c>
      <c r="C3531" s="196">
        <v>3.41</v>
      </c>
      <c r="D3531" s="196">
        <v>6.36</v>
      </c>
      <c r="E3531" s="195" t="s">
        <v>583</v>
      </c>
      <c r="F3531" s="195" t="s">
        <v>19</v>
      </c>
    </row>
    <row r="3532" spans="1:6" x14ac:dyDescent="0.25">
      <c r="A3532" s="189" t="str">
        <f t="shared" si="55"/>
        <v>CH-MD 2343.416.36W</v>
      </c>
      <c r="B3532" s="195" t="s">
        <v>2137</v>
      </c>
      <c r="C3532" s="196">
        <v>3.41</v>
      </c>
      <c r="D3532" s="196">
        <v>6.36</v>
      </c>
      <c r="E3532" s="195" t="s">
        <v>583</v>
      </c>
      <c r="F3532" s="195" t="s">
        <v>432</v>
      </c>
    </row>
    <row r="3533" spans="1:6" x14ac:dyDescent="0.25">
      <c r="A3533" s="189" t="str">
        <f t="shared" si="55"/>
        <v>CH-MD 2540.090.2N</v>
      </c>
      <c r="B3533" s="195" t="s">
        <v>2138</v>
      </c>
      <c r="C3533" s="196">
        <v>0.09</v>
      </c>
      <c r="D3533" s="196">
        <v>0.2</v>
      </c>
      <c r="E3533" s="195" t="s">
        <v>583</v>
      </c>
      <c r="F3533" s="195" t="s">
        <v>430</v>
      </c>
    </row>
    <row r="3534" spans="1:6" x14ac:dyDescent="0.25">
      <c r="A3534" s="189" t="str">
        <f t="shared" si="55"/>
        <v>CH-MD 2540.090.2S</v>
      </c>
      <c r="B3534" s="195" t="s">
        <v>2138</v>
      </c>
      <c r="C3534" s="196">
        <v>0.09</v>
      </c>
      <c r="D3534" s="196">
        <v>0.2</v>
      </c>
      <c r="E3534" s="195" t="s">
        <v>583</v>
      </c>
      <c r="F3534" s="195" t="s">
        <v>438</v>
      </c>
    </row>
    <row r="3535" spans="1:6" x14ac:dyDescent="0.25">
      <c r="A3535" s="189" t="str">
        <f t="shared" si="55"/>
        <v>CH-MD 2540.21.25N</v>
      </c>
      <c r="B3535" s="195" t="s">
        <v>2138</v>
      </c>
      <c r="C3535" s="196">
        <v>0.2</v>
      </c>
      <c r="D3535" s="196">
        <v>1.25</v>
      </c>
      <c r="E3535" s="195" t="s">
        <v>583</v>
      </c>
      <c r="F3535" s="195" t="s">
        <v>430</v>
      </c>
    </row>
    <row r="3536" spans="1:6" x14ac:dyDescent="0.25">
      <c r="A3536" s="189" t="str">
        <f t="shared" si="55"/>
        <v>CH-MD 2540.21.25S</v>
      </c>
      <c r="B3536" s="195" t="s">
        <v>2138</v>
      </c>
      <c r="C3536" s="196">
        <v>0.2</v>
      </c>
      <c r="D3536" s="196">
        <v>1.25</v>
      </c>
      <c r="E3536" s="195" t="s">
        <v>583</v>
      </c>
      <c r="F3536" s="195" t="s">
        <v>438</v>
      </c>
    </row>
    <row r="3537" spans="1:6" x14ac:dyDescent="0.25">
      <c r="A3537" s="189" t="str">
        <f t="shared" si="55"/>
        <v>CH-MD 25701.65N</v>
      </c>
      <c r="B3537" s="195" t="s">
        <v>2139</v>
      </c>
      <c r="C3537" s="196">
        <v>0</v>
      </c>
      <c r="D3537" s="196">
        <v>1.65</v>
      </c>
      <c r="E3537" s="195" t="s">
        <v>583</v>
      </c>
      <c r="F3537" s="195" t="s">
        <v>430</v>
      </c>
    </row>
    <row r="3538" spans="1:6" x14ac:dyDescent="0.25">
      <c r="A3538" s="189" t="str">
        <f t="shared" si="55"/>
        <v>CH-MD 25701.65S</v>
      </c>
      <c r="B3538" s="195" t="s">
        <v>2139</v>
      </c>
      <c r="C3538" s="196">
        <v>0</v>
      </c>
      <c r="D3538" s="196">
        <v>1.65</v>
      </c>
      <c r="E3538" s="195" t="s">
        <v>583</v>
      </c>
      <c r="F3538" s="195" t="s">
        <v>438</v>
      </c>
    </row>
    <row r="3539" spans="1:6" x14ac:dyDescent="0.25">
      <c r="A3539" s="189" t="str">
        <f t="shared" si="55"/>
        <v>CH-MD 2571.652.4N</v>
      </c>
      <c r="B3539" s="195" t="s">
        <v>2139</v>
      </c>
      <c r="C3539" s="196">
        <v>1.65</v>
      </c>
      <c r="D3539" s="196">
        <v>2.4</v>
      </c>
      <c r="E3539" s="195" t="s">
        <v>583</v>
      </c>
      <c r="F3539" s="195" t="s">
        <v>430</v>
      </c>
    </row>
    <row r="3540" spans="1:6" x14ac:dyDescent="0.25">
      <c r="A3540" s="189" t="str">
        <f t="shared" si="55"/>
        <v>CH-MD 2571.652.4S</v>
      </c>
      <c r="B3540" s="195" t="s">
        <v>2139</v>
      </c>
      <c r="C3540" s="196">
        <v>1.65</v>
      </c>
      <c r="D3540" s="196">
        <v>2.4</v>
      </c>
      <c r="E3540" s="195" t="s">
        <v>583</v>
      </c>
      <c r="F3540" s="195" t="s">
        <v>438</v>
      </c>
    </row>
    <row r="3541" spans="1:6" x14ac:dyDescent="0.25">
      <c r="A3541" s="189" t="str">
        <f t="shared" si="55"/>
        <v>CH-MD 2572.44N</v>
      </c>
      <c r="B3541" s="195" t="s">
        <v>2139</v>
      </c>
      <c r="C3541" s="196">
        <v>2.4</v>
      </c>
      <c r="D3541" s="196">
        <v>4</v>
      </c>
      <c r="E3541" s="195" t="s">
        <v>583</v>
      </c>
      <c r="F3541" s="195" t="s">
        <v>430</v>
      </c>
    </row>
    <row r="3542" spans="1:6" x14ac:dyDescent="0.25">
      <c r="A3542" s="189" t="str">
        <f t="shared" si="55"/>
        <v>CH-MD 2572.44S</v>
      </c>
      <c r="B3542" s="195" t="s">
        <v>2139</v>
      </c>
      <c r="C3542" s="196">
        <v>2.4</v>
      </c>
      <c r="D3542" s="196">
        <v>4</v>
      </c>
      <c r="E3542" s="195" t="s">
        <v>583</v>
      </c>
      <c r="F3542" s="195" t="s">
        <v>438</v>
      </c>
    </row>
    <row r="3543" spans="1:6" x14ac:dyDescent="0.25">
      <c r="A3543" s="189" t="str">
        <f t="shared" si="55"/>
        <v>CH-MD 25749.75N</v>
      </c>
      <c r="B3543" s="195" t="s">
        <v>2139</v>
      </c>
      <c r="C3543" s="196">
        <v>4</v>
      </c>
      <c r="D3543" s="196">
        <v>9.75</v>
      </c>
      <c r="E3543" s="195" t="s">
        <v>583</v>
      </c>
      <c r="F3543" s="195" t="s">
        <v>430</v>
      </c>
    </row>
    <row r="3544" spans="1:6" x14ac:dyDescent="0.25">
      <c r="A3544" s="189" t="str">
        <f t="shared" si="55"/>
        <v>CH-MD 25749.75S</v>
      </c>
      <c r="B3544" s="195" t="s">
        <v>2139</v>
      </c>
      <c r="C3544" s="196">
        <v>4</v>
      </c>
      <c r="D3544" s="196">
        <v>9.75</v>
      </c>
      <c r="E3544" s="195" t="s">
        <v>583</v>
      </c>
      <c r="F3544" s="195" t="s">
        <v>438</v>
      </c>
    </row>
    <row r="3545" spans="1:6" x14ac:dyDescent="0.25">
      <c r="A3545" s="189" t="str">
        <f t="shared" si="55"/>
        <v>CH-MD 34402.16N</v>
      </c>
      <c r="B3545" s="195" t="s">
        <v>2140</v>
      </c>
      <c r="C3545" s="196">
        <v>0</v>
      </c>
      <c r="D3545" s="196">
        <v>2.16</v>
      </c>
      <c r="E3545" s="195" t="s">
        <v>583</v>
      </c>
      <c r="F3545" s="195" t="s">
        <v>430</v>
      </c>
    </row>
    <row r="3546" spans="1:6" x14ac:dyDescent="0.25">
      <c r="A3546" s="189" t="str">
        <f t="shared" si="55"/>
        <v>CH-MD 34402.16S</v>
      </c>
      <c r="B3546" s="195" t="s">
        <v>2140</v>
      </c>
      <c r="C3546" s="196">
        <v>0</v>
      </c>
      <c r="D3546" s="196">
        <v>2.16</v>
      </c>
      <c r="E3546" s="195" t="s">
        <v>583</v>
      </c>
      <c r="F3546" s="195" t="s">
        <v>438</v>
      </c>
    </row>
    <row r="3547" spans="1:6" x14ac:dyDescent="0.25">
      <c r="A3547" s="189" t="str">
        <f t="shared" si="55"/>
        <v>CH-MD 38101.38N</v>
      </c>
      <c r="B3547" s="195" t="s">
        <v>527</v>
      </c>
      <c r="C3547" s="196">
        <v>0</v>
      </c>
      <c r="D3547" s="196">
        <v>1.38</v>
      </c>
      <c r="E3547" s="195" t="s">
        <v>583</v>
      </c>
      <c r="F3547" s="195" t="s">
        <v>430</v>
      </c>
    </row>
    <row r="3548" spans="1:6" x14ac:dyDescent="0.25">
      <c r="A3548" s="189" t="str">
        <f t="shared" si="55"/>
        <v>CH-MD 38101.38S</v>
      </c>
      <c r="B3548" s="195" t="s">
        <v>527</v>
      </c>
      <c r="C3548" s="196">
        <v>0</v>
      </c>
      <c r="D3548" s="196">
        <v>1.38</v>
      </c>
      <c r="E3548" s="195" t="s">
        <v>583</v>
      </c>
      <c r="F3548" s="195" t="s">
        <v>438</v>
      </c>
    </row>
    <row r="3549" spans="1:6" x14ac:dyDescent="0.25">
      <c r="A3549" s="189" t="str">
        <f t="shared" si="55"/>
        <v>CH-MD 382F00.11N</v>
      </c>
      <c r="B3549" s="195" t="s">
        <v>2141</v>
      </c>
      <c r="C3549" s="196">
        <v>0</v>
      </c>
      <c r="D3549" s="196">
        <v>0.11</v>
      </c>
      <c r="E3549" s="195" t="s">
        <v>589</v>
      </c>
      <c r="F3549" s="195" t="s">
        <v>430</v>
      </c>
    </row>
    <row r="3550" spans="1:6" x14ac:dyDescent="0.25">
      <c r="A3550" s="189" t="str">
        <f t="shared" si="55"/>
        <v>CH-MD 382F00.11S</v>
      </c>
      <c r="B3550" s="195" t="s">
        <v>2141</v>
      </c>
      <c r="C3550" s="196">
        <v>0</v>
      </c>
      <c r="D3550" s="196">
        <v>0.11</v>
      </c>
      <c r="E3550" s="195" t="s">
        <v>595</v>
      </c>
      <c r="F3550" s="195" t="s">
        <v>438</v>
      </c>
    </row>
    <row r="3551" spans="1:6" x14ac:dyDescent="0.25">
      <c r="A3551" s="189" t="str">
        <f t="shared" si="55"/>
        <v>CH-MD 382G00.02N</v>
      </c>
      <c r="B3551" s="195" t="s">
        <v>2142</v>
      </c>
      <c r="C3551" s="196">
        <v>0</v>
      </c>
      <c r="D3551" s="196">
        <v>0.02</v>
      </c>
      <c r="E3551" s="195" t="s">
        <v>589</v>
      </c>
      <c r="F3551" s="195" t="s">
        <v>430</v>
      </c>
    </row>
    <row r="3552" spans="1:6" x14ac:dyDescent="0.25">
      <c r="A3552" s="189" t="str">
        <f t="shared" si="55"/>
        <v>CH-MD 382G00.02S</v>
      </c>
      <c r="B3552" s="195" t="s">
        <v>2142</v>
      </c>
      <c r="C3552" s="196">
        <v>0</v>
      </c>
      <c r="D3552" s="196">
        <v>0.02</v>
      </c>
      <c r="E3552" s="195" t="s">
        <v>595</v>
      </c>
      <c r="F3552" s="195" t="s">
        <v>438</v>
      </c>
    </row>
    <row r="3553" spans="1:6" x14ac:dyDescent="0.25">
      <c r="A3553" s="189" t="str">
        <f t="shared" si="55"/>
        <v>CH-MD 42504.8N</v>
      </c>
      <c r="B3553" s="195" t="s">
        <v>2143</v>
      </c>
      <c r="C3553" s="196">
        <v>0</v>
      </c>
      <c r="D3553" s="196">
        <v>4.8</v>
      </c>
      <c r="E3553" s="195" t="s">
        <v>583</v>
      </c>
      <c r="F3553" s="195" t="s">
        <v>430</v>
      </c>
    </row>
    <row r="3554" spans="1:6" x14ac:dyDescent="0.25">
      <c r="A3554" s="189" t="str">
        <f t="shared" si="55"/>
        <v>CH-MD 42504.8S</v>
      </c>
      <c r="B3554" s="195" t="s">
        <v>2143</v>
      </c>
      <c r="C3554" s="196">
        <v>0</v>
      </c>
      <c r="D3554" s="196">
        <v>4.8</v>
      </c>
      <c r="E3554" s="195" t="s">
        <v>583</v>
      </c>
      <c r="F3554" s="195" t="s">
        <v>438</v>
      </c>
    </row>
    <row r="3555" spans="1:6" x14ac:dyDescent="0.25">
      <c r="A3555" s="189" t="str">
        <f t="shared" si="55"/>
        <v>CH-MD 4254.811.77N</v>
      </c>
      <c r="B3555" s="195" t="s">
        <v>2143</v>
      </c>
      <c r="C3555" s="196">
        <v>4.8</v>
      </c>
      <c r="D3555" s="196">
        <v>11.77</v>
      </c>
      <c r="E3555" s="195" t="s">
        <v>583</v>
      </c>
      <c r="F3555" s="195" t="s">
        <v>430</v>
      </c>
    </row>
    <row r="3556" spans="1:6" x14ac:dyDescent="0.25">
      <c r="A3556" s="189" t="str">
        <f t="shared" si="55"/>
        <v>CH-MD 4254.811.77S</v>
      </c>
      <c r="B3556" s="195" t="s">
        <v>2143</v>
      </c>
      <c r="C3556" s="196">
        <v>4.8</v>
      </c>
      <c r="D3556" s="196">
        <v>11.77</v>
      </c>
      <c r="E3556" s="195" t="s">
        <v>583</v>
      </c>
      <c r="F3556" s="195" t="s">
        <v>438</v>
      </c>
    </row>
    <row r="3557" spans="1:6" x14ac:dyDescent="0.25">
      <c r="A3557" s="189" t="str">
        <f t="shared" si="55"/>
        <v>CH-MD 48801.07E</v>
      </c>
      <c r="B3557" s="195" t="s">
        <v>2144</v>
      </c>
      <c r="C3557" s="196">
        <v>0</v>
      </c>
      <c r="D3557" s="196">
        <v>1.07</v>
      </c>
      <c r="E3557" s="195" t="s">
        <v>583</v>
      </c>
      <c r="F3557" s="195" t="s">
        <v>19</v>
      </c>
    </row>
    <row r="3558" spans="1:6" x14ac:dyDescent="0.25">
      <c r="A3558" s="189" t="str">
        <f t="shared" si="55"/>
        <v>CH-MD 48801.07W</v>
      </c>
      <c r="B3558" s="195" t="s">
        <v>2144</v>
      </c>
      <c r="C3558" s="196">
        <v>0</v>
      </c>
      <c r="D3558" s="196">
        <v>1.07</v>
      </c>
      <c r="E3558" s="195" t="s">
        <v>583</v>
      </c>
      <c r="F3558" s="195" t="s">
        <v>432</v>
      </c>
    </row>
    <row r="3559" spans="1:6" x14ac:dyDescent="0.25">
      <c r="A3559" s="189" t="str">
        <f t="shared" si="55"/>
        <v>CH-MD 4881.076.01E</v>
      </c>
      <c r="B3559" s="195" t="s">
        <v>2144</v>
      </c>
      <c r="C3559" s="196">
        <v>1.07</v>
      </c>
      <c r="D3559" s="196">
        <v>6.01</v>
      </c>
      <c r="E3559" s="195" t="s">
        <v>583</v>
      </c>
      <c r="F3559" s="195" t="s">
        <v>19</v>
      </c>
    </row>
    <row r="3560" spans="1:6" x14ac:dyDescent="0.25">
      <c r="A3560" s="189" t="str">
        <f t="shared" si="55"/>
        <v>CH-MD 4881.076.01W</v>
      </c>
      <c r="B3560" s="195" t="s">
        <v>2144</v>
      </c>
      <c r="C3560" s="196">
        <v>1.07</v>
      </c>
      <c r="D3560" s="196">
        <v>6.01</v>
      </c>
      <c r="E3560" s="195" t="s">
        <v>583</v>
      </c>
      <c r="F3560" s="195" t="s">
        <v>432</v>
      </c>
    </row>
    <row r="3561" spans="1:6" x14ac:dyDescent="0.25">
      <c r="A3561" s="189" t="str">
        <f t="shared" si="55"/>
        <v>CH-MD 58.69.25S</v>
      </c>
      <c r="B3561" s="195" t="s">
        <v>4507</v>
      </c>
      <c r="C3561" s="196">
        <v>8.6</v>
      </c>
      <c r="D3561" s="196">
        <v>9.25</v>
      </c>
      <c r="E3561" s="195" t="s">
        <v>595</v>
      </c>
      <c r="F3561" s="195" t="s">
        <v>438</v>
      </c>
    </row>
    <row r="3562" spans="1:6" x14ac:dyDescent="0.25">
      <c r="A3562" s="189" t="str">
        <f t="shared" si="55"/>
        <v>CH-MD 5 RP1-4700.04N</v>
      </c>
      <c r="B3562" s="195" t="s">
        <v>2145</v>
      </c>
      <c r="C3562" s="196">
        <v>0</v>
      </c>
      <c r="D3562" s="196">
        <v>0.04</v>
      </c>
      <c r="E3562" s="195" t="s">
        <v>589</v>
      </c>
      <c r="F3562" s="195" t="s">
        <v>430</v>
      </c>
    </row>
    <row r="3563" spans="1:6" x14ac:dyDescent="0.25">
      <c r="A3563" s="189" t="str">
        <f t="shared" si="55"/>
        <v>CH-MD 5 RP2-4700.28N</v>
      </c>
      <c r="B3563" s="195" t="s">
        <v>2146</v>
      </c>
      <c r="C3563" s="196">
        <v>0</v>
      </c>
      <c r="D3563" s="196">
        <v>0.28000000000000003</v>
      </c>
      <c r="E3563" s="195" t="s">
        <v>589</v>
      </c>
      <c r="F3563" s="195" t="s">
        <v>430</v>
      </c>
    </row>
    <row r="3564" spans="1:6" x14ac:dyDescent="0.25">
      <c r="A3564" s="189" t="str">
        <f t="shared" si="55"/>
        <v>CH-MD 5 RP2-470.080.11S</v>
      </c>
      <c r="B3564" s="195" t="s">
        <v>2146</v>
      </c>
      <c r="C3564" s="196">
        <v>0.08</v>
      </c>
      <c r="D3564" s="196">
        <v>0.11</v>
      </c>
      <c r="E3564" s="195" t="s">
        <v>595</v>
      </c>
      <c r="F3564" s="195" t="s">
        <v>438</v>
      </c>
    </row>
    <row r="3565" spans="1:6" x14ac:dyDescent="0.25">
      <c r="A3565" s="189" t="str">
        <f t="shared" si="55"/>
        <v>CH-MD 5 RP3-4700.04N</v>
      </c>
      <c r="B3565" s="195" t="s">
        <v>2147</v>
      </c>
      <c r="C3565" s="196">
        <v>0</v>
      </c>
      <c r="D3565" s="196">
        <v>0.04</v>
      </c>
      <c r="E3565" s="195" t="s">
        <v>589</v>
      </c>
      <c r="F3565" s="195" t="s">
        <v>430</v>
      </c>
    </row>
    <row r="3566" spans="1:6" x14ac:dyDescent="0.25">
      <c r="A3566" s="189" t="str">
        <f t="shared" si="55"/>
        <v>CH-MD 5 RP4-4700.24N</v>
      </c>
      <c r="B3566" s="195" t="s">
        <v>2148</v>
      </c>
      <c r="C3566" s="196">
        <v>0</v>
      </c>
      <c r="D3566" s="196">
        <v>0.24</v>
      </c>
      <c r="E3566" s="195" t="s">
        <v>589</v>
      </c>
      <c r="F3566" s="195" t="s">
        <v>430</v>
      </c>
    </row>
    <row r="3567" spans="1:6" x14ac:dyDescent="0.25">
      <c r="A3567" s="189" t="str">
        <f t="shared" si="55"/>
        <v>CH-MD 5 RP4-470.140.17S</v>
      </c>
      <c r="B3567" s="195" t="s">
        <v>2148</v>
      </c>
      <c r="C3567" s="196">
        <v>0.14000000000000001</v>
      </c>
      <c r="D3567" s="196">
        <v>0.17</v>
      </c>
      <c r="E3567" s="195" t="s">
        <v>595</v>
      </c>
      <c r="F3567" s="195" t="s">
        <v>438</v>
      </c>
    </row>
    <row r="3568" spans="1:6" x14ac:dyDescent="0.25">
      <c r="A3568" s="189" t="str">
        <f t="shared" si="55"/>
        <v>CH-MD 5 RP6-4700.22N</v>
      </c>
      <c r="B3568" s="195" t="s">
        <v>2149</v>
      </c>
      <c r="C3568" s="196">
        <v>0</v>
      </c>
      <c r="D3568" s="196">
        <v>0.22</v>
      </c>
      <c r="E3568" s="195" t="s">
        <v>589</v>
      </c>
      <c r="F3568" s="195" t="s">
        <v>430</v>
      </c>
    </row>
    <row r="3569" spans="1:6" x14ac:dyDescent="0.25">
      <c r="A3569" s="189" t="str">
        <f t="shared" si="55"/>
        <v>CH-MD 5 RP8-4700.18S</v>
      </c>
      <c r="B3569" s="195" t="s">
        <v>2150</v>
      </c>
      <c r="C3569" s="196">
        <v>0</v>
      </c>
      <c r="D3569" s="196">
        <v>0.18</v>
      </c>
      <c r="E3569" s="195" t="s">
        <v>595</v>
      </c>
      <c r="F3569" s="195" t="s">
        <v>438</v>
      </c>
    </row>
    <row r="3570" spans="1:6" x14ac:dyDescent="0.25">
      <c r="A3570" s="189" t="str">
        <f t="shared" si="55"/>
        <v>CH-MD 5BU01.51N</v>
      </c>
      <c r="B3570" s="195" t="s">
        <v>2151</v>
      </c>
      <c r="C3570" s="196">
        <v>0</v>
      </c>
      <c r="D3570" s="196">
        <v>1.51</v>
      </c>
      <c r="E3570" s="195" t="s">
        <v>589</v>
      </c>
      <c r="F3570" s="195" t="s">
        <v>430</v>
      </c>
    </row>
    <row r="3571" spans="1:6" x14ac:dyDescent="0.25">
      <c r="A3571" s="189" t="str">
        <f t="shared" si="55"/>
        <v>CH-MD 5BU0.61.51S</v>
      </c>
      <c r="B3571" s="195" t="s">
        <v>2151</v>
      </c>
      <c r="C3571" s="196">
        <v>0.6</v>
      </c>
      <c r="D3571" s="196">
        <v>1.51</v>
      </c>
      <c r="E3571" s="195" t="s">
        <v>595</v>
      </c>
      <c r="F3571" s="195" t="s">
        <v>438</v>
      </c>
    </row>
    <row r="3572" spans="1:6" x14ac:dyDescent="0.25">
      <c r="A3572" s="189" t="str">
        <f t="shared" si="55"/>
        <v>CH-MD 5BU1.511.63N</v>
      </c>
      <c r="B3572" s="195" t="s">
        <v>2151</v>
      </c>
      <c r="C3572" s="196">
        <v>1.51</v>
      </c>
      <c r="D3572" s="196">
        <v>1.63</v>
      </c>
      <c r="E3572" s="195" t="s">
        <v>583</v>
      </c>
      <c r="F3572" s="195" t="s">
        <v>430</v>
      </c>
    </row>
    <row r="3573" spans="1:6" x14ac:dyDescent="0.25">
      <c r="A3573" s="189" t="str">
        <f t="shared" si="55"/>
        <v>CH-MD 5BU1.511.63S</v>
      </c>
      <c r="B3573" s="195" t="s">
        <v>2151</v>
      </c>
      <c r="C3573" s="196">
        <v>1.51</v>
      </c>
      <c r="D3573" s="196">
        <v>1.63</v>
      </c>
      <c r="E3573" s="195" t="s">
        <v>583</v>
      </c>
      <c r="F3573" s="195" t="s">
        <v>438</v>
      </c>
    </row>
    <row r="3574" spans="1:6" x14ac:dyDescent="0.25">
      <c r="A3574" s="189" t="str">
        <f t="shared" si="55"/>
        <v>CH-MD 5BU1.631.8N</v>
      </c>
      <c r="B3574" s="195" t="s">
        <v>2151</v>
      </c>
      <c r="C3574" s="196">
        <v>1.63</v>
      </c>
      <c r="D3574" s="196">
        <v>1.8</v>
      </c>
      <c r="E3574" s="195" t="s">
        <v>583</v>
      </c>
      <c r="F3574" s="195" t="s">
        <v>430</v>
      </c>
    </row>
    <row r="3575" spans="1:6" x14ac:dyDescent="0.25">
      <c r="A3575" s="189" t="str">
        <f t="shared" si="55"/>
        <v>CH-MD 5BU1.631.8S</v>
      </c>
      <c r="B3575" s="195" t="s">
        <v>2151</v>
      </c>
      <c r="C3575" s="196">
        <v>1.63</v>
      </c>
      <c r="D3575" s="196">
        <v>1.8</v>
      </c>
      <c r="E3575" s="195" t="s">
        <v>583</v>
      </c>
      <c r="F3575" s="195" t="s">
        <v>438</v>
      </c>
    </row>
    <row r="3576" spans="1:6" x14ac:dyDescent="0.25">
      <c r="A3576" s="189" t="str">
        <f t="shared" si="55"/>
        <v>CH-MD 5K00.2N</v>
      </c>
      <c r="B3576" s="195" t="s">
        <v>2152</v>
      </c>
      <c r="C3576" s="196">
        <v>0</v>
      </c>
      <c r="D3576" s="196">
        <v>0.2</v>
      </c>
      <c r="E3576" s="195" t="s">
        <v>583</v>
      </c>
      <c r="F3576" s="195" t="s">
        <v>430</v>
      </c>
    </row>
    <row r="3577" spans="1:6" x14ac:dyDescent="0.25">
      <c r="A3577" s="189" t="str">
        <f t="shared" si="55"/>
        <v>CH-MD 5K00.2S</v>
      </c>
      <c r="B3577" s="195" t="s">
        <v>2152</v>
      </c>
      <c r="C3577" s="196">
        <v>0</v>
      </c>
      <c r="D3577" s="196">
        <v>0.2</v>
      </c>
      <c r="E3577" s="195" t="s">
        <v>583</v>
      </c>
      <c r="F3577" s="195" t="s">
        <v>438</v>
      </c>
    </row>
    <row r="3578" spans="1:6" x14ac:dyDescent="0.25">
      <c r="A3578" s="189" t="str">
        <f t="shared" si="55"/>
        <v>CH-MD 5S00.22E</v>
      </c>
      <c r="B3578" s="195" t="s">
        <v>2153</v>
      </c>
      <c r="C3578" s="196">
        <v>0</v>
      </c>
      <c r="D3578" s="196">
        <v>0.22</v>
      </c>
      <c r="E3578" s="195" t="s">
        <v>598</v>
      </c>
      <c r="F3578" s="195" t="s">
        <v>19</v>
      </c>
    </row>
    <row r="3579" spans="1:6" x14ac:dyDescent="0.25">
      <c r="A3579" s="189" t="str">
        <f t="shared" si="55"/>
        <v>CH-MD 5S00.22W</v>
      </c>
      <c r="B3579" s="195" t="s">
        <v>2153</v>
      </c>
      <c r="C3579" s="196">
        <v>0</v>
      </c>
      <c r="D3579" s="196">
        <v>0.22</v>
      </c>
      <c r="E3579" s="195" t="s">
        <v>593</v>
      </c>
      <c r="F3579" s="195" t="s">
        <v>432</v>
      </c>
    </row>
    <row r="3580" spans="1:6" x14ac:dyDescent="0.25">
      <c r="A3580" s="189" t="str">
        <f t="shared" si="55"/>
        <v>CH-MD 600.73E</v>
      </c>
      <c r="B3580" s="195" t="s">
        <v>2154</v>
      </c>
      <c r="C3580" s="196">
        <v>0</v>
      </c>
      <c r="D3580" s="196">
        <v>0.73</v>
      </c>
      <c r="E3580" s="195" t="s">
        <v>583</v>
      </c>
      <c r="F3580" s="195" t="s">
        <v>19</v>
      </c>
    </row>
    <row r="3581" spans="1:6" x14ac:dyDescent="0.25">
      <c r="A3581" s="189" t="str">
        <f t="shared" si="55"/>
        <v>CH-MD 600.73W</v>
      </c>
      <c r="B3581" s="195" t="s">
        <v>2154</v>
      </c>
      <c r="C3581" s="196">
        <v>0</v>
      </c>
      <c r="D3581" s="196">
        <v>0.73</v>
      </c>
      <c r="E3581" s="195" t="s">
        <v>583</v>
      </c>
      <c r="F3581" s="195" t="s">
        <v>432</v>
      </c>
    </row>
    <row r="3582" spans="1:6" x14ac:dyDescent="0.25">
      <c r="A3582" s="189" t="str">
        <f t="shared" si="55"/>
        <v>CH-MD 60.734.16E</v>
      </c>
      <c r="B3582" s="195" t="s">
        <v>2154</v>
      </c>
      <c r="C3582" s="196">
        <v>0.73</v>
      </c>
      <c r="D3582" s="196">
        <v>4.16</v>
      </c>
      <c r="E3582" s="195" t="s">
        <v>583</v>
      </c>
      <c r="F3582" s="195" t="s">
        <v>19</v>
      </c>
    </row>
    <row r="3583" spans="1:6" x14ac:dyDescent="0.25">
      <c r="A3583" s="189" t="str">
        <f t="shared" si="55"/>
        <v>CH-MD 60.734.16W</v>
      </c>
      <c r="B3583" s="195" t="s">
        <v>2154</v>
      </c>
      <c r="C3583" s="196">
        <v>0.73</v>
      </c>
      <c r="D3583" s="196">
        <v>4.16</v>
      </c>
      <c r="E3583" s="195" t="s">
        <v>583</v>
      </c>
      <c r="F3583" s="195" t="s">
        <v>432</v>
      </c>
    </row>
    <row r="3584" spans="1:6" x14ac:dyDescent="0.25">
      <c r="A3584" s="189" t="str">
        <f t="shared" si="55"/>
        <v>CH-MD 64.165.67E</v>
      </c>
      <c r="B3584" s="195" t="s">
        <v>2154</v>
      </c>
      <c r="C3584" s="196">
        <v>4.16</v>
      </c>
      <c r="D3584" s="196">
        <v>5.67</v>
      </c>
      <c r="E3584" s="195" t="s">
        <v>583</v>
      </c>
      <c r="F3584" s="195" t="s">
        <v>19</v>
      </c>
    </row>
    <row r="3585" spans="1:6" x14ac:dyDescent="0.25">
      <c r="A3585" s="189" t="str">
        <f t="shared" si="55"/>
        <v>CH-MD 64.165.67W</v>
      </c>
      <c r="B3585" s="195" t="s">
        <v>2154</v>
      </c>
      <c r="C3585" s="196">
        <v>4.16</v>
      </c>
      <c r="D3585" s="196">
        <v>5.67</v>
      </c>
      <c r="E3585" s="195" t="s">
        <v>583</v>
      </c>
      <c r="F3585" s="195" t="s">
        <v>432</v>
      </c>
    </row>
    <row r="3586" spans="1:6" x14ac:dyDescent="0.25">
      <c r="A3586" s="189" t="str">
        <f t="shared" si="55"/>
        <v>CH-MD 65.677.4E</v>
      </c>
      <c r="B3586" s="195" t="s">
        <v>2154</v>
      </c>
      <c r="C3586" s="196">
        <v>5.67</v>
      </c>
      <c r="D3586" s="196">
        <v>7.4</v>
      </c>
      <c r="E3586" s="195" t="s">
        <v>583</v>
      </c>
      <c r="F3586" s="195" t="s">
        <v>19</v>
      </c>
    </row>
    <row r="3587" spans="1:6" x14ac:dyDescent="0.25">
      <c r="A3587" s="189" t="str">
        <f t="shared" ref="A3587:A3650" si="56">B3587&amp;C3587&amp;D3587&amp;F3587</f>
        <v>CH-MD 65.677.4W</v>
      </c>
      <c r="B3587" s="195" t="s">
        <v>2154</v>
      </c>
      <c r="C3587" s="196">
        <v>5.67</v>
      </c>
      <c r="D3587" s="196">
        <v>7.4</v>
      </c>
      <c r="E3587" s="195" t="s">
        <v>583</v>
      </c>
      <c r="F3587" s="195" t="s">
        <v>432</v>
      </c>
    </row>
    <row r="3588" spans="1:6" x14ac:dyDescent="0.25">
      <c r="A3588" s="189" t="str">
        <f t="shared" si="56"/>
        <v>CH-MD 67.410.95E</v>
      </c>
      <c r="B3588" s="195" t="s">
        <v>2154</v>
      </c>
      <c r="C3588" s="196">
        <v>7.4</v>
      </c>
      <c r="D3588" s="196">
        <v>10.95</v>
      </c>
      <c r="E3588" s="195" t="s">
        <v>583</v>
      </c>
      <c r="F3588" s="195" t="s">
        <v>19</v>
      </c>
    </row>
    <row r="3589" spans="1:6" x14ac:dyDescent="0.25">
      <c r="A3589" s="189" t="str">
        <f t="shared" si="56"/>
        <v>CH-MD 67.410.95W</v>
      </c>
      <c r="B3589" s="195" t="s">
        <v>2154</v>
      </c>
      <c r="C3589" s="196">
        <v>7.4</v>
      </c>
      <c r="D3589" s="196">
        <v>10.95</v>
      </c>
      <c r="E3589" s="195" t="s">
        <v>583</v>
      </c>
      <c r="F3589" s="195" t="s">
        <v>432</v>
      </c>
    </row>
    <row r="3590" spans="1:6" x14ac:dyDescent="0.25">
      <c r="A3590" s="189" t="str">
        <f t="shared" si="56"/>
        <v>CH-MD 610.9511.2E</v>
      </c>
      <c r="B3590" s="195" t="s">
        <v>2154</v>
      </c>
      <c r="C3590" s="196">
        <v>10.95</v>
      </c>
      <c r="D3590" s="196">
        <v>11.2</v>
      </c>
      <c r="E3590" s="195" t="s">
        <v>583</v>
      </c>
      <c r="F3590" s="195" t="s">
        <v>19</v>
      </c>
    </row>
    <row r="3591" spans="1:6" x14ac:dyDescent="0.25">
      <c r="A3591" s="189" t="str">
        <f t="shared" si="56"/>
        <v>CH-MD 610.9511.2W</v>
      </c>
      <c r="B3591" s="195" t="s">
        <v>2154</v>
      </c>
      <c r="C3591" s="196">
        <v>10.95</v>
      </c>
      <c r="D3591" s="196">
        <v>11.2</v>
      </c>
      <c r="E3591" s="195" t="s">
        <v>583</v>
      </c>
      <c r="F3591" s="195" t="s">
        <v>432</v>
      </c>
    </row>
    <row r="3592" spans="1:6" x14ac:dyDescent="0.25">
      <c r="A3592" s="189" t="str">
        <f t="shared" si="56"/>
        <v>CH-MD 611.213.88E</v>
      </c>
      <c r="B3592" s="195" t="s">
        <v>2154</v>
      </c>
      <c r="C3592" s="196">
        <v>11.2</v>
      </c>
      <c r="D3592" s="196">
        <v>13.88</v>
      </c>
      <c r="E3592" s="195" t="s">
        <v>583</v>
      </c>
      <c r="F3592" s="195" t="s">
        <v>19</v>
      </c>
    </row>
    <row r="3593" spans="1:6" x14ac:dyDescent="0.25">
      <c r="A3593" s="189" t="str">
        <f t="shared" si="56"/>
        <v>CH-MD 611.213.88W</v>
      </c>
      <c r="B3593" s="195" t="s">
        <v>2154</v>
      </c>
      <c r="C3593" s="196">
        <v>11.2</v>
      </c>
      <c r="D3593" s="196">
        <v>13.88</v>
      </c>
      <c r="E3593" s="195" t="s">
        <v>583</v>
      </c>
      <c r="F3593" s="195" t="s">
        <v>432</v>
      </c>
    </row>
    <row r="3594" spans="1:6" x14ac:dyDescent="0.25">
      <c r="A3594" s="189" t="str">
        <f t="shared" si="56"/>
        <v>CH-MD 613.8819.45E</v>
      </c>
      <c r="B3594" s="195" t="s">
        <v>2154</v>
      </c>
      <c r="C3594" s="196">
        <v>13.88</v>
      </c>
      <c r="D3594" s="196">
        <v>19.45</v>
      </c>
      <c r="E3594" s="195" t="s">
        <v>583</v>
      </c>
      <c r="F3594" s="195" t="s">
        <v>19</v>
      </c>
    </row>
    <row r="3595" spans="1:6" x14ac:dyDescent="0.25">
      <c r="A3595" s="189" t="str">
        <f t="shared" si="56"/>
        <v>CH-MD 613.8819.45W</v>
      </c>
      <c r="B3595" s="195" t="s">
        <v>2154</v>
      </c>
      <c r="C3595" s="196">
        <v>13.88</v>
      </c>
      <c r="D3595" s="196">
        <v>19.45</v>
      </c>
      <c r="E3595" s="195" t="s">
        <v>583</v>
      </c>
      <c r="F3595" s="195" t="s">
        <v>432</v>
      </c>
    </row>
    <row r="3596" spans="1:6" x14ac:dyDescent="0.25">
      <c r="A3596" s="189" t="str">
        <f t="shared" si="56"/>
        <v>CH-MD 619.4521.3E</v>
      </c>
      <c r="B3596" s="195" t="s">
        <v>2154</v>
      </c>
      <c r="C3596" s="196">
        <v>19.45</v>
      </c>
      <c r="D3596" s="196">
        <v>21.3</v>
      </c>
      <c r="E3596" s="195" t="s">
        <v>583</v>
      </c>
      <c r="F3596" s="195" t="s">
        <v>19</v>
      </c>
    </row>
    <row r="3597" spans="1:6" x14ac:dyDescent="0.25">
      <c r="A3597" s="189" t="str">
        <f t="shared" si="56"/>
        <v>CH-MD 619.4521.3W</v>
      </c>
      <c r="B3597" s="195" t="s">
        <v>2154</v>
      </c>
      <c r="C3597" s="196">
        <v>19.45</v>
      </c>
      <c r="D3597" s="196">
        <v>21.3</v>
      </c>
      <c r="E3597" s="195" t="s">
        <v>583</v>
      </c>
      <c r="F3597" s="195" t="s">
        <v>432</v>
      </c>
    </row>
    <row r="3598" spans="1:6" x14ac:dyDescent="0.25">
      <c r="A3598" s="189" t="str">
        <f t="shared" si="56"/>
        <v>CH-MD 621.324.58E</v>
      </c>
      <c r="B3598" s="195" t="s">
        <v>2154</v>
      </c>
      <c r="C3598" s="196">
        <v>21.3</v>
      </c>
      <c r="D3598" s="196">
        <v>24.58</v>
      </c>
      <c r="E3598" s="195" t="s">
        <v>583</v>
      </c>
      <c r="F3598" s="195" t="s">
        <v>19</v>
      </c>
    </row>
    <row r="3599" spans="1:6" x14ac:dyDescent="0.25">
      <c r="A3599" s="189" t="str">
        <f t="shared" si="56"/>
        <v>CH-MD 621.324.58W</v>
      </c>
      <c r="B3599" s="195" t="s">
        <v>2154</v>
      </c>
      <c r="C3599" s="196">
        <v>21.3</v>
      </c>
      <c r="D3599" s="196">
        <v>24.58</v>
      </c>
      <c r="E3599" s="195" t="s">
        <v>583</v>
      </c>
      <c r="F3599" s="195" t="s">
        <v>432</v>
      </c>
    </row>
    <row r="3600" spans="1:6" x14ac:dyDescent="0.25">
      <c r="A3600" s="189" t="str">
        <f t="shared" si="56"/>
        <v>CH-MD 624.5825.2E</v>
      </c>
      <c r="B3600" s="195" t="s">
        <v>2154</v>
      </c>
      <c r="C3600" s="196">
        <v>24.58</v>
      </c>
      <c r="D3600" s="196">
        <v>25.2</v>
      </c>
      <c r="E3600" s="195" t="s">
        <v>583</v>
      </c>
      <c r="F3600" s="195" t="s">
        <v>19</v>
      </c>
    </row>
    <row r="3601" spans="1:6" x14ac:dyDescent="0.25">
      <c r="A3601" s="189" t="str">
        <f t="shared" si="56"/>
        <v>CH-MD 624.5825.2W</v>
      </c>
      <c r="B3601" s="195" t="s">
        <v>2154</v>
      </c>
      <c r="C3601" s="196">
        <v>24.58</v>
      </c>
      <c r="D3601" s="196">
        <v>25.2</v>
      </c>
      <c r="E3601" s="195" t="s">
        <v>583</v>
      </c>
      <c r="F3601" s="195" t="s">
        <v>432</v>
      </c>
    </row>
    <row r="3602" spans="1:6" x14ac:dyDescent="0.25">
      <c r="A3602" s="189" t="str">
        <f t="shared" si="56"/>
        <v>CH-MD 625.225.21E</v>
      </c>
      <c r="B3602" s="195" t="s">
        <v>2154</v>
      </c>
      <c r="C3602" s="196">
        <v>25.2</v>
      </c>
      <c r="D3602" s="196">
        <v>25.21</v>
      </c>
      <c r="E3602" s="195" t="s">
        <v>583</v>
      </c>
      <c r="F3602" s="195" t="s">
        <v>19</v>
      </c>
    </row>
    <row r="3603" spans="1:6" x14ac:dyDescent="0.25">
      <c r="A3603" s="189" t="str">
        <f t="shared" si="56"/>
        <v>CH-MD 625.225.21W</v>
      </c>
      <c r="B3603" s="195" t="s">
        <v>2154</v>
      </c>
      <c r="C3603" s="196">
        <v>25.2</v>
      </c>
      <c r="D3603" s="196">
        <v>25.21</v>
      </c>
      <c r="E3603" s="195" t="s">
        <v>583</v>
      </c>
      <c r="F3603" s="195" t="s">
        <v>432</v>
      </c>
    </row>
    <row r="3604" spans="1:6" x14ac:dyDescent="0.25">
      <c r="A3604" s="189" t="str">
        <f t="shared" si="56"/>
        <v>CH-MD 625.2126.04E</v>
      </c>
      <c r="B3604" s="195" t="s">
        <v>2154</v>
      </c>
      <c r="C3604" s="196">
        <v>25.21</v>
      </c>
      <c r="D3604" s="196">
        <v>26.04</v>
      </c>
      <c r="E3604" s="195" t="s">
        <v>583</v>
      </c>
      <c r="F3604" s="195" t="s">
        <v>19</v>
      </c>
    </row>
    <row r="3605" spans="1:6" x14ac:dyDescent="0.25">
      <c r="A3605" s="189" t="str">
        <f t="shared" si="56"/>
        <v>CH-MD 625.2126.04W</v>
      </c>
      <c r="B3605" s="195" t="s">
        <v>2154</v>
      </c>
      <c r="C3605" s="196">
        <v>25.21</v>
      </c>
      <c r="D3605" s="196">
        <v>26.04</v>
      </c>
      <c r="E3605" s="195" t="s">
        <v>583</v>
      </c>
      <c r="F3605" s="195" t="s">
        <v>432</v>
      </c>
    </row>
    <row r="3606" spans="1:6" x14ac:dyDescent="0.25">
      <c r="A3606" s="189" t="str">
        <f t="shared" si="56"/>
        <v>CH-MD 626.0427.89E</v>
      </c>
      <c r="B3606" s="195" t="s">
        <v>2154</v>
      </c>
      <c r="C3606" s="196">
        <v>26.04</v>
      </c>
      <c r="D3606" s="196">
        <v>27.89</v>
      </c>
      <c r="E3606" s="195" t="s">
        <v>583</v>
      </c>
      <c r="F3606" s="195" t="s">
        <v>19</v>
      </c>
    </row>
    <row r="3607" spans="1:6" x14ac:dyDescent="0.25">
      <c r="A3607" s="189" t="str">
        <f t="shared" si="56"/>
        <v>CH-MD 626.0427.89W</v>
      </c>
      <c r="B3607" s="195" t="s">
        <v>2154</v>
      </c>
      <c r="C3607" s="196">
        <v>26.04</v>
      </c>
      <c r="D3607" s="196">
        <v>27.89</v>
      </c>
      <c r="E3607" s="195" t="s">
        <v>583</v>
      </c>
      <c r="F3607" s="195" t="s">
        <v>432</v>
      </c>
    </row>
    <row r="3608" spans="1:6" x14ac:dyDescent="0.25">
      <c r="A3608" s="189" t="str">
        <f t="shared" si="56"/>
        <v>CH-MD 627.8935.8E</v>
      </c>
      <c r="B3608" s="195" t="s">
        <v>2154</v>
      </c>
      <c r="C3608" s="196">
        <v>27.89</v>
      </c>
      <c r="D3608" s="196">
        <v>35.799999999999997</v>
      </c>
      <c r="E3608" s="195" t="s">
        <v>583</v>
      </c>
      <c r="F3608" s="195" t="s">
        <v>19</v>
      </c>
    </row>
    <row r="3609" spans="1:6" x14ac:dyDescent="0.25">
      <c r="A3609" s="189" t="str">
        <f t="shared" si="56"/>
        <v>CH-MD 627.8935.8W</v>
      </c>
      <c r="B3609" s="195" t="s">
        <v>2154</v>
      </c>
      <c r="C3609" s="196">
        <v>27.89</v>
      </c>
      <c r="D3609" s="196">
        <v>35.799999999999997</v>
      </c>
      <c r="E3609" s="195" t="s">
        <v>583</v>
      </c>
      <c r="F3609" s="195" t="s">
        <v>432</v>
      </c>
    </row>
    <row r="3610" spans="1:6" x14ac:dyDescent="0.25">
      <c r="A3610" s="189" t="str">
        <f t="shared" si="56"/>
        <v>CH-MD 635.837.83E</v>
      </c>
      <c r="B3610" s="195" t="s">
        <v>2154</v>
      </c>
      <c r="C3610" s="196">
        <v>35.799999999999997</v>
      </c>
      <c r="D3610" s="196">
        <v>37.83</v>
      </c>
      <c r="E3610" s="195" t="s">
        <v>583</v>
      </c>
      <c r="F3610" s="195" t="s">
        <v>19</v>
      </c>
    </row>
    <row r="3611" spans="1:6" x14ac:dyDescent="0.25">
      <c r="A3611" s="189" t="str">
        <f t="shared" si="56"/>
        <v>CH-MD 635.837.83W</v>
      </c>
      <c r="B3611" s="195" t="s">
        <v>2154</v>
      </c>
      <c r="C3611" s="196">
        <v>35.799999999999997</v>
      </c>
      <c r="D3611" s="196">
        <v>37.83</v>
      </c>
      <c r="E3611" s="195" t="s">
        <v>583</v>
      </c>
      <c r="F3611" s="195" t="s">
        <v>432</v>
      </c>
    </row>
    <row r="3612" spans="1:6" x14ac:dyDescent="0.25">
      <c r="A3612" s="189" t="str">
        <f t="shared" si="56"/>
        <v>CH-MD 6250.220.3N</v>
      </c>
      <c r="B3612" s="195" t="s">
        <v>2155</v>
      </c>
      <c r="C3612" s="196">
        <v>0.22</v>
      </c>
      <c r="D3612" s="196">
        <v>0.3</v>
      </c>
      <c r="E3612" s="195" t="s">
        <v>589</v>
      </c>
      <c r="F3612" s="195" t="s">
        <v>430</v>
      </c>
    </row>
    <row r="3613" spans="1:6" x14ac:dyDescent="0.25">
      <c r="A3613" s="189" t="str">
        <f t="shared" si="56"/>
        <v>CH-MD 6250.220.35S</v>
      </c>
      <c r="B3613" s="195" t="s">
        <v>2155</v>
      </c>
      <c r="C3613" s="196">
        <v>0.22</v>
      </c>
      <c r="D3613" s="196">
        <v>0.35</v>
      </c>
      <c r="E3613" s="195" t="s">
        <v>595</v>
      </c>
      <c r="F3613" s="195" t="s">
        <v>438</v>
      </c>
    </row>
    <row r="3614" spans="1:6" x14ac:dyDescent="0.25">
      <c r="A3614" s="189" t="str">
        <f t="shared" si="56"/>
        <v>CH-MD 6250.31.36N</v>
      </c>
      <c r="B3614" s="195" t="s">
        <v>2155</v>
      </c>
      <c r="C3614" s="196">
        <v>0.3</v>
      </c>
      <c r="D3614" s="196">
        <v>1.36</v>
      </c>
      <c r="E3614" s="195" t="s">
        <v>589</v>
      </c>
      <c r="F3614" s="195" t="s">
        <v>430</v>
      </c>
    </row>
    <row r="3615" spans="1:6" x14ac:dyDescent="0.25">
      <c r="A3615" s="189" t="str">
        <f t="shared" si="56"/>
        <v>CH-MD 6250.350.35S</v>
      </c>
      <c r="B3615" s="195" t="s">
        <v>2155</v>
      </c>
      <c r="C3615" s="196">
        <v>0.35</v>
      </c>
      <c r="D3615" s="196">
        <v>0.35</v>
      </c>
      <c r="E3615" s="195" t="s">
        <v>595</v>
      </c>
      <c r="F3615" s="195" t="s">
        <v>438</v>
      </c>
    </row>
    <row r="3616" spans="1:6" x14ac:dyDescent="0.25">
      <c r="A3616" s="189" t="str">
        <f t="shared" si="56"/>
        <v>CH-MD 6250.350.62S</v>
      </c>
      <c r="B3616" s="195" t="s">
        <v>2155</v>
      </c>
      <c r="C3616" s="196">
        <v>0.35</v>
      </c>
      <c r="D3616" s="196">
        <v>0.62</v>
      </c>
      <c r="E3616" s="195" t="s">
        <v>595</v>
      </c>
      <c r="F3616" s="195" t="s">
        <v>438</v>
      </c>
    </row>
    <row r="3617" spans="1:6" x14ac:dyDescent="0.25">
      <c r="A3617" s="189" t="str">
        <f t="shared" si="56"/>
        <v>CH-MD 6250.620.88S</v>
      </c>
      <c r="B3617" s="195" t="s">
        <v>2155</v>
      </c>
      <c r="C3617" s="196">
        <v>0.62</v>
      </c>
      <c r="D3617" s="196">
        <v>0.88</v>
      </c>
      <c r="E3617" s="195" t="s">
        <v>595</v>
      </c>
      <c r="F3617" s="195" t="s">
        <v>438</v>
      </c>
    </row>
    <row r="3618" spans="1:6" x14ac:dyDescent="0.25">
      <c r="A3618" s="189" t="str">
        <f t="shared" si="56"/>
        <v>CH-MD 6250.881.36S</v>
      </c>
      <c r="B3618" s="195" t="s">
        <v>2155</v>
      </c>
      <c r="C3618" s="196">
        <v>0.88</v>
      </c>
      <c r="D3618" s="196">
        <v>1.36</v>
      </c>
      <c r="E3618" s="195" t="s">
        <v>595</v>
      </c>
      <c r="F3618" s="195" t="s">
        <v>438</v>
      </c>
    </row>
    <row r="3619" spans="1:6" x14ac:dyDescent="0.25">
      <c r="A3619" s="189" t="str">
        <f t="shared" si="56"/>
        <v>CH-MD 625A00.88E</v>
      </c>
      <c r="B3619" s="195" t="s">
        <v>2156</v>
      </c>
      <c r="C3619" s="196">
        <v>0</v>
      </c>
      <c r="D3619" s="196">
        <v>0.88</v>
      </c>
      <c r="E3619" s="195" t="s">
        <v>598</v>
      </c>
      <c r="F3619" s="195" t="s">
        <v>19</v>
      </c>
    </row>
    <row r="3620" spans="1:6" x14ac:dyDescent="0.25">
      <c r="A3620" s="189" t="str">
        <f t="shared" si="56"/>
        <v>CH-MD 625A00.88W</v>
      </c>
      <c r="B3620" s="195" t="s">
        <v>2156</v>
      </c>
      <c r="C3620" s="196">
        <v>0</v>
      </c>
      <c r="D3620" s="196">
        <v>0.88</v>
      </c>
      <c r="E3620" s="195" t="s">
        <v>593</v>
      </c>
      <c r="F3620" s="195" t="s">
        <v>432</v>
      </c>
    </row>
    <row r="3621" spans="1:6" x14ac:dyDescent="0.25">
      <c r="A3621" s="189" t="str">
        <f t="shared" si="56"/>
        <v>CH-MD 625A0.880.89E</v>
      </c>
      <c r="B3621" s="195" t="s">
        <v>2156</v>
      </c>
      <c r="C3621" s="196">
        <v>0.88</v>
      </c>
      <c r="D3621" s="196">
        <v>0.89</v>
      </c>
      <c r="E3621" s="195" t="s">
        <v>598</v>
      </c>
      <c r="F3621" s="195" t="s">
        <v>19</v>
      </c>
    </row>
    <row r="3622" spans="1:6" x14ac:dyDescent="0.25">
      <c r="A3622" s="189" t="str">
        <f t="shared" si="56"/>
        <v>CH-MD 625A0.880.89W</v>
      </c>
      <c r="B3622" s="195" t="s">
        <v>2156</v>
      </c>
      <c r="C3622" s="196">
        <v>0.88</v>
      </c>
      <c r="D3622" s="196">
        <v>0.89</v>
      </c>
      <c r="E3622" s="195" t="s">
        <v>593</v>
      </c>
      <c r="F3622" s="195" t="s">
        <v>432</v>
      </c>
    </row>
    <row r="3623" spans="1:6" x14ac:dyDescent="0.25">
      <c r="A3623" s="189" t="str">
        <f t="shared" si="56"/>
        <v>CH-MD 92501.2N</v>
      </c>
      <c r="B3623" s="195" t="s">
        <v>2157</v>
      </c>
      <c r="C3623" s="196">
        <v>0</v>
      </c>
      <c r="D3623" s="196">
        <v>1.2</v>
      </c>
      <c r="E3623" s="195" t="s">
        <v>583</v>
      </c>
      <c r="F3623" s="195" t="s">
        <v>430</v>
      </c>
    </row>
    <row r="3624" spans="1:6" x14ac:dyDescent="0.25">
      <c r="A3624" s="189" t="str">
        <f t="shared" si="56"/>
        <v>CH-MD 92501.2S</v>
      </c>
      <c r="B3624" s="195" t="s">
        <v>2157</v>
      </c>
      <c r="C3624" s="196">
        <v>0</v>
      </c>
      <c r="D3624" s="196">
        <v>1.2</v>
      </c>
      <c r="E3624" s="195" t="s">
        <v>583</v>
      </c>
      <c r="F3624" s="195" t="s">
        <v>438</v>
      </c>
    </row>
    <row r="3625" spans="1:6" x14ac:dyDescent="0.25">
      <c r="A3625" s="189" t="str">
        <f t="shared" si="56"/>
        <v>CH-MD 9251.22.49N</v>
      </c>
      <c r="B3625" s="195" t="s">
        <v>2157</v>
      </c>
      <c r="C3625" s="196">
        <v>1.2</v>
      </c>
      <c r="D3625" s="196">
        <v>2.4900000000000002</v>
      </c>
      <c r="E3625" s="195" t="s">
        <v>583</v>
      </c>
      <c r="F3625" s="195" t="s">
        <v>430</v>
      </c>
    </row>
    <row r="3626" spans="1:6" x14ac:dyDescent="0.25">
      <c r="A3626" s="189" t="str">
        <f t="shared" si="56"/>
        <v>CH-MD 9251.22.49S</v>
      </c>
      <c r="B3626" s="195" t="s">
        <v>2157</v>
      </c>
      <c r="C3626" s="196">
        <v>1.2</v>
      </c>
      <c r="D3626" s="196">
        <v>2.4900000000000002</v>
      </c>
      <c r="E3626" s="195" t="s">
        <v>583</v>
      </c>
      <c r="F3626" s="195" t="s">
        <v>438</v>
      </c>
    </row>
    <row r="3627" spans="1:6" x14ac:dyDescent="0.25">
      <c r="A3627" s="189" t="str">
        <f t="shared" si="56"/>
        <v>CH-US 30101.9N</v>
      </c>
      <c r="B3627" s="195" t="s">
        <v>528</v>
      </c>
      <c r="C3627" s="196">
        <v>0</v>
      </c>
      <c r="D3627" s="196">
        <v>1.9</v>
      </c>
      <c r="E3627" s="195" t="s">
        <v>583</v>
      </c>
      <c r="F3627" s="195" t="s">
        <v>430</v>
      </c>
    </row>
    <row r="3628" spans="1:6" x14ac:dyDescent="0.25">
      <c r="A3628" s="189" t="str">
        <f t="shared" si="56"/>
        <v>CH-US 30101.9S</v>
      </c>
      <c r="B3628" s="195" t="s">
        <v>528</v>
      </c>
      <c r="C3628" s="196">
        <v>0</v>
      </c>
      <c r="D3628" s="196">
        <v>1.9</v>
      </c>
      <c r="E3628" s="195" t="s">
        <v>583</v>
      </c>
      <c r="F3628" s="195" t="s">
        <v>438</v>
      </c>
    </row>
    <row r="3629" spans="1:6" x14ac:dyDescent="0.25">
      <c r="A3629" s="189" t="str">
        <f t="shared" si="56"/>
        <v>CL-IS 70 RP1-6800.18N</v>
      </c>
      <c r="B3629" s="195" t="s">
        <v>2158</v>
      </c>
      <c r="C3629" s="196">
        <v>0</v>
      </c>
      <c r="D3629" s="196">
        <v>0.18</v>
      </c>
      <c r="E3629" s="195" t="s">
        <v>589</v>
      </c>
      <c r="F3629" s="195" t="s">
        <v>430</v>
      </c>
    </row>
    <row r="3630" spans="1:6" x14ac:dyDescent="0.25">
      <c r="A3630" s="189" t="str">
        <f t="shared" si="56"/>
        <v>CL-IS 70 RP2-6800.25W</v>
      </c>
      <c r="B3630" s="195" t="s">
        <v>2159</v>
      </c>
      <c r="C3630" s="196">
        <v>0</v>
      </c>
      <c r="D3630" s="196">
        <v>0.25</v>
      </c>
      <c r="E3630" s="195" t="s">
        <v>593</v>
      </c>
      <c r="F3630" s="195" t="s">
        <v>432</v>
      </c>
    </row>
    <row r="3631" spans="1:6" x14ac:dyDescent="0.25">
      <c r="A3631" s="189" t="str">
        <f t="shared" si="56"/>
        <v>CL-IS 70 RP4-6800.33N</v>
      </c>
      <c r="B3631" s="195" t="s">
        <v>2160</v>
      </c>
      <c r="C3631" s="196">
        <v>0</v>
      </c>
      <c r="D3631" s="196">
        <v>0.33</v>
      </c>
      <c r="E3631" s="195" t="s">
        <v>589</v>
      </c>
      <c r="F3631" s="195" t="s">
        <v>430</v>
      </c>
    </row>
    <row r="3632" spans="1:6" x14ac:dyDescent="0.25">
      <c r="A3632" s="189" t="str">
        <f t="shared" si="56"/>
        <v>CL-IS 70 RP7-6800.05W</v>
      </c>
      <c r="B3632" s="195" t="s">
        <v>2161</v>
      </c>
      <c r="C3632" s="196">
        <v>0</v>
      </c>
      <c r="D3632" s="196">
        <v>0.05</v>
      </c>
      <c r="E3632" s="195" t="s">
        <v>593</v>
      </c>
      <c r="F3632" s="195" t="s">
        <v>432</v>
      </c>
    </row>
    <row r="3633" spans="1:6" x14ac:dyDescent="0.25">
      <c r="A3633" s="189" t="str">
        <f t="shared" si="56"/>
        <v>CL-IS 70 RP8-6800.14S</v>
      </c>
      <c r="B3633" s="195" t="s">
        <v>2162</v>
      </c>
      <c r="C3633" s="196">
        <v>0</v>
      </c>
      <c r="D3633" s="196">
        <v>0.14000000000000001</v>
      </c>
      <c r="E3633" s="195" t="s">
        <v>595</v>
      </c>
      <c r="F3633" s="195" t="s">
        <v>438</v>
      </c>
    </row>
    <row r="3634" spans="1:6" x14ac:dyDescent="0.25">
      <c r="A3634" s="189" t="str">
        <f t="shared" si="56"/>
        <v>CL-MD 14001.69N</v>
      </c>
      <c r="B3634" s="195" t="s">
        <v>570</v>
      </c>
      <c r="C3634" s="196">
        <v>0</v>
      </c>
      <c r="D3634" s="196">
        <v>1.69</v>
      </c>
      <c r="E3634" s="195" t="s">
        <v>583</v>
      </c>
      <c r="F3634" s="195" t="s">
        <v>430</v>
      </c>
    </row>
    <row r="3635" spans="1:6" x14ac:dyDescent="0.25">
      <c r="A3635" s="189" t="str">
        <f t="shared" si="56"/>
        <v>CL-MD 14001.69S</v>
      </c>
      <c r="B3635" s="195" t="s">
        <v>570</v>
      </c>
      <c r="C3635" s="196">
        <v>0</v>
      </c>
      <c r="D3635" s="196">
        <v>1.69</v>
      </c>
      <c r="E3635" s="195" t="s">
        <v>583</v>
      </c>
      <c r="F3635" s="195" t="s">
        <v>438</v>
      </c>
    </row>
    <row r="3636" spans="1:6" x14ac:dyDescent="0.25">
      <c r="A3636" s="189" t="str">
        <f t="shared" si="56"/>
        <v>CL-MD 1401111.16S</v>
      </c>
      <c r="B3636" s="195" t="s">
        <v>570</v>
      </c>
      <c r="C3636" s="196">
        <v>11</v>
      </c>
      <c r="D3636" s="196">
        <v>11.16</v>
      </c>
      <c r="E3636" s="195" t="s">
        <v>595</v>
      </c>
      <c r="F3636" s="195" t="s">
        <v>438</v>
      </c>
    </row>
    <row r="3637" spans="1:6" x14ac:dyDescent="0.25">
      <c r="A3637" s="189" t="str">
        <f t="shared" si="56"/>
        <v>CL-MD 14011.0511.28N</v>
      </c>
      <c r="B3637" s="195" t="s">
        <v>570</v>
      </c>
      <c r="C3637" s="196">
        <v>11.05</v>
      </c>
      <c r="D3637" s="196">
        <v>11.28</v>
      </c>
      <c r="E3637" s="195" t="s">
        <v>589</v>
      </c>
      <c r="F3637" s="195" t="s">
        <v>430</v>
      </c>
    </row>
    <row r="3638" spans="1:6" x14ac:dyDescent="0.25">
      <c r="A3638" s="189" t="str">
        <f t="shared" si="56"/>
        <v>CL-MD 14011.1611.6S</v>
      </c>
      <c r="B3638" s="195" t="s">
        <v>570</v>
      </c>
      <c r="C3638" s="196">
        <v>11.16</v>
      </c>
      <c r="D3638" s="196">
        <v>11.6</v>
      </c>
      <c r="E3638" s="195" t="s">
        <v>595</v>
      </c>
      <c r="F3638" s="195" t="s">
        <v>438</v>
      </c>
    </row>
    <row r="3639" spans="1:6" x14ac:dyDescent="0.25">
      <c r="A3639" s="189" t="str">
        <f t="shared" si="56"/>
        <v>CL-MD 14011.2811.31N</v>
      </c>
      <c r="B3639" s="195" t="s">
        <v>570</v>
      </c>
      <c r="C3639" s="196">
        <v>11.28</v>
      </c>
      <c r="D3639" s="196">
        <v>11.31</v>
      </c>
      <c r="E3639" s="195" t="s">
        <v>589</v>
      </c>
      <c r="F3639" s="195" t="s">
        <v>430</v>
      </c>
    </row>
    <row r="3640" spans="1:6" x14ac:dyDescent="0.25">
      <c r="A3640" s="189" t="str">
        <f t="shared" si="56"/>
        <v>CL-MD 14011.3111.6N</v>
      </c>
      <c r="B3640" s="195" t="s">
        <v>570</v>
      </c>
      <c r="C3640" s="196">
        <v>11.31</v>
      </c>
      <c r="D3640" s="196">
        <v>11.6</v>
      </c>
      <c r="E3640" s="195" t="s">
        <v>589</v>
      </c>
      <c r="F3640" s="195" t="s">
        <v>430</v>
      </c>
    </row>
    <row r="3641" spans="1:6" x14ac:dyDescent="0.25">
      <c r="A3641" s="189" t="str">
        <f t="shared" si="56"/>
        <v>CL-MD 14011.611.77N</v>
      </c>
      <c r="B3641" s="195" t="s">
        <v>570</v>
      </c>
      <c r="C3641" s="196">
        <v>11.6</v>
      </c>
      <c r="D3641" s="196">
        <v>11.77</v>
      </c>
      <c r="E3641" s="195" t="s">
        <v>583</v>
      </c>
      <c r="F3641" s="195" t="s">
        <v>430</v>
      </c>
    </row>
    <row r="3642" spans="1:6" x14ac:dyDescent="0.25">
      <c r="A3642" s="189" t="str">
        <f t="shared" si="56"/>
        <v>CL-MD 14011.611.77S</v>
      </c>
      <c r="B3642" s="195" t="s">
        <v>570</v>
      </c>
      <c r="C3642" s="196">
        <v>11.6</v>
      </c>
      <c r="D3642" s="196">
        <v>11.77</v>
      </c>
      <c r="E3642" s="195" t="s">
        <v>583</v>
      </c>
      <c r="F3642" s="195" t="s">
        <v>438</v>
      </c>
    </row>
    <row r="3643" spans="1:6" x14ac:dyDescent="0.25">
      <c r="A3643" s="189" t="str">
        <f t="shared" si="56"/>
        <v>CL-MD 14011.7712.15N</v>
      </c>
      <c r="B3643" s="195" t="s">
        <v>570</v>
      </c>
      <c r="C3643" s="196">
        <v>11.77</v>
      </c>
      <c r="D3643" s="196">
        <v>12.15</v>
      </c>
      <c r="E3643" s="195" t="s">
        <v>583</v>
      </c>
      <c r="F3643" s="195" t="s">
        <v>430</v>
      </c>
    </row>
    <row r="3644" spans="1:6" x14ac:dyDescent="0.25">
      <c r="A3644" s="189" t="str">
        <f t="shared" si="56"/>
        <v>CL-MD 14011.7712.15S</v>
      </c>
      <c r="B3644" s="195" t="s">
        <v>570</v>
      </c>
      <c r="C3644" s="196">
        <v>11.77</v>
      </c>
      <c r="D3644" s="196">
        <v>12.15</v>
      </c>
      <c r="E3644" s="195" t="s">
        <v>583</v>
      </c>
      <c r="F3644" s="195" t="s">
        <v>438</v>
      </c>
    </row>
    <row r="3645" spans="1:6" x14ac:dyDescent="0.25">
      <c r="A3645" s="189" t="str">
        <f t="shared" si="56"/>
        <v>CL-MD 14012.1514N</v>
      </c>
      <c r="B3645" s="195" t="s">
        <v>570</v>
      </c>
      <c r="C3645" s="196">
        <v>12.15</v>
      </c>
      <c r="D3645" s="196">
        <v>14</v>
      </c>
      <c r="E3645" s="195" t="s">
        <v>583</v>
      </c>
      <c r="F3645" s="195" t="s">
        <v>430</v>
      </c>
    </row>
    <row r="3646" spans="1:6" x14ac:dyDescent="0.25">
      <c r="A3646" s="189" t="str">
        <f t="shared" si="56"/>
        <v>CL-MD 14012.1514S</v>
      </c>
      <c r="B3646" s="195" t="s">
        <v>570</v>
      </c>
      <c r="C3646" s="196">
        <v>12.15</v>
      </c>
      <c r="D3646" s="196">
        <v>14</v>
      </c>
      <c r="E3646" s="195" t="s">
        <v>583</v>
      </c>
      <c r="F3646" s="195" t="s">
        <v>438</v>
      </c>
    </row>
    <row r="3647" spans="1:6" x14ac:dyDescent="0.25">
      <c r="A3647" s="189" t="str">
        <f t="shared" si="56"/>
        <v>CL-MD 1401414.19N</v>
      </c>
      <c r="B3647" s="195" t="s">
        <v>570</v>
      </c>
      <c r="C3647" s="196">
        <v>14</v>
      </c>
      <c r="D3647" s="196">
        <v>14.19</v>
      </c>
      <c r="E3647" s="195" t="s">
        <v>583</v>
      </c>
      <c r="F3647" s="195" t="s">
        <v>430</v>
      </c>
    </row>
    <row r="3648" spans="1:6" x14ac:dyDescent="0.25">
      <c r="A3648" s="189" t="str">
        <f t="shared" si="56"/>
        <v>CL-MD 1401414.19S</v>
      </c>
      <c r="B3648" s="195" t="s">
        <v>570</v>
      </c>
      <c r="C3648" s="196">
        <v>14</v>
      </c>
      <c r="D3648" s="196">
        <v>14.19</v>
      </c>
      <c r="E3648" s="195" t="s">
        <v>583</v>
      </c>
      <c r="F3648" s="195" t="s">
        <v>438</v>
      </c>
    </row>
    <row r="3649" spans="1:6" x14ac:dyDescent="0.25">
      <c r="A3649" s="189" t="str">
        <f t="shared" si="56"/>
        <v>CL-MD 14014.1914.2N</v>
      </c>
      <c r="B3649" s="195" t="s">
        <v>570</v>
      </c>
      <c r="C3649" s="196">
        <v>14.19</v>
      </c>
      <c r="D3649" s="196">
        <v>14.2</v>
      </c>
      <c r="E3649" s="195" t="s">
        <v>583</v>
      </c>
      <c r="F3649" s="195" t="s">
        <v>430</v>
      </c>
    </row>
    <row r="3650" spans="1:6" x14ac:dyDescent="0.25">
      <c r="A3650" s="189" t="str">
        <f t="shared" si="56"/>
        <v>CL-MD 14014.1914.2S</v>
      </c>
      <c r="B3650" s="195" t="s">
        <v>570</v>
      </c>
      <c r="C3650" s="196">
        <v>14.19</v>
      </c>
      <c r="D3650" s="196">
        <v>14.2</v>
      </c>
      <c r="E3650" s="195" t="s">
        <v>583</v>
      </c>
      <c r="F3650" s="195" t="s">
        <v>438</v>
      </c>
    </row>
    <row r="3651" spans="1:6" x14ac:dyDescent="0.25">
      <c r="A3651" s="189" t="str">
        <f t="shared" ref="A3651:A3714" si="57">B3651&amp;C3651&amp;D3651&amp;F3651</f>
        <v>CL-MD 14014.214.5N</v>
      </c>
      <c r="B3651" s="195" t="s">
        <v>570</v>
      </c>
      <c r="C3651" s="196">
        <v>14.2</v>
      </c>
      <c r="D3651" s="196">
        <v>14.5</v>
      </c>
      <c r="E3651" s="195" t="s">
        <v>583</v>
      </c>
      <c r="F3651" s="195" t="s">
        <v>430</v>
      </c>
    </row>
    <row r="3652" spans="1:6" x14ac:dyDescent="0.25">
      <c r="A3652" s="189" t="str">
        <f t="shared" si="57"/>
        <v>CL-MD 14014.214.5S</v>
      </c>
      <c r="B3652" s="195" t="s">
        <v>570</v>
      </c>
      <c r="C3652" s="196">
        <v>14.2</v>
      </c>
      <c r="D3652" s="196">
        <v>14.5</v>
      </c>
      <c r="E3652" s="195" t="s">
        <v>583</v>
      </c>
      <c r="F3652" s="195" t="s">
        <v>438</v>
      </c>
    </row>
    <row r="3653" spans="1:6" x14ac:dyDescent="0.25">
      <c r="A3653" s="189" t="str">
        <f t="shared" si="57"/>
        <v>CL-MD 14014.516.15N</v>
      </c>
      <c r="B3653" s="195" t="s">
        <v>570</v>
      </c>
      <c r="C3653" s="196">
        <v>14.5</v>
      </c>
      <c r="D3653" s="196">
        <v>16.149999999999999</v>
      </c>
      <c r="E3653" s="195" t="s">
        <v>583</v>
      </c>
      <c r="F3653" s="195" t="s">
        <v>430</v>
      </c>
    </row>
    <row r="3654" spans="1:6" x14ac:dyDescent="0.25">
      <c r="A3654" s="189" t="str">
        <f t="shared" si="57"/>
        <v>CL-MD 14014.516.15S</v>
      </c>
      <c r="B3654" s="195" t="s">
        <v>570</v>
      </c>
      <c r="C3654" s="196">
        <v>14.5</v>
      </c>
      <c r="D3654" s="196">
        <v>16.149999999999999</v>
      </c>
      <c r="E3654" s="195" t="s">
        <v>583</v>
      </c>
      <c r="F3654" s="195" t="s">
        <v>438</v>
      </c>
    </row>
    <row r="3655" spans="1:6" x14ac:dyDescent="0.25">
      <c r="A3655" s="189" t="str">
        <f t="shared" si="57"/>
        <v>CL-MD 14016.1517N</v>
      </c>
      <c r="B3655" s="195" t="s">
        <v>570</v>
      </c>
      <c r="C3655" s="196">
        <v>16.149999999999999</v>
      </c>
      <c r="D3655" s="196">
        <v>17</v>
      </c>
      <c r="E3655" s="195" t="s">
        <v>583</v>
      </c>
      <c r="F3655" s="195" t="s">
        <v>430</v>
      </c>
    </row>
    <row r="3656" spans="1:6" x14ac:dyDescent="0.25">
      <c r="A3656" s="189" t="str">
        <f t="shared" si="57"/>
        <v>CL-MD 14016.1517S</v>
      </c>
      <c r="B3656" s="195" t="s">
        <v>570</v>
      </c>
      <c r="C3656" s="196">
        <v>16.149999999999999</v>
      </c>
      <c r="D3656" s="196">
        <v>17</v>
      </c>
      <c r="E3656" s="195" t="s">
        <v>583</v>
      </c>
      <c r="F3656" s="195" t="s">
        <v>438</v>
      </c>
    </row>
    <row r="3657" spans="1:6" x14ac:dyDescent="0.25">
      <c r="A3657" s="189" t="str">
        <f t="shared" si="57"/>
        <v>CL-MD 1401720.05N</v>
      </c>
      <c r="B3657" s="195" t="s">
        <v>570</v>
      </c>
      <c r="C3657" s="196">
        <v>17</v>
      </c>
      <c r="D3657" s="196">
        <v>20.05</v>
      </c>
      <c r="E3657" s="195" t="s">
        <v>583</v>
      </c>
      <c r="F3657" s="195" t="s">
        <v>430</v>
      </c>
    </row>
    <row r="3658" spans="1:6" x14ac:dyDescent="0.25">
      <c r="A3658" s="189" t="str">
        <f t="shared" si="57"/>
        <v>CL-MD 1401720.05S</v>
      </c>
      <c r="B3658" s="195" t="s">
        <v>570</v>
      </c>
      <c r="C3658" s="196">
        <v>17</v>
      </c>
      <c r="D3658" s="196">
        <v>20.05</v>
      </c>
      <c r="E3658" s="195" t="s">
        <v>583</v>
      </c>
      <c r="F3658" s="195" t="s">
        <v>438</v>
      </c>
    </row>
    <row r="3659" spans="1:6" x14ac:dyDescent="0.25">
      <c r="A3659" s="189" t="str">
        <f t="shared" si="57"/>
        <v>CL-MD 14020.0520.61N</v>
      </c>
      <c r="B3659" s="195" t="s">
        <v>570</v>
      </c>
      <c r="C3659" s="196">
        <v>20.05</v>
      </c>
      <c r="D3659" s="196">
        <v>20.61</v>
      </c>
      <c r="E3659" s="195" t="s">
        <v>583</v>
      </c>
      <c r="F3659" s="195" t="s">
        <v>430</v>
      </c>
    </row>
    <row r="3660" spans="1:6" x14ac:dyDescent="0.25">
      <c r="A3660" s="189" t="str">
        <f t="shared" si="57"/>
        <v>CL-MD 14020.0520.61S</v>
      </c>
      <c r="B3660" s="195" t="s">
        <v>570</v>
      </c>
      <c r="C3660" s="196">
        <v>20.05</v>
      </c>
      <c r="D3660" s="196">
        <v>20.61</v>
      </c>
      <c r="E3660" s="195" t="s">
        <v>583</v>
      </c>
      <c r="F3660" s="195" t="s">
        <v>438</v>
      </c>
    </row>
    <row r="3661" spans="1:6" x14ac:dyDescent="0.25">
      <c r="A3661" s="189" t="str">
        <f t="shared" si="57"/>
        <v>CL-MD 14020.6121.87N</v>
      </c>
      <c r="B3661" s="195" t="s">
        <v>570</v>
      </c>
      <c r="C3661" s="196">
        <v>20.61</v>
      </c>
      <c r="D3661" s="196">
        <v>21.87</v>
      </c>
      <c r="E3661" s="195" t="s">
        <v>583</v>
      </c>
      <c r="F3661" s="195" t="s">
        <v>430</v>
      </c>
    </row>
    <row r="3662" spans="1:6" x14ac:dyDescent="0.25">
      <c r="A3662" s="189" t="str">
        <f t="shared" si="57"/>
        <v>CL-MD 14020.6121.87S</v>
      </c>
      <c r="B3662" s="195" t="s">
        <v>570</v>
      </c>
      <c r="C3662" s="196">
        <v>20.61</v>
      </c>
      <c r="D3662" s="196">
        <v>21.87</v>
      </c>
      <c r="E3662" s="195" t="s">
        <v>583</v>
      </c>
      <c r="F3662" s="195" t="s">
        <v>438</v>
      </c>
    </row>
    <row r="3663" spans="1:6" x14ac:dyDescent="0.25">
      <c r="A3663" s="189" t="str">
        <f t="shared" si="57"/>
        <v>CL-MD 14021.8721.88N</v>
      </c>
      <c r="B3663" s="195" t="s">
        <v>570</v>
      </c>
      <c r="C3663" s="196">
        <v>21.87</v>
      </c>
      <c r="D3663" s="196">
        <v>21.88</v>
      </c>
      <c r="E3663" s="195" t="s">
        <v>583</v>
      </c>
      <c r="F3663" s="195" t="s">
        <v>430</v>
      </c>
    </row>
    <row r="3664" spans="1:6" x14ac:dyDescent="0.25">
      <c r="A3664" s="189" t="str">
        <f t="shared" si="57"/>
        <v>CL-MD 14021.8721.88S</v>
      </c>
      <c r="B3664" s="195" t="s">
        <v>570</v>
      </c>
      <c r="C3664" s="196">
        <v>21.87</v>
      </c>
      <c r="D3664" s="196">
        <v>21.88</v>
      </c>
      <c r="E3664" s="195" t="s">
        <v>583</v>
      </c>
      <c r="F3664" s="195" t="s">
        <v>438</v>
      </c>
    </row>
    <row r="3665" spans="1:6" x14ac:dyDescent="0.25">
      <c r="A3665" s="189" t="str">
        <f t="shared" si="57"/>
        <v>CL-MD 14021.8822N</v>
      </c>
      <c r="B3665" s="195" t="s">
        <v>570</v>
      </c>
      <c r="C3665" s="196">
        <v>21.88</v>
      </c>
      <c r="D3665" s="196">
        <v>22</v>
      </c>
      <c r="E3665" s="195" t="s">
        <v>583</v>
      </c>
      <c r="F3665" s="195" t="s">
        <v>430</v>
      </c>
    </row>
    <row r="3666" spans="1:6" x14ac:dyDescent="0.25">
      <c r="A3666" s="189" t="str">
        <f t="shared" si="57"/>
        <v>CL-MD 14021.8822S</v>
      </c>
      <c r="B3666" s="195" t="s">
        <v>570</v>
      </c>
      <c r="C3666" s="196">
        <v>21.88</v>
      </c>
      <c r="D3666" s="196">
        <v>22</v>
      </c>
      <c r="E3666" s="195" t="s">
        <v>583</v>
      </c>
      <c r="F3666" s="195" t="s">
        <v>438</v>
      </c>
    </row>
    <row r="3667" spans="1:6" x14ac:dyDescent="0.25">
      <c r="A3667" s="189" t="str">
        <f t="shared" si="57"/>
        <v>CL-MD 1402222.12N</v>
      </c>
      <c r="B3667" s="195" t="s">
        <v>570</v>
      </c>
      <c r="C3667" s="196">
        <v>22</v>
      </c>
      <c r="D3667" s="196">
        <v>22.12</v>
      </c>
      <c r="E3667" s="195" t="s">
        <v>583</v>
      </c>
      <c r="F3667" s="195" t="s">
        <v>430</v>
      </c>
    </row>
    <row r="3668" spans="1:6" x14ac:dyDescent="0.25">
      <c r="A3668" s="189" t="str">
        <f t="shared" si="57"/>
        <v>CL-MD 1402222.12S</v>
      </c>
      <c r="B3668" s="195" t="s">
        <v>570</v>
      </c>
      <c r="C3668" s="196">
        <v>22</v>
      </c>
      <c r="D3668" s="196">
        <v>22.12</v>
      </c>
      <c r="E3668" s="195" t="s">
        <v>583</v>
      </c>
      <c r="F3668" s="195" t="s">
        <v>438</v>
      </c>
    </row>
    <row r="3669" spans="1:6" x14ac:dyDescent="0.25">
      <c r="A3669" s="189" t="str">
        <f t="shared" si="57"/>
        <v>CL-MD 14022.1222.6N</v>
      </c>
      <c r="B3669" s="195" t="s">
        <v>570</v>
      </c>
      <c r="C3669" s="196">
        <v>22.12</v>
      </c>
      <c r="D3669" s="196">
        <v>22.6</v>
      </c>
      <c r="E3669" s="195" t="s">
        <v>583</v>
      </c>
      <c r="F3669" s="195" t="s">
        <v>430</v>
      </c>
    </row>
    <row r="3670" spans="1:6" x14ac:dyDescent="0.25">
      <c r="A3670" s="189" t="str">
        <f t="shared" si="57"/>
        <v>CL-MD 14022.1222.6S</v>
      </c>
      <c r="B3670" s="195" t="s">
        <v>570</v>
      </c>
      <c r="C3670" s="196">
        <v>22.12</v>
      </c>
      <c r="D3670" s="196">
        <v>22.6</v>
      </c>
      <c r="E3670" s="195" t="s">
        <v>583</v>
      </c>
      <c r="F3670" s="195" t="s">
        <v>438</v>
      </c>
    </row>
    <row r="3671" spans="1:6" x14ac:dyDescent="0.25">
      <c r="A3671" s="189" t="str">
        <f t="shared" si="57"/>
        <v>CL-MD 14022.623N</v>
      </c>
      <c r="B3671" s="195" t="s">
        <v>570</v>
      </c>
      <c r="C3671" s="196">
        <v>22.6</v>
      </c>
      <c r="D3671" s="196">
        <v>23</v>
      </c>
      <c r="E3671" s="195" t="s">
        <v>583</v>
      </c>
      <c r="F3671" s="195" t="s">
        <v>430</v>
      </c>
    </row>
    <row r="3672" spans="1:6" x14ac:dyDescent="0.25">
      <c r="A3672" s="189" t="str">
        <f t="shared" si="57"/>
        <v>CL-MD 14022.623S</v>
      </c>
      <c r="B3672" s="195" t="s">
        <v>570</v>
      </c>
      <c r="C3672" s="196">
        <v>22.6</v>
      </c>
      <c r="D3672" s="196">
        <v>23</v>
      </c>
      <c r="E3672" s="195" t="s">
        <v>583</v>
      </c>
      <c r="F3672" s="195" t="s">
        <v>438</v>
      </c>
    </row>
    <row r="3673" spans="1:6" x14ac:dyDescent="0.25">
      <c r="A3673" s="189" t="str">
        <f t="shared" si="57"/>
        <v>CL-MD 1402324.4N</v>
      </c>
      <c r="B3673" s="195" t="s">
        <v>570</v>
      </c>
      <c r="C3673" s="196">
        <v>23</v>
      </c>
      <c r="D3673" s="196">
        <v>24.4</v>
      </c>
      <c r="E3673" s="195" t="s">
        <v>583</v>
      </c>
      <c r="F3673" s="195" t="s">
        <v>430</v>
      </c>
    </row>
    <row r="3674" spans="1:6" x14ac:dyDescent="0.25">
      <c r="A3674" s="189" t="str">
        <f t="shared" si="57"/>
        <v>CL-MD 1402324.4S</v>
      </c>
      <c r="B3674" s="195" t="s">
        <v>570</v>
      </c>
      <c r="C3674" s="196">
        <v>23</v>
      </c>
      <c r="D3674" s="196">
        <v>24.4</v>
      </c>
      <c r="E3674" s="195" t="s">
        <v>583</v>
      </c>
      <c r="F3674" s="195" t="s">
        <v>438</v>
      </c>
    </row>
    <row r="3675" spans="1:6" x14ac:dyDescent="0.25">
      <c r="A3675" s="189" t="str">
        <f t="shared" si="57"/>
        <v>CL-MD 14024.424.93N</v>
      </c>
      <c r="B3675" s="195" t="s">
        <v>570</v>
      </c>
      <c r="C3675" s="196">
        <v>24.4</v>
      </c>
      <c r="D3675" s="196">
        <v>24.93</v>
      </c>
      <c r="E3675" s="195" t="s">
        <v>583</v>
      </c>
      <c r="F3675" s="195" t="s">
        <v>430</v>
      </c>
    </row>
    <row r="3676" spans="1:6" x14ac:dyDescent="0.25">
      <c r="A3676" s="189" t="str">
        <f t="shared" si="57"/>
        <v>CL-MD 14024.424.93S</v>
      </c>
      <c r="B3676" s="195" t="s">
        <v>570</v>
      </c>
      <c r="C3676" s="196">
        <v>24.4</v>
      </c>
      <c r="D3676" s="196">
        <v>24.93</v>
      </c>
      <c r="E3676" s="195" t="s">
        <v>583</v>
      </c>
      <c r="F3676" s="195" t="s">
        <v>438</v>
      </c>
    </row>
    <row r="3677" spans="1:6" x14ac:dyDescent="0.25">
      <c r="A3677" s="189" t="str">
        <f t="shared" si="57"/>
        <v>CL-MD 140 RP1-1000.23N</v>
      </c>
      <c r="B3677" s="195" t="s">
        <v>2163</v>
      </c>
      <c r="C3677" s="196">
        <v>0</v>
      </c>
      <c r="D3677" s="196">
        <v>0.23</v>
      </c>
      <c r="E3677" s="195" t="s">
        <v>589</v>
      </c>
      <c r="F3677" s="195" t="s">
        <v>430</v>
      </c>
    </row>
    <row r="3678" spans="1:6" x14ac:dyDescent="0.25">
      <c r="A3678" s="189" t="str">
        <f t="shared" si="57"/>
        <v>CL-MD 140 RP1-900.02N</v>
      </c>
      <c r="B3678" s="195" t="s">
        <v>2164</v>
      </c>
      <c r="C3678" s="196">
        <v>0</v>
      </c>
      <c r="D3678" s="196">
        <v>0.02</v>
      </c>
      <c r="E3678" s="195" t="s">
        <v>589</v>
      </c>
      <c r="F3678" s="195" t="s">
        <v>430</v>
      </c>
    </row>
    <row r="3679" spans="1:6" x14ac:dyDescent="0.25">
      <c r="A3679" s="189" t="str">
        <f t="shared" si="57"/>
        <v>CL-MD 140 RP2-1000.3W</v>
      </c>
      <c r="B3679" s="195" t="s">
        <v>2165</v>
      </c>
      <c r="C3679" s="196">
        <v>0</v>
      </c>
      <c r="D3679" s="196">
        <v>0.3</v>
      </c>
      <c r="E3679" s="195" t="s">
        <v>593</v>
      </c>
      <c r="F3679" s="195" t="s">
        <v>432</v>
      </c>
    </row>
    <row r="3680" spans="1:6" x14ac:dyDescent="0.25">
      <c r="A3680" s="189" t="str">
        <f t="shared" si="57"/>
        <v>CL-MD 140 RP2-900.02S</v>
      </c>
      <c r="B3680" s="195" t="s">
        <v>2166</v>
      </c>
      <c r="C3680" s="196">
        <v>0</v>
      </c>
      <c r="D3680" s="196">
        <v>0.02</v>
      </c>
      <c r="E3680" s="195" t="s">
        <v>595</v>
      </c>
      <c r="F3680" s="195" t="s">
        <v>438</v>
      </c>
    </row>
    <row r="3681" spans="1:6" x14ac:dyDescent="0.25">
      <c r="A3681" s="189" t="str">
        <f t="shared" si="57"/>
        <v>CL-MD 140 RP3-1000.01E</v>
      </c>
      <c r="B3681" s="195" t="s">
        <v>2167</v>
      </c>
      <c r="C3681" s="196">
        <v>0</v>
      </c>
      <c r="D3681" s="196">
        <v>0.01</v>
      </c>
      <c r="E3681" s="195" t="s">
        <v>598</v>
      </c>
      <c r="F3681" s="195" t="s">
        <v>19</v>
      </c>
    </row>
    <row r="3682" spans="1:6" x14ac:dyDescent="0.25">
      <c r="A3682" s="189" t="str">
        <f t="shared" si="57"/>
        <v>CL-MD 140 RP3-900.22E</v>
      </c>
      <c r="B3682" s="195" t="s">
        <v>2168</v>
      </c>
      <c r="C3682" s="196">
        <v>0</v>
      </c>
      <c r="D3682" s="196">
        <v>0.22</v>
      </c>
      <c r="E3682" s="195" t="s">
        <v>598</v>
      </c>
      <c r="F3682" s="195" t="s">
        <v>19</v>
      </c>
    </row>
    <row r="3683" spans="1:6" x14ac:dyDescent="0.25">
      <c r="A3683" s="189" t="str">
        <f t="shared" si="57"/>
        <v>CL-MD 140 RP4-1000.02W</v>
      </c>
      <c r="B3683" s="195" t="s">
        <v>2169</v>
      </c>
      <c r="C3683" s="196">
        <v>0</v>
      </c>
      <c r="D3683" s="196">
        <v>0.02</v>
      </c>
      <c r="E3683" s="195" t="s">
        <v>593</v>
      </c>
      <c r="F3683" s="195" t="s">
        <v>432</v>
      </c>
    </row>
    <row r="3684" spans="1:6" x14ac:dyDescent="0.25">
      <c r="A3684" s="189" t="str">
        <f t="shared" si="57"/>
        <v>CL-MD 140 RP4-900.24N</v>
      </c>
      <c r="B3684" s="195" t="s">
        <v>2170</v>
      </c>
      <c r="C3684" s="196">
        <v>0</v>
      </c>
      <c r="D3684" s="196">
        <v>0.24</v>
      </c>
      <c r="E3684" s="195" t="s">
        <v>589</v>
      </c>
      <c r="F3684" s="195" t="s">
        <v>430</v>
      </c>
    </row>
    <row r="3685" spans="1:6" x14ac:dyDescent="0.25">
      <c r="A3685" s="189" t="str">
        <f t="shared" si="57"/>
        <v>CL-MD 140 RP5-1000.16S</v>
      </c>
      <c r="B3685" s="195" t="s">
        <v>2171</v>
      </c>
      <c r="C3685" s="196">
        <v>0</v>
      </c>
      <c r="D3685" s="196">
        <v>0.16</v>
      </c>
      <c r="E3685" s="195" t="s">
        <v>595</v>
      </c>
      <c r="F3685" s="195" t="s">
        <v>438</v>
      </c>
    </row>
    <row r="3686" spans="1:6" x14ac:dyDescent="0.25">
      <c r="A3686" s="189" t="str">
        <f t="shared" si="57"/>
        <v>CL-MD 140 RP5-900.2S</v>
      </c>
      <c r="B3686" s="195" t="s">
        <v>2172</v>
      </c>
      <c r="C3686" s="196">
        <v>0</v>
      </c>
      <c r="D3686" s="196">
        <v>0.2</v>
      </c>
      <c r="E3686" s="195" t="s">
        <v>595</v>
      </c>
      <c r="F3686" s="195" t="s">
        <v>438</v>
      </c>
    </row>
    <row r="3687" spans="1:6" x14ac:dyDescent="0.25">
      <c r="A3687" s="189" t="str">
        <f t="shared" si="57"/>
        <v>CL-MD 140 RP6-1000.21E</v>
      </c>
      <c r="B3687" s="195" t="s">
        <v>2173</v>
      </c>
      <c r="C3687" s="196">
        <v>0</v>
      </c>
      <c r="D3687" s="196">
        <v>0.21</v>
      </c>
      <c r="E3687" s="195" t="s">
        <v>598</v>
      </c>
      <c r="F3687" s="195" t="s">
        <v>19</v>
      </c>
    </row>
    <row r="3688" spans="1:6" x14ac:dyDescent="0.25">
      <c r="A3688" s="189" t="str">
        <f t="shared" si="57"/>
        <v>CL-MD 140 RP6-900.24E</v>
      </c>
      <c r="B3688" s="195" t="s">
        <v>2174</v>
      </c>
      <c r="C3688" s="196">
        <v>0</v>
      </c>
      <c r="D3688" s="196">
        <v>0.24</v>
      </c>
      <c r="E3688" s="195" t="s">
        <v>598</v>
      </c>
      <c r="F3688" s="195" t="s">
        <v>19</v>
      </c>
    </row>
    <row r="3689" spans="1:6" x14ac:dyDescent="0.25">
      <c r="A3689" s="189" t="str">
        <f t="shared" si="57"/>
        <v>CL-MD 140 RP7-1000.03W</v>
      </c>
      <c r="B3689" s="195" t="s">
        <v>2175</v>
      </c>
      <c r="C3689" s="196">
        <v>0</v>
      </c>
      <c r="D3689" s="196">
        <v>0.03</v>
      </c>
      <c r="E3689" s="195" t="s">
        <v>593</v>
      </c>
      <c r="F3689" s="195" t="s">
        <v>432</v>
      </c>
    </row>
    <row r="3690" spans="1:6" x14ac:dyDescent="0.25">
      <c r="A3690" s="189" t="str">
        <f t="shared" si="57"/>
        <v>CL-MD 140 RP7-900.03S</v>
      </c>
      <c r="B3690" s="195" t="s">
        <v>2176</v>
      </c>
      <c r="C3690" s="196">
        <v>0</v>
      </c>
      <c r="D3690" s="196">
        <v>0.03</v>
      </c>
      <c r="E3690" s="195" t="s">
        <v>595</v>
      </c>
      <c r="F3690" s="195" t="s">
        <v>438</v>
      </c>
    </row>
    <row r="3691" spans="1:6" x14ac:dyDescent="0.25">
      <c r="A3691" s="189" t="str">
        <f t="shared" si="57"/>
        <v>CL-MD 140 RP8-900.01N</v>
      </c>
      <c r="B3691" s="195" t="s">
        <v>2177</v>
      </c>
      <c r="C3691" s="196">
        <v>0</v>
      </c>
      <c r="D3691" s="196">
        <v>0.01</v>
      </c>
      <c r="E3691" s="195" t="s">
        <v>589</v>
      </c>
      <c r="F3691" s="195" t="s">
        <v>430</v>
      </c>
    </row>
    <row r="3692" spans="1:6" x14ac:dyDescent="0.25">
      <c r="A3692" s="189" t="str">
        <f t="shared" si="57"/>
        <v>CL-MD 144A01.83E</v>
      </c>
      <c r="B3692" s="195" t="s">
        <v>2178</v>
      </c>
      <c r="C3692" s="196">
        <v>0</v>
      </c>
      <c r="D3692" s="196">
        <v>1.83</v>
      </c>
      <c r="E3692" s="195" t="s">
        <v>583</v>
      </c>
      <c r="F3692" s="195" t="s">
        <v>19</v>
      </c>
    </row>
    <row r="3693" spans="1:6" x14ac:dyDescent="0.25">
      <c r="A3693" s="189" t="str">
        <f t="shared" si="57"/>
        <v>CL-MD 144A01.83W</v>
      </c>
      <c r="B3693" s="195" t="s">
        <v>2178</v>
      </c>
      <c r="C3693" s="196">
        <v>0</v>
      </c>
      <c r="D3693" s="196">
        <v>1.83</v>
      </c>
      <c r="E3693" s="195" t="s">
        <v>583</v>
      </c>
      <c r="F3693" s="195" t="s">
        <v>432</v>
      </c>
    </row>
    <row r="3694" spans="1:6" x14ac:dyDescent="0.25">
      <c r="A3694" s="189" t="str">
        <f t="shared" si="57"/>
        <v>CL-MD 19400.92N</v>
      </c>
      <c r="B3694" s="195" t="s">
        <v>2179</v>
      </c>
      <c r="C3694" s="196">
        <v>0</v>
      </c>
      <c r="D3694" s="196">
        <v>0.92</v>
      </c>
      <c r="E3694" s="195" t="s">
        <v>583</v>
      </c>
      <c r="F3694" s="195" t="s">
        <v>430</v>
      </c>
    </row>
    <row r="3695" spans="1:6" x14ac:dyDescent="0.25">
      <c r="A3695" s="189" t="str">
        <f t="shared" si="57"/>
        <v>CL-MD 19400.92S</v>
      </c>
      <c r="B3695" s="195" t="s">
        <v>2179</v>
      </c>
      <c r="C3695" s="196">
        <v>0</v>
      </c>
      <c r="D3695" s="196">
        <v>0.92</v>
      </c>
      <c r="E3695" s="195" t="s">
        <v>583</v>
      </c>
      <c r="F3695" s="195" t="s">
        <v>438</v>
      </c>
    </row>
    <row r="3696" spans="1:6" x14ac:dyDescent="0.25">
      <c r="A3696" s="189" t="str">
        <f t="shared" si="57"/>
        <v>CL-MD 1940.921.41N</v>
      </c>
      <c r="B3696" s="195" t="s">
        <v>2179</v>
      </c>
      <c r="C3696" s="196">
        <v>0.92</v>
      </c>
      <c r="D3696" s="196">
        <v>1.41</v>
      </c>
      <c r="E3696" s="195" t="s">
        <v>583</v>
      </c>
      <c r="F3696" s="195" t="s">
        <v>430</v>
      </c>
    </row>
    <row r="3697" spans="1:6" x14ac:dyDescent="0.25">
      <c r="A3697" s="189" t="str">
        <f t="shared" si="57"/>
        <v>CL-MD 1940.921.41S</v>
      </c>
      <c r="B3697" s="195" t="s">
        <v>2179</v>
      </c>
      <c r="C3697" s="196">
        <v>0.92</v>
      </c>
      <c r="D3697" s="196">
        <v>1.41</v>
      </c>
      <c r="E3697" s="195" t="s">
        <v>583</v>
      </c>
      <c r="F3697" s="195" t="s">
        <v>438</v>
      </c>
    </row>
    <row r="3698" spans="1:6" x14ac:dyDescent="0.25">
      <c r="A3698" s="189" t="str">
        <f t="shared" si="57"/>
        <v>CL-MD 1941.413.62N</v>
      </c>
      <c r="B3698" s="195" t="s">
        <v>2179</v>
      </c>
      <c r="C3698" s="196">
        <v>1.41</v>
      </c>
      <c r="D3698" s="196">
        <v>3.62</v>
      </c>
      <c r="E3698" s="195" t="s">
        <v>583</v>
      </c>
      <c r="F3698" s="195" t="s">
        <v>430</v>
      </c>
    </row>
    <row r="3699" spans="1:6" x14ac:dyDescent="0.25">
      <c r="A3699" s="189" t="str">
        <f t="shared" si="57"/>
        <v>CL-MD 1941.413.62S</v>
      </c>
      <c r="B3699" s="195" t="s">
        <v>2179</v>
      </c>
      <c r="C3699" s="196">
        <v>1.41</v>
      </c>
      <c r="D3699" s="196">
        <v>3.62</v>
      </c>
      <c r="E3699" s="195" t="s">
        <v>583</v>
      </c>
      <c r="F3699" s="195" t="s">
        <v>438</v>
      </c>
    </row>
    <row r="3700" spans="1:6" x14ac:dyDescent="0.25">
      <c r="A3700" s="189" t="str">
        <f t="shared" si="57"/>
        <v>CL-MD 1943.625.65N</v>
      </c>
      <c r="B3700" s="195" t="s">
        <v>2179</v>
      </c>
      <c r="C3700" s="196">
        <v>3.62</v>
      </c>
      <c r="D3700" s="196">
        <v>5.65</v>
      </c>
      <c r="E3700" s="195" t="s">
        <v>583</v>
      </c>
      <c r="F3700" s="195" t="s">
        <v>430</v>
      </c>
    </row>
    <row r="3701" spans="1:6" x14ac:dyDescent="0.25">
      <c r="A3701" s="189" t="str">
        <f t="shared" si="57"/>
        <v>CL-MD 1943.625.65S</v>
      </c>
      <c r="B3701" s="195" t="s">
        <v>2179</v>
      </c>
      <c r="C3701" s="196">
        <v>3.62</v>
      </c>
      <c r="D3701" s="196">
        <v>5.65</v>
      </c>
      <c r="E3701" s="195" t="s">
        <v>583</v>
      </c>
      <c r="F3701" s="195" t="s">
        <v>438</v>
      </c>
    </row>
    <row r="3702" spans="1:6" x14ac:dyDescent="0.25">
      <c r="A3702" s="189" t="str">
        <f t="shared" si="57"/>
        <v>CL-MD 1945.655.98N</v>
      </c>
      <c r="B3702" s="195" t="s">
        <v>2179</v>
      </c>
      <c r="C3702" s="196">
        <v>5.65</v>
      </c>
      <c r="D3702" s="196">
        <v>5.98</v>
      </c>
      <c r="E3702" s="195" t="s">
        <v>583</v>
      </c>
      <c r="F3702" s="195" t="s">
        <v>430</v>
      </c>
    </row>
    <row r="3703" spans="1:6" x14ac:dyDescent="0.25">
      <c r="A3703" s="189" t="str">
        <f t="shared" si="57"/>
        <v>CL-MD 1945.655.98S</v>
      </c>
      <c r="B3703" s="195" t="s">
        <v>2179</v>
      </c>
      <c r="C3703" s="196">
        <v>5.65</v>
      </c>
      <c r="D3703" s="196">
        <v>5.98</v>
      </c>
      <c r="E3703" s="195" t="s">
        <v>583</v>
      </c>
      <c r="F3703" s="195" t="s">
        <v>438</v>
      </c>
    </row>
    <row r="3704" spans="1:6" x14ac:dyDescent="0.25">
      <c r="A3704" s="189" t="str">
        <f t="shared" si="57"/>
        <v>CL-MD 1945.986.2N</v>
      </c>
      <c r="B3704" s="195" t="s">
        <v>2179</v>
      </c>
      <c r="C3704" s="196">
        <v>5.98</v>
      </c>
      <c r="D3704" s="196">
        <v>6.2</v>
      </c>
      <c r="E3704" s="195" t="s">
        <v>583</v>
      </c>
      <c r="F3704" s="195" t="s">
        <v>430</v>
      </c>
    </row>
    <row r="3705" spans="1:6" x14ac:dyDescent="0.25">
      <c r="A3705" s="189" t="str">
        <f t="shared" si="57"/>
        <v>CL-MD 1945.986.2S</v>
      </c>
      <c r="B3705" s="195" t="s">
        <v>2179</v>
      </c>
      <c r="C3705" s="196">
        <v>5.98</v>
      </c>
      <c r="D3705" s="196">
        <v>6.2</v>
      </c>
      <c r="E3705" s="195" t="s">
        <v>583</v>
      </c>
      <c r="F3705" s="195" t="s">
        <v>438</v>
      </c>
    </row>
    <row r="3706" spans="1:6" x14ac:dyDescent="0.25">
      <c r="A3706" s="189" t="str">
        <f t="shared" si="57"/>
        <v>CL-MD 1946.26.25N</v>
      </c>
      <c r="B3706" s="195" t="s">
        <v>2179</v>
      </c>
      <c r="C3706" s="196">
        <v>6.2</v>
      </c>
      <c r="D3706" s="196">
        <v>6.25</v>
      </c>
      <c r="E3706" s="195" t="s">
        <v>583</v>
      </c>
      <c r="F3706" s="195" t="s">
        <v>430</v>
      </c>
    </row>
    <row r="3707" spans="1:6" x14ac:dyDescent="0.25">
      <c r="A3707" s="189" t="str">
        <f t="shared" si="57"/>
        <v>CL-MD 1946.26.25S</v>
      </c>
      <c r="B3707" s="195" t="s">
        <v>2179</v>
      </c>
      <c r="C3707" s="196">
        <v>6.2</v>
      </c>
      <c r="D3707" s="196">
        <v>6.25</v>
      </c>
      <c r="E3707" s="195" t="s">
        <v>583</v>
      </c>
      <c r="F3707" s="195" t="s">
        <v>438</v>
      </c>
    </row>
    <row r="3708" spans="1:6" x14ac:dyDescent="0.25">
      <c r="A3708" s="189" t="str">
        <f t="shared" si="57"/>
        <v>CL-MD 1946.256.55N</v>
      </c>
      <c r="B3708" s="195" t="s">
        <v>2179</v>
      </c>
      <c r="C3708" s="196">
        <v>6.25</v>
      </c>
      <c r="D3708" s="196">
        <v>6.55</v>
      </c>
      <c r="E3708" s="195" t="s">
        <v>583</v>
      </c>
      <c r="F3708" s="195" t="s">
        <v>430</v>
      </c>
    </row>
    <row r="3709" spans="1:6" x14ac:dyDescent="0.25">
      <c r="A3709" s="189" t="str">
        <f t="shared" si="57"/>
        <v>CL-MD 1946.256.55S</v>
      </c>
      <c r="B3709" s="195" t="s">
        <v>2179</v>
      </c>
      <c r="C3709" s="196">
        <v>6.25</v>
      </c>
      <c r="D3709" s="196">
        <v>6.55</v>
      </c>
      <c r="E3709" s="195" t="s">
        <v>583</v>
      </c>
      <c r="F3709" s="195" t="s">
        <v>438</v>
      </c>
    </row>
    <row r="3710" spans="1:6" x14ac:dyDescent="0.25">
      <c r="A3710" s="189" t="str">
        <f t="shared" si="57"/>
        <v>CL-MD 1946.556.62N</v>
      </c>
      <c r="B3710" s="195" t="s">
        <v>2179</v>
      </c>
      <c r="C3710" s="196">
        <v>6.55</v>
      </c>
      <c r="D3710" s="196">
        <v>6.62</v>
      </c>
      <c r="E3710" s="195" t="s">
        <v>583</v>
      </c>
      <c r="F3710" s="195" t="s">
        <v>430</v>
      </c>
    </row>
    <row r="3711" spans="1:6" x14ac:dyDescent="0.25">
      <c r="A3711" s="189" t="str">
        <f t="shared" si="57"/>
        <v>CL-MD 1946.556.62S</v>
      </c>
      <c r="B3711" s="195" t="s">
        <v>2179</v>
      </c>
      <c r="C3711" s="196">
        <v>6.55</v>
      </c>
      <c r="D3711" s="196">
        <v>6.62</v>
      </c>
      <c r="E3711" s="195" t="s">
        <v>583</v>
      </c>
      <c r="F3711" s="195" t="s">
        <v>438</v>
      </c>
    </row>
    <row r="3712" spans="1:6" x14ac:dyDescent="0.25">
      <c r="A3712" s="189" t="str">
        <f t="shared" si="57"/>
        <v>CL-MD 1946.626.71N</v>
      </c>
      <c r="B3712" s="195" t="s">
        <v>2179</v>
      </c>
      <c r="C3712" s="196">
        <v>6.62</v>
      </c>
      <c r="D3712" s="196">
        <v>6.71</v>
      </c>
      <c r="E3712" s="195" t="s">
        <v>583</v>
      </c>
      <c r="F3712" s="195" t="s">
        <v>430</v>
      </c>
    </row>
    <row r="3713" spans="1:6" x14ac:dyDescent="0.25">
      <c r="A3713" s="189" t="str">
        <f t="shared" si="57"/>
        <v>CL-MD 1946.626.71S</v>
      </c>
      <c r="B3713" s="195" t="s">
        <v>2179</v>
      </c>
      <c r="C3713" s="196">
        <v>6.62</v>
      </c>
      <c r="D3713" s="196">
        <v>6.71</v>
      </c>
      <c r="E3713" s="195" t="s">
        <v>583</v>
      </c>
      <c r="F3713" s="195" t="s">
        <v>438</v>
      </c>
    </row>
    <row r="3714" spans="1:6" x14ac:dyDescent="0.25">
      <c r="A3714" s="189" t="str">
        <f t="shared" si="57"/>
        <v>CL-MD 1946.716.99N</v>
      </c>
      <c r="B3714" s="195" t="s">
        <v>2179</v>
      </c>
      <c r="C3714" s="196">
        <v>6.71</v>
      </c>
      <c r="D3714" s="196">
        <v>6.99</v>
      </c>
      <c r="E3714" s="195" t="s">
        <v>583</v>
      </c>
      <c r="F3714" s="195" t="s">
        <v>430</v>
      </c>
    </row>
    <row r="3715" spans="1:6" x14ac:dyDescent="0.25">
      <c r="A3715" s="189" t="str">
        <f t="shared" ref="A3715:A3778" si="58">B3715&amp;C3715&amp;D3715&amp;F3715</f>
        <v>CL-MD 1946.716.99S</v>
      </c>
      <c r="B3715" s="195" t="s">
        <v>2179</v>
      </c>
      <c r="C3715" s="196">
        <v>6.71</v>
      </c>
      <c r="D3715" s="196">
        <v>6.99</v>
      </c>
      <c r="E3715" s="195" t="s">
        <v>583</v>
      </c>
      <c r="F3715" s="195" t="s">
        <v>438</v>
      </c>
    </row>
    <row r="3716" spans="1:6" x14ac:dyDescent="0.25">
      <c r="A3716" s="189" t="str">
        <f t="shared" si="58"/>
        <v>CL-MD 1946.9911.46N</v>
      </c>
      <c r="B3716" s="195" t="s">
        <v>2179</v>
      </c>
      <c r="C3716" s="196">
        <v>6.99</v>
      </c>
      <c r="D3716" s="196">
        <v>11.46</v>
      </c>
      <c r="E3716" s="195" t="s">
        <v>583</v>
      </c>
      <c r="F3716" s="195" t="s">
        <v>430</v>
      </c>
    </row>
    <row r="3717" spans="1:6" x14ac:dyDescent="0.25">
      <c r="A3717" s="189" t="str">
        <f t="shared" si="58"/>
        <v>CL-MD 1946.9911.46S</v>
      </c>
      <c r="B3717" s="195" t="s">
        <v>2179</v>
      </c>
      <c r="C3717" s="196">
        <v>6.99</v>
      </c>
      <c r="D3717" s="196">
        <v>11.46</v>
      </c>
      <c r="E3717" s="195" t="s">
        <v>583</v>
      </c>
      <c r="F3717" s="195" t="s">
        <v>438</v>
      </c>
    </row>
    <row r="3718" spans="1:6" x14ac:dyDescent="0.25">
      <c r="A3718" s="189" t="str">
        <f t="shared" si="58"/>
        <v>CL-MD 194D00.02E</v>
      </c>
      <c r="B3718" s="195" t="s">
        <v>2180</v>
      </c>
      <c r="C3718" s="196">
        <v>0</v>
      </c>
      <c r="D3718" s="196">
        <v>0.02</v>
      </c>
      <c r="E3718" s="195" t="s">
        <v>598</v>
      </c>
      <c r="F3718" s="195" t="s">
        <v>19</v>
      </c>
    </row>
    <row r="3719" spans="1:6" x14ac:dyDescent="0.25">
      <c r="A3719" s="189" t="str">
        <f t="shared" si="58"/>
        <v>CL-MD 194D00.02W</v>
      </c>
      <c r="B3719" s="195" t="s">
        <v>2180</v>
      </c>
      <c r="C3719" s="196">
        <v>0</v>
      </c>
      <c r="D3719" s="196">
        <v>0.02</v>
      </c>
      <c r="E3719" s="195" t="s">
        <v>593</v>
      </c>
      <c r="F3719" s="195" t="s">
        <v>432</v>
      </c>
    </row>
    <row r="3720" spans="1:6" x14ac:dyDescent="0.25">
      <c r="A3720" s="189" t="str">
        <f t="shared" si="58"/>
        <v>CL-MD 194E00.02E</v>
      </c>
      <c r="B3720" s="195" t="s">
        <v>2181</v>
      </c>
      <c r="C3720" s="196">
        <v>0</v>
      </c>
      <c r="D3720" s="196">
        <v>0.02</v>
      </c>
      <c r="E3720" s="195" t="s">
        <v>598</v>
      </c>
      <c r="F3720" s="195" t="s">
        <v>19</v>
      </c>
    </row>
    <row r="3721" spans="1:6" x14ac:dyDescent="0.25">
      <c r="A3721" s="189" t="str">
        <f t="shared" si="58"/>
        <v>CL-MD 194E00.02W</v>
      </c>
      <c r="B3721" s="195" t="s">
        <v>2181</v>
      </c>
      <c r="C3721" s="196">
        <v>0</v>
      </c>
      <c r="D3721" s="196">
        <v>0.02</v>
      </c>
      <c r="E3721" s="195" t="s">
        <v>593</v>
      </c>
      <c r="F3721" s="195" t="s">
        <v>432</v>
      </c>
    </row>
    <row r="3722" spans="1:6" x14ac:dyDescent="0.25">
      <c r="A3722" s="189" t="str">
        <f t="shared" si="58"/>
        <v>CL-MD 2600.45E</v>
      </c>
      <c r="B3722" s="195" t="s">
        <v>571</v>
      </c>
      <c r="C3722" s="196">
        <v>0</v>
      </c>
      <c r="D3722" s="196">
        <v>0.45</v>
      </c>
      <c r="E3722" s="195" t="s">
        <v>583</v>
      </c>
      <c r="F3722" s="195" t="s">
        <v>19</v>
      </c>
    </row>
    <row r="3723" spans="1:6" x14ac:dyDescent="0.25">
      <c r="A3723" s="189" t="str">
        <f t="shared" si="58"/>
        <v>CL-MD 2600.45W</v>
      </c>
      <c r="B3723" s="195" t="s">
        <v>571</v>
      </c>
      <c r="C3723" s="196">
        <v>0</v>
      </c>
      <c r="D3723" s="196">
        <v>0.45</v>
      </c>
      <c r="E3723" s="195" t="s">
        <v>583</v>
      </c>
      <c r="F3723" s="195" t="s">
        <v>432</v>
      </c>
    </row>
    <row r="3724" spans="1:6" x14ac:dyDescent="0.25">
      <c r="A3724" s="189" t="str">
        <f t="shared" si="58"/>
        <v>CL-MD 260.450.7E</v>
      </c>
      <c r="B3724" s="195" t="s">
        <v>571</v>
      </c>
      <c r="C3724" s="196">
        <v>0.45</v>
      </c>
      <c r="D3724" s="196">
        <v>0.7</v>
      </c>
      <c r="E3724" s="195" t="s">
        <v>583</v>
      </c>
      <c r="F3724" s="195" t="s">
        <v>19</v>
      </c>
    </row>
    <row r="3725" spans="1:6" x14ac:dyDescent="0.25">
      <c r="A3725" s="189" t="str">
        <f t="shared" si="58"/>
        <v>CL-MD 260.450.7W</v>
      </c>
      <c r="B3725" s="195" t="s">
        <v>571</v>
      </c>
      <c r="C3725" s="196">
        <v>0.45</v>
      </c>
      <c r="D3725" s="196">
        <v>0.7</v>
      </c>
      <c r="E3725" s="195" t="s">
        <v>583</v>
      </c>
      <c r="F3725" s="195" t="s">
        <v>432</v>
      </c>
    </row>
    <row r="3726" spans="1:6" x14ac:dyDescent="0.25">
      <c r="A3726" s="189" t="str">
        <f t="shared" si="58"/>
        <v>CL-MD 260.71.76E</v>
      </c>
      <c r="B3726" s="195" t="s">
        <v>571</v>
      </c>
      <c r="C3726" s="196">
        <v>0.7</v>
      </c>
      <c r="D3726" s="196">
        <v>1.76</v>
      </c>
      <c r="E3726" s="195" t="s">
        <v>583</v>
      </c>
      <c r="F3726" s="195" t="s">
        <v>19</v>
      </c>
    </row>
    <row r="3727" spans="1:6" x14ac:dyDescent="0.25">
      <c r="A3727" s="189" t="str">
        <f t="shared" si="58"/>
        <v>CL-MD 260.71.76W</v>
      </c>
      <c r="B3727" s="195" t="s">
        <v>571</v>
      </c>
      <c r="C3727" s="196">
        <v>0.7</v>
      </c>
      <c r="D3727" s="196">
        <v>1.76</v>
      </c>
      <c r="E3727" s="195" t="s">
        <v>583</v>
      </c>
      <c r="F3727" s="195" t="s">
        <v>432</v>
      </c>
    </row>
    <row r="3728" spans="1:6" x14ac:dyDescent="0.25">
      <c r="A3728" s="189" t="str">
        <f t="shared" si="58"/>
        <v>CL-MD 261.763.5E</v>
      </c>
      <c r="B3728" s="195" t="s">
        <v>571</v>
      </c>
      <c r="C3728" s="196">
        <v>1.76</v>
      </c>
      <c r="D3728" s="196">
        <v>3.5</v>
      </c>
      <c r="E3728" s="195" t="s">
        <v>583</v>
      </c>
      <c r="F3728" s="195" t="s">
        <v>19</v>
      </c>
    </row>
    <row r="3729" spans="1:6" x14ac:dyDescent="0.25">
      <c r="A3729" s="189" t="str">
        <f t="shared" si="58"/>
        <v>CL-MD 261.763.5W</v>
      </c>
      <c r="B3729" s="195" t="s">
        <v>571</v>
      </c>
      <c r="C3729" s="196">
        <v>1.76</v>
      </c>
      <c r="D3729" s="196">
        <v>3.5</v>
      </c>
      <c r="E3729" s="195" t="s">
        <v>583</v>
      </c>
      <c r="F3729" s="195" t="s">
        <v>432</v>
      </c>
    </row>
    <row r="3730" spans="1:6" x14ac:dyDescent="0.25">
      <c r="A3730" s="189" t="str">
        <f t="shared" si="58"/>
        <v>CL-MD 263.56.45E</v>
      </c>
      <c r="B3730" s="195" t="s">
        <v>571</v>
      </c>
      <c r="C3730" s="196">
        <v>3.5</v>
      </c>
      <c r="D3730" s="196">
        <v>6.45</v>
      </c>
      <c r="E3730" s="195" t="s">
        <v>583</v>
      </c>
      <c r="F3730" s="195" t="s">
        <v>19</v>
      </c>
    </row>
    <row r="3731" spans="1:6" x14ac:dyDescent="0.25">
      <c r="A3731" s="189" t="str">
        <f t="shared" si="58"/>
        <v>CL-MD 263.56.45W</v>
      </c>
      <c r="B3731" s="195" t="s">
        <v>571</v>
      </c>
      <c r="C3731" s="196">
        <v>3.5</v>
      </c>
      <c r="D3731" s="196">
        <v>6.45</v>
      </c>
      <c r="E3731" s="195" t="s">
        <v>583</v>
      </c>
      <c r="F3731" s="195" t="s">
        <v>432</v>
      </c>
    </row>
    <row r="3732" spans="1:6" x14ac:dyDescent="0.25">
      <c r="A3732" s="189" t="str">
        <f t="shared" si="58"/>
        <v>CL-MD 266.456.48E</v>
      </c>
      <c r="B3732" s="195" t="s">
        <v>571</v>
      </c>
      <c r="C3732" s="196">
        <v>6.45</v>
      </c>
      <c r="D3732" s="196">
        <v>6.48</v>
      </c>
      <c r="E3732" s="195" t="s">
        <v>583</v>
      </c>
      <c r="F3732" s="195" t="s">
        <v>19</v>
      </c>
    </row>
    <row r="3733" spans="1:6" x14ac:dyDescent="0.25">
      <c r="A3733" s="189" t="str">
        <f t="shared" si="58"/>
        <v>CL-MD 266.456.48W</v>
      </c>
      <c r="B3733" s="195" t="s">
        <v>571</v>
      </c>
      <c r="C3733" s="196">
        <v>6.45</v>
      </c>
      <c r="D3733" s="196">
        <v>6.48</v>
      </c>
      <c r="E3733" s="195" t="s">
        <v>583</v>
      </c>
      <c r="F3733" s="195" t="s">
        <v>432</v>
      </c>
    </row>
    <row r="3734" spans="1:6" x14ac:dyDescent="0.25">
      <c r="A3734" s="189" t="str">
        <f t="shared" si="58"/>
        <v>CL-MD 266.487.47E</v>
      </c>
      <c r="B3734" s="195" t="s">
        <v>571</v>
      </c>
      <c r="C3734" s="196">
        <v>6.48</v>
      </c>
      <c r="D3734" s="196">
        <v>7.47</v>
      </c>
      <c r="E3734" s="195" t="s">
        <v>583</v>
      </c>
      <c r="F3734" s="195" t="s">
        <v>19</v>
      </c>
    </row>
    <row r="3735" spans="1:6" x14ac:dyDescent="0.25">
      <c r="A3735" s="189" t="str">
        <f t="shared" si="58"/>
        <v>CL-MD 266.487.47W</v>
      </c>
      <c r="B3735" s="195" t="s">
        <v>571</v>
      </c>
      <c r="C3735" s="196">
        <v>6.48</v>
      </c>
      <c r="D3735" s="196">
        <v>7.47</v>
      </c>
      <c r="E3735" s="195" t="s">
        <v>583</v>
      </c>
      <c r="F3735" s="195" t="s">
        <v>432</v>
      </c>
    </row>
    <row r="3736" spans="1:6" x14ac:dyDescent="0.25">
      <c r="A3736" s="189" t="str">
        <f t="shared" si="58"/>
        <v>CL-MD 267.478.1E</v>
      </c>
      <c r="B3736" s="195" t="s">
        <v>571</v>
      </c>
      <c r="C3736" s="196">
        <v>7.47</v>
      </c>
      <c r="D3736" s="196">
        <v>8.1</v>
      </c>
      <c r="E3736" s="195" t="s">
        <v>598</v>
      </c>
      <c r="F3736" s="195" t="s">
        <v>19</v>
      </c>
    </row>
    <row r="3737" spans="1:6" x14ac:dyDescent="0.25">
      <c r="A3737" s="189" t="str">
        <f t="shared" si="58"/>
        <v>CL-MD 267.478.61W</v>
      </c>
      <c r="B3737" s="195" t="s">
        <v>571</v>
      </c>
      <c r="C3737" s="196">
        <v>7.47</v>
      </c>
      <c r="D3737" s="196">
        <v>8.61</v>
      </c>
      <c r="E3737" s="195" t="s">
        <v>593</v>
      </c>
      <c r="F3737" s="195" t="s">
        <v>432</v>
      </c>
    </row>
    <row r="3738" spans="1:6" x14ac:dyDescent="0.25">
      <c r="A3738" s="189" t="str">
        <f t="shared" si="58"/>
        <v>CL-MD 268.18.61E</v>
      </c>
      <c r="B3738" s="195" t="s">
        <v>571</v>
      </c>
      <c r="C3738" s="196">
        <v>8.1</v>
      </c>
      <c r="D3738" s="196">
        <v>8.61</v>
      </c>
      <c r="E3738" s="195" t="s">
        <v>598</v>
      </c>
      <c r="F3738" s="195" t="s">
        <v>19</v>
      </c>
    </row>
    <row r="3739" spans="1:6" x14ac:dyDescent="0.25">
      <c r="A3739" s="189" t="str">
        <f t="shared" si="58"/>
        <v>CL-MD 268.619.06E</v>
      </c>
      <c r="B3739" s="195" t="s">
        <v>571</v>
      </c>
      <c r="C3739" s="196">
        <v>8.61</v>
      </c>
      <c r="D3739" s="196">
        <v>9.06</v>
      </c>
      <c r="E3739" s="195" t="s">
        <v>583</v>
      </c>
      <c r="F3739" s="195" t="s">
        <v>19</v>
      </c>
    </row>
    <row r="3740" spans="1:6" x14ac:dyDescent="0.25">
      <c r="A3740" s="189" t="str">
        <f t="shared" si="58"/>
        <v>CL-MD 268.619.06W</v>
      </c>
      <c r="B3740" s="195" t="s">
        <v>571</v>
      </c>
      <c r="C3740" s="196">
        <v>8.61</v>
      </c>
      <c r="D3740" s="196">
        <v>9.06</v>
      </c>
      <c r="E3740" s="195" t="s">
        <v>583</v>
      </c>
      <c r="F3740" s="195" t="s">
        <v>432</v>
      </c>
    </row>
    <row r="3741" spans="1:6" x14ac:dyDescent="0.25">
      <c r="A3741" s="189" t="str">
        <f t="shared" si="58"/>
        <v>CL-MD 269.0610.3E</v>
      </c>
      <c r="B3741" s="195" t="s">
        <v>571</v>
      </c>
      <c r="C3741" s="196">
        <v>9.06</v>
      </c>
      <c r="D3741" s="196">
        <v>10.3</v>
      </c>
      <c r="E3741" s="195" t="s">
        <v>583</v>
      </c>
      <c r="F3741" s="195" t="s">
        <v>19</v>
      </c>
    </row>
    <row r="3742" spans="1:6" x14ac:dyDescent="0.25">
      <c r="A3742" s="189" t="str">
        <f t="shared" si="58"/>
        <v>CL-MD 269.0610.3W</v>
      </c>
      <c r="B3742" s="195" t="s">
        <v>571</v>
      </c>
      <c r="C3742" s="196">
        <v>9.06</v>
      </c>
      <c r="D3742" s="196">
        <v>10.3</v>
      </c>
      <c r="E3742" s="195" t="s">
        <v>583</v>
      </c>
      <c r="F3742" s="195" t="s">
        <v>432</v>
      </c>
    </row>
    <row r="3743" spans="1:6" x14ac:dyDescent="0.25">
      <c r="A3743" s="189" t="str">
        <f t="shared" si="58"/>
        <v>CL-MD 2610.312.3E</v>
      </c>
      <c r="B3743" s="195" t="s">
        <v>571</v>
      </c>
      <c r="C3743" s="196">
        <v>10.3</v>
      </c>
      <c r="D3743" s="196">
        <v>12.3</v>
      </c>
      <c r="E3743" s="195" t="s">
        <v>583</v>
      </c>
      <c r="F3743" s="195" t="s">
        <v>19</v>
      </c>
    </row>
    <row r="3744" spans="1:6" x14ac:dyDescent="0.25">
      <c r="A3744" s="189" t="str">
        <f t="shared" si="58"/>
        <v>CL-MD 2610.312.3W</v>
      </c>
      <c r="B3744" s="195" t="s">
        <v>571</v>
      </c>
      <c r="C3744" s="196">
        <v>10.3</v>
      </c>
      <c r="D3744" s="196">
        <v>12.3</v>
      </c>
      <c r="E3744" s="195" t="s">
        <v>583</v>
      </c>
      <c r="F3744" s="195" t="s">
        <v>432</v>
      </c>
    </row>
    <row r="3745" spans="1:6" x14ac:dyDescent="0.25">
      <c r="A3745" s="189" t="str">
        <f t="shared" si="58"/>
        <v>CL-MD 2612.312.49E</v>
      </c>
      <c r="B3745" s="195" t="s">
        <v>571</v>
      </c>
      <c r="C3745" s="196">
        <v>12.3</v>
      </c>
      <c r="D3745" s="196">
        <v>12.49</v>
      </c>
      <c r="E3745" s="195" t="s">
        <v>598</v>
      </c>
      <c r="F3745" s="195" t="s">
        <v>19</v>
      </c>
    </row>
    <row r="3746" spans="1:6" x14ac:dyDescent="0.25">
      <c r="A3746" s="189" t="str">
        <f t="shared" si="58"/>
        <v>CL-MD 2612.312.5W</v>
      </c>
      <c r="B3746" s="195" t="s">
        <v>571</v>
      </c>
      <c r="C3746" s="196">
        <v>12.3</v>
      </c>
      <c r="D3746" s="196">
        <v>12.5</v>
      </c>
      <c r="E3746" s="195" t="s">
        <v>593</v>
      </c>
      <c r="F3746" s="195" t="s">
        <v>432</v>
      </c>
    </row>
    <row r="3747" spans="1:6" x14ac:dyDescent="0.25">
      <c r="A3747" s="189" t="str">
        <f t="shared" si="58"/>
        <v>CL-MD 2612.4912.61E</v>
      </c>
      <c r="B3747" s="195" t="s">
        <v>571</v>
      </c>
      <c r="C3747" s="196">
        <v>12.49</v>
      </c>
      <c r="D3747" s="196">
        <v>12.61</v>
      </c>
      <c r="E3747" s="195" t="s">
        <v>598</v>
      </c>
      <c r="F3747" s="195" t="s">
        <v>19</v>
      </c>
    </row>
    <row r="3748" spans="1:6" x14ac:dyDescent="0.25">
      <c r="A3748" s="189" t="str">
        <f t="shared" si="58"/>
        <v>CL-MD 2612.512.61W</v>
      </c>
      <c r="B3748" s="195" t="s">
        <v>571</v>
      </c>
      <c r="C3748" s="196">
        <v>12.5</v>
      </c>
      <c r="D3748" s="196">
        <v>12.61</v>
      </c>
      <c r="E3748" s="195" t="s">
        <v>593</v>
      </c>
      <c r="F3748" s="195" t="s">
        <v>432</v>
      </c>
    </row>
    <row r="3749" spans="1:6" x14ac:dyDescent="0.25">
      <c r="A3749" s="189" t="str">
        <f t="shared" si="58"/>
        <v>CL-MD 2612.6112.68E</v>
      </c>
      <c r="B3749" s="195" t="s">
        <v>571</v>
      </c>
      <c r="C3749" s="196">
        <v>12.61</v>
      </c>
      <c r="D3749" s="196">
        <v>12.68</v>
      </c>
      <c r="E3749" s="195" t="s">
        <v>598</v>
      </c>
      <c r="F3749" s="195" t="s">
        <v>19</v>
      </c>
    </row>
    <row r="3750" spans="1:6" x14ac:dyDescent="0.25">
      <c r="A3750" s="189" t="str">
        <f t="shared" si="58"/>
        <v>CL-MD 2612.6112.69W</v>
      </c>
      <c r="B3750" s="195" t="s">
        <v>571</v>
      </c>
      <c r="C3750" s="196">
        <v>12.61</v>
      </c>
      <c r="D3750" s="196">
        <v>12.69</v>
      </c>
      <c r="E3750" s="195" t="s">
        <v>593</v>
      </c>
      <c r="F3750" s="195" t="s">
        <v>432</v>
      </c>
    </row>
    <row r="3751" spans="1:6" x14ac:dyDescent="0.25">
      <c r="A3751" s="189" t="str">
        <f t="shared" si="58"/>
        <v>CL-MD 2612.6812.77E</v>
      </c>
      <c r="B3751" s="195" t="s">
        <v>571</v>
      </c>
      <c r="C3751" s="196">
        <v>12.68</v>
      </c>
      <c r="D3751" s="196">
        <v>12.77</v>
      </c>
      <c r="E3751" s="195" t="s">
        <v>598</v>
      </c>
      <c r="F3751" s="195" t="s">
        <v>19</v>
      </c>
    </row>
    <row r="3752" spans="1:6" x14ac:dyDescent="0.25">
      <c r="A3752" s="189" t="str">
        <f t="shared" si="58"/>
        <v>CL-MD 2612.6912.77W</v>
      </c>
      <c r="B3752" s="195" t="s">
        <v>571</v>
      </c>
      <c r="C3752" s="196">
        <v>12.69</v>
      </c>
      <c r="D3752" s="196">
        <v>12.77</v>
      </c>
      <c r="E3752" s="195" t="s">
        <v>593</v>
      </c>
      <c r="F3752" s="195" t="s">
        <v>432</v>
      </c>
    </row>
    <row r="3753" spans="1:6" x14ac:dyDescent="0.25">
      <c r="A3753" s="189" t="str">
        <f t="shared" si="58"/>
        <v>CL-MD 2612.7713.47E</v>
      </c>
      <c r="B3753" s="195" t="s">
        <v>571</v>
      </c>
      <c r="C3753" s="196">
        <v>12.77</v>
      </c>
      <c r="D3753" s="196">
        <v>13.47</v>
      </c>
      <c r="E3753" s="195" t="s">
        <v>598</v>
      </c>
      <c r="F3753" s="195" t="s">
        <v>19</v>
      </c>
    </row>
    <row r="3754" spans="1:6" x14ac:dyDescent="0.25">
      <c r="A3754" s="189" t="str">
        <f t="shared" si="58"/>
        <v>CL-MD 2612.7713.48W</v>
      </c>
      <c r="B3754" s="195" t="s">
        <v>571</v>
      </c>
      <c r="C3754" s="196">
        <v>12.77</v>
      </c>
      <c r="D3754" s="196">
        <v>13.48</v>
      </c>
      <c r="E3754" s="195" t="s">
        <v>593</v>
      </c>
      <c r="F3754" s="195" t="s">
        <v>432</v>
      </c>
    </row>
    <row r="3755" spans="1:6" x14ac:dyDescent="0.25">
      <c r="A3755" s="189" t="str">
        <f t="shared" si="58"/>
        <v>CL-MD 2613.4713.49E</v>
      </c>
      <c r="B3755" s="195" t="s">
        <v>571</v>
      </c>
      <c r="C3755" s="196">
        <v>13.47</v>
      </c>
      <c r="D3755" s="196">
        <v>13.49</v>
      </c>
      <c r="E3755" s="195" t="s">
        <v>598</v>
      </c>
      <c r="F3755" s="195" t="s">
        <v>19</v>
      </c>
    </row>
    <row r="3756" spans="1:6" x14ac:dyDescent="0.25">
      <c r="A3756" s="189" t="str">
        <f t="shared" si="58"/>
        <v>CL-MD 2613.4813.49W</v>
      </c>
      <c r="B3756" s="195" t="s">
        <v>571</v>
      </c>
      <c r="C3756" s="196">
        <v>13.48</v>
      </c>
      <c r="D3756" s="196">
        <v>13.49</v>
      </c>
      <c r="E3756" s="195" t="s">
        <v>593</v>
      </c>
      <c r="F3756" s="195" t="s">
        <v>432</v>
      </c>
    </row>
    <row r="3757" spans="1:6" x14ac:dyDescent="0.25">
      <c r="A3757" s="189" t="str">
        <f t="shared" si="58"/>
        <v>CL-MD 2613.4913.65E</v>
      </c>
      <c r="B3757" s="195" t="s">
        <v>571</v>
      </c>
      <c r="C3757" s="196">
        <v>13.49</v>
      </c>
      <c r="D3757" s="196">
        <v>13.65</v>
      </c>
      <c r="E3757" s="195" t="s">
        <v>583</v>
      </c>
      <c r="F3757" s="195" t="s">
        <v>19</v>
      </c>
    </row>
    <row r="3758" spans="1:6" x14ac:dyDescent="0.25">
      <c r="A3758" s="189" t="str">
        <f t="shared" si="58"/>
        <v>CL-MD 2613.4913.65W</v>
      </c>
      <c r="B3758" s="195" t="s">
        <v>571</v>
      </c>
      <c r="C3758" s="196">
        <v>13.49</v>
      </c>
      <c r="D3758" s="196">
        <v>13.65</v>
      </c>
      <c r="E3758" s="195" t="s">
        <v>583</v>
      </c>
      <c r="F3758" s="195" t="s">
        <v>432</v>
      </c>
    </row>
    <row r="3759" spans="1:6" x14ac:dyDescent="0.25">
      <c r="A3759" s="189" t="str">
        <f t="shared" si="58"/>
        <v>CL-MD 26 RP2-600.11N</v>
      </c>
      <c r="B3759" s="195" t="s">
        <v>2182</v>
      </c>
      <c r="C3759" s="196">
        <v>0</v>
      </c>
      <c r="D3759" s="196">
        <v>0.11</v>
      </c>
      <c r="E3759" s="195" t="s">
        <v>589</v>
      </c>
      <c r="F3759" s="195" t="s">
        <v>430</v>
      </c>
    </row>
    <row r="3760" spans="1:6" x14ac:dyDescent="0.25">
      <c r="A3760" s="189" t="str">
        <f t="shared" si="58"/>
        <v>CL-MD 26 RP5-600.06W</v>
      </c>
      <c r="B3760" s="195" t="s">
        <v>2183</v>
      </c>
      <c r="C3760" s="196">
        <v>0</v>
      </c>
      <c r="D3760" s="196">
        <v>0.06</v>
      </c>
      <c r="E3760" s="195" t="s">
        <v>593</v>
      </c>
      <c r="F3760" s="195" t="s">
        <v>432</v>
      </c>
    </row>
    <row r="3761" spans="1:6" x14ac:dyDescent="0.25">
      <c r="A3761" s="189" t="str">
        <f t="shared" si="58"/>
        <v>CL-MD 26 RP6-600.19N</v>
      </c>
      <c r="B3761" s="195" t="s">
        <v>2184</v>
      </c>
      <c r="C3761" s="196">
        <v>0</v>
      </c>
      <c r="D3761" s="196">
        <v>0.19</v>
      </c>
      <c r="E3761" s="195" t="s">
        <v>589</v>
      </c>
      <c r="F3761" s="195" t="s">
        <v>430</v>
      </c>
    </row>
    <row r="3762" spans="1:6" x14ac:dyDescent="0.25">
      <c r="A3762" s="189" t="str">
        <f t="shared" si="58"/>
        <v>CL-MD 26 RP6-600.19S</v>
      </c>
      <c r="B3762" s="195" t="s">
        <v>2184</v>
      </c>
      <c r="C3762" s="196">
        <v>0</v>
      </c>
      <c r="D3762" s="196">
        <v>0.19</v>
      </c>
      <c r="E3762" s="195" t="s">
        <v>595</v>
      </c>
      <c r="F3762" s="195" t="s">
        <v>438</v>
      </c>
    </row>
    <row r="3763" spans="1:6" x14ac:dyDescent="0.25">
      <c r="A3763" s="189" t="str">
        <f t="shared" si="58"/>
        <v>CL-MD 26 RP7-600.01W</v>
      </c>
      <c r="B3763" s="195" t="s">
        <v>2185</v>
      </c>
      <c r="C3763" s="196">
        <v>0</v>
      </c>
      <c r="D3763" s="196">
        <v>0.01</v>
      </c>
      <c r="E3763" s="195" t="s">
        <v>593</v>
      </c>
      <c r="F3763" s="195" t="s">
        <v>432</v>
      </c>
    </row>
    <row r="3764" spans="1:6" x14ac:dyDescent="0.25">
      <c r="A3764" s="189" t="str">
        <f t="shared" si="58"/>
        <v>CL-MD 26A00.02E</v>
      </c>
      <c r="B3764" s="195" t="s">
        <v>2186</v>
      </c>
      <c r="C3764" s="196">
        <v>0</v>
      </c>
      <c r="D3764" s="196">
        <v>0.02</v>
      </c>
      <c r="E3764" s="195" t="s">
        <v>598</v>
      </c>
      <c r="F3764" s="195" t="s">
        <v>19</v>
      </c>
    </row>
    <row r="3765" spans="1:6" x14ac:dyDescent="0.25">
      <c r="A3765" s="189" t="str">
        <f t="shared" si="58"/>
        <v>CL-MD 26A00.02W</v>
      </c>
      <c r="B3765" s="195" t="s">
        <v>2186</v>
      </c>
      <c r="C3765" s="196">
        <v>0</v>
      </c>
      <c r="D3765" s="196">
        <v>0.02</v>
      </c>
      <c r="E3765" s="195" t="s">
        <v>593</v>
      </c>
      <c r="F3765" s="195" t="s">
        <v>432</v>
      </c>
    </row>
    <row r="3766" spans="1:6" x14ac:dyDescent="0.25">
      <c r="A3766" s="189" t="str">
        <f t="shared" si="58"/>
        <v>CL-MD 271.471.86S</v>
      </c>
      <c r="B3766" s="195" t="s">
        <v>572</v>
      </c>
      <c r="C3766" s="196">
        <v>1.47</v>
      </c>
      <c r="D3766" s="196">
        <v>1.86</v>
      </c>
      <c r="E3766" s="195" t="s">
        <v>595</v>
      </c>
      <c r="F3766" s="195" t="s">
        <v>438</v>
      </c>
    </row>
    <row r="3767" spans="1:6" x14ac:dyDescent="0.25">
      <c r="A3767" s="189" t="str">
        <f t="shared" si="58"/>
        <v>CL-MD 271.861.98N</v>
      </c>
      <c r="B3767" s="195" t="s">
        <v>572</v>
      </c>
      <c r="C3767" s="196">
        <v>1.86</v>
      </c>
      <c r="D3767" s="196">
        <v>1.98</v>
      </c>
      <c r="E3767" s="195" t="s">
        <v>583</v>
      </c>
      <c r="F3767" s="195" t="s">
        <v>430</v>
      </c>
    </row>
    <row r="3768" spans="1:6" x14ac:dyDescent="0.25">
      <c r="A3768" s="189" t="str">
        <f t="shared" si="58"/>
        <v>CL-MD 271.861.98S</v>
      </c>
      <c r="B3768" s="195" t="s">
        <v>572</v>
      </c>
      <c r="C3768" s="196">
        <v>1.86</v>
      </c>
      <c r="D3768" s="196">
        <v>1.98</v>
      </c>
      <c r="E3768" s="195" t="s">
        <v>583</v>
      </c>
      <c r="F3768" s="195" t="s">
        <v>438</v>
      </c>
    </row>
    <row r="3769" spans="1:6" x14ac:dyDescent="0.25">
      <c r="A3769" s="189" t="str">
        <f t="shared" si="58"/>
        <v>CL-MD 272.22.65N</v>
      </c>
      <c r="B3769" s="195" t="s">
        <v>572</v>
      </c>
      <c r="C3769" s="196">
        <v>2.2000000000000002</v>
      </c>
      <c r="D3769" s="196">
        <v>2.65</v>
      </c>
      <c r="E3769" s="195" t="s">
        <v>583</v>
      </c>
      <c r="F3769" s="195" t="s">
        <v>430</v>
      </c>
    </row>
    <row r="3770" spans="1:6" x14ac:dyDescent="0.25">
      <c r="A3770" s="189" t="str">
        <f t="shared" si="58"/>
        <v>CL-MD 272.22.65S</v>
      </c>
      <c r="B3770" s="195" t="s">
        <v>572</v>
      </c>
      <c r="C3770" s="196">
        <v>2.2000000000000002</v>
      </c>
      <c r="D3770" s="196">
        <v>2.65</v>
      </c>
      <c r="E3770" s="195" t="s">
        <v>583</v>
      </c>
      <c r="F3770" s="195" t="s">
        <v>438</v>
      </c>
    </row>
    <row r="3771" spans="1:6" x14ac:dyDescent="0.25">
      <c r="A3771" s="189" t="str">
        <f t="shared" si="58"/>
        <v>CL-MD 272.653.2N</v>
      </c>
      <c r="B3771" s="195" t="s">
        <v>572</v>
      </c>
      <c r="C3771" s="196">
        <v>2.65</v>
      </c>
      <c r="D3771" s="196">
        <v>3.2</v>
      </c>
      <c r="E3771" s="195" t="s">
        <v>583</v>
      </c>
      <c r="F3771" s="195" t="s">
        <v>430</v>
      </c>
    </row>
    <row r="3772" spans="1:6" x14ac:dyDescent="0.25">
      <c r="A3772" s="189" t="str">
        <f t="shared" si="58"/>
        <v>CL-MD 272.653.2S</v>
      </c>
      <c r="B3772" s="195" t="s">
        <v>572</v>
      </c>
      <c r="C3772" s="196">
        <v>2.65</v>
      </c>
      <c r="D3772" s="196">
        <v>3.2</v>
      </c>
      <c r="E3772" s="195" t="s">
        <v>583</v>
      </c>
      <c r="F3772" s="195" t="s">
        <v>438</v>
      </c>
    </row>
    <row r="3773" spans="1:6" x14ac:dyDescent="0.25">
      <c r="A3773" s="189" t="str">
        <f t="shared" si="58"/>
        <v>CL-MD 273.23.45N</v>
      </c>
      <c r="B3773" s="195" t="s">
        <v>572</v>
      </c>
      <c r="C3773" s="196">
        <v>3.2</v>
      </c>
      <c r="D3773" s="196">
        <v>3.45</v>
      </c>
      <c r="E3773" s="195" t="s">
        <v>583</v>
      </c>
      <c r="F3773" s="195" t="s">
        <v>430</v>
      </c>
    </row>
    <row r="3774" spans="1:6" x14ac:dyDescent="0.25">
      <c r="A3774" s="189" t="str">
        <f t="shared" si="58"/>
        <v>CL-MD 273.23.45S</v>
      </c>
      <c r="B3774" s="195" t="s">
        <v>572</v>
      </c>
      <c r="C3774" s="196">
        <v>3.2</v>
      </c>
      <c r="D3774" s="196">
        <v>3.45</v>
      </c>
      <c r="E3774" s="195" t="s">
        <v>583</v>
      </c>
      <c r="F3774" s="195" t="s">
        <v>438</v>
      </c>
    </row>
    <row r="3775" spans="1:6" x14ac:dyDescent="0.25">
      <c r="A3775" s="189" t="str">
        <f t="shared" si="58"/>
        <v>CL-MD 273.458.7N</v>
      </c>
      <c r="B3775" s="195" t="s">
        <v>572</v>
      </c>
      <c r="C3775" s="196">
        <v>3.45</v>
      </c>
      <c r="D3775" s="196">
        <v>8.6999999999999993</v>
      </c>
      <c r="E3775" s="195" t="s">
        <v>583</v>
      </c>
      <c r="F3775" s="195" t="s">
        <v>430</v>
      </c>
    </row>
    <row r="3776" spans="1:6" x14ac:dyDescent="0.25">
      <c r="A3776" s="189" t="str">
        <f t="shared" si="58"/>
        <v>CL-MD 273.458.7S</v>
      </c>
      <c r="B3776" s="195" t="s">
        <v>572</v>
      </c>
      <c r="C3776" s="196">
        <v>3.45</v>
      </c>
      <c r="D3776" s="196">
        <v>8.6999999999999993</v>
      </c>
      <c r="E3776" s="195" t="s">
        <v>583</v>
      </c>
      <c r="F3776" s="195" t="s">
        <v>438</v>
      </c>
    </row>
    <row r="3777" spans="1:6" x14ac:dyDescent="0.25">
      <c r="A3777" s="189" t="str">
        <f t="shared" si="58"/>
        <v>CL-MD 278.79.35N</v>
      </c>
      <c r="B3777" s="195" t="s">
        <v>572</v>
      </c>
      <c r="C3777" s="196">
        <v>8.6999999999999993</v>
      </c>
      <c r="D3777" s="196">
        <v>9.35</v>
      </c>
      <c r="E3777" s="195" t="s">
        <v>583</v>
      </c>
      <c r="F3777" s="195" t="s">
        <v>430</v>
      </c>
    </row>
    <row r="3778" spans="1:6" x14ac:dyDescent="0.25">
      <c r="A3778" s="189" t="str">
        <f t="shared" si="58"/>
        <v>CL-MD 278.79.35S</v>
      </c>
      <c r="B3778" s="195" t="s">
        <v>572</v>
      </c>
      <c r="C3778" s="196">
        <v>8.6999999999999993</v>
      </c>
      <c r="D3778" s="196">
        <v>9.35</v>
      </c>
      <c r="E3778" s="195" t="s">
        <v>583</v>
      </c>
      <c r="F3778" s="195" t="s">
        <v>438</v>
      </c>
    </row>
    <row r="3779" spans="1:6" x14ac:dyDescent="0.25">
      <c r="A3779" s="189" t="str">
        <f t="shared" ref="A3779:A3842" si="59">B3779&amp;C3779&amp;D3779&amp;F3779</f>
        <v>CL-MD 279.79.85N</v>
      </c>
      <c r="B3779" s="195" t="s">
        <v>572</v>
      </c>
      <c r="C3779" s="196">
        <v>9.6999999999999993</v>
      </c>
      <c r="D3779" s="196">
        <v>9.85</v>
      </c>
      <c r="E3779" s="195" t="s">
        <v>583</v>
      </c>
      <c r="F3779" s="195" t="s">
        <v>430</v>
      </c>
    </row>
    <row r="3780" spans="1:6" x14ac:dyDescent="0.25">
      <c r="A3780" s="189" t="str">
        <f t="shared" si="59"/>
        <v>CL-MD 279.79.85S</v>
      </c>
      <c r="B3780" s="195" t="s">
        <v>572</v>
      </c>
      <c r="C3780" s="196">
        <v>9.6999999999999993</v>
      </c>
      <c r="D3780" s="196">
        <v>9.85</v>
      </c>
      <c r="E3780" s="195" t="s">
        <v>583</v>
      </c>
      <c r="F3780" s="195" t="s">
        <v>438</v>
      </c>
    </row>
    <row r="3781" spans="1:6" x14ac:dyDescent="0.25">
      <c r="A3781" s="189" t="str">
        <f t="shared" si="59"/>
        <v>CL-MD 279.8510.25N</v>
      </c>
      <c r="B3781" s="195" t="s">
        <v>572</v>
      </c>
      <c r="C3781" s="196">
        <v>9.85</v>
      </c>
      <c r="D3781" s="196">
        <v>10.25</v>
      </c>
      <c r="E3781" s="195" t="s">
        <v>583</v>
      </c>
      <c r="F3781" s="195" t="s">
        <v>430</v>
      </c>
    </row>
    <row r="3782" spans="1:6" x14ac:dyDescent="0.25">
      <c r="A3782" s="189" t="str">
        <f t="shared" si="59"/>
        <v>CL-MD 279.8510.25S</v>
      </c>
      <c r="B3782" s="195" t="s">
        <v>572</v>
      </c>
      <c r="C3782" s="196">
        <v>9.85</v>
      </c>
      <c r="D3782" s="196">
        <v>10.25</v>
      </c>
      <c r="E3782" s="195" t="s">
        <v>583</v>
      </c>
      <c r="F3782" s="195" t="s">
        <v>438</v>
      </c>
    </row>
    <row r="3783" spans="1:6" x14ac:dyDescent="0.25">
      <c r="A3783" s="189" t="str">
        <f t="shared" si="59"/>
        <v>CL-MD 2710.2515.86N</v>
      </c>
      <c r="B3783" s="195" t="s">
        <v>572</v>
      </c>
      <c r="C3783" s="196">
        <v>10.25</v>
      </c>
      <c r="D3783" s="196">
        <v>15.86</v>
      </c>
      <c r="E3783" s="195" t="s">
        <v>583</v>
      </c>
      <c r="F3783" s="195" t="s">
        <v>430</v>
      </c>
    </row>
    <row r="3784" spans="1:6" x14ac:dyDescent="0.25">
      <c r="A3784" s="189" t="str">
        <f t="shared" si="59"/>
        <v>CL-MD 2710.2515.86S</v>
      </c>
      <c r="B3784" s="195" t="s">
        <v>572</v>
      </c>
      <c r="C3784" s="196">
        <v>10.25</v>
      </c>
      <c r="D3784" s="196">
        <v>15.86</v>
      </c>
      <c r="E3784" s="195" t="s">
        <v>583</v>
      </c>
      <c r="F3784" s="195" t="s">
        <v>438</v>
      </c>
    </row>
    <row r="3785" spans="1:6" x14ac:dyDescent="0.25">
      <c r="A3785" s="189" t="str">
        <f t="shared" si="59"/>
        <v>CL-MD 2715.8617.05N</v>
      </c>
      <c r="B3785" s="195" t="s">
        <v>572</v>
      </c>
      <c r="C3785" s="196">
        <v>15.86</v>
      </c>
      <c r="D3785" s="196">
        <v>17.05</v>
      </c>
      <c r="E3785" s="195" t="s">
        <v>583</v>
      </c>
      <c r="F3785" s="195" t="s">
        <v>430</v>
      </c>
    </row>
    <row r="3786" spans="1:6" x14ac:dyDescent="0.25">
      <c r="A3786" s="189" t="str">
        <f t="shared" si="59"/>
        <v>CL-MD 2715.8617.05S</v>
      </c>
      <c r="B3786" s="195" t="s">
        <v>572</v>
      </c>
      <c r="C3786" s="196">
        <v>15.86</v>
      </c>
      <c r="D3786" s="196">
        <v>17.05</v>
      </c>
      <c r="E3786" s="195" t="s">
        <v>583</v>
      </c>
      <c r="F3786" s="195" t="s">
        <v>438</v>
      </c>
    </row>
    <row r="3787" spans="1:6" x14ac:dyDescent="0.25">
      <c r="A3787" s="189" t="str">
        <f t="shared" si="59"/>
        <v>CL-MD 2717.0517.45N</v>
      </c>
      <c r="B3787" s="195" t="s">
        <v>572</v>
      </c>
      <c r="C3787" s="196">
        <v>17.05</v>
      </c>
      <c r="D3787" s="196">
        <v>17.45</v>
      </c>
      <c r="E3787" s="195" t="s">
        <v>583</v>
      </c>
      <c r="F3787" s="195" t="s">
        <v>430</v>
      </c>
    </row>
    <row r="3788" spans="1:6" x14ac:dyDescent="0.25">
      <c r="A3788" s="189" t="str">
        <f t="shared" si="59"/>
        <v>CL-MD 2717.0517.45S</v>
      </c>
      <c r="B3788" s="195" t="s">
        <v>572</v>
      </c>
      <c r="C3788" s="196">
        <v>17.05</v>
      </c>
      <c r="D3788" s="196">
        <v>17.45</v>
      </c>
      <c r="E3788" s="195" t="s">
        <v>583</v>
      </c>
      <c r="F3788" s="195" t="s">
        <v>438</v>
      </c>
    </row>
    <row r="3789" spans="1:6" x14ac:dyDescent="0.25">
      <c r="A3789" s="189" t="str">
        <f t="shared" si="59"/>
        <v>CL-MD 2717.5518.05N</v>
      </c>
      <c r="B3789" s="195" t="s">
        <v>572</v>
      </c>
      <c r="C3789" s="196">
        <v>17.55</v>
      </c>
      <c r="D3789" s="196">
        <v>18.05</v>
      </c>
      <c r="E3789" s="195" t="s">
        <v>583</v>
      </c>
      <c r="F3789" s="195" t="s">
        <v>430</v>
      </c>
    </row>
    <row r="3790" spans="1:6" x14ac:dyDescent="0.25">
      <c r="A3790" s="189" t="str">
        <f t="shared" si="59"/>
        <v>CL-MD 2717.5518.05S</v>
      </c>
      <c r="B3790" s="195" t="s">
        <v>572</v>
      </c>
      <c r="C3790" s="196">
        <v>17.55</v>
      </c>
      <c r="D3790" s="196">
        <v>18.05</v>
      </c>
      <c r="E3790" s="195" t="s">
        <v>583</v>
      </c>
      <c r="F3790" s="195" t="s">
        <v>438</v>
      </c>
    </row>
    <row r="3791" spans="1:6" x14ac:dyDescent="0.25">
      <c r="A3791" s="189" t="str">
        <f t="shared" si="59"/>
        <v>CL-MD 2718.0521.8N</v>
      </c>
      <c r="B3791" s="195" t="s">
        <v>572</v>
      </c>
      <c r="C3791" s="196">
        <v>18.05</v>
      </c>
      <c r="D3791" s="196">
        <v>21.8</v>
      </c>
      <c r="E3791" s="195" t="s">
        <v>583</v>
      </c>
      <c r="F3791" s="195" t="s">
        <v>430</v>
      </c>
    </row>
    <row r="3792" spans="1:6" x14ac:dyDescent="0.25">
      <c r="A3792" s="189" t="str">
        <f t="shared" si="59"/>
        <v>CL-MD 2718.0521.8S</v>
      </c>
      <c r="B3792" s="195" t="s">
        <v>572</v>
      </c>
      <c r="C3792" s="196">
        <v>18.05</v>
      </c>
      <c r="D3792" s="196">
        <v>21.8</v>
      </c>
      <c r="E3792" s="195" t="s">
        <v>583</v>
      </c>
      <c r="F3792" s="195" t="s">
        <v>438</v>
      </c>
    </row>
    <row r="3793" spans="1:6" x14ac:dyDescent="0.25">
      <c r="A3793" s="189" t="str">
        <f t="shared" si="59"/>
        <v>CL-MD 2721.822.35N</v>
      </c>
      <c r="B3793" s="195" t="s">
        <v>572</v>
      </c>
      <c r="C3793" s="196">
        <v>21.8</v>
      </c>
      <c r="D3793" s="196">
        <v>22.35</v>
      </c>
      <c r="E3793" s="195" t="s">
        <v>583</v>
      </c>
      <c r="F3793" s="195" t="s">
        <v>430</v>
      </c>
    </row>
    <row r="3794" spans="1:6" x14ac:dyDescent="0.25">
      <c r="A3794" s="189" t="str">
        <f t="shared" si="59"/>
        <v>CL-MD 2721.822.35S</v>
      </c>
      <c r="B3794" s="195" t="s">
        <v>572</v>
      </c>
      <c r="C3794" s="196">
        <v>21.8</v>
      </c>
      <c r="D3794" s="196">
        <v>22.35</v>
      </c>
      <c r="E3794" s="195" t="s">
        <v>583</v>
      </c>
      <c r="F3794" s="195" t="s">
        <v>438</v>
      </c>
    </row>
    <row r="3795" spans="1:6" x14ac:dyDescent="0.25">
      <c r="A3795" s="189" t="str">
        <f t="shared" si="59"/>
        <v>CL-MD 2722.3526.42N</v>
      </c>
      <c r="B3795" s="195" t="s">
        <v>572</v>
      </c>
      <c r="C3795" s="196">
        <v>22.35</v>
      </c>
      <c r="D3795" s="196">
        <v>26.42</v>
      </c>
      <c r="E3795" s="195" t="s">
        <v>583</v>
      </c>
      <c r="F3795" s="195" t="s">
        <v>430</v>
      </c>
    </row>
    <row r="3796" spans="1:6" x14ac:dyDescent="0.25">
      <c r="A3796" s="189" t="str">
        <f t="shared" si="59"/>
        <v>CL-MD 2722.3526.42S</v>
      </c>
      <c r="B3796" s="195" t="s">
        <v>572</v>
      </c>
      <c r="C3796" s="196">
        <v>22.35</v>
      </c>
      <c r="D3796" s="196">
        <v>26.42</v>
      </c>
      <c r="E3796" s="195" t="s">
        <v>583</v>
      </c>
      <c r="F3796" s="195" t="s">
        <v>438</v>
      </c>
    </row>
    <row r="3797" spans="1:6" x14ac:dyDescent="0.25">
      <c r="A3797" s="189" t="str">
        <f t="shared" si="59"/>
        <v>CL-MD 2726.4226.96N</v>
      </c>
      <c r="B3797" s="195" t="s">
        <v>572</v>
      </c>
      <c r="C3797" s="196">
        <v>26.42</v>
      </c>
      <c r="D3797" s="196">
        <v>26.96</v>
      </c>
      <c r="E3797" s="195" t="s">
        <v>583</v>
      </c>
      <c r="F3797" s="195" t="s">
        <v>430</v>
      </c>
    </row>
    <row r="3798" spans="1:6" x14ac:dyDescent="0.25">
      <c r="A3798" s="189" t="str">
        <f t="shared" si="59"/>
        <v>CL-MD 2726.4226.96S</v>
      </c>
      <c r="B3798" s="195" t="s">
        <v>572</v>
      </c>
      <c r="C3798" s="196">
        <v>26.42</v>
      </c>
      <c r="D3798" s="196">
        <v>26.96</v>
      </c>
      <c r="E3798" s="195" t="s">
        <v>583</v>
      </c>
      <c r="F3798" s="195" t="s">
        <v>438</v>
      </c>
    </row>
    <row r="3799" spans="1:6" x14ac:dyDescent="0.25">
      <c r="A3799" s="189" t="str">
        <f t="shared" si="59"/>
        <v>CL-MD 2726.9627.11N</v>
      </c>
      <c r="B3799" s="195" t="s">
        <v>572</v>
      </c>
      <c r="C3799" s="196">
        <v>26.96</v>
      </c>
      <c r="D3799" s="196">
        <v>27.11</v>
      </c>
      <c r="E3799" s="195" t="s">
        <v>583</v>
      </c>
      <c r="F3799" s="195" t="s">
        <v>430</v>
      </c>
    </row>
    <row r="3800" spans="1:6" x14ac:dyDescent="0.25">
      <c r="A3800" s="189" t="str">
        <f t="shared" si="59"/>
        <v>CL-MD 2726.9627.11S</v>
      </c>
      <c r="B3800" s="195" t="s">
        <v>572</v>
      </c>
      <c r="C3800" s="196">
        <v>26.96</v>
      </c>
      <c r="D3800" s="196">
        <v>27.11</v>
      </c>
      <c r="E3800" s="195" t="s">
        <v>583</v>
      </c>
      <c r="F3800" s="195" t="s">
        <v>438</v>
      </c>
    </row>
    <row r="3801" spans="1:6" x14ac:dyDescent="0.25">
      <c r="A3801" s="189" t="str">
        <f t="shared" si="59"/>
        <v>CL-MD 2727.1127.27N</v>
      </c>
      <c r="B3801" s="195" t="s">
        <v>572</v>
      </c>
      <c r="C3801" s="196">
        <v>27.11</v>
      </c>
      <c r="D3801" s="196">
        <v>27.27</v>
      </c>
      <c r="E3801" s="195" t="s">
        <v>583</v>
      </c>
      <c r="F3801" s="195" t="s">
        <v>430</v>
      </c>
    </row>
    <row r="3802" spans="1:6" x14ac:dyDescent="0.25">
      <c r="A3802" s="189" t="str">
        <f t="shared" si="59"/>
        <v>CL-MD 2727.1127.27S</v>
      </c>
      <c r="B3802" s="195" t="s">
        <v>572</v>
      </c>
      <c r="C3802" s="196">
        <v>27.11</v>
      </c>
      <c r="D3802" s="196">
        <v>27.27</v>
      </c>
      <c r="E3802" s="195" t="s">
        <v>583</v>
      </c>
      <c r="F3802" s="195" t="s">
        <v>438</v>
      </c>
    </row>
    <row r="3803" spans="1:6" x14ac:dyDescent="0.25">
      <c r="A3803" s="189" t="str">
        <f t="shared" si="59"/>
        <v>CL-MD 27A00.03E</v>
      </c>
      <c r="B3803" s="195" t="s">
        <v>2187</v>
      </c>
      <c r="C3803" s="196">
        <v>0</v>
      </c>
      <c r="D3803" s="196">
        <v>0.03</v>
      </c>
      <c r="E3803" s="195" t="s">
        <v>598</v>
      </c>
      <c r="F3803" s="195" t="s">
        <v>19</v>
      </c>
    </row>
    <row r="3804" spans="1:6" x14ac:dyDescent="0.25">
      <c r="A3804" s="189" t="str">
        <f t="shared" si="59"/>
        <v>CL-MD 27A00.03W</v>
      </c>
      <c r="B3804" s="195" t="s">
        <v>2187</v>
      </c>
      <c r="C3804" s="196">
        <v>0</v>
      </c>
      <c r="D3804" s="196">
        <v>0.03</v>
      </c>
      <c r="E3804" s="195" t="s">
        <v>593</v>
      </c>
      <c r="F3804" s="195" t="s">
        <v>432</v>
      </c>
    </row>
    <row r="3805" spans="1:6" x14ac:dyDescent="0.25">
      <c r="A3805" s="189" t="str">
        <f t="shared" si="59"/>
        <v>CL-MD 27A0.030.08E</v>
      </c>
      <c r="B3805" s="195" t="s">
        <v>2187</v>
      </c>
      <c r="C3805" s="196">
        <v>0.03</v>
      </c>
      <c r="D3805" s="196">
        <v>0.08</v>
      </c>
      <c r="E3805" s="195" t="s">
        <v>598</v>
      </c>
      <c r="F3805" s="195" t="s">
        <v>19</v>
      </c>
    </row>
    <row r="3806" spans="1:6" x14ac:dyDescent="0.25">
      <c r="A3806" s="189" t="str">
        <f t="shared" si="59"/>
        <v>CL-MD 27A0.030.08W</v>
      </c>
      <c r="B3806" s="195" t="s">
        <v>2187</v>
      </c>
      <c r="C3806" s="196">
        <v>0.03</v>
      </c>
      <c r="D3806" s="196">
        <v>0.08</v>
      </c>
      <c r="E3806" s="195" t="s">
        <v>593</v>
      </c>
      <c r="F3806" s="195" t="s">
        <v>432</v>
      </c>
    </row>
    <row r="3807" spans="1:6" x14ac:dyDescent="0.25">
      <c r="A3807" s="189" t="str">
        <f t="shared" si="59"/>
        <v>CL-MD 27A0.080.09W</v>
      </c>
      <c r="B3807" s="195" t="s">
        <v>2187</v>
      </c>
      <c r="C3807" s="196">
        <v>0.08</v>
      </c>
      <c r="D3807" s="196">
        <v>0.09</v>
      </c>
      <c r="E3807" s="195" t="s">
        <v>593</v>
      </c>
      <c r="F3807" s="195" t="s">
        <v>432</v>
      </c>
    </row>
    <row r="3808" spans="1:6" x14ac:dyDescent="0.25">
      <c r="A3808" s="189" t="str">
        <f t="shared" si="59"/>
        <v>CL-MD 27A0.080.15E</v>
      </c>
      <c r="B3808" s="195" t="s">
        <v>2187</v>
      </c>
      <c r="C3808" s="196">
        <v>0.08</v>
      </c>
      <c r="D3808" s="196">
        <v>0.15</v>
      </c>
      <c r="E3808" s="195" t="s">
        <v>598</v>
      </c>
      <c r="F3808" s="195" t="s">
        <v>19</v>
      </c>
    </row>
    <row r="3809" spans="1:6" x14ac:dyDescent="0.25">
      <c r="A3809" s="189" t="str">
        <f t="shared" si="59"/>
        <v>CL-MD 27B00.01E</v>
      </c>
      <c r="B3809" s="195" t="s">
        <v>2188</v>
      </c>
      <c r="C3809" s="196">
        <v>0</v>
      </c>
      <c r="D3809" s="196">
        <v>0.01</v>
      </c>
      <c r="E3809" s="195" t="s">
        <v>598</v>
      </c>
      <c r="F3809" s="195" t="s">
        <v>19</v>
      </c>
    </row>
    <row r="3810" spans="1:6" x14ac:dyDescent="0.25">
      <c r="A3810" s="189" t="str">
        <f t="shared" si="59"/>
        <v>CL-MD 27B00.01W</v>
      </c>
      <c r="B3810" s="195" t="s">
        <v>2188</v>
      </c>
      <c r="C3810" s="196">
        <v>0</v>
      </c>
      <c r="D3810" s="196">
        <v>0.01</v>
      </c>
      <c r="E3810" s="195" t="s">
        <v>593</v>
      </c>
      <c r="F3810" s="195" t="s">
        <v>432</v>
      </c>
    </row>
    <row r="3811" spans="1:6" x14ac:dyDescent="0.25">
      <c r="A3811" s="189" t="str">
        <f t="shared" si="59"/>
        <v>CL-MD 27C00.01E</v>
      </c>
      <c r="B3811" s="195" t="s">
        <v>2189</v>
      </c>
      <c r="C3811" s="196">
        <v>0</v>
      </c>
      <c r="D3811" s="196">
        <v>0.01</v>
      </c>
      <c r="E3811" s="195" t="s">
        <v>598</v>
      </c>
      <c r="F3811" s="195" t="s">
        <v>19</v>
      </c>
    </row>
    <row r="3812" spans="1:6" x14ac:dyDescent="0.25">
      <c r="A3812" s="189" t="str">
        <f t="shared" si="59"/>
        <v>CL-MD 27C00.01W</v>
      </c>
      <c r="B3812" s="195" t="s">
        <v>2189</v>
      </c>
      <c r="C3812" s="196">
        <v>0</v>
      </c>
      <c r="D3812" s="196">
        <v>0.01</v>
      </c>
      <c r="E3812" s="195" t="s">
        <v>593</v>
      </c>
      <c r="F3812" s="195" t="s">
        <v>432</v>
      </c>
    </row>
    <row r="3813" spans="1:6" x14ac:dyDescent="0.25">
      <c r="A3813" s="189" t="str">
        <f t="shared" si="59"/>
        <v>CL-MD 27D00.02E</v>
      </c>
      <c r="B3813" s="195" t="s">
        <v>2190</v>
      </c>
      <c r="C3813" s="196">
        <v>0</v>
      </c>
      <c r="D3813" s="196">
        <v>0.02</v>
      </c>
      <c r="E3813" s="195" t="s">
        <v>598</v>
      </c>
      <c r="F3813" s="195" t="s">
        <v>19</v>
      </c>
    </row>
    <row r="3814" spans="1:6" x14ac:dyDescent="0.25">
      <c r="A3814" s="189" t="str">
        <f t="shared" si="59"/>
        <v>CL-MD 27D00.02W</v>
      </c>
      <c r="B3814" s="195" t="s">
        <v>2190</v>
      </c>
      <c r="C3814" s="196">
        <v>0</v>
      </c>
      <c r="D3814" s="196">
        <v>0.02</v>
      </c>
      <c r="E3814" s="195" t="s">
        <v>593</v>
      </c>
      <c r="F3814" s="195" t="s">
        <v>432</v>
      </c>
    </row>
    <row r="3815" spans="1:6" x14ac:dyDescent="0.25">
      <c r="A3815" s="189" t="str">
        <f t="shared" si="59"/>
        <v>CL-MD 27E00.02E</v>
      </c>
      <c r="B3815" s="195" t="s">
        <v>2191</v>
      </c>
      <c r="C3815" s="196">
        <v>0</v>
      </c>
      <c r="D3815" s="196">
        <v>0.02</v>
      </c>
      <c r="E3815" s="195" t="s">
        <v>598</v>
      </c>
      <c r="F3815" s="195" t="s">
        <v>19</v>
      </c>
    </row>
    <row r="3816" spans="1:6" x14ac:dyDescent="0.25">
      <c r="A3816" s="189" t="str">
        <f t="shared" si="59"/>
        <v>CL-MD 27E00.02W</v>
      </c>
      <c r="B3816" s="195" t="s">
        <v>2191</v>
      </c>
      <c r="C3816" s="196">
        <v>0</v>
      </c>
      <c r="D3816" s="196">
        <v>0.02</v>
      </c>
      <c r="E3816" s="195" t="s">
        <v>593</v>
      </c>
      <c r="F3816" s="195" t="s">
        <v>432</v>
      </c>
    </row>
    <row r="3817" spans="1:6" x14ac:dyDescent="0.25">
      <c r="A3817" s="189" t="str">
        <f t="shared" si="59"/>
        <v>CL-MD 3000.3N</v>
      </c>
      <c r="B3817" s="195" t="s">
        <v>573</v>
      </c>
      <c r="C3817" s="196">
        <v>0</v>
      </c>
      <c r="D3817" s="196">
        <v>0.3</v>
      </c>
      <c r="E3817" s="195" t="s">
        <v>583</v>
      </c>
      <c r="F3817" s="195" t="s">
        <v>430</v>
      </c>
    </row>
    <row r="3818" spans="1:6" x14ac:dyDescent="0.25">
      <c r="A3818" s="189" t="str">
        <f t="shared" si="59"/>
        <v>CL-MD 3000.3S</v>
      </c>
      <c r="B3818" s="195" t="s">
        <v>573</v>
      </c>
      <c r="C3818" s="196">
        <v>0</v>
      </c>
      <c r="D3818" s="196">
        <v>0.3</v>
      </c>
      <c r="E3818" s="195" t="s">
        <v>583</v>
      </c>
      <c r="F3818" s="195" t="s">
        <v>438</v>
      </c>
    </row>
    <row r="3819" spans="1:6" x14ac:dyDescent="0.25">
      <c r="A3819" s="189" t="str">
        <f t="shared" si="59"/>
        <v>CL-MD 300.441.94N</v>
      </c>
      <c r="B3819" s="195" t="s">
        <v>573</v>
      </c>
      <c r="C3819" s="196">
        <v>0.44</v>
      </c>
      <c r="D3819" s="196">
        <v>1.94</v>
      </c>
      <c r="E3819" s="195" t="s">
        <v>583</v>
      </c>
      <c r="F3819" s="195" t="s">
        <v>430</v>
      </c>
    </row>
    <row r="3820" spans="1:6" x14ac:dyDescent="0.25">
      <c r="A3820" s="189" t="str">
        <f t="shared" si="59"/>
        <v>CL-MD 300.441.94S</v>
      </c>
      <c r="B3820" s="195" t="s">
        <v>573</v>
      </c>
      <c r="C3820" s="196">
        <v>0.44</v>
      </c>
      <c r="D3820" s="196">
        <v>1.94</v>
      </c>
      <c r="E3820" s="195" t="s">
        <v>583</v>
      </c>
      <c r="F3820" s="195" t="s">
        <v>438</v>
      </c>
    </row>
    <row r="3821" spans="1:6" x14ac:dyDescent="0.25">
      <c r="A3821" s="189" t="str">
        <f t="shared" si="59"/>
        <v>CL-MD 301.945.09S</v>
      </c>
      <c r="B3821" s="195" t="s">
        <v>573</v>
      </c>
      <c r="C3821" s="196">
        <v>1.94</v>
      </c>
      <c r="D3821" s="196">
        <v>5.09</v>
      </c>
      <c r="E3821" s="195" t="s">
        <v>595</v>
      </c>
      <c r="F3821" s="195" t="s">
        <v>438</v>
      </c>
    </row>
    <row r="3822" spans="1:6" x14ac:dyDescent="0.25">
      <c r="A3822" s="189" t="str">
        <f t="shared" si="59"/>
        <v>CL-MD 301.946.66N</v>
      </c>
      <c r="B3822" s="195" t="s">
        <v>573</v>
      </c>
      <c r="C3822" s="196">
        <v>1.94</v>
      </c>
      <c r="D3822" s="196">
        <v>6.66</v>
      </c>
      <c r="E3822" s="195" t="s">
        <v>589</v>
      </c>
      <c r="F3822" s="195" t="s">
        <v>430</v>
      </c>
    </row>
    <row r="3823" spans="1:6" x14ac:dyDescent="0.25">
      <c r="A3823" s="189" t="str">
        <f t="shared" si="59"/>
        <v>CL-MD 305.096.66S</v>
      </c>
      <c r="B3823" s="195" t="s">
        <v>573</v>
      </c>
      <c r="C3823" s="196">
        <v>5.09</v>
      </c>
      <c r="D3823" s="196">
        <v>6.66</v>
      </c>
      <c r="E3823" s="195" t="s">
        <v>595</v>
      </c>
      <c r="F3823" s="195" t="s">
        <v>438</v>
      </c>
    </row>
    <row r="3824" spans="1:6" x14ac:dyDescent="0.25">
      <c r="A3824" s="189" t="str">
        <f t="shared" si="59"/>
        <v>CL-MD 306.757.41N</v>
      </c>
      <c r="B3824" s="195" t="s">
        <v>573</v>
      </c>
      <c r="C3824" s="196">
        <v>6.75</v>
      </c>
      <c r="D3824" s="196">
        <v>7.41</v>
      </c>
      <c r="E3824" s="195" t="s">
        <v>583</v>
      </c>
      <c r="F3824" s="195" t="s">
        <v>430</v>
      </c>
    </row>
    <row r="3825" spans="1:6" x14ac:dyDescent="0.25">
      <c r="A3825" s="189" t="str">
        <f t="shared" si="59"/>
        <v>CL-MD 306.757.41S</v>
      </c>
      <c r="B3825" s="195" t="s">
        <v>573</v>
      </c>
      <c r="C3825" s="196">
        <v>6.75</v>
      </c>
      <c r="D3825" s="196">
        <v>7.41</v>
      </c>
      <c r="E3825" s="195" t="s">
        <v>583</v>
      </c>
      <c r="F3825" s="195" t="s">
        <v>438</v>
      </c>
    </row>
    <row r="3826" spans="1:6" x14ac:dyDescent="0.25">
      <c r="A3826" s="189" t="str">
        <f t="shared" si="59"/>
        <v>CL-MD 307.417.51N</v>
      </c>
      <c r="B3826" s="195" t="s">
        <v>573</v>
      </c>
      <c r="C3826" s="196">
        <v>7.41</v>
      </c>
      <c r="D3826" s="196">
        <v>7.51</v>
      </c>
      <c r="E3826" s="195" t="s">
        <v>583</v>
      </c>
      <c r="F3826" s="195" t="s">
        <v>430</v>
      </c>
    </row>
    <row r="3827" spans="1:6" x14ac:dyDescent="0.25">
      <c r="A3827" s="189" t="str">
        <f t="shared" si="59"/>
        <v>CL-MD 307.417.51S</v>
      </c>
      <c r="B3827" s="195" t="s">
        <v>573</v>
      </c>
      <c r="C3827" s="196">
        <v>7.41</v>
      </c>
      <c r="D3827" s="196">
        <v>7.51</v>
      </c>
      <c r="E3827" s="195" t="s">
        <v>583</v>
      </c>
      <c r="F3827" s="195" t="s">
        <v>438</v>
      </c>
    </row>
    <row r="3828" spans="1:6" x14ac:dyDescent="0.25">
      <c r="A3828" s="189" t="str">
        <f t="shared" si="59"/>
        <v>CL-MD 307.518.1N</v>
      </c>
      <c r="B3828" s="195" t="s">
        <v>573</v>
      </c>
      <c r="C3828" s="196">
        <v>7.51</v>
      </c>
      <c r="D3828" s="196">
        <v>8.1</v>
      </c>
      <c r="E3828" s="195" t="s">
        <v>583</v>
      </c>
      <c r="F3828" s="195" t="s">
        <v>430</v>
      </c>
    </row>
    <row r="3829" spans="1:6" x14ac:dyDescent="0.25">
      <c r="A3829" s="189" t="str">
        <f t="shared" si="59"/>
        <v>CL-MD 307.518.1S</v>
      </c>
      <c r="B3829" s="195" t="s">
        <v>573</v>
      </c>
      <c r="C3829" s="196">
        <v>7.51</v>
      </c>
      <c r="D3829" s="196">
        <v>8.1</v>
      </c>
      <c r="E3829" s="195" t="s">
        <v>583</v>
      </c>
      <c r="F3829" s="195" t="s">
        <v>438</v>
      </c>
    </row>
    <row r="3830" spans="1:6" x14ac:dyDescent="0.25">
      <c r="A3830" s="189" t="str">
        <f t="shared" si="59"/>
        <v>CL-MD 308.18.63N</v>
      </c>
      <c r="B3830" s="195" t="s">
        <v>573</v>
      </c>
      <c r="C3830" s="196">
        <v>8.1</v>
      </c>
      <c r="D3830" s="196">
        <v>8.6300000000000008</v>
      </c>
      <c r="E3830" s="195" t="s">
        <v>583</v>
      </c>
      <c r="F3830" s="195" t="s">
        <v>430</v>
      </c>
    </row>
    <row r="3831" spans="1:6" x14ac:dyDescent="0.25">
      <c r="A3831" s="189" t="str">
        <f t="shared" si="59"/>
        <v>CL-MD 308.18.63S</v>
      </c>
      <c r="B3831" s="195" t="s">
        <v>573</v>
      </c>
      <c r="C3831" s="196">
        <v>8.1</v>
      </c>
      <c r="D3831" s="196">
        <v>8.6300000000000008</v>
      </c>
      <c r="E3831" s="195" t="s">
        <v>583</v>
      </c>
      <c r="F3831" s="195" t="s">
        <v>438</v>
      </c>
    </row>
    <row r="3832" spans="1:6" x14ac:dyDescent="0.25">
      <c r="A3832" s="189" t="str">
        <f t="shared" si="59"/>
        <v>CL-MD 308.6311.76N</v>
      </c>
      <c r="B3832" s="195" t="s">
        <v>573</v>
      </c>
      <c r="C3832" s="196">
        <v>8.6300000000000008</v>
      </c>
      <c r="D3832" s="196">
        <v>11.76</v>
      </c>
      <c r="E3832" s="195" t="s">
        <v>583</v>
      </c>
      <c r="F3832" s="195" t="s">
        <v>430</v>
      </c>
    </row>
    <row r="3833" spans="1:6" x14ac:dyDescent="0.25">
      <c r="A3833" s="189" t="str">
        <f t="shared" si="59"/>
        <v>CL-MD 308.6311.76S</v>
      </c>
      <c r="B3833" s="195" t="s">
        <v>573</v>
      </c>
      <c r="C3833" s="196">
        <v>8.6300000000000008</v>
      </c>
      <c r="D3833" s="196">
        <v>11.76</v>
      </c>
      <c r="E3833" s="195" t="s">
        <v>583</v>
      </c>
      <c r="F3833" s="195" t="s">
        <v>438</v>
      </c>
    </row>
    <row r="3834" spans="1:6" x14ac:dyDescent="0.25">
      <c r="A3834" s="189" t="str">
        <f t="shared" si="59"/>
        <v>CL-MD 30BC00.05N</v>
      </c>
      <c r="B3834" s="195" t="s">
        <v>2192</v>
      </c>
      <c r="C3834" s="196">
        <v>0</v>
      </c>
      <c r="D3834" s="196">
        <v>0.05</v>
      </c>
      <c r="E3834" s="195" t="s">
        <v>589</v>
      </c>
      <c r="F3834" s="195" t="s">
        <v>430</v>
      </c>
    </row>
    <row r="3835" spans="1:6" x14ac:dyDescent="0.25">
      <c r="A3835" s="189" t="str">
        <f t="shared" si="59"/>
        <v>CL-MD 30BC00.05S</v>
      </c>
      <c r="B3835" s="195" t="s">
        <v>2192</v>
      </c>
      <c r="C3835" s="196">
        <v>0</v>
      </c>
      <c r="D3835" s="196">
        <v>0.05</v>
      </c>
      <c r="E3835" s="195" t="s">
        <v>595</v>
      </c>
      <c r="F3835" s="195" t="s">
        <v>438</v>
      </c>
    </row>
    <row r="3836" spans="1:6" x14ac:dyDescent="0.25">
      <c r="A3836" s="189" t="str">
        <f t="shared" si="59"/>
        <v>CL-MD 30BU0.10.9N</v>
      </c>
      <c r="B3836" s="195" t="s">
        <v>2193</v>
      </c>
      <c r="C3836" s="196">
        <v>0.1</v>
      </c>
      <c r="D3836" s="196">
        <v>0.9</v>
      </c>
      <c r="E3836" s="195" t="s">
        <v>583</v>
      </c>
      <c r="F3836" s="195" t="s">
        <v>430</v>
      </c>
    </row>
    <row r="3837" spans="1:6" x14ac:dyDescent="0.25">
      <c r="A3837" s="189" t="str">
        <f t="shared" si="59"/>
        <v>CL-MD 30BU0.10.9S</v>
      </c>
      <c r="B3837" s="195" t="s">
        <v>2193</v>
      </c>
      <c r="C3837" s="196">
        <v>0.1</v>
      </c>
      <c r="D3837" s="196">
        <v>0.9</v>
      </c>
      <c r="E3837" s="195" t="s">
        <v>583</v>
      </c>
      <c r="F3837" s="195" t="s">
        <v>438</v>
      </c>
    </row>
    <row r="3838" spans="1:6" x14ac:dyDescent="0.25">
      <c r="A3838" s="189" t="str">
        <f t="shared" si="59"/>
        <v>CL-MD 30BU0.91.04N</v>
      </c>
      <c r="B3838" s="195" t="s">
        <v>2193</v>
      </c>
      <c r="C3838" s="196">
        <v>0.9</v>
      </c>
      <c r="D3838" s="196">
        <v>1.04</v>
      </c>
      <c r="E3838" s="195" t="s">
        <v>583</v>
      </c>
      <c r="F3838" s="195" t="s">
        <v>430</v>
      </c>
    </row>
    <row r="3839" spans="1:6" x14ac:dyDescent="0.25">
      <c r="A3839" s="189" t="str">
        <f t="shared" si="59"/>
        <v>CL-MD 30BU0.91.04S</v>
      </c>
      <c r="B3839" s="195" t="s">
        <v>2193</v>
      </c>
      <c r="C3839" s="196">
        <v>0.9</v>
      </c>
      <c r="D3839" s="196">
        <v>1.04</v>
      </c>
      <c r="E3839" s="195" t="s">
        <v>583</v>
      </c>
      <c r="F3839" s="195" t="s">
        <v>438</v>
      </c>
    </row>
    <row r="3840" spans="1:6" x14ac:dyDescent="0.25">
      <c r="A3840" s="189" t="str">
        <f t="shared" si="59"/>
        <v>CL-MD 30BU1.041.52N</v>
      </c>
      <c r="B3840" s="195" t="s">
        <v>2193</v>
      </c>
      <c r="C3840" s="196">
        <v>1.04</v>
      </c>
      <c r="D3840" s="196">
        <v>1.52</v>
      </c>
      <c r="E3840" s="195" t="s">
        <v>583</v>
      </c>
      <c r="F3840" s="195" t="s">
        <v>430</v>
      </c>
    </row>
    <row r="3841" spans="1:6" x14ac:dyDescent="0.25">
      <c r="A3841" s="189" t="str">
        <f t="shared" si="59"/>
        <v>CL-MD 30BU1.041.52S</v>
      </c>
      <c r="B3841" s="195" t="s">
        <v>2193</v>
      </c>
      <c r="C3841" s="196">
        <v>1.04</v>
      </c>
      <c r="D3841" s="196">
        <v>1.52</v>
      </c>
      <c r="E3841" s="195" t="s">
        <v>583</v>
      </c>
      <c r="F3841" s="195" t="s">
        <v>438</v>
      </c>
    </row>
    <row r="3842" spans="1:6" x14ac:dyDescent="0.25">
      <c r="A3842" s="189" t="str">
        <f t="shared" si="59"/>
        <v>CL-MD 30BU1.522.23N</v>
      </c>
      <c r="B3842" s="195" t="s">
        <v>2193</v>
      </c>
      <c r="C3842" s="196">
        <v>1.52</v>
      </c>
      <c r="D3842" s="196">
        <v>2.23</v>
      </c>
      <c r="E3842" s="195" t="s">
        <v>583</v>
      </c>
      <c r="F3842" s="195" t="s">
        <v>430</v>
      </c>
    </row>
    <row r="3843" spans="1:6" x14ac:dyDescent="0.25">
      <c r="A3843" s="189" t="str">
        <f t="shared" ref="A3843:A3906" si="60">B3843&amp;C3843&amp;D3843&amp;F3843</f>
        <v>CL-MD 30BU1.522.23S</v>
      </c>
      <c r="B3843" s="195" t="s">
        <v>2193</v>
      </c>
      <c r="C3843" s="196">
        <v>1.52</v>
      </c>
      <c r="D3843" s="196">
        <v>2.23</v>
      </c>
      <c r="E3843" s="195" t="s">
        <v>583</v>
      </c>
      <c r="F3843" s="195" t="s">
        <v>438</v>
      </c>
    </row>
    <row r="3844" spans="1:6" x14ac:dyDescent="0.25">
      <c r="A3844" s="189" t="str">
        <f t="shared" si="60"/>
        <v>CL-MD 30BU2.232.55N</v>
      </c>
      <c r="B3844" s="195" t="s">
        <v>2193</v>
      </c>
      <c r="C3844" s="196">
        <v>2.23</v>
      </c>
      <c r="D3844" s="196">
        <v>2.5499999999999998</v>
      </c>
      <c r="E3844" s="195" t="s">
        <v>583</v>
      </c>
      <c r="F3844" s="195" t="s">
        <v>430</v>
      </c>
    </row>
    <row r="3845" spans="1:6" x14ac:dyDescent="0.25">
      <c r="A3845" s="189" t="str">
        <f t="shared" si="60"/>
        <v>CL-MD 30BU2.232.55S</v>
      </c>
      <c r="B3845" s="195" t="s">
        <v>2193</v>
      </c>
      <c r="C3845" s="196">
        <v>2.23</v>
      </c>
      <c r="D3845" s="196">
        <v>2.5499999999999998</v>
      </c>
      <c r="E3845" s="195" t="s">
        <v>583</v>
      </c>
      <c r="F3845" s="195" t="s">
        <v>438</v>
      </c>
    </row>
    <row r="3846" spans="1:6" x14ac:dyDescent="0.25">
      <c r="A3846" s="189" t="str">
        <f t="shared" si="60"/>
        <v>CL-MD 30BU2.552.58N</v>
      </c>
      <c r="B3846" s="195" t="s">
        <v>2193</v>
      </c>
      <c r="C3846" s="196">
        <v>2.5499999999999998</v>
      </c>
      <c r="D3846" s="196">
        <v>2.58</v>
      </c>
      <c r="E3846" s="195" t="s">
        <v>583</v>
      </c>
      <c r="F3846" s="195" t="s">
        <v>430</v>
      </c>
    </row>
    <row r="3847" spans="1:6" x14ac:dyDescent="0.25">
      <c r="A3847" s="189" t="str">
        <f t="shared" si="60"/>
        <v>CL-MD 30BU2.552.58S</v>
      </c>
      <c r="B3847" s="195" t="s">
        <v>2193</v>
      </c>
      <c r="C3847" s="196">
        <v>2.5499999999999998</v>
      </c>
      <c r="D3847" s="196">
        <v>2.58</v>
      </c>
      <c r="E3847" s="195" t="s">
        <v>583</v>
      </c>
      <c r="F3847" s="195" t="s">
        <v>438</v>
      </c>
    </row>
    <row r="3848" spans="1:6" x14ac:dyDescent="0.25">
      <c r="A3848" s="189" t="str">
        <f t="shared" si="60"/>
        <v>CL-MD 30BU2.582.97N</v>
      </c>
      <c r="B3848" s="195" t="s">
        <v>2193</v>
      </c>
      <c r="C3848" s="196">
        <v>2.58</v>
      </c>
      <c r="D3848" s="196">
        <v>2.97</v>
      </c>
      <c r="E3848" s="195" t="s">
        <v>583</v>
      </c>
      <c r="F3848" s="195" t="s">
        <v>430</v>
      </c>
    </row>
    <row r="3849" spans="1:6" x14ac:dyDescent="0.25">
      <c r="A3849" s="189" t="str">
        <f t="shared" si="60"/>
        <v>CL-MD 30BU2.582.97S</v>
      </c>
      <c r="B3849" s="195" t="s">
        <v>2193</v>
      </c>
      <c r="C3849" s="196">
        <v>2.58</v>
      </c>
      <c r="D3849" s="196">
        <v>2.97</v>
      </c>
      <c r="E3849" s="195" t="s">
        <v>583</v>
      </c>
      <c r="F3849" s="195" t="s">
        <v>438</v>
      </c>
    </row>
    <row r="3850" spans="1:6" x14ac:dyDescent="0.25">
      <c r="A3850" s="189" t="str">
        <f t="shared" si="60"/>
        <v>CL-MD 30BU2.973.99N</v>
      </c>
      <c r="B3850" s="195" t="s">
        <v>2193</v>
      </c>
      <c r="C3850" s="196">
        <v>2.97</v>
      </c>
      <c r="D3850" s="196">
        <v>3.99</v>
      </c>
      <c r="E3850" s="195" t="s">
        <v>583</v>
      </c>
      <c r="F3850" s="195" t="s">
        <v>430</v>
      </c>
    </row>
    <row r="3851" spans="1:6" x14ac:dyDescent="0.25">
      <c r="A3851" s="189" t="str">
        <f t="shared" si="60"/>
        <v>CL-MD 30BU2.973.99S</v>
      </c>
      <c r="B3851" s="195" t="s">
        <v>2193</v>
      </c>
      <c r="C3851" s="196">
        <v>2.97</v>
      </c>
      <c r="D3851" s="196">
        <v>3.99</v>
      </c>
      <c r="E3851" s="195" t="s">
        <v>583</v>
      </c>
      <c r="F3851" s="195" t="s">
        <v>438</v>
      </c>
    </row>
    <row r="3852" spans="1:6" x14ac:dyDescent="0.25">
      <c r="A3852" s="189" t="str">
        <f t="shared" si="60"/>
        <v>CL-MD 30BZ00.15N</v>
      </c>
      <c r="B3852" s="195" t="s">
        <v>2194</v>
      </c>
      <c r="C3852" s="196">
        <v>0</v>
      </c>
      <c r="D3852" s="196">
        <v>0.15</v>
      </c>
      <c r="E3852" s="195" t="s">
        <v>589</v>
      </c>
      <c r="F3852" s="195" t="s">
        <v>430</v>
      </c>
    </row>
    <row r="3853" spans="1:6" x14ac:dyDescent="0.25">
      <c r="A3853" s="189" t="str">
        <f t="shared" si="60"/>
        <v>CL-MD 30BZ00.15S</v>
      </c>
      <c r="B3853" s="195" t="s">
        <v>2194</v>
      </c>
      <c r="C3853" s="196">
        <v>0</v>
      </c>
      <c r="D3853" s="196">
        <v>0.15</v>
      </c>
      <c r="E3853" s="195" t="s">
        <v>595</v>
      </c>
      <c r="F3853" s="195" t="s">
        <v>438</v>
      </c>
    </row>
    <row r="3854" spans="1:6" x14ac:dyDescent="0.25">
      <c r="A3854" s="189" t="str">
        <f t="shared" si="60"/>
        <v>CL-MD 3101.12E</v>
      </c>
      <c r="B3854" s="195" t="s">
        <v>574</v>
      </c>
      <c r="C3854" s="196">
        <v>0</v>
      </c>
      <c r="D3854" s="196">
        <v>1.1200000000000001</v>
      </c>
      <c r="E3854" s="195" t="s">
        <v>583</v>
      </c>
      <c r="F3854" s="195" t="s">
        <v>19</v>
      </c>
    </row>
    <row r="3855" spans="1:6" x14ac:dyDescent="0.25">
      <c r="A3855" s="189" t="str">
        <f t="shared" si="60"/>
        <v>CL-MD 3101.12W</v>
      </c>
      <c r="B3855" s="195" t="s">
        <v>574</v>
      </c>
      <c r="C3855" s="196">
        <v>0</v>
      </c>
      <c r="D3855" s="196">
        <v>1.1200000000000001</v>
      </c>
      <c r="E3855" s="195" t="s">
        <v>583</v>
      </c>
      <c r="F3855" s="195" t="s">
        <v>432</v>
      </c>
    </row>
    <row r="3856" spans="1:6" x14ac:dyDescent="0.25">
      <c r="A3856" s="189" t="str">
        <f t="shared" si="60"/>
        <v>CL-MD 311.122.93E</v>
      </c>
      <c r="B3856" s="195" t="s">
        <v>574</v>
      </c>
      <c r="C3856" s="196">
        <v>1.1200000000000001</v>
      </c>
      <c r="D3856" s="196">
        <v>2.93</v>
      </c>
      <c r="E3856" s="195" t="s">
        <v>583</v>
      </c>
      <c r="F3856" s="195" t="s">
        <v>19</v>
      </c>
    </row>
    <row r="3857" spans="1:6" x14ac:dyDescent="0.25">
      <c r="A3857" s="189" t="str">
        <f t="shared" si="60"/>
        <v>CL-MD 311.122.93W</v>
      </c>
      <c r="B3857" s="195" t="s">
        <v>574</v>
      </c>
      <c r="C3857" s="196">
        <v>1.1200000000000001</v>
      </c>
      <c r="D3857" s="196">
        <v>2.93</v>
      </c>
      <c r="E3857" s="195" t="s">
        <v>583</v>
      </c>
      <c r="F3857" s="195" t="s">
        <v>432</v>
      </c>
    </row>
    <row r="3858" spans="1:6" x14ac:dyDescent="0.25">
      <c r="A3858" s="189" t="str">
        <f t="shared" si="60"/>
        <v>CL-MD 312.933.13E</v>
      </c>
      <c r="B3858" s="195" t="s">
        <v>574</v>
      </c>
      <c r="C3858" s="196">
        <v>2.93</v>
      </c>
      <c r="D3858" s="196">
        <v>3.13</v>
      </c>
      <c r="E3858" s="195" t="s">
        <v>583</v>
      </c>
      <c r="F3858" s="195" t="s">
        <v>19</v>
      </c>
    </row>
    <row r="3859" spans="1:6" x14ac:dyDescent="0.25">
      <c r="A3859" s="189" t="str">
        <f t="shared" si="60"/>
        <v>CL-MD 312.933.13W</v>
      </c>
      <c r="B3859" s="195" t="s">
        <v>574</v>
      </c>
      <c r="C3859" s="196">
        <v>2.93</v>
      </c>
      <c r="D3859" s="196">
        <v>3.13</v>
      </c>
      <c r="E3859" s="195" t="s">
        <v>583</v>
      </c>
      <c r="F3859" s="195" t="s">
        <v>432</v>
      </c>
    </row>
    <row r="3860" spans="1:6" x14ac:dyDescent="0.25">
      <c r="A3860" s="189" t="str">
        <f t="shared" si="60"/>
        <v>CL-MD 313.133.45E</v>
      </c>
      <c r="B3860" s="195" t="s">
        <v>574</v>
      </c>
      <c r="C3860" s="196">
        <v>3.13</v>
      </c>
      <c r="D3860" s="196">
        <v>3.45</v>
      </c>
      <c r="E3860" s="195" t="s">
        <v>583</v>
      </c>
      <c r="F3860" s="195" t="s">
        <v>19</v>
      </c>
    </row>
    <row r="3861" spans="1:6" x14ac:dyDescent="0.25">
      <c r="A3861" s="189" t="str">
        <f t="shared" si="60"/>
        <v>CL-MD 313.133.45W</v>
      </c>
      <c r="B3861" s="195" t="s">
        <v>574</v>
      </c>
      <c r="C3861" s="196">
        <v>3.13</v>
      </c>
      <c r="D3861" s="196">
        <v>3.45</v>
      </c>
      <c r="E3861" s="195" t="s">
        <v>583</v>
      </c>
      <c r="F3861" s="195" t="s">
        <v>432</v>
      </c>
    </row>
    <row r="3862" spans="1:6" x14ac:dyDescent="0.25">
      <c r="A3862" s="189" t="str">
        <f t="shared" si="60"/>
        <v>CL-MD 313.453.8E</v>
      </c>
      <c r="B3862" s="195" t="s">
        <v>574</v>
      </c>
      <c r="C3862" s="196">
        <v>3.45</v>
      </c>
      <c r="D3862" s="196">
        <v>3.8</v>
      </c>
      <c r="E3862" s="195" t="s">
        <v>583</v>
      </c>
      <c r="F3862" s="195" t="s">
        <v>19</v>
      </c>
    </row>
    <row r="3863" spans="1:6" x14ac:dyDescent="0.25">
      <c r="A3863" s="189" t="str">
        <f t="shared" si="60"/>
        <v>CL-MD 313.453.8W</v>
      </c>
      <c r="B3863" s="195" t="s">
        <v>574</v>
      </c>
      <c r="C3863" s="196">
        <v>3.45</v>
      </c>
      <c r="D3863" s="196">
        <v>3.8</v>
      </c>
      <c r="E3863" s="195" t="s">
        <v>583</v>
      </c>
      <c r="F3863" s="195" t="s">
        <v>432</v>
      </c>
    </row>
    <row r="3864" spans="1:6" x14ac:dyDescent="0.25">
      <c r="A3864" s="189" t="str">
        <f t="shared" si="60"/>
        <v>CL-MD 313.86.1E</v>
      </c>
      <c r="B3864" s="195" t="s">
        <v>574</v>
      </c>
      <c r="C3864" s="196">
        <v>3.8</v>
      </c>
      <c r="D3864" s="196">
        <v>6.1</v>
      </c>
      <c r="E3864" s="195" t="s">
        <v>583</v>
      </c>
      <c r="F3864" s="195" t="s">
        <v>19</v>
      </c>
    </row>
    <row r="3865" spans="1:6" x14ac:dyDescent="0.25">
      <c r="A3865" s="189" t="str">
        <f t="shared" si="60"/>
        <v>CL-MD 313.86.1W</v>
      </c>
      <c r="B3865" s="195" t="s">
        <v>574</v>
      </c>
      <c r="C3865" s="196">
        <v>3.8</v>
      </c>
      <c r="D3865" s="196">
        <v>6.1</v>
      </c>
      <c r="E3865" s="195" t="s">
        <v>583</v>
      </c>
      <c r="F3865" s="195" t="s">
        <v>432</v>
      </c>
    </row>
    <row r="3866" spans="1:6" x14ac:dyDescent="0.25">
      <c r="A3866" s="189" t="str">
        <f t="shared" si="60"/>
        <v>CL-MD 316.17.85E</v>
      </c>
      <c r="B3866" s="195" t="s">
        <v>574</v>
      </c>
      <c r="C3866" s="196">
        <v>6.1</v>
      </c>
      <c r="D3866" s="196">
        <v>7.85</v>
      </c>
      <c r="E3866" s="195" t="s">
        <v>583</v>
      </c>
      <c r="F3866" s="195" t="s">
        <v>19</v>
      </c>
    </row>
    <row r="3867" spans="1:6" x14ac:dyDescent="0.25">
      <c r="A3867" s="189" t="str">
        <f t="shared" si="60"/>
        <v>CL-MD 316.17.85W</v>
      </c>
      <c r="B3867" s="195" t="s">
        <v>574</v>
      </c>
      <c r="C3867" s="196">
        <v>6.1</v>
      </c>
      <c r="D3867" s="196">
        <v>7.85</v>
      </c>
      <c r="E3867" s="195" t="s">
        <v>583</v>
      </c>
      <c r="F3867" s="195" t="s">
        <v>432</v>
      </c>
    </row>
    <row r="3868" spans="1:6" x14ac:dyDescent="0.25">
      <c r="A3868" s="189" t="str">
        <f t="shared" si="60"/>
        <v>CL-MD 317.858.6E</v>
      </c>
      <c r="B3868" s="195" t="s">
        <v>574</v>
      </c>
      <c r="C3868" s="196">
        <v>7.85</v>
      </c>
      <c r="D3868" s="196">
        <v>8.6</v>
      </c>
      <c r="E3868" s="195" t="s">
        <v>583</v>
      </c>
      <c r="F3868" s="195" t="s">
        <v>19</v>
      </c>
    </row>
    <row r="3869" spans="1:6" x14ac:dyDescent="0.25">
      <c r="A3869" s="189" t="str">
        <f t="shared" si="60"/>
        <v>CL-MD 317.858.6W</v>
      </c>
      <c r="B3869" s="195" t="s">
        <v>574</v>
      </c>
      <c r="C3869" s="196">
        <v>7.85</v>
      </c>
      <c r="D3869" s="196">
        <v>8.6</v>
      </c>
      <c r="E3869" s="195" t="s">
        <v>583</v>
      </c>
      <c r="F3869" s="195" t="s">
        <v>432</v>
      </c>
    </row>
    <row r="3870" spans="1:6" x14ac:dyDescent="0.25">
      <c r="A3870" s="189" t="str">
        <f t="shared" si="60"/>
        <v>CL-MD 318.789.1W</v>
      </c>
      <c r="B3870" s="195" t="s">
        <v>574</v>
      </c>
      <c r="C3870" s="196">
        <v>8.7799999999999994</v>
      </c>
      <c r="D3870" s="196">
        <v>9.1</v>
      </c>
      <c r="E3870" s="195" t="s">
        <v>593</v>
      </c>
      <c r="F3870" s="195" t="s">
        <v>432</v>
      </c>
    </row>
    <row r="3871" spans="1:6" x14ac:dyDescent="0.25">
      <c r="A3871" s="189" t="str">
        <f t="shared" si="60"/>
        <v>CL-MD 318.789.6E</v>
      </c>
      <c r="B3871" s="195" t="s">
        <v>574</v>
      </c>
      <c r="C3871" s="196">
        <v>8.7799999999999994</v>
      </c>
      <c r="D3871" s="196">
        <v>9.6</v>
      </c>
      <c r="E3871" s="195" t="s">
        <v>598</v>
      </c>
      <c r="F3871" s="195" t="s">
        <v>19</v>
      </c>
    </row>
    <row r="3872" spans="1:6" x14ac:dyDescent="0.25">
      <c r="A3872" s="189" t="str">
        <f t="shared" si="60"/>
        <v>CL-MD 319.110.16W</v>
      </c>
      <c r="B3872" s="195" t="s">
        <v>574</v>
      </c>
      <c r="C3872" s="196">
        <v>9.1</v>
      </c>
      <c r="D3872" s="196">
        <v>10.16</v>
      </c>
      <c r="E3872" s="195" t="s">
        <v>593</v>
      </c>
      <c r="F3872" s="195" t="s">
        <v>432</v>
      </c>
    </row>
    <row r="3873" spans="1:6" x14ac:dyDescent="0.25">
      <c r="A3873" s="189" t="str">
        <f t="shared" si="60"/>
        <v>CL-MD 319.610.16E</v>
      </c>
      <c r="B3873" s="195" t="s">
        <v>574</v>
      </c>
      <c r="C3873" s="196">
        <v>9.6</v>
      </c>
      <c r="D3873" s="196">
        <v>10.16</v>
      </c>
      <c r="E3873" s="195" t="s">
        <v>598</v>
      </c>
      <c r="F3873" s="195" t="s">
        <v>19</v>
      </c>
    </row>
    <row r="3874" spans="1:6" x14ac:dyDescent="0.25">
      <c r="A3874" s="189" t="str">
        <f t="shared" si="60"/>
        <v>CL-MD 3200.86N</v>
      </c>
      <c r="B3874" s="195" t="s">
        <v>575</v>
      </c>
      <c r="C3874" s="196">
        <v>0</v>
      </c>
      <c r="D3874" s="196">
        <v>0.86</v>
      </c>
      <c r="E3874" s="195" t="s">
        <v>583</v>
      </c>
      <c r="F3874" s="195" t="s">
        <v>430</v>
      </c>
    </row>
    <row r="3875" spans="1:6" x14ac:dyDescent="0.25">
      <c r="A3875" s="189" t="str">
        <f t="shared" si="60"/>
        <v>CL-MD 3200.86S</v>
      </c>
      <c r="B3875" s="195" t="s">
        <v>575</v>
      </c>
      <c r="C3875" s="196">
        <v>0</v>
      </c>
      <c r="D3875" s="196">
        <v>0.86</v>
      </c>
      <c r="E3875" s="195" t="s">
        <v>583</v>
      </c>
      <c r="F3875" s="195" t="s">
        <v>438</v>
      </c>
    </row>
    <row r="3876" spans="1:6" x14ac:dyDescent="0.25">
      <c r="A3876" s="189" t="str">
        <f t="shared" si="60"/>
        <v>CL-MD 321.361.89N</v>
      </c>
      <c r="B3876" s="195" t="s">
        <v>575</v>
      </c>
      <c r="C3876" s="196">
        <v>1.36</v>
      </c>
      <c r="D3876" s="196">
        <v>1.89</v>
      </c>
      <c r="E3876" s="195" t="s">
        <v>583</v>
      </c>
      <c r="F3876" s="195" t="s">
        <v>430</v>
      </c>
    </row>
    <row r="3877" spans="1:6" x14ac:dyDescent="0.25">
      <c r="A3877" s="189" t="str">
        <f t="shared" si="60"/>
        <v>CL-MD 321.361.89S</v>
      </c>
      <c r="B3877" s="195" t="s">
        <v>575</v>
      </c>
      <c r="C3877" s="196">
        <v>1.36</v>
      </c>
      <c r="D3877" s="196">
        <v>1.89</v>
      </c>
      <c r="E3877" s="195" t="s">
        <v>583</v>
      </c>
      <c r="F3877" s="195" t="s">
        <v>438</v>
      </c>
    </row>
    <row r="3878" spans="1:6" x14ac:dyDescent="0.25">
      <c r="A3878" s="189" t="str">
        <f t="shared" si="60"/>
        <v>CL-MD 321.892.68N</v>
      </c>
      <c r="B3878" s="195" t="s">
        <v>575</v>
      </c>
      <c r="C3878" s="196">
        <v>1.89</v>
      </c>
      <c r="D3878" s="196">
        <v>2.68</v>
      </c>
      <c r="E3878" s="195" t="s">
        <v>583</v>
      </c>
      <c r="F3878" s="195" t="s">
        <v>430</v>
      </c>
    </row>
    <row r="3879" spans="1:6" x14ac:dyDescent="0.25">
      <c r="A3879" s="189" t="str">
        <f t="shared" si="60"/>
        <v>CL-MD 321.892.68S</v>
      </c>
      <c r="B3879" s="195" t="s">
        <v>575</v>
      </c>
      <c r="C3879" s="196">
        <v>1.89</v>
      </c>
      <c r="D3879" s="196">
        <v>2.68</v>
      </c>
      <c r="E3879" s="195" t="s">
        <v>583</v>
      </c>
      <c r="F3879" s="195" t="s">
        <v>438</v>
      </c>
    </row>
    <row r="3880" spans="1:6" x14ac:dyDescent="0.25">
      <c r="A3880" s="189" t="str">
        <f t="shared" si="60"/>
        <v>CL-MD 322.683.3N</v>
      </c>
      <c r="B3880" s="195" t="s">
        <v>575</v>
      </c>
      <c r="C3880" s="196">
        <v>2.68</v>
      </c>
      <c r="D3880" s="196">
        <v>3.3</v>
      </c>
      <c r="E3880" s="195" t="s">
        <v>583</v>
      </c>
      <c r="F3880" s="195" t="s">
        <v>430</v>
      </c>
    </row>
    <row r="3881" spans="1:6" x14ac:dyDescent="0.25">
      <c r="A3881" s="189" t="str">
        <f t="shared" si="60"/>
        <v>CL-MD 322.683.3S</v>
      </c>
      <c r="B3881" s="195" t="s">
        <v>575</v>
      </c>
      <c r="C3881" s="196">
        <v>2.68</v>
      </c>
      <c r="D3881" s="196">
        <v>3.3</v>
      </c>
      <c r="E3881" s="195" t="s">
        <v>583</v>
      </c>
      <c r="F3881" s="195" t="s">
        <v>438</v>
      </c>
    </row>
    <row r="3882" spans="1:6" x14ac:dyDescent="0.25">
      <c r="A3882" s="189" t="str">
        <f t="shared" si="60"/>
        <v>CL-MD 323.35.77S</v>
      </c>
      <c r="B3882" s="195" t="s">
        <v>575</v>
      </c>
      <c r="C3882" s="196">
        <v>3.3</v>
      </c>
      <c r="D3882" s="196">
        <v>5.77</v>
      </c>
      <c r="E3882" s="195" t="s">
        <v>595</v>
      </c>
      <c r="F3882" s="195" t="s">
        <v>438</v>
      </c>
    </row>
    <row r="3883" spans="1:6" x14ac:dyDescent="0.25">
      <c r="A3883" s="189" t="str">
        <f t="shared" si="60"/>
        <v>CL-MD 323.35.8N</v>
      </c>
      <c r="B3883" s="195" t="s">
        <v>575</v>
      </c>
      <c r="C3883" s="196">
        <v>3.3</v>
      </c>
      <c r="D3883" s="196">
        <v>5.8</v>
      </c>
      <c r="E3883" s="195" t="s">
        <v>589</v>
      </c>
      <c r="F3883" s="195" t="s">
        <v>430</v>
      </c>
    </row>
    <row r="3884" spans="1:6" x14ac:dyDescent="0.25">
      <c r="A3884" s="189" t="str">
        <f t="shared" si="60"/>
        <v>CL-MD 325.775.88S</v>
      </c>
      <c r="B3884" s="195" t="s">
        <v>575</v>
      </c>
      <c r="C3884" s="196">
        <v>5.77</v>
      </c>
      <c r="D3884" s="196">
        <v>5.88</v>
      </c>
      <c r="E3884" s="195" t="s">
        <v>595</v>
      </c>
      <c r="F3884" s="195" t="s">
        <v>438</v>
      </c>
    </row>
    <row r="3885" spans="1:6" x14ac:dyDescent="0.25">
      <c r="A3885" s="189" t="str">
        <f t="shared" si="60"/>
        <v>CL-MD 325.85.91N</v>
      </c>
      <c r="B3885" s="195" t="s">
        <v>575</v>
      </c>
      <c r="C3885" s="196">
        <v>5.8</v>
      </c>
      <c r="D3885" s="196">
        <v>5.91</v>
      </c>
      <c r="E3885" s="195" t="s">
        <v>589</v>
      </c>
      <c r="F3885" s="195" t="s">
        <v>430</v>
      </c>
    </row>
    <row r="3886" spans="1:6" x14ac:dyDescent="0.25">
      <c r="A3886" s="189" t="str">
        <f t="shared" si="60"/>
        <v>CL-MD 325.886.67S</v>
      </c>
      <c r="B3886" s="195" t="s">
        <v>575</v>
      </c>
      <c r="C3886" s="196">
        <v>5.88</v>
      </c>
      <c r="D3886" s="196">
        <v>6.67</v>
      </c>
      <c r="E3886" s="195" t="s">
        <v>595</v>
      </c>
      <c r="F3886" s="195" t="s">
        <v>438</v>
      </c>
    </row>
    <row r="3887" spans="1:6" x14ac:dyDescent="0.25">
      <c r="A3887" s="189" t="str">
        <f t="shared" si="60"/>
        <v>CL-MD 325.916.67N</v>
      </c>
      <c r="B3887" s="195" t="s">
        <v>575</v>
      </c>
      <c r="C3887" s="196">
        <v>5.91</v>
      </c>
      <c r="D3887" s="196">
        <v>6.67</v>
      </c>
      <c r="E3887" s="195" t="s">
        <v>589</v>
      </c>
      <c r="F3887" s="195" t="s">
        <v>430</v>
      </c>
    </row>
    <row r="3888" spans="1:6" x14ac:dyDescent="0.25">
      <c r="A3888" s="189" t="str">
        <f t="shared" si="60"/>
        <v>CL-MD 326.676.69N</v>
      </c>
      <c r="B3888" s="195" t="s">
        <v>575</v>
      </c>
      <c r="C3888" s="196">
        <v>6.67</v>
      </c>
      <c r="D3888" s="196">
        <v>6.69</v>
      </c>
      <c r="E3888" s="195" t="s">
        <v>583</v>
      </c>
      <c r="F3888" s="195" t="s">
        <v>430</v>
      </c>
    </row>
    <row r="3889" spans="1:6" x14ac:dyDescent="0.25">
      <c r="A3889" s="189" t="str">
        <f t="shared" si="60"/>
        <v>CL-MD 326.676.69S</v>
      </c>
      <c r="B3889" s="195" t="s">
        <v>575</v>
      </c>
      <c r="C3889" s="196">
        <v>6.67</v>
      </c>
      <c r="D3889" s="196">
        <v>6.69</v>
      </c>
      <c r="E3889" s="195" t="s">
        <v>583</v>
      </c>
      <c r="F3889" s="195" t="s">
        <v>438</v>
      </c>
    </row>
    <row r="3890" spans="1:6" x14ac:dyDescent="0.25">
      <c r="A3890" s="189" t="str">
        <f t="shared" si="60"/>
        <v>CL-MD 326.697.49N</v>
      </c>
      <c r="B3890" s="195" t="s">
        <v>575</v>
      </c>
      <c r="C3890" s="196">
        <v>6.69</v>
      </c>
      <c r="D3890" s="196">
        <v>7.49</v>
      </c>
      <c r="E3890" s="195" t="s">
        <v>583</v>
      </c>
      <c r="F3890" s="195" t="s">
        <v>430</v>
      </c>
    </row>
    <row r="3891" spans="1:6" x14ac:dyDescent="0.25">
      <c r="A3891" s="189" t="str">
        <f t="shared" si="60"/>
        <v>CL-MD 326.697.49S</v>
      </c>
      <c r="B3891" s="195" t="s">
        <v>575</v>
      </c>
      <c r="C3891" s="196">
        <v>6.69</v>
      </c>
      <c r="D3891" s="196">
        <v>7.49</v>
      </c>
      <c r="E3891" s="195" t="s">
        <v>583</v>
      </c>
      <c r="F3891" s="195" t="s">
        <v>438</v>
      </c>
    </row>
    <row r="3892" spans="1:6" x14ac:dyDescent="0.25">
      <c r="A3892" s="189" t="str">
        <f t="shared" si="60"/>
        <v>CL-MD 327.497.5N</v>
      </c>
      <c r="B3892" s="195" t="s">
        <v>575</v>
      </c>
      <c r="C3892" s="196">
        <v>7.49</v>
      </c>
      <c r="D3892" s="196">
        <v>7.5</v>
      </c>
      <c r="E3892" s="195" t="s">
        <v>583</v>
      </c>
      <c r="F3892" s="195" t="s">
        <v>430</v>
      </c>
    </row>
    <row r="3893" spans="1:6" x14ac:dyDescent="0.25">
      <c r="A3893" s="189" t="str">
        <f t="shared" si="60"/>
        <v>CL-MD 327.497.5S</v>
      </c>
      <c r="B3893" s="195" t="s">
        <v>575</v>
      </c>
      <c r="C3893" s="196">
        <v>7.49</v>
      </c>
      <c r="D3893" s="196">
        <v>7.5</v>
      </c>
      <c r="E3893" s="195" t="s">
        <v>583</v>
      </c>
      <c r="F3893" s="195" t="s">
        <v>438</v>
      </c>
    </row>
    <row r="3894" spans="1:6" x14ac:dyDescent="0.25">
      <c r="A3894" s="189" t="str">
        <f t="shared" si="60"/>
        <v>CL-MD 327.58.36N</v>
      </c>
      <c r="B3894" s="195" t="s">
        <v>575</v>
      </c>
      <c r="C3894" s="196">
        <v>7.5</v>
      </c>
      <c r="D3894" s="196">
        <v>8.36</v>
      </c>
      <c r="E3894" s="195" t="s">
        <v>583</v>
      </c>
      <c r="F3894" s="195" t="s">
        <v>430</v>
      </c>
    </row>
    <row r="3895" spans="1:6" x14ac:dyDescent="0.25">
      <c r="A3895" s="189" t="str">
        <f t="shared" si="60"/>
        <v>CL-MD 327.58.36S</v>
      </c>
      <c r="B3895" s="195" t="s">
        <v>575</v>
      </c>
      <c r="C3895" s="196">
        <v>7.5</v>
      </c>
      <c r="D3895" s="196">
        <v>8.36</v>
      </c>
      <c r="E3895" s="195" t="s">
        <v>583</v>
      </c>
      <c r="F3895" s="195" t="s">
        <v>438</v>
      </c>
    </row>
    <row r="3896" spans="1:6" x14ac:dyDescent="0.25">
      <c r="A3896" s="189" t="str">
        <f t="shared" si="60"/>
        <v>CL-MD 328.368.7N</v>
      </c>
      <c r="B3896" s="195" t="s">
        <v>575</v>
      </c>
      <c r="C3896" s="196">
        <v>8.36</v>
      </c>
      <c r="D3896" s="196">
        <v>8.6999999999999993</v>
      </c>
      <c r="E3896" s="195" t="s">
        <v>583</v>
      </c>
      <c r="F3896" s="195" t="s">
        <v>430</v>
      </c>
    </row>
    <row r="3897" spans="1:6" x14ac:dyDescent="0.25">
      <c r="A3897" s="189" t="str">
        <f t="shared" si="60"/>
        <v>CL-MD 328.368.7S</v>
      </c>
      <c r="B3897" s="195" t="s">
        <v>575</v>
      </c>
      <c r="C3897" s="196">
        <v>8.36</v>
      </c>
      <c r="D3897" s="196">
        <v>8.6999999999999993</v>
      </c>
      <c r="E3897" s="195" t="s">
        <v>583</v>
      </c>
      <c r="F3897" s="195" t="s">
        <v>438</v>
      </c>
    </row>
    <row r="3898" spans="1:6" x14ac:dyDescent="0.25">
      <c r="A3898" s="189" t="str">
        <f t="shared" si="60"/>
        <v>CL-MD 328.79.9N</v>
      </c>
      <c r="B3898" s="195" t="s">
        <v>575</v>
      </c>
      <c r="C3898" s="196">
        <v>8.6999999999999993</v>
      </c>
      <c r="D3898" s="196">
        <v>9.9</v>
      </c>
      <c r="E3898" s="195" t="s">
        <v>583</v>
      </c>
      <c r="F3898" s="195" t="s">
        <v>430</v>
      </c>
    </row>
    <row r="3899" spans="1:6" x14ac:dyDescent="0.25">
      <c r="A3899" s="189" t="str">
        <f t="shared" si="60"/>
        <v>CL-MD 328.79.9S</v>
      </c>
      <c r="B3899" s="195" t="s">
        <v>575</v>
      </c>
      <c r="C3899" s="196">
        <v>8.6999999999999993</v>
      </c>
      <c r="D3899" s="196">
        <v>9.9</v>
      </c>
      <c r="E3899" s="195" t="s">
        <v>583</v>
      </c>
      <c r="F3899" s="195" t="s">
        <v>438</v>
      </c>
    </row>
    <row r="3900" spans="1:6" x14ac:dyDescent="0.25">
      <c r="A3900" s="189" t="str">
        <f t="shared" si="60"/>
        <v>CL-MD 329.911.06N</v>
      </c>
      <c r="B3900" s="195" t="s">
        <v>575</v>
      </c>
      <c r="C3900" s="196">
        <v>9.9</v>
      </c>
      <c r="D3900" s="196">
        <v>11.06</v>
      </c>
      <c r="E3900" s="195" t="s">
        <v>583</v>
      </c>
      <c r="F3900" s="195" t="s">
        <v>430</v>
      </c>
    </row>
    <row r="3901" spans="1:6" x14ac:dyDescent="0.25">
      <c r="A3901" s="189" t="str">
        <f t="shared" si="60"/>
        <v>CL-MD 329.911.06S</v>
      </c>
      <c r="B3901" s="195" t="s">
        <v>575</v>
      </c>
      <c r="C3901" s="196">
        <v>9.9</v>
      </c>
      <c r="D3901" s="196">
        <v>11.06</v>
      </c>
      <c r="E3901" s="195" t="s">
        <v>583</v>
      </c>
      <c r="F3901" s="195" t="s">
        <v>438</v>
      </c>
    </row>
    <row r="3902" spans="1:6" x14ac:dyDescent="0.25">
      <c r="A3902" s="189" t="str">
        <f t="shared" si="60"/>
        <v>CL-MD 3211.0613.84N</v>
      </c>
      <c r="B3902" s="195" t="s">
        <v>575</v>
      </c>
      <c r="C3902" s="196">
        <v>11.06</v>
      </c>
      <c r="D3902" s="196">
        <v>13.84</v>
      </c>
      <c r="E3902" s="195" t="s">
        <v>583</v>
      </c>
      <c r="F3902" s="195" t="s">
        <v>430</v>
      </c>
    </row>
    <row r="3903" spans="1:6" x14ac:dyDescent="0.25">
      <c r="A3903" s="189" t="str">
        <f t="shared" si="60"/>
        <v>CL-MD 3211.0613.84S</v>
      </c>
      <c r="B3903" s="195" t="s">
        <v>575</v>
      </c>
      <c r="C3903" s="196">
        <v>11.06</v>
      </c>
      <c r="D3903" s="196">
        <v>13.84</v>
      </c>
      <c r="E3903" s="195" t="s">
        <v>583</v>
      </c>
      <c r="F3903" s="195" t="s">
        <v>438</v>
      </c>
    </row>
    <row r="3904" spans="1:6" x14ac:dyDescent="0.25">
      <c r="A3904" s="189" t="str">
        <f t="shared" si="60"/>
        <v>CL-MD 3213.8413.84N</v>
      </c>
      <c r="B3904" s="195" t="s">
        <v>575</v>
      </c>
      <c r="C3904" s="196">
        <v>13.84</v>
      </c>
      <c r="D3904" s="196">
        <v>13.84</v>
      </c>
      <c r="E3904" s="195" t="s">
        <v>583</v>
      </c>
      <c r="F3904" s="195" t="s">
        <v>430</v>
      </c>
    </row>
    <row r="3905" spans="1:6" x14ac:dyDescent="0.25">
      <c r="A3905" s="189" t="str">
        <f t="shared" si="60"/>
        <v>CL-MD 3213.8413.84S</v>
      </c>
      <c r="B3905" s="195" t="s">
        <v>575</v>
      </c>
      <c r="C3905" s="196">
        <v>13.84</v>
      </c>
      <c r="D3905" s="196">
        <v>13.84</v>
      </c>
      <c r="E3905" s="195" t="s">
        <v>583</v>
      </c>
      <c r="F3905" s="195" t="s">
        <v>438</v>
      </c>
    </row>
    <row r="3906" spans="1:6" x14ac:dyDescent="0.25">
      <c r="A3906" s="189" t="str">
        <f t="shared" si="60"/>
        <v>CL-MD 3213.8416.72N</v>
      </c>
      <c r="B3906" s="195" t="s">
        <v>575</v>
      </c>
      <c r="C3906" s="196">
        <v>13.84</v>
      </c>
      <c r="D3906" s="196">
        <v>16.72</v>
      </c>
      <c r="E3906" s="195" t="s">
        <v>583</v>
      </c>
      <c r="F3906" s="195" t="s">
        <v>430</v>
      </c>
    </row>
    <row r="3907" spans="1:6" x14ac:dyDescent="0.25">
      <c r="A3907" s="189" t="str">
        <f t="shared" ref="A3907:A3970" si="61">B3907&amp;C3907&amp;D3907&amp;F3907</f>
        <v>CL-MD 3213.8416.72S</v>
      </c>
      <c r="B3907" s="195" t="s">
        <v>575</v>
      </c>
      <c r="C3907" s="196">
        <v>13.84</v>
      </c>
      <c r="D3907" s="196">
        <v>16.72</v>
      </c>
      <c r="E3907" s="195" t="s">
        <v>583</v>
      </c>
      <c r="F3907" s="195" t="s">
        <v>438</v>
      </c>
    </row>
    <row r="3908" spans="1:6" x14ac:dyDescent="0.25">
      <c r="A3908" s="189" t="str">
        <f t="shared" si="61"/>
        <v>CL-MD 3216.7216.72N</v>
      </c>
      <c r="B3908" s="195" t="s">
        <v>575</v>
      </c>
      <c r="C3908" s="196">
        <v>16.72</v>
      </c>
      <c r="D3908" s="196">
        <v>16.72</v>
      </c>
      <c r="E3908" s="195" t="s">
        <v>583</v>
      </c>
      <c r="F3908" s="195" t="s">
        <v>430</v>
      </c>
    </row>
    <row r="3909" spans="1:6" x14ac:dyDescent="0.25">
      <c r="A3909" s="189" t="str">
        <f t="shared" si="61"/>
        <v>CL-MD 3216.7216.72S</v>
      </c>
      <c r="B3909" s="195" t="s">
        <v>575</v>
      </c>
      <c r="C3909" s="196">
        <v>16.72</v>
      </c>
      <c r="D3909" s="196">
        <v>16.72</v>
      </c>
      <c r="E3909" s="195" t="s">
        <v>583</v>
      </c>
      <c r="F3909" s="195" t="s">
        <v>438</v>
      </c>
    </row>
    <row r="3910" spans="1:6" x14ac:dyDescent="0.25">
      <c r="A3910" s="189" t="str">
        <f t="shared" si="61"/>
        <v>CL-MD 40702.3E</v>
      </c>
      <c r="B3910" s="195" t="s">
        <v>2195</v>
      </c>
      <c r="C3910" s="196">
        <v>0</v>
      </c>
      <c r="D3910" s="196">
        <v>2.2999999999999998</v>
      </c>
      <c r="E3910" s="195" t="s">
        <v>583</v>
      </c>
      <c r="F3910" s="195" t="s">
        <v>19</v>
      </c>
    </row>
    <row r="3911" spans="1:6" x14ac:dyDescent="0.25">
      <c r="A3911" s="189" t="str">
        <f t="shared" si="61"/>
        <v>CL-MD 40702.3W</v>
      </c>
      <c r="B3911" s="195" t="s">
        <v>2195</v>
      </c>
      <c r="C3911" s="196">
        <v>0</v>
      </c>
      <c r="D3911" s="196">
        <v>2.2999999999999998</v>
      </c>
      <c r="E3911" s="195" t="s">
        <v>583</v>
      </c>
      <c r="F3911" s="195" t="s">
        <v>432</v>
      </c>
    </row>
    <row r="3912" spans="1:6" x14ac:dyDescent="0.25">
      <c r="A3912" s="189" t="str">
        <f t="shared" si="61"/>
        <v>CL-MD 4072.33.81E</v>
      </c>
      <c r="B3912" s="195" t="s">
        <v>2195</v>
      </c>
      <c r="C3912" s="196">
        <v>2.2999999999999998</v>
      </c>
      <c r="D3912" s="196">
        <v>3.81</v>
      </c>
      <c r="E3912" s="195" t="s">
        <v>583</v>
      </c>
      <c r="F3912" s="195" t="s">
        <v>19</v>
      </c>
    </row>
    <row r="3913" spans="1:6" x14ac:dyDescent="0.25">
      <c r="A3913" s="189" t="str">
        <f t="shared" si="61"/>
        <v>CL-MD 4072.33.81W</v>
      </c>
      <c r="B3913" s="195" t="s">
        <v>2195</v>
      </c>
      <c r="C3913" s="196">
        <v>2.2999999999999998</v>
      </c>
      <c r="D3913" s="196">
        <v>3.81</v>
      </c>
      <c r="E3913" s="195" t="s">
        <v>583</v>
      </c>
      <c r="F3913" s="195" t="s">
        <v>432</v>
      </c>
    </row>
    <row r="3914" spans="1:6" x14ac:dyDescent="0.25">
      <c r="A3914" s="189" t="str">
        <f t="shared" si="61"/>
        <v>CL-MD 48200.55E</v>
      </c>
      <c r="B3914" s="195" t="s">
        <v>2196</v>
      </c>
      <c r="C3914" s="196">
        <v>0</v>
      </c>
      <c r="D3914" s="196">
        <v>0.55000000000000004</v>
      </c>
      <c r="E3914" s="195" t="s">
        <v>583</v>
      </c>
      <c r="F3914" s="195" t="s">
        <v>19</v>
      </c>
    </row>
    <row r="3915" spans="1:6" x14ac:dyDescent="0.25">
      <c r="A3915" s="189" t="str">
        <f t="shared" si="61"/>
        <v>CL-MD 48200.55W</v>
      </c>
      <c r="B3915" s="195" t="s">
        <v>2196</v>
      </c>
      <c r="C3915" s="196">
        <v>0</v>
      </c>
      <c r="D3915" s="196">
        <v>0.55000000000000004</v>
      </c>
      <c r="E3915" s="195" t="s">
        <v>583</v>
      </c>
      <c r="F3915" s="195" t="s">
        <v>432</v>
      </c>
    </row>
    <row r="3916" spans="1:6" x14ac:dyDescent="0.25">
      <c r="A3916" s="189" t="str">
        <f t="shared" si="61"/>
        <v>CL-MD 4820.550.75E</v>
      </c>
      <c r="B3916" s="195" t="s">
        <v>2196</v>
      </c>
      <c r="C3916" s="196">
        <v>0.55000000000000004</v>
      </c>
      <c r="D3916" s="196">
        <v>0.75</v>
      </c>
      <c r="E3916" s="195" t="s">
        <v>583</v>
      </c>
      <c r="F3916" s="195" t="s">
        <v>19</v>
      </c>
    </row>
    <row r="3917" spans="1:6" x14ac:dyDescent="0.25">
      <c r="A3917" s="189" t="str">
        <f t="shared" si="61"/>
        <v>CL-MD 4820.550.75W</v>
      </c>
      <c r="B3917" s="195" t="s">
        <v>2196</v>
      </c>
      <c r="C3917" s="196">
        <v>0.55000000000000004</v>
      </c>
      <c r="D3917" s="196">
        <v>0.75</v>
      </c>
      <c r="E3917" s="195" t="s">
        <v>583</v>
      </c>
      <c r="F3917" s="195" t="s">
        <v>432</v>
      </c>
    </row>
    <row r="3918" spans="1:6" x14ac:dyDescent="0.25">
      <c r="A3918" s="189" t="str">
        <f t="shared" si="61"/>
        <v>CL-MD 4820.751.85E</v>
      </c>
      <c r="B3918" s="195" t="s">
        <v>2196</v>
      </c>
      <c r="C3918" s="196">
        <v>0.75</v>
      </c>
      <c r="D3918" s="196">
        <v>1.85</v>
      </c>
      <c r="E3918" s="195" t="s">
        <v>583</v>
      </c>
      <c r="F3918" s="195" t="s">
        <v>19</v>
      </c>
    </row>
    <row r="3919" spans="1:6" x14ac:dyDescent="0.25">
      <c r="A3919" s="189" t="str">
        <f t="shared" si="61"/>
        <v>CL-MD 4820.751.85W</v>
      </c>
      <c r="B3919" s="195" t="s">
        <v>2196</v>
      </c>
      <c r="C3919" s="196">
        <v>0.75</v>
      </c>
      <c r="D3919" s="196">
        <v>1.85</v>
      </c>
      <c r="E3919" s="195" t="s">
        <v>583</v>
      </c>
      <c r="F3919" s="195" t="s">
        <v>432</v>
      </c>
    </row>
    <row r="3920" spans="1:6" x14ac:dyDescent="0.25">
      <c r="A3920" s="189" t="str">
        <f t="shared" si="61"/>
        <v>CL-MD 4821.853.72E</v>
      </c>
      <c r="B3920" s="195" t="s">
        <v>2196</v>
      </c>
      <c r="C3920" s="196">
        <v>1.85</v>
      </c>
      <c r="D3920" s="196">
        <v>3.72</v>
      </c>
      <c r="E3920" s="195" t="s">
        <v>583</v>
      </c>
      <c r="F3920" s="195" t="s">
        <v>19</v>
      </c>
    </row>
    <row r="3921" spans="1:6" x14ac:dyDescent="0.25">
      <c r="A3921" s="189" t="str">
        <f t="shared" si="61"/>
        <v>CL-MD 4821.853.72W</v>
      </c>
      <c r="B3921" s="195" t="s">
        <v>2196</v>
      </c>
      <c r="C3921" s="196">
        <v>1.85</v>
      </c>
      <c r="D3921" s="196">
        <v>3.72</v>
      </c>
      <c r="E3921" s="195" t="s">
        <v>583</v>
      </c>
      <c r="F3921" s="195" t="s">
        <v>432</v>
      </c>
    </row>
    <row r="3922" spans="1:6" x14ac:dyDescent="0.25">
      <c r="A3922" s="189" t="str">
        <f t="shared" si="61"/>
        <v>CL-MD 4823.723.9E</v>
      </c>
      <c r="B3922" s="195" t="s">
        <v>2196</v>
      </c>
      <c r="C3922" s="196">
        <v>3.72</v>
      </c>
      <c r="D3922" s="196">
        <v>3.9</v>
      </c>
      <c r="E3922" s="195" t="s">
        <v>583</v>
      </c>
      <c r="F3922" s="195" t="s">
        <v>19</v>
      </c>
    </row>
    <row r="3923" spans="1:6" x14ac:dyDescent="0.25">
      <c r="A3923" s="189" t="str">
        <f t="shared" si="61"/>
        <v>CL-MD 4823.723.9W</v>
      </c>
      <c r="B3923" s="195" t="s">
        <v>2196</v>
      </c>
      <c r="C3923" s="196">
        <v>3.72</v>
      </c>
      <c r="D3923" s="196">
        <v>3.9</v>
      </c>
      <c r="E3923" s="195" t="s">
        <v>583</v>
      </c>
      <c r="F3923" s="195" t="s">
        <v>432</v>
      </c>
    </row>
    <row r="3924" spans="1:6" x14ac:dyDescent="0.25">
      <c r="A3924" s="189" t="str">
        <f t="shared" si="61"/>
        <v>CL-MD 4823.94.2E</v>
      </c>
      <c r="B3924" s="195" t="s">
        <v>2196</v>
      </c>
      <c r="C3924" s="196">
        <v>3.9</v>
      </c>
      <c r="D3924" s="196">
        <v>4.2</v>
      </c>
      <c r="E3924" s="195" t="s">
        <v>583</v>
      </c>
      <c r="F3924" s="195" t="s">
        <v>19</v>
      </c>
    </row>
    <row r="3925" spans="1:6" x14ac:dyDescent="0.25">
      <c r="A3925" s="189" t="str">
        <f t="shared" si="61"/>
        <v>CL-MD 4823.94.2W</v>
      </c>
      <c r="B3925" s="195" t="s">
        <v>2196</v>
      </c>
      <c r="C3925" s="196">
        <v>3.9</v>
      </c>
      <c r="D3925" s="196">
        <v>4.2</v>
      </c>
      <c r="E3925" s="195" t="s">
        <v>583</v>
      </c>
      <c r="F3925" s="195" t="s">
        <v>432</v>
      </c>
    </row>
    <row r="3926" spans="1:6" x14ac:dyDescent="0.25">
      <c r="A3926" s="189" t="str">
        <f t="shared" si="61"/>
        <v>CL-MD 4824.24.53E</v>
      </c>
      <c r="B3926" s="195" t="s">
        <v>2196</v>
      </c>
      <c r="C3926" s="196">
        <v>4.2</v>
      </c>
      <c r="D3926" s="196">
        <v>4.53</v>
      </c>
      <c r="E3926" s="195" t="s">
        <v>583</v>
      </c>
      <c r="F3926" s="195" t="s">
        <v>19</v>
      </c>
    </row>
    <row r="3927" spans="1:6" x14ac:dyDescent="0.25">
      <c r="A3927" s="189" t="str">
        <f t="shared" si="61"/>
        <v>CL-MD 4824.24.53W</v>
      </c>
      <c r="B3927" s="195" t="s">
        <v>2196</v>
      </c>
      <c r="C3927" s="196">
        <v>4.2</v>
      </c>
      <c r="D3927" s="196">
        <v>4.53</v>
      </c>
      <c r="E3927" s="195" t="s">
        <v>583</v>
      </c>
      <c r="F3927" s="195" t="s">
        <v>432</v>
      </c>
    </row>
    <row r="3928" spans="1:6" x14ac:dyDescent="0.25">
      <c r="A3928" s="189" t="str">
        <f t="shared" si="61"/>
        <v>CL-MD 4825.125.15W</v>
      </c>
      <c r="B3928" s="195" t="s">
        <v>2196</v>
      </c>
      <c r="C3928" s="196">
        <v>5.12</v>
      </c>
      <c r="D3928" s="196">
        <v>5.15</v>
      </c>
      <c r="E3928" s="195" t="s">
        <v>593</v>
      </c>
      <c r="F3928" s="195" t="s">
        <v>432</v>
      </c>
    </row>
    <row r="3929" spans="1:6" x14ac:dyDescent="0.25">
      <c r="A3929" s="189" t="str">
        <f t="shared" si="61"/>
        <v>CL-MD 4825.155.41E</v>
      </c>
      <c r="B3929" s="195" t="s">
        <v>2196</v>
      </c>
      <c r="C3929" s="196">
        <v>5.15</v>
      </c>
      <c r="D3929" s="196">
        <v>5.41</v>
      </c>
      <c r="E3929" s="195" t="s">
        <v>583</v>
      </c>
      <c r="F3929" s="195" t="s">
        <v>19</v>
      </c>
    </row>
    <row r="3930" spans="1:6" x14ac:dyDescent="0.25">
      <c r="A3930" s="189" t="str">
        <f t="shared" si="61"/>
        <v>CL-MD 4825.155.41W</v>
      </c>
      <c r="B3930" s="195" t="s">
        <v>2196</v>
      </c>
      <c r="C3930" s="196">
        <v>5.15</v>
      </c>
      <c r="D3930" s="196">
        <v>5.41</v>
      </c>
      <c r="E3930" s="195" t="s">
        <v>583</v>
      </c>
      <c r="F3930" s="195" t="s">
        <v>432</v>
      </c>
    </row>
    <row r="3931" spans="1:6" x14ac:dyDescent="0.25">
      <c r="A3931" s="189" t="str">
        <f t="shared" si="61"/>
        <v>CL-MD 4825.415.45E</v>
      </c>
      <c r="B3931" s="195" t="s">
        <v>2196</v>
      </c>
      <c r="C3931" s="196">
        <v>5.41</v>
      </c>
      <c r="D3931" s="196">
        <v>5.45</v>
      </c>
      <c r="E3931" s="195" t="s">
        <v>583</v>
      </c>
      <c r="F3931" s="195" t="s">
        <v>19</v>
      </c>
    </row>
    <row r="3932" spans="1:6" x14ac:dyDescent="0.25">
      <c r="A3932" s="189" t="str">
        <f t="shared" si="61"/>
        <v>CL-MD 4825.415.45W</v>
      </c>
      <c r="B3932" s="195" t="s">
        <v>2196</v>
      </c>
      <c r="C3932" s="196">
        <v>5.41</v>
      </c>
      <c r="D3932" s="196">
        <v>5.45</v>
      </c>
      <c r="E3932" s="195" t="s">
        <v>583</v>
      </c>
      <c r="F3932" s="195" t="s">
        <v>432</v>
      </c>
    </row>
    <row r="3933" spans="1:6" x14ac:dyDescent="0.25">
      <c r="A3933" s="189" t="str">
        <f t="shared" si="61"/>
        <v>CL-MD 482A00.04E</v>
      </c>
      <c r="B3933" s="195" t="s">
        <v>2197</v>
      </c>
      <c r="C3933" s="196">
        <v>0</v>
      </c>
      <c r="D3933" s="196">
        <v>0.04</v>
      </c>
      <c r="E3933" s="195" t="s">
        <v>598</v>
      </c>
      <c r="F3933" s="195" t="s">
        <v>19</v>
      </c>
    </row>
    <row r="3934" spans="1:6" x14ac:dyDescent="0.25">
      <c r="A3934" s="189" t="str">
        <f t="shared" si="61"/>
        <v>CL-MD 482A00.04W</v>
      </c>
      <c r="B3934" s="195" t="s">
        <v>2197</v>
      </c>
      <c r="C3934" s="196">
        <v>0</v>
      </c>
      <c r="D3934" s="196">
        <v>0.04</v>
      </c>
      <c r="E3934" s="195" t="s">
        <v>593</v>
      </c>
      <c r="F3934" s="195" t="s">
        <v>432</v>
      </c>
    </row>
    <row r="3935" spans="1:6" x14ac:dyDescent="0.25">
      <c r="A3935" s="189" t="str">
        <f t="shared" si="61"/>
        <v>CL-MD 49602.2E</v>
      </c>
      <c r="B3935" s="195" t="s">
        <v>2198</v>
      </c>
      <c r="C3935" s="196">
        <v>0</v>
      </c>
      <c r="D3935" s="196">
        <v>2.2000000000000002</v>
      </c>
      <c r="E3935" s="195" t="s">
        <v>583</v>
      </c>
      <c r="F3935" s="195" t="s">
        <v>19</v>
      </c>
    </row>
    <row r="3936" spans="1:6" x14ac:dyDescent="0.25">
      <c r="A3936" s="189" t="str">
        <f t="shared" si="61"/>
        <v>CL-MD 49602.2W</v>
      </c>
      <c r="B3936" s="195" t="s">
        <v>2198</v>
      </c>
      <c r="C3936" s="196">
        <v>0</v>
      </c>
      <c r="D3936" s="196">
        <v>2.2000000000000002</v>
      </c>
      <c r="E3936" s="195" t="s">
        <v>583</v>
      </c>
      <c r="F3936" s="195" t="s">
        <v>432</v>
      </c>
    </row>
    <row r="3937" spans="1:6" x14ac:dyDescent="0.25">
      <c r="A3937" s="189" t="str">
        <f t="shared" si="61"/>
        <v>CL-MD 4962.24.3E</v>
      </c>
      <c r="B3937" s="195" t="s">
        <v>2198</v>
      </c>
      <c r="C3937" s="196">
        <v>2.2000000000000002</v>
      </c>
      <c r="D3937" s="196">
        <v>4.3</v>
      </c>
      <c r="E3937" s="195" t="s">
        <v>583</v>
      </c>
      <c r="F3937" s="195" t="s">
        <v>19</v>
      </c>
    </row>
    <row r="3938" spans="1:6" x14ac:dyDescent="0.25">
      <c r="A3938" s="189" t="str">
        <f t="shared" si="61"/>
        <v>CL-MD 4962.24.3W</v>
      </c>
      <c r="B3938" s="195" t="s">
        <v>2198</v>
      </c>
      <c r="C3938" s="196">
        <v>2.2000000000000002</v>
      </c>
      <c r="D3938" s="196">
        <v>4.3</v>
      </c>
      <c r="E3938" s="195" t="s">
        <v>583</v>
      </c>
      <c r="F3938" s="195" t="s">
        <v>432</v>
      </c>
    </row>
    <row r="3939" spans="1:6" x14ac:dyDescent="0.25">
      <c r="A3939" s="189" t="str">
        <f t="shared" si="61"/>
        <v>CL-MD 4964.37.23E</v>
      </c>
      <c r="B3939" s="195" t="s">
        <v>2198</v>
      </c>
      <c r="C3939" s="196">
        <v>4.3</v>
      </c>
      <c r="D3939" s="196">
        <v>7.23</v>
      </c>
      <c r="E3939" s="195" t="s">
        <v>583</v>
      </c>
      <c r="F3939" s="195" t="s">
        <v>19</v>
      </c>
    </row>
    <row r="3940" spans="1:6" x14ac:dyDescent="0.25">
      <c r="A3940" s="189" t="str">
        <f t="shared" si="61"/>
        <v>CL-MD 4964.37.23W</v>
      </c>
      <c r="B3940" s="195" t="s">
        <v>2198</v>
      </c>
      <c r="C3940" s="196">
        <v>4.3</v>
      </c>
      <c r="D3940" s="196">
        <v>7.23</v>
      </c>
      <c r="E3940" s="195" t="s">
        <v>583</v>
      </c>
      <c r="F3940" s="195" t="s">
        <v>432</v>
      </c>
    </row>
    <row r="3941" spans="1:6" x14ac:dyDescent="0.25">
      <c r="A3941" s="189" t="str">
        <f t="shared" si="61"/>
        <v>CL-MD 66800.14N</v>
      </c>
      <c r="B3941" s="195" t="s">
        <v>2199</v>
      </c>
      <c r="C3941" s="196">
        <v>0</v>
      </c>
      <c r="D3941" s="196">
        <v>0.14000000000000001</v>
      </c>
      <c r="E3941" s="195" t="s">
        <v>589</v>
      </c>
      <c r="F3941" s="195" t="s">
        <v>430</v>
      </c>
    </row>
    <row r="3942" spans="1:6" x14ac:dyDescent="0.25">
      <c r="A3942" s="189" t="str">
        <f t="shared" si="61"/>
        <v>CL-MD 66800.14S</v>
      </c>
      <c r="B3942" s="195" t="s">
        <v>2199</v>
      </c>
      <c r="C3942" s="196">
        <v>0</v>
      </c>
      <c r="D3942" s="196">
        <v>0.14000000000000001</v>
      </c>
      <c r="E3942" s="195" t="s">
        <v>595</v>
      </c>
      <c r="F3942" s="195" t="s">
        <v>438</v>
      </c>
    </row>
    <row r="3943" spans="1:6" x14ac:dyDescent="0.25">
      <c r="A3943" s="189" t="str">
        <f t="shared" si="61"/>
        <v>CL-MD 7500.98N</v>
      </c>
      <c r="B3943" s="195" t="s">
        <v>2200</v>
      </c>
      <c r="C3943" s="196">
        <v>0</v>
      </c>
      <c r="D3943" s="196">
        <v>0.98</v>
      </c>
      <c r="E3943" s="195" t="s">
        <v>583</v>
      </c>
      <c r="F3943" s="195" t="s">
        <v>430</v>
      </c>
    </row>
    <row r="3944" spans="1:6" x14ac:dyDescent="0.25">
      <c r="A3944" s="189" t="str">
        <f t="shared" si="61"/>
        <v>CL-MD 7500.98S</v>
      </c>
      <c r="B3944" s="195" t="s">
        <v>2200</v>
      </c>
      <c r="C3944" s="196">
        <v>0</v>
      </c>
      <c r="D3944" s="196">
        <v>0.98</v>
      </c>
      <c r="E3944" s="195" t="s">
        <v>583</v>
      </c>
      <c r="F3944" s="195" t="s">
        <v>438</v>
      </c>
    </row>
    <row r="3945" spans="1:6" x14ac:dyDescent="0.25">
      <c r="A3945" s="189" t="str">
        <f t="shared" si="61"/>
        <v>CL-MD 750.981N</v>
      </c>
      <c r="B3945" s="195" t="s">
        <v>2200</v>
      </c>
      <c r="C3945" s="196">
        <v>0.98</v>
      </c>
      <c r="D3945" s="196">
        <v>1</v>
      </c>
      <c r="E3945" s="195" t="s">
        <v>583</v>
      </c>
      <c r="F3945" s="195" t="s">
        <v>430</v>
      </c>
    </row>
    <row r="3946" spans="1:6" x14ac:dyDescent="0.25">
      <c r="A3946" s="189" t="str">
        <f t="shared" si="61"/>
        <v>CL-MD 750.981S</v>
      </c>
      <c r="B3946" s="195" t="s">
        <v>2200</v>
      </c>
      <c r="C3946" s="196">
        <v>0.98</v>
      </c>
      <c r="D3946" s="196">
        <v>1</v>
      </c>
      <c r="E3946" s="195" t="s">
        <v>583</v>
      </c>
      <c r="F3946" s="195" t="s">
        <v>438</v>
      </c>
    </row>
    <row r="3947" spans="1:6" x14ac:dyDescent="0.25">
      <c r="A3947" s="189" t="str">
        <f t="shared" si="61"/>
        <v>CL-MD 7515.2S</v>
      </c>
      <c r="B3947" s="195" t="s">
        <v>2200</v>
      </c>
      <c r="C3947" s="196">
        <v>1</v>
      </c>
      <c r="D3947" s="196">
        <v>5.2</v>
      </c>
      <c r="E3947" s="195" t="s">
        <v>595</v>
      </c>
      <c r="F3947" s="195" t="s">
        <v>438</v>
      </c>
    </row>
    <row r="3948" spans="1:6" x14ac:dyDescent="0.25">
      <c r="A3948" s="189" t="str">
        <f t="shared" si="61"/>
        <v>CL-MD 7515.3N</v>
      </c>
      <c r="B3948" s="195" t="s">
        <v>2200</v>
      </c>
      <c r="C3948" s="196">
        <v>1</v>
      </c>
      <c r="D3948" s="196">
        <v>5.3</v>
      </c>
      <c r="E3948" s="195" t="s">
        <v>589</v>
      </c>
      <c r="F3948" s="195" t="s">
        <v>430</v>
      </c>
    </row>
    <row r="3949" spans="1:6" x14ac:dyDescent="0.25">
      <c r="A3949" s="189" t="str">
        <f t="shared" si="61"/>
        <v>CL-MD 755.25.3S</v>
      </c>
      <c r="B3949" s="195" t="s">
        <v>2200</v>
      </c>
      <c r="C3949" s="196">
        <v>5.2</v>
      </c>
      <c r="D3949" s="196">
        <v>5.3</v>
      </c>
      <c r="E3949" s="195" t="s">
        <v>595</v>
      </c>
      <c r="F3949" s="195" t="s">
        <v>438</v>
      </c>
    </row>
    <row r="3950" spans="1:6" x14ac:dyDescent="0.25">
      <c r="A3950" s="189" t="str">
        <f t="shared" si="61"/>
        <v>CL-MD 75A00.01N</v>
      </c>
      <c r="B3950" s="195" t="s">
        <v>2201</v>
      </c>
      <c r="C3950" s="196">
        <v>0</v>
      </c>
      <c r="D3950" s="196">
        <v>0.01</v>
      </c>
      <c r="E3950" s="195" t="s">
        <v>589</v>
      </c>
      <c r="F3950" s="195" t="s">
        <v>430</v>
      </c>
    </row>
    <row r="3951" spans="1:6" x14ac:dyDescent="0.25">
      <c r="A3951" s="189" t="str">
        <f t="shared" si="61"/>
        <v>CL-MD 75A00.01S</v>
      </c>
      <c r="B3951" s="195" t="s">
        <v>2201</v>
      </c>
      <c r="C3951" s="196">
        <v>0</v>
      </c>
      <c r="D3951" s="196">
        <v>0.01</v>
      </c>
      <c r="E3951" s="195" t="s">
        <v>595</v>
      </c>
      <c r="F3951" s="195" t="s">
        <v>438</v>
      </c>
    </row>
    <row r="3952" spans="1:6" x14ac:dyDescent="0.25">
      <c r="A3952" s="189" t="str">
        <f t="shared" si="61"/>
        <v>CL-MD 7701.93E</v>
      </c>
      <c r="B3952" s="195" t="s">
        <v>2202</v>
      </c>
      <c r="C3952" s="196">
        <v>0</v>
      </c>
      <c r="D3952" s="196">
        <v>1.93</v>
      </c>
      <c r="E3952" s="195" t="s">
        <v>583</v>
      </c>
      <c r="F3952" s="195" t="s">
        <v>19</v>
      </c>
    </row>
    <row r="3953" spans="1:6" x14ac:dyDescent="0.25">
      <c r="A3953" s="189" t="str">
        <f t="shared" si="61"/>
        <v>CL-MD 7701.93W</v>
      </c>
      <c r="B3953" s="195" t="s">
        <v>2202</v>
      </c>
      <c r="C3953" s="196">
        <v>0</v>
      </c>
      <c r="D3953" s="196">
        <v>1.93</v>
      </c>
      <c r="E3953" s="195" t="s">
        <v>583</v>
      </c>
      <c r="F3953" s="195" t="s">
        <v>432</v>
      </c>
    </row>
    <row r="3954" spans="1:6" x14ac:dyDescent="0.25">
      <c r="A3954" s="189" t="str">
        <f t="shared" si="61"/>
        <v>CL-MD 800A00.05E</v>
      </c>
      <c r="B3954" s="195" t="s">
        <v>2203</v>
      </c>
      <c r="C3954" s="196">
        <v>0</v>
      </c>
      <c r="D3954" s="196">
        <v>0.05</v>
      </c>
      <c r="E3954" s="195" t="s">
        <v>598</v>
      </c>
      <c r="F3954" s="195" t="s">
        <v>19</v>
      </c>
    </row>
    <row r="3955" spans="1:6" x14ac:dyDescent="0.25">
      <c r="A3955" s="189" t="str">
        <f t="shared" si="61"/>
        <v>CL-MD 800A00.05W</v>
      </c>
      <c r="B3955" s="195" t="s">
        <v>2203</v>
      </c>
      <c r="C3955" s="196">
        <v>0</v>
      </c>
      <c r="D3955" s="196">
        <v>0.05</v>
      </c>
      <c r="E3955" s="195" t="s">
        <v>593</v>
      </c>
      <c r="F3955" s="195" t="s">
        <v>432</v>
      </c>
    </row>
    <row r="3956" spans="1:6" x14ac:dyDescent="0.25">
      <c r="A3956" s="189" t="str">
        <f t="shared" si="61"/>
        <v>CL-MD 800B00.2N</v>
      </c>
      <c r="B3956" s="195" t="s">
        <v>2204</v>
      </c>
      <c r="C3956" s="196">
        <v>0</v>
      </c>
      <c r="D3956" s="196">
        <v>0.2</v>
      </c>
      <c r="E3956" s="195" t="s">
        <v>589</v>
      </c>
      <c r="F3956" s="195" t="s">
        <v>430</v>
      </c>
    </row>
    <row r="3957" spans="1:6" x14ac:dyDescent="0.25">
      <c r="A3957" s="189" t="str">
        <f t="shared" si="61"/>
        <v>CL-MD 800B00.2S</v>
      </c>
      <c r="B3957" s="195" t="s">
        <v>2204</v>
      </c>
      <c r="C3957" s="196">
        <v>0</v>
      </c>
      <c r="D3957" s="196">
        <v>0.2</v>
      </c>
      <c r="E3957" s="195" t="s">
        <v>595</v>
      </c>
      <c r="F3957" s="195" t="s">
        <v>438</v>
      </c>
    </row>
    <row r="3958" spans="1:6" x14ac:dyDescent="0.25">
      <c r="A3958" s="189" t="str">
        <f t="shared" si="61"/>
        <v>CL-MD 800C00.07E</v>
      </c>
      <c r="B3958" s="195" t="s">
        <v>2205</v>
      </c>
      <c r="C3958" s="196">
        <v>0</v>
      </c>
      <c r="D3958" s="196">
        <v>7.0000000000000007E-2</v>
      </c>
      <c r="E3958" s="195" t="s">
        <v>598</v>
      </c>
      <c r="F3958" s="195" t="s">
        <v>19</v>
      </c>
    </row>
    <row r="3959" spans="1:6" x14ac:dyDescent="0.25">
      <c r="A3959" s="189" t="str">
        <f t="shared" si="61"/>
        <v>CL-MD 800C00.07W</v>
      </c>
      <c r="B3959" s="195" t="s">
        <v>2205</v>
      </c>
      <c r="C3959" s="196">
        <v>0</v>
      </c>
      <c r="D3959" s="196">
        <v>7.0000000000000007E-2</v>
      </c>
      <c r="E3959" s="195" t="s">
        <v>593</v>
      </c>
      <c r="F3959" s="195" t="s">
        <v>432</v>
      </c>
    </row>
    <row r="3960" spans="1:6" x14ac:dyDescent="0.25">
      <c r="A3960" s="189" t="str">
        <f t="shared" si="61"/>
        <v>CL-MD 800D01.57E</v>
      </c>
      <c r="B3960" s="195" t="s">
        <v>2206</v>
      </c>
      <c r="C3960" s="196">
        <v>0</v>
      </c>
      <c r="D3960" s="196">
        <v>1.57</v>
      </c>
      <c r="E3960" s="195" t="s">
        <v>583</v>
      </c>
      <c r="F3960" s="195" t="s">
        <v>19</v>
      </c>
    </row>
    <row r="3961" spans="1:6" x14ac:dyDescent="0.25">
      <c r="A3961" s="189" t="str">
        <f t="shared" si="61"/>
        <v>CL-MD 800D01.57W</v>
      </c>
      <c r="B3961" s="195" t="s">
        <v>2206</v>
      </c>
      <c r="C3961" s="196">
        <v>0</v>
      </c>
      <c r="D3961" s="196">
        <v>1.57</v>
      </c>
      <c r="E3961" s="195" t="s">
        <v>583</v>
      </c>
      <c r="F3961" s="195" t="s">
        <v>432</v>
      </c>
    </row>
    <row r="3962" spans="1:6" x14ac:dyDescent="0.25">
      <c r="A3962" s="189" t="str">
        <f t="shared" si="61"/>
        <v>CL-MD 800E00.03E</v>
      </c>
      <c r="B3962" s="195" t="s">
        <v>2207</v>
      </c>
      <c r="C3962" s="196">
        <v>0</v>
      </c>
      <c r="D3962" s="196">
        <v>0.03</v>
      </c>
      <c r="E3962" s="195" t="s">
        <v>598</v>
      </c>
      <c r="F3962" s="195" t="s">
        <v>19</v>
      </c>
    </row>
    <row r="3963" spans="1:6" x14ac:dyDescent="0.25">
      <c r="A3963" s="189" t="str">
        <f t="shared" si="61"/>
        <v>CL-MD 800E00.03W</v>
      </c>
      <c r="B3963" s="195" t="s">
        <v>2207</v>
      </c>
      <c r="C3963" s="196">
        <v>0</v>
      </c>
      <c r="D3963" s="196">
        <v>0.03</v>
      </c>
      <c r="E3963" s="195" t="s">
        <v>593</v>
      </c>
      <c r="F3963" s="195" t="s">
        <v>432</v>
      </c>
    </row>
    <row r="3964" spans="1:6" x14ac:dyDescent="0.25">
      <c r="A3964" s="189" t="str">
        <f t="shared" si="61"/>
        <v>CL-MD 800G00.01N</v>
      </c>
      <c r="B3964" s="195" t="s">
        <v>2208</v>
      </c>
      <c r="C3964" s="196">
        <v>0</v>
      </c>
      <c r="D3964" s="196">
        <v>0.01</v>
      </c>
      <c r="E3964" s="195" t="s">
        <v>589</v>
      </c>
      <c r="F3964" s="195" t="s">
        <v>430</v>
      </c>
    </row>
    <row r="3965" spans="1:6" x14ac:dyDescent="0.25">
      <c r="A3965" s="189" t="str">
        <f t="shared" si="61"/>
        <v>CL-MD 800G00.01S</v>
      </c>
      <c r="B3965" s="195" t="s">
        <v>2208</v>
      </c>
      <c r="C3965" s="196">
        <v>0</v>
      </c>
      <c r="D3965" s="196">
        <v>0.01</v>
      </c>
      <c r="E3965" s="195" t="s">
        <v>595</v>
      </c>
      <c r="F3965" s="195" t="s">
        <v>438</v>
      </c>
    </row>
    <row r="3966" spans="1:6" x14ac:dyDescent="0.25">
      <c r="A3966" s="189" t="str">
        <f t="shared" si="61"/>
        <v>CL-MD 808A0.291.1N</v>
      </c>
      <c r="B3966" s="195" t="s">
        <v>2209</v>
      </c>
      <c r="C3966" s="196">
        <v>0.28999999999999998</v>
      </c>
      <c r="D3966" s="196">
        <v>1.1000000000000001</v>
      </c>
      <c r="E3966" s="195" t="s">
        <v>583</v>
      </c>
      <c r="F3966" s="195" t="s">
        <v>430</v>
      </c>
    </row>
    <row r="3967" spans="1:6" x14ac:dyDescent="0.25">
      <c r="A3967" s="189" t="str">
        <f t="shared" si="61"/>
        <v>CL-MD 808A0.291.1S</v>
      </c>
      <c r="B3967" s="195" t="s">
        <v>2209</v>
      </c>
      <c r="C3967" s="196">
        <v>0.28999999999999998</v>
      </c>
      <c r="D3967" s="196">
        <v>1.1000000000000001</v>
      </c>
      <c r="E3967" s="195" t="s">
        <v>583</v>
      </c>
      <c r="F3967" s="195" t="s">
        <v>438</v>
      </c>
    </row>
    <row r="3968" spans="1:6" x14ac:dyDescent="0.25">
      <c r="A3968" s="189" t="str">
        <f t="shared" si="61"/>
        <v>CL-MD 808A1.11.81N</v>
      </c>
      <c r="B3968" s="195" t="s">
        <v>2209</v>
      </c>
      <c r="C3968" s="196">
        <v>1.1000000000000001</v>
      </c>
      <c r="D3968" s="196">
        <v>1.81</v>
      </c>
      <c r="E3968" s="195" t="s">
        <v>583</v>
      </c>
      <c r="F3968" s="195" t="s">
        <v>430</v>
      </c>
    </row>
    <row r="3969" spans="1:6" x14ac:dyDescent="0.25">
      <c r="A3969" s="189" t="str">
        <f t="shared" si="61"/>
        <v>CL-MD 808A1.11.81S</v>
      </c>
      <c r="B3969" s="195" t="s">
        <v>2209</v>
      </c>
      <c r="C3969" s="196">
        <v>1.1000000000000001</v>
      </c>
      <c r="D3969" s="196">
        <v>1.81</v>
      </c>
      <c r="E3969" s="195" t="s">
        <v>583</v>
      </c>
      <c r="F3969" s="195" t="s">
        <v>438</v>
      </c>
    </row>
    <row r="3970" spans="1:6" x14ac:dyDescent="0.25">
      <c r="A3970" s="189" t="str">
        <f t="shared" si="61"/>
        <v>CL-MD 808A1.812.55N</v>
      </c>
      <c r="B3970" s="195" t="s">
        <v>2209</v>
      </c>
      <c r="C3970" s="196">
        <v>1.81</v>
      </c>
      <c r="D3970" s="196">
        <v>2.5499999999999998</v>
      </c>
      <c r="E3970" s="195" t="s">
        <v>583</v>
      </c>
      <c r="F3970" s="195" t="s">
        <v>430</v>
      </c>
    </row>
    <row r="3971" spans="1:6" x14ac:dyDescent="0.25">
      <c r="A3971" s="189" t="str">
        <f t="shared" ref="A3971:A4034" si="62">B3971&amp;C3971&amp;D3971&amp;F3971</f>
        <v>CL-MD 808A1.812.55S</v>
      </c>
      <c r="B3971" s="195" t="s">
        <v>2209</v>
      </c>
      <c r="C3971" s="196">
        <v>1.81</v>
      </c>
      <c r="D3971" s="196">
        <v>2.5499999999999998</v>
      </c>
      <c r="E3971" s="195" t="s">
        <v>583</v>
      </c>
      <c r="F3971" s="195" t="s">
        <v>438</v>
      </c>
    </row>
    <row r="3972" spans="1:6" x14ac:dyDescent="0.25">
      <c r="A3972" s="189" t="str">
        <f t="shared" si="62"/>
        <v>CL-MD 808A2.552.63N</v>
      </c>
      <c r="B3972" s="195" t="s">
        <v>2209</v>
      </c>
      <c r="C3972" s="196">
        <v>2.5499999999999998</v>
      </c>
      <c r="D3972" s="196">
        <v>2.63</v>
      </c>
      <c r="E3972" s="195" t="s">
        <v>583</v>
      </c>
      <c r="F3972" s="195" t="s">
        <v>430</v>
      </c>
    </row>
    <row r="3973" spans="1:6" x14ac:dyDescent="0.25">
      <c r="A3973" s="189" t="str">
        <f t="shared" si="62"/>
        <v>CL-MD 808A2.552.63S</v>
      </c>
      <c r="B3973" s="195" t="s">
        <v>2209</v>
      </c>
      <c r="C3973" s="196">
        <v>2.5499999999999998</v>
      </c>
      <c r="D3973" s="196">
        <v>2.63</v>
      </c>
      <c r="E3973" s="195" t="s">
        <v>583</v>
      </c>
      <c r="F3973" s="195" t="s">
        <v>438</v>
      </c>
    </row>
    <row r="3974" spans="1:6" x14ac:dyDescent="0.25">
      <c r="A3974" s="189" t="str">
        <f t="shared" si="62"/>
        <v>CL-MD 808B00.23E</v>
      </c>
      <c r="B3974" s="195" t="s">
        <v>2210</v>
      </c>
      <c r="C3974" s="196">
        <v>0</v>
      </c>
      <c r="D3974" s="196">
        <v>0.23</v>
      </c>
      <c r="E3974" s="195" t="s">
        <v>598</v>
      </c>
      <c r="F3974" s="195" t="s">
        <v>19</v>
      </c>
    </row>
    <row r="3975" spans="1:6" x14ac:dyDescent="0.25">
      <c r="A3975" s="189" t="str">
        <f t="shared" si="62"/>
        <v>CL-MD 808B00.23W</v>
      </c>
      <c r="B3975" s="195" t="s">
        <v>2210</v>
      </c>
      <c r="C3975" s="196">
        <v>0</v>
      </c>
      <c r="D3975" s="196">
        <v>0.23</v>
      </c>
      <c r="E3975" s="195" t="s">
        <v>593</v>
      </c>
      <c r="F3975" s="195" t="s">
        <v>432</v>
      </c>
    </row>
    <row r="3976" spans="1:6" x14ac:dyDescent="0.25">
      <c r="A3976" s="189" t="str">
        <f t="shared" si="62"/>
        <v>CL-MD 831J00.08E</v>
      </c>
      <c r="B3976" s="195" t="s">
        <v>2211</v>
      </c>
      <c r="C3976" s="196">
        <v>0</v>
      </c>
      <c r="D3976" s="196">
        <v>0.08</v>
      </c>
      <c r="E3976" s="195" t="s">
        <v>598</v>
      </c>
      <c r="F3976" s="195" t="s">
        <v>19</v>
      </c>
    </row>
    <row r="3977" spans="1:6" x14ac:dyDescent="0.25">
      <c r="A3977" s="189" t="str">
        <f t="shared" si="62"/>
        <v>CL-MD 831J00.08W</v>
      </c>
      <c r="B3977" s="195" t="s">
        <v>2211</v>
      </c>
      <c r="C3977" s="196">
        <v>0</v>
      </c>
      <c r="D3977" s="196">
        <v>0.08</v>
      </c>
      <c r="E3977" s="195" t="s">
        <v>593</v>
      </c>
      <c r="F3977" s="195" t="s">
        <v>432</v>
      </c>
    </row>
    <row r="3978" spans="1:6" x14ac:dyDescent="0.25">
      <c r="A3978" s="189" t="str">
        <f t="shared" si="62"/>
        <v>CL-MD 83201E</v>
      </c>
      <c r="B3978" s="195" t="s">
        <v>2212</v>
      </c>
      <c r="C3978" s="196">
        <v>0</v>
      </c>
      <c r="D3978" s="196">
        <v>1</v>
      </c>
      <c r="E3978" s="195" t="s">
        <v>583</v>
      </c>
      <c r="F3978" s="195" t="s">
        <v>19</v>
      </c>
    </row>
    <row r="3979" spans="1:6" x14ac:dyDescent="0.25">
      <c r="A3979" s="189" t="str">
        <f t="shared" si="62"/>
        <v>CL-MD 83201W</v>
      </c>
      <c r="B3979" s="195" t="s">
        <v>2212</v>
      </c>
      <c r="C3979" s="196">
        <v>0</v>
      </c>
      <c r="D3979" s="196">
        <v>1</v>
      </c>
      <c r="E3979" s="195" t="s">
        <v>583</v>
      </c>
      <c r="F3979" s="195" t="s">
        <v>432</v>
      </c>
    </row>
    <row r="3980" spans="1:6" x14ac:dyDescent="0.25">
      <c r="A3980" s="189" t="str">
        <f t="shared" si="62"/>
        <v>CL-MD 83212.81E</v>
      </c>
      <c r="B3980" s="195" t="s">
        <v>2212</v>
      </c>
      <c r="C3980" s="196">
        <v>1</v>
      </c>
      <c r="D3980" s="196">
        <v>2.81</v>
      </c>
      <c r="E3980" s="195" t="s">
        <v>583</v>
      </c>
      <c r="F3980" s="195" t="s">
        <v>19</v>
      </c>
    </row>
    <row r="3981" spans="1:6" x14ac:dyDescent="0.25">
      <c r="A3981" s="189" t="str">
        <f t="shared" si="62"/>
        <v>CL-MD 83212.81W</v>
      </c>
      <c r="B3981" s="195" t="s">
        <v>2212</v>
      </c>
      <c r="C3981" s="196">
        <v>1</v>
      </c>
      <c r="D3981" s="196">
        <v>2.81</v>
      </c>
      <c r="E3981" s="195" t="s">
        <v>583</v>
      </c>
      <c r="F3981" s="195" t="s">
        <v>432</v>
      </c>
    </row>
    <row r="3982" spans="1:6" x14ac:dyDescent="0.25">
      <c r="A3982" s="189" t="str">
        <f t="shared" si="62"/>
        <v>CL-MD 8322.812.87E</v>
      </c>
      <c r="B3982" s="195" t="s">
        <v>2212</v>
      </c>
      <c r="C3982" s="196">
        <v>2.81</v>
      </c>
      <c r="D3982" s="196">
        <v>2.87</v>
      </c>
      <c r="E3982" s="195" t="s">
        <v>583</v>
      </c>
      <c r="F3982" s="195" t="s">
        <v>19</v>
      </c>
    </row>
    <row r="3983" spans="1:6" x14ac:dyDescent="0.25">
      <c r="A3983" s="189" t="str">
        <f t="shared" si="62"/>
        <v>CL-MD 8322.812.87W</v>
      </c>
      <c r="B3983" s="195" t="s">
        <v>2212</v>
      </c>
      <c r="C3983" s="196">
        <v>2.81</v>
      </c>
      <c r="D3983" s="196">
        <v>2.87</v>
      </c>
      <c r="E3983" s="195" t="s">
        <v>583</v>
      </c>
      <c r="F3983" s="195" t="s">
        <v>432</v>
      </c>
    </row>
    <row r="3984" spans="1:6" x14ac:dyDescent="0.25">
      <c r="A3984" s="189" t="str">
        <f t="shared" si="62"/>
        <v>CL-MD 8322.875.77E</v>
      </c>
      <c r="B3984" s="195" t="s">
        <v>2212</v>
      </c>
      <c r="C3984" s="196">
        <v>2.87</v>
      </c>
      <c r="D3984" s="196">
        <v>5.77</v>
      </c>
      <c r="E3984" s="195" t="s">
        <v>583</v>
      </c>
      <c r="F3984" s="195" t="s">
        <v>19</v>
      </c>
    </row>
    <row r="3985" spans="1:6" x14ac:dyDescent="0.25">
      <c r="A3985" s="189" t="str">
        <f t="shared" si="62"/>
        <v>CL-MD 8322.875.77W</v>
      </c>
      <c r="B3985" s="195" t="s">
        <v>2212</v>
      </c>
      <c r="C3985" s="196">
        <v>2.87</v>
      </c>
      <c r="D3985" s="196">
        <v>5.77</v>
      </c>
      <c r="E3985" s="195" t="s">
        <v>583</v>
      </c>
      <c r="F3985" s="195" t="s">
        <v>432</v>
      </c>
    </row>
    <row r="3986" spans="1:6" x14ac:dyDescent="0.25">
      <c r="A3986" s="189" t="str">
        <f t="shared" si="62"/>
        <v>CL-MD 8325.777.67E</v>
      </c>
      <c r="B3986" s="195" t="s">
        <v>2212</v>
      </c>
      <c r="C3986" s="196">
        <v>5.77</v>
      </c>
      <c r="D3986" s="196">
        <v>7.67</v>
      </c>
      <c r="E3986" s="195" t="s">
        <v>583</v>
      </c>
      <c r="F3986" s="195" t="s">
        <v>19</v>
      </c>
    </row>
    <row r="3987" spans="1:6" x14ac:dyDescent="0.25">
      <c r="A3987" s="189" t="str">
        <f t="shared" si="62"/>
        <v>CL-MD 8325.777.67W</v>
      </c>
      <c r="B3987" s="195" t="s">
        <v>2212</v>
      </c>
      <c r="C3987" s="196">
        <v>5.77</v>
      </c>
      <c r="D3987" s="196">
        <v>7.67</v>
      </c>
      <c r="E3987" s="195" t="s">
        <v>583</v>
      </c>
      <c r="F3987" s="195" t="s">
        <v>432</v>
      </c>
    </row>
    <row r="3988" spans="1:6" x14ac:dyDescent="0.25">
      <c r="A3988" s="189" t="str">
        <f t="shared" si="62"/>
        <v>CL-MD 83300.19E</v>
      </c>
      <c r="B3988" s="195" t="s">
        <v>2213</v>
      </c>
      <c r="C3988" s="196">
        <v>0</v>
      </c>
      <c r="D3988" s="196">
        <v>0.19</v>
      </c>
      <c r="E3988" s="195" t="s">
        <v>598</v>
      </c>
      <c r="F3988" s="195" t="s">
        <v>19</v>
      </c>
    </row>
    <row r="3989" spans="1:6" x14ac:dyDescent="0.25">
      <c r="A3989" s="189" t="str">
        <f t="shared" si="62"/>
        <v>CL-MD 83300.19W</v>
      </c>
      <c r="B3989" s="195" t="s">
        <v>2213</v>
      </c>
      <c r="C3989" s="196">
        <v>0</v>
      </c>
      <c r="D3989" s="196">
        <v>0.19</v>
      </c>
      <c r="E3989" s="195" t="s">
        <v>593</v>
      </c>
      <c r="F3989" s="195" t="s">
        <v>432</v>
      </c>
    </row>
    <row r="3990" spans="1:6" x14ac:dyDescent="0.25">
      <c r="A3990" s="189" t="str">
        <f t="shared" si="62"/>
        <v>CL-MD 8330.190.4E</v>
      </c>
      <c r="B3990" s="195" t="s">
        <v>2213</v>
      </c>
      <c r="C3990" s="196">
        <v>0.19</v>
      </c>
      <c r="D3990" s="196">
        <v>0.4</v>
      </c>
      <c r="E3990" s="195" t="s">
        <v>598</v>
      </c>
      <c r="F3990" s="195" t="s">
        <v>19</v>
      </c>
    </row>
    <row r="3991" spans="1:6" x14ac:dyDescent="0.25">
      <c r="A3991" s="189" t="str">
        <f t="shared" si="62"/>
        <v>CL-MD 8330.190.4W</v>
      </c>
      <c r="B3991" s="195" t="s">
        <v>2213</v>
      </c>
      <c r="C3991" s="196">
        <v>0.19</v>
      </c>
      <c r="D3991" s="196">
        <v>0.4</v>
      </c>
      <c r="E3991" s="195" t="s">
        <v>593</v>
      </c>
      <c r="F3991" s="195" t="s">
        <v>432</v>
      </c>
    </row>
    <row r="3992" spans="1:6" x14ac:dyDescent="0.25">
      <c r="A3992" s="189" t="str">
        <f t="shared" si="62"/>
        <v>CL-MD 8330.40.81E</v>
      </c>
      <c r="B3992" s="195" t="s">
        <v>2213</v>
      </c>
      <c r="C3992" s="196">
        <v>0.4</v>
      </c>
      <c r="D3992" s="196">
        <v>0.81</v>
      </c>
      <c r="E3992" s="195" t="s">
        <v>598</v>
      </c>
      <c r="F3992" s="195" t="s">
        <v>19</v>
      </c>
    </row>
    <row r="3993" spans="1:6" x14ac:dyDescent="0.25">
      <c r="A3993" s="189" t="str">
        <f t="shared" si="62"/>
        <v>CL-MD 8330.40.84W</v>
      </c>
      <c r="B3993" s="195" t="s">
        <v>2213</v>
      </c>
      <c r="C3993" s="196">
        <v>0.4</v>
      </c>
      <c r="D3993" s="196">
        <v>0.84</v>
      </c>
      <c r="E3993" s="195" t="s">
        <v>593</v>
      </c>
      <c r="F3993" s="195" t="s">
        <v>432</v>
      </c>
    </row>
    <row r="3994" spans="1:6" x14ac:dyDescent="0.25">
      <c r="A3994" s="189" t="str">
        <f t="shared" si="62"/>
        <v>CL-MD 8400.45N</v>
      </c>
      <c r="B3994" s="195" t="s">
        <v>2214</v>
      </c>
      <c r="C3994" s="196">
        <v>0</v>
      </c>
      <c r="D3994" s="196">
        <v>0.45</v>
      </c>
      <c r="E3994" s="195" t="s">
        <v>583</v>
      </c>
      <c r="F3994" s="195" t="s">
        <v>430</v>
      </c>
    </row>
    <row r="3995" spans="1:6" x14ac:dyDescent="0.25">
      <c r="A3995" s="189" t="str">
        <f t="shared" si="62"/>
        <v>CL-MD 8400.45S</v>
      </c>
      <c r="B3995" s="195" t="s">
        <v>2214</v>
      </c>
      <c r="C3995" s="196">
        <v>0</v>
      </c>
      <c r="D3995" s="196">
        <v>0.45</v>
      </c>
      <c r="E3995" s="195" t="s">
        <v>583</v>
      </c>
      <c r="F3995" s="195" t="s">
        <v>438</v>
      </c>
    </row>
    <row r="3996" spans="1:6" x14ac:dyDescent="0.25">
      <c r="A3996" s="189" t="str">
        <f t="shared" si="62"/>
        <v>CL-MD 840.450.75N</v>
      </c>
      <c r="B3996" s="195" t="s">
        <v>2214</v>
      </c>
      <c r="C3996" s="196">
        <v>0.45</v>
      </c>
      <c r="D3996" s="196">
        <v>0.75</v>
      </c>
      <c r="E3996" s="195" t="s">
        <v>583</v>
      </c>
      <c r="F3996" s="195" t="s">
        <v>430</v>
      </c>
    </row>
    <row r="3997" spans="1:6" x14ac:dyDescent="0.25">
      <c r="A3997" s="189" t="str">
        <f t="shared" si="62"/>
        <v>CL-MD 840.450.75S</v>
      </c>
      <c r="B3997" s="195" t="s">
        <v>2214</v>
      </c>
      <c r="C3997" s="196">
        <v>0.45</v>
      </c>
      <c r="D3997" s="196">
        <v>0.75</v>
      </c>
      <c r="E3997" s="195" t="s">
        <v>583</v>
      </c>
      <c r="F3997" s="195" t="s">
        <v>438</v>
      </c>
    </row>
    <row r="3998" spans="1:6" x14ac:dyDescent="0.25">
      <c r="A3998" s="189" t="str">
        <f t="shared" si="62"/>
        <v>CL-MD 840.753.04N</v>
      </c>
      <c r="B3998" s="195" t="s">
        <v>2214</v>
      </c>
      <c r="C3998" s="196">
        <v>0.75</v>
      </c>
      <c r="D3998" s="196">
        <v>3.04</v>
      </c>
      <c r="E3998" s="195" t="s">
        <v>583</v>
      </c>
      <c r="F3998" s="195" t="s">
        <v>430</v>
      </c>
    </row>
    <row r="3999" spans="1:6" x14ac:dyDescent="0.25">
      <c r="A3999" s="189" t="str">
        <f t="shared" si="62"/>
        <v>CL-MD 840.753.04S</v>
      </c>
      <c r="B3999" s="195" t="s">
        <v>2214</v>
      </c>
      <c r="C3999" s="196">
        <v>0.75</v>
      </c>
      <c r="D3999" s="196">
        <v>3.04</v>
      </c>
      <c r="E3999" s="195" t="s">
        <v>583</v>
      </c>
      <c r="F3999" s="195" t="s">
        <v>438</v>
      </c>
    </row>
    <row r="4000" spans="1:6" x14ac:dyDescent="0.25">
      <c r="A4000" s="189" t="str">
        <f t="shared" si="62"/>
        <v>CL-MD 843.043.1N</v>
      </c>
      <c r="B4000" s="195" t="s">
        <v>2214</v>
      </c>
      <c r="C4000" s="196">
        <v>3.04</v>
      </c>
      <c r="D4000" s="196">
        <v>3.1</v>
      </c>
      <c r="E4000" s="195" t="s">
        <v>583</v>
      </c>
      <c r="F4000" s="195" t="s">
        <v>430</v>
      </c>
    </row>
    <row r="4001" spans="1:6" x14ac:dyDescent="0.25">
      <c r="A4001" s="189" t="str">
        <f t="shared" si="62"/>
        <v>CL-MD 843.043.1S</v>
      </c>
      <c r="B4001" s="195" t="s">
        <v>2214</v>
      </c>
      <c r="C4001" s="196">
        <v>3.04</v>
      </c>
      <c r="D4001" s="196">
        <v>3.1</v>
      </c>
      <c r="E4001" s="195" t="s">
        <v>583</v>
      </c>
      <c r="F4001" s="195" t="s">
        <v>438</v>
      </c>
    </row>
    <row r="4002" spans="1:6" x14ac:dyDescent="0.25">
      <c r="A4002" s="189" t="str">
        <f t="shared" si="62"/>
        <v>CL-MD 843.13.75N</v>
      </c>
      <c r="B4002" s="195" t="s">
        <v>2214</v>
      </c>
      <c r="C4002" s="196">
        <v>3.1</v>
      </c>
      <c r="D4002" s="196">
        <v>3.75</v>
      </c>
      <c r="E4002" s="195" t="s">
        <v>583</v>
      </c>
      <c r="F4002" s="195" t="s">
        <v>430</v>
      </c>
    </row>
    <row r="4003" spans="1:6" x14ac:dyDescent="0.25">
      <c r="A4003" s="189" t="str">
        <f t="shared" si="62"/>
        <v>CL-MD 843.13.75S</v>
      </c>
      <c r="B4003" s="195" t="s">
        <v>2214</v>
      </c>
      <c r="C4003" s="196">
        <v>3.1</v>
      </c>
      <c r="D4003" s="196">
        <v>3.75</v>
      </c>
      <c r="E4003" s="195" t="s">
        <v>583</v>
      </c>
      <c r="F4003" s="195" t="s">
        <v>438</v>
      </c>
    </row>
    <row r="4004" spans="1:6" x14ac:dyDescent="0.25">
      <c r="A4004" s="189" t="str">
        <f t="shared" si="62"/>
        <v>CL-MD 843.755.75N</v>
      </c>
      <c r="B4004" s="195" t="s">
        <v>2214</v>
      </c>
      <c r="C4004" s="196">
        <v>3.75</v>
      </c>
      <c r="D4004" s="196">
        <v>5.75</v>
      </c>
      <c r="E4004" s="195" t="s">
        <v>583</v>
      </c>
      <c r="F4004" s="195" t="s">
        <v>430</v>
      </c>
    </row>
    <row r="4005" spans="1:6" x14ac:dyDescent="0.25">
      <c r="A4005" s="189" t="str">
        <f t="shared" si="62"/>
        <v>CL-MD 843.755.75S</v>
      </c>
      <c r="B4005" s="195" t="s">
        <v>2214</v>
      </c>
      <c r="C4005" s="196">
        <v>3.75</v>
      </c>
      <c r="D4005" s="196">
        <v>5.75</v>
      </c>
      <c r="E4005" s="195" t="s">
        <v>583</v>
      </c>
      <c r="F4005" s="195" t="s">
        <v>438</v>
      </c>
    </row>
    <row r="4006" spans="1:6" x14ac:dyDescent="0.25">
      <c r="A4006" s="189" t="str">
        <f t="shared" si="62"/>
        <v>CL-MD 84900.36E</v>
      </c>
      <c r="B4006" s="195" t="s">
        <v>2215</v>
      </c>
      <c r="C4006" s="196">
        <v>0</v>
      </c>
      <c r="D4006" s="196">
        <v>0.36</v>
      </c>
      <c r="E4006" s="195" t="s">
        <v>598</v>
      </c>
      <c r="F4006" s="195" t="s">
        <v>19</v>
      </c>
    </row>
    <row r="4007" spans="1:6" x14ac:dyDescent="0.25">
      <c r="A4007" s="189" t="str">
        <f t="shared" si="62"/>
        <v>CL-MD 84900.36W</v>
      </c>
      <c r="B4007" s="195" t="s">
        <v>2215</v>
      </c>
      <c r="C4007" s="196">
        <v>0</v>
      </c>
      <c r="D4007" s="196">
        <v>0.36</v>
      </c>
      <c r="E4007" s="195" t="s">
        <v>593</v>
      </c>
      <c r="F4007" s="195" t="s">
        <v>432</v>
      </c>
    </row>
    <row r="4008" spans="1:6" x14ac:dyDescent="0.25">
      <c r="A4008" s="189" t="str">
        <f t="shared" si="62"/>
        <v>CL-MD 850C00.77E</v>
      </c>
      <c r="B4008" s="195" t="s">
        <v>2216</v>
      </c>
      <c r="C4008" s="196">
        <v>0</v>
      </c>
      <c r="D4008" s="196">
        <v>0.77</v>
      </c>
      <c r="E4008" s="195" t="s">
        <v>598</v>
      </c>
      <c r="F4008" s="195" t="s">
        <v>19</v>
      </c>
    </row>
    <row r="4009" spans="1:6" x14ac:dyDescent="0.25">
      <c r="A4009" s="189" t="str">
        <f t="shared" si="62"/>
        <v>CL-MD 850C00.77W</v>
      </c>
      <c r="B4009" s="195" t="s">
        <v>2216</v>
      </c>
      <c r="C4009" s="196">
        <v>0</v>
      </c>
      <c r="D4009" s="196">
        <v>0.77</v>
      </c>
      <c r="E4009" s="195" t="s">
        <v>593</v>
      </c>
      <c r="F4009" s="195" t="s">
        <v>432</v>
      </c>
    </row>
    <row r="4010" spans="1:6" x14ac:dyDescent="0.25">
      <c r="A4010" s="189" t="str">
        <f t="shared" si="62"/>
        <v>CL-MD 850D0.190.29E</v>
      </c>
      <c r="B4010" s="195" t="s">
        <v>2217</v>
      </c>
      <c r="C4010" s="196">
        <v>0.19</v>
      </c>
      <c r="D4010" s="196">
        <v>0.28999999999999998</v>
      </c>
      <c r="E4010" s="195" t="s">
        <v>598</v>
      </c>
      <c r="F4010" s="195" t="s">
        <v>19</v>
      </c>
    </row>
    <row r="4011" spans="1:6" x14ac:dyDescent="0.25">
      <c r="A4011" s="189" t="str">
        <f t="shared" si="62"/>
        <v>CL-MD 850D0.190.29W</v>
      </c>
      <c r="B4011" s="195" t="s">
        <v>2217</v>
      </c>
      <c r="C4011" s="196">
        <v>0.19</v>
      </c>
      <c r="D4011" s="196">
        <v>0.28999999999999998</v>
      </c>
      <c r="E4011" s="195" t="s">
        <v>593</v>
      </c>
      <c r="F4011" s="195" t="s">
        <v>432</v>
      </c>
    </row>
    <row r="4012" spans="1:6" x14ac:dyDescent="0.25">
      <c r="A4012" s="189" t="str">
        <f t="shared" si="62"/>
        <v>CL-MD 850E00.78E</v>
      </c>
      <c r="B4012" s="195" t="s">
        <v>2218</v>
      </c>
      <c r="C4012" s="196">
        <v>0</v>
      </c>
      <c r="D4012" s="196">
        <v>0.78</v>
      </c>
      <c r="E4012" s="195" t="s">
        <v>598</v>
      </c>
      <c r="F4012" s="195" t="s">
        <v>19</v>
      </c>
    </row>
    <row r="4013" spans="1:6" x14ac:dyDescent="0.25">
      <c r="A4013" s="189" t="str">
        <f t="shared" si="62"/>
        <v>CL-MD 850E00.78W</v>
      </c>
      <c r="B4013" s="195" t="s">
        <v>2218</v>
      </c>
      <c r="C4013" s="196">
        <v>0</v>
      </c>
      <c r="D4013" s="196">
        <v>0.78</v>
      </c>
      <c r="E4013" s="195" t="s">
        <v>593</v>
      </c>
      <c r="F4013" s="195" t="s">
        <v>432</v>
      </c>
    </row>
    <row r="4014" spans="1:6" x14ac:dyDescent="0.25">
      <c r="A4014" s="189" t="str">
        <f t="shared" si="62"/>
        <v>CL-MD 850H01E</v>
      </c>
      <c r="B4014" s="195" t="s">
        <v>2219</v>
      </c>
      <c r="C4014" s="196">
        <v>0</v>
      </c>
      <c r="D4014" s="196">
        <v>1</v>
      </c>
      <c r="E4014" s="195" t="s">
        <v>583</v>
      </c>
      <c r="F4014" s="195" t="s">
        <v>19</v>
      </c>
    </row>
    <row r="4015" spans="1:6" x14ac:dyDescent="0.25">
      <c r="A4015" s="189" t="str">
        <f t="shared" si="62"/>
        <v>CL-MD 850H01W</v>
      </c>
      <c r="B4015" s="195" t="s">
        <v>2219</v>
      </c>
      <c r="C4015" s="196">
        <v>0</v>
      </c>
      <c r="D4015" s="196">
        <v>1</v>
      </c>
      <c r="E4015" s="195" t="s">
        <v>583</v>
      </c>
      <c r="F4015" s="195" t="s">
        <v>432</v>
      </c>
    </row>
    <row r="4016" spans="1:6" x14ac:dyDescent="0.25">
      <c r="A4016" s="189" t="str">
        <f t="shared" si="62"/>
        <v>CL-MD 850H11.07E</v>
      </c>
      <c r="B4016" s="195" t="s">
        <v>2219</v>
      </c>
      <c r="C4016" s="196">
        <v>1</v>
      </c>
      <c r="D4016" s="196">
        <v>1.07</v>
      </c>
      <c r="E4016" s="195" t="s">
        <v>583</v>
      </c>
      <c r="F4016" s="195" t="s">
        <v>19</v>
      </c>
    </row>
    <row r="4017" spans="1:6" x14ac:dyDescent="0.25">
      <c r="A4017" s="189" t="str">
        <f t="shared" si="62"/>
        <v>CL-MD 850H11.07W</v>
      </c>
      <c r="B4017" s="195" t="s">
        <v>2219</v>
      </c>
      <c r="C4017" s="196">
        <v>1</v>
      </c>
      <c r="D4017" s="196">
        <v>1.07</v>
      </c>
      <c r="E4017" s="195" t="s">
        <v>583</v>
      </c>
      <c r="F4017" s="195" t="s">
        <v>432</v>
      </c>
    </row>
    <row r="4018" spans="1:6" x14ac:dyDescent="0.25">
      <c r="A4018" s="189" t="str">
        <f t="shared" si="62"/>
        <v>CL-MD 850H1.071.75E</v>
      </c>
      <c r="B4018" s="195" t="s">
        <v>2219</v>
      </c>
      <c r="C4018" s="196">
        <v>1.07</v>
      </c>
      <c r="D4018" s="196">
        <v>1.75</v>
      </c>
      <c r="E4018" s="195" t="s">
        <v>583</v>
      </c>
      <c r="F4018" s="195" t="s">
        <v>19</v>
      </c>
    </row>
    <row r="4019" spans="1:6" x14ac:dyDescent="0.25">
      <c r="A4019" s="189" t="str">
        <f t="shared" si="62"/>
        <v>CL-MD 850H1.071.75W</v>
      </c>
      <c r="B4019" s="195" t="s">
        <v>2219</v>
      </c>
      <c r="C4019" s="196">
        <v>1.07</v>
      </c>
      <c r="D4019" s="196">
        <v>1.75</v>
      </c>
      <c r="E4019" s="195" t="s">
        <v>583</v>
      </c>
      <c r="F4019" s="195" t="s">
        <v>432</v>
      </c>
    </row>
    <row r="4020" spans="1:6" x14ac:dyDescent="0.25">
      <c r="A4020" s="189" t="str">
        <f t="shared" si="62"/>
        <v>CL-MD 850I00.02E</v>
      </c>
      <c r="B4020" s="195" t="s">
        <v>2220</v>
      </c>
      <c r="C4020" s="196">
        <v>0</v>
      </c>
      <c r="D4020" s="196">
        <v>0.02</v>
      </c>
      <c r="E4020" s="195" t="s">
        <v>598</v>
      </c>
      <c r="F4020" s="195" t="s">
        <v>19</v>
      </c>
    </row>
    <row r="4021" spans="1:6" x14ac:dyDescent="0.25">
      <c r="A4021" s="189" t="str">
        <f t="shared" si="62"/>
        <v>CL-MD 850I00.02W</v>
      </c>
      <c r="B4021" s="195" t="s">
        <v>2220</v>
      </c>
      <c r="C4021" s="196">
        <v>0</v>
      </c>
      <c r="D4021" s="196">
        <v>0.02</v>
      </c>
      <c r="E4021" s="195" t="s">
        <v>593</v>
      </c>
      <c r="F4021" s="195" t="s">
        <v>432</v>
      </c>
    </row>
    <row r="4022" spans="1:6" x14ac:dyDescent="0.25">
      <c r="A4022" s="189" t="str">
        <f t="shared" si="62"/>
        <v>CL-MD 850J01.22E</v>
      </c>
      <c r="B4022" s="195" t="s">
        <v>2221</v>
      </c>
      <c r="C4022" s="196">
        <v>0</v>
      </c>
      <c r="D4022" s="196">
        <v>1.22</v>
      </c>
      <c r="E4022" s="195" t="s">
        <v>583</v>
      </c>
      <c r="F4022" s="195" t="s">
        <v>19</v>
      </c>
    </row>
    <row r="4023" spans="1:6" x14ac:dyDescent="0.25">
      <c r="A4023" s="189" t="str">
        <f t="shared" si="62"/>
        <v>CL-MD 850J01.22W</v>
      </c>
      <c r="B4023" s="195" t="s">
        <v>2221</v>
      </c>
      <c r="C4023" s="196">
        <v>0</v>
      </c>
      <c r="D4023" s="196">
        <v>1.22</v>
      </c>
      <c r="E4023" s="195" t="s">
        <v>583</v>
      </c>
      <c r="F4023" s="195" t="s">
        <v>432</v>
      </c>
    </row>
    <row r="4024" spans="1:6" x14ac:dyDescent="0.25">
      <c r="A4024" s="189" t="str">
        <f t="shared" si="62"/>
        <v>CL-MD 850J1.221.24E</v>
      </c>
      <c r="B4024" s="195" t="s">
        <v>2221</v>
      </c>
      <c r="C4024" s="196">
        <v>1.22</v>
      </c>
      <c r="D4024" s="196">
        <v>1.24</v>
      </c>
      <c r="E4024" s="195" t="s">
        <v>583</v>
      </c>
      <c r="F4024" s="195" t="s">
        <v>19</v>
      </c>
    </row>
    <row r="4025" spans="1:6" x14ac:dyDescent="0.25">
      <c r="A4025" s="189" t="str">
        <f t="shared" si="62"/>
        <v>CL-MD 850J1.221.24W</v>
      </c>
      <c r="B4025" s="195" t="s">
        <v>2221</v>
      </c>
      <c r="C4025" s="196">
        <v>1.22</v>
      </c>
      <c r="D4025" s="196">
        <v>1.24</v>
      </c>
      <c r="E4025" s="195" t="s">
        <v>583</v>
      </c>
      <c r="F4025" s="195" t="s">
        <v>432</v>
      </c>
    </row>
    <row r="4026" spans="1:6" x14ac:dyDescent="0.25">
      <c r="A4026" s="189" t="str">
        <f t="shared" si="62"/>
        <v>CL-MD 850K00.05E</v>
      </c>
      <c r="B4026" s="195" t="s">
        <v>2222</v>
      </c>
      <c r="C4026" s="196">
        <v>0</v>
      </c>
      <c r="D4026" s="196">
        <v>0.05</v>
      </c>
      <c r="E4026" s="195" t="s">
        <v>598</v>
      </c>
      <c r="F4026" s="195" t="s">
        <v>19</v>
      </c>
    </row>
    <row r="4027" spans="1:6" x14ac:dyDescent="0.25">
      <c r="A4027" s="189" t="str">
        <f t="shared" si="62"/>
        <v>CL-MD 850K00.05W</v>
      </c>
      <c r="B4027" s="195" t="s">
        <v>2222</v>
      </c>
      <c r="C4027" s="196">
        <v>0</v>
      </c>
      <c r="D4027" s="196">
        <v>0.05</v>
      </c>
      <c r="E4027" s="195" t="s">
        <v>593</v>
      </c>
      <c r="F4027" s="195" t="s">
        <v>432</v>
      </c>
    </row>
    <row r="4028" spans="1:6" x14ac:dyDescent="0.25">
      <c r="A4028" s="189" t="str">
        <f t="shared" si="62"/>
        <v>CL-MD 85100.33N</v>
      </c>
      <c r="B4028" s="195" t="s">
        <v>2223</v>
      </c>
      <c r="C4028" s="196">
        <v>0</v>
      </c>
      <c r="D4028" s="196">
        <v>0.33</v>
      </c>
      <c r="E4028" s="195" t="s">
        <v>583</v>
      </c>
      <c r="F4028" s="195" t="s">
        <v>430</v>
      </c>
    </row>
    <row r="4029" spans="1:6" x14ac:dyDescent="0.25">
      <c r="A4029" s="189" t="str">
        <f t="shared" si="62"/>
        <v>CL-MD 85100.33S</v>
      </c>
      <c r="B4029" s="195" t="s">
        <v>2223</v>
      </c>
      <c r="C4029" s="196">
        <v>0</v>
      </c>
      <c r="D4029" s="196">
        <v>0.33</v>
      </c>
      <c r="E4029" s="195" t="s">
        <v>583</v>
      </c>
      <c r="F4029" s="195" t="s">
        <v>438</v>
      </c>
    </row>
    <row r="4030" spans="1:6" x14ac:dyDescent="0.25">
      <c r="A4030" s="189" t="str">
        <f t="shared" si="62"/>
        <v>CL-MD 8510.330.91N</v>
      </c>
      <c r="B4030" s="195" t="s">
        <v>2223</v>
      </c>
      <c r="C4030" s="196">
        <v>0.33</v>
      </c>
      <c r="D4030" s="196">
        <v>0.91</v>
      </c>
      <c r="E4030" s="195" t="s">
        <v>583</v>
      </c>
      <c r="F4030" s="195" t="s">
        <v>430</v>
      </c>
    </row>
    <row r="4031" spans="1:6" x14ac:dyDescent="0.25">
      <c r="A4031" s="189" t="str">
        <f t="shared" si="62"/>
        <v>CL-MD 8510.330.91S</v>
      </c>
      <c r="B4031" s="195" t="s">
        <v>2223</v>
      </c>
      <c r="C4031" s="196">
        <v>0.33</v>
      </c>
      <c r="D4031" s="196">
        <v>0.91</v>
      </c>
      <c r="E4031" s="195" t="s">
        <v>583</v>
      </c>
      <c r="F4031" s="195" t="s">
        <v>438</v>
      </c>
    </row>
    <row r="4032" spans="1:6" x14ac:dyDescent="0.25">
      <c r="A4032" s="189" t="str">
        <f t="shared" si="62"/>
        <v>CL-MD 851A00.05N</v>
      </c>
      <c r="B4032" s="195" t="s">
        <v>2224</v>
      </c>
      <c r="C4032" s="196">
        <v>0</v>
      </c>
      <c r="D4032" s="196">
        <v>0.05</v>
      </c>
      <c r="E4032" s="195" t="s">
        <v>589</v>
      </c>
      <c r="F4032" s="195" t="s">
        <v>430</v>
      </c>
    </row>
    <row r="4033" spans="1:6" x14ac:dyDescent="0.25">
      <c r="A4033" s="189" t="str">
        <f t="shared" si="62"/>
        <v>CL-MD 851A00.05S</v>
      </c>
      <c r="B4033" s="195" t="s">
        <v>2224</v>
      </c>
      <c r="C4033" s="196">
        <v>0</v>
      </c>
      <c r="D4033" s="196">
        <v>0.05</v>
      </c>
      <c r="E4033" s="195" t="s">
        <v>595</v>
      </c>
      <c r="F4033" s="195" t="s">
        <v>438</v>
      </c>
    </row>
    <row r="4034" spans="1:6" x14ac:dyDescent="0.25">
      <c r="A4034" s="189" t="str">
        <f t="shared" si="62"/>
        <v>CL-MD 851B00.04N</v>
      </c>
      <c r="B4034" s="195" t="s">
        <v>2225</v>
      </c>
      <c r="C4034" s="196">
        <v>0</v>
      </c>
      <c r="D4034" s="196">
        <v>0.04</v>
      </c>
      <c r="E4034" s="195" t="s">
        <v>589</v>
      </c>
      <c r="F4034" s="195" t="s">
        <v>430</v>
      </c>
    </row>
    <row r="4035" spans="1:6" x14ac:dyDescent="0.25">
      <c r="A4035" s="189" t="str">
        <f t="shared" ref="A4035:A4098" si="63">B4035&amp;C4035&amp;D4035&amp;F4035</f>
        <v>CL-MD 851B00.04S</v>
      </c>
      <c r="B4035" s="195" t="s">
        <v>2225</v>
      </c>
      <c r="C4035" s="196">
        <v>0</v>
      </c>
      <c r="D4035" s="196">
        <v>0.04</v>
      </c>
      <c r="E4035" s="195" t="s">
        <v>595</v>
      </c>
      <c r="F4035" s="195" t="s">
        <v>438</v>
      </c>
    </row>
    <row r="4036" spans="1:6" x14ac:dyDescent="0.25">
      <c r="A4036" s="189" t="str">
        <f t="shared" si="63"/>
        <v>CL-MD 85200.1E</v>
      </c>
      <c r="B4036" s="195" t="s">
        <v>2226</v>
      </c>
      <c r="C4036" s="196">
        <v>0</v>
      </c>
      <c r="D4036" s="196">
        <v>0.1</v>
      </c>
      <c r="E4036" s="195" t="s">
        <v>583</v>
      </c>
      <c r="F4036" s="195" t="s">
        <v>19</v>
      </c>
    </row>
    <row r="4037" spans="1:6" x14ac:dyDescent="0.25">
      <c r="A4037" s="189" t="str">
        <f t="shared" si="63"/>
        <v>CL-MD 85200.1W</v>
      </c>
      <c r="B4037" s="195" t="s">
        <v>2226</v>
      </c>
      <c r="C4037" s="196">
        <v>0</v>
      </c>
      <c r="D4037" s="196">
        <v>0.1</v>
      </c>
      <c r="E4037" s="195" t="s">
        <v>583</v>
      </c>
      <c r="F4037" s="195" t="s">
        <v>432</v>
      </c>
    </row>
    <row r="4038" spans="1:6" x14ac:dyDescent="0.25">
      <c r="A4038" s="189" t="str">
        <f t="shared" si="63"/>
        <v>CL-MD 8520.13.6E</v>
      </c>
      <c r="B4038" s="195" t="s">
        <v>2226</v>
      </c>
      <c r="C4038" s="196">
        <v>0.1</v>
      </c>
      <c r="D4038" s="196">
        <v>3.6</v>
      </c>
      <c r="E4038" s="195" t="s">
        <v>583</v>
      </c>
      <c r="F4038" s="195" t="s">
        <v>19</v>
      </c>
    </row>
    <row r="4039" spans="1:6" x14ac:dyDescent="0.25">
      <c r="A4039" s="189" t="str">
        <f t="shared" si="63"/>
        <v>CL-MD 8520.13.6W</v>
      </c>
      <c r="B4039" s="195" t="s">
        <v>2226</v>
      </c>
      <c r="C4039" s="196">
        <v>0.1</v>
      </c>
      <c r="D4039" s="196">
        <v>3.6</v>
      </c>
      <c r="E4039" s="195" t="s">
        <v>583</v>
      </c>
      <c r="F4039" s="195" t="s">
        <v>432</v>
      </c>
    </row>
    <row r="4040" spans="1:6" x14ac:dyDescent="0.25">
      <c r="A4040" s="189" t="str">
        <f t="shared" si="63"/>
        <v>CL-MD 8523.63.72E</v>
      </c>
      <c r="B4040" s="195" t="s">
        <v>2226</v>
      </c>
      <c r="C4040" s="196">
        <v>3.6</v>
      </c>
      <c r="D4040" s="196">
        <v>3.72</v>
      </c>
      <c r="E4040" s="195" t="s">
        <v>583</v>
      </c>
      <c r="F4040" s="195" t="s">
        <v>19</v>
      </c>
    </row>
    <row r="4041" spans="1:6" x14ac:dyDescent="0.25">
      <c r="A4041" s="189" t="str">
        <f t="shared" si="63"/>
        <v>CL-MD 8523.63.72W</v>
      </c>
      <c r="B4041" s="195" t="s">
        <v>2226</v>
      </c>
      <c r="C4041" s="196">
        <v>3.6</v>
      </c>
      <c r="D4041" s="196">
        <v>3.72</v>
      </c>
      <c r="E4041" s="195" t="s">
        <v>583</v>
      </c>
      <c r="F4041" s="195" t="s">
        <v>432</v>
      </c>
    </row>
    <row r="4042" spans="1:6" x14ac:dyDescent="0.25">
      <c r="A4042" s="189" t="str">
        <f t="shared" si="63"/>
        <v>CL-MD 852A00.07N</v>
      </c>
      <c r="B4042" s="195" t="s">
        <v>2227</v>
      </c>
      <c r="C4042" s="196">
        <v>0</v>
      </c>
      <c r="D4042" s="196">
        <v>7.0000000000000007E-2</v>
      </c>
      <c r="E4042" s="195" t="s">
        <v>589</v>
      </c>
      <c r="F4042" s="195" t="s">
        <v>430</v>
      </c>
    </row>
    <row r="4043" spans="1:6" x14ac:dyDescent="0.25">
      <c r="A4043" s="189" t="str">
        <f t="shared" si="63"/>
        <v>CL-MD 852A00.07S</v>
      </c>
      <c r="B4043" s="195" t="s">
        <v>2227</v>
      </c>
      <c r="C4043" s="196">
        <v>0</v>
      </c>
      <c r="D4043" s="196">
        <v>7.0000000000000007E-2</v>
      </c>
      <c r="E4043" s="195" t="s">
        <v>595</v>
      </c>
      <c r="F4043" s="195" t="s">
        <v>438</v>
      </c>
    </row>
    <row r="4044" spans="1:6" x14ac:dyDescent="0.25">
      <c r="A4044" s="189" t="str">
        <f t="shared" si="63"/>
        <v>CL-MD 852B00.07N</v>
      </c>
      <c r="B4044" s="195" t="s">
        <v>2228</v>
      </c>
      <c r="C4044" s="196">
        <v>0</v>
      </c>
      <c r="D4044" s="196">
        <v>7.0000000000000007E-2</v>
      </c>
      <c r="E4044" s="195" t="s">
        <v>589</v>
      </c>
      <c r="F4044" s="195" t="s">
        <v>430</v>
      </c>
    </row>
    <row r="4045" spans="1:6" x14ac:dyDescent="0.25">
      <c r="A4045" s="189" t="str">
        <f t="shared" si="63"/>
        <v>CL-MD 852B00.07S</v>
      </c>
      <c r="B4045" s="195" t="s">
        <v>2228</v>
      </c>
      <c r="C4045" s="196">
        <v>0</v>
      </c>
      <c r="D4045" s="196">
        <v>7.0000000000000007E-2</v>
      </c>
      <c r="E4045" s="195" t="s">
        <v>595</v>
      </c>
      <c r="F4045" s="195" t="s">
        <v>438</v>
      </c>
    </row>
    <row r="4046" spans="1:6" x14ac:dyDescent="0.25">
      <c r="A4046" s="189" t="str">
        <f t="shared" si="63"/>
        <v>CL-MD 852C00.57N</v>
      </c>
      <c r="B4046" s="195" t="s">
        <v>2229</v>
      </c>
      <c r="C4046" s="196">
        <v>0</v>
      </c>
      <c r="D4046" s="196">
        <v>0.56999999999999995</v>
      </c>
      <c r="E4046" s="195" t="s">
        <v>589</v>
      </c>
      <c r="F4046" s="195" t="s">
        <v>430</v>
      </c>
    </row>
    <row r="4047" spans="1:6" x14ac:dyDescent="0.25">
      <c r="A4047" s="189" t="str">
        <f t="shared" si="63"/>
        <v>CL-MD 852C00.57S</v>
      </c>
      <c r="B4047" s="195" t="s">
        <v>2229</v>
      </c>
      <c r="C4047" s="196">
        <v>0</v>
      </c>
      <c r="D4047" s="196">
        <v>0.56999999999999995</v>
      </c>
      <c r="E4047" s="195" t="s">
        <v>595</v>
      </c>
      <c r="F4047" s="195" t="s">
        <v>438</v>
      </c>
    </row>
    <row r="4048" spans="1:6" x14ac:dyDescent="0.25">
      <c r="A4048" s="189" t="str">
        <f t="shared" si="63"/>
        <v>CL-MD 852F00.2N</v>
      </c>
      <c r="B4048" s="195" t="s">
        <v>2230</v>
      </c>
      <c r="C4048" s="196">
        <v>0</v>
      </c>
      <c r="D4048" s="196">
        <v>0.2</v>
      </c>
      <c r="E4048" s="195" t="s">
        <v>589</v>
      </c>
      <c r="F4048" s="195" t="s">
        <v>430</v>
      </c>
    </row>
    <row r="4049" spans="1:6" x14ac:dyDescent="0.25">
      <c r="A4049" s="189" t="str">
        <f t="shared" si="63"/>
        <v>CL-MD 852F00.2S</v>
      </c>
      <c r="B4049" s="195" t="s">
        <v>2230</v>
      </c>
      <c r="C4049" s="196">
        <v>0</v>
      </c>
      <c r="D4049" s="196">
        <v>0.2</v>
      </c>
      <c r="E4049" s="195" t="s">
        <v>595</v>
      </c>
      <c r="F4049" s="195" t="s">
        <v>438</v>
      </c>
    </row>
    <row r="4050" spans="1:6" x14ac:dyDescent="0.25">
      <c r="A4050" s="189" t="str">
        <f t="shared" si="63"/>
        <v>CL-MD 852G02.7N</v>
      </c>
      <c r="B4050" s="195" t="s">
        <v>2231</v>
      </c>
      <c r="C4050" s="196">
        <v>0</v>
      </c>
      <c r="D4050" s="196">
        <v>2.7</v>
      </c>
      <c r="E4050" s="195" t="s">
        <v>583</v>
      </c>
      <c r="F4050" s="195" t="s">
        <v>430</v>
      </c>
    </row>
    <row r="4051" spans="1:6" x14ac:dyDescent="0.25">
      <c r="A4051" s="189" t="str">
        <f t="shared" si="63"/>
        <v>CL-MD 852G02.7S</v>
      </c>
      <c r="B4051" s="195" t="s">
        <v>2231</v>
      </c>
      <c r="C4051" s="196">
        <v>0</v>
      </c>
      <c r="D4051" s="196">
        <v>2.7</v>
      </c>
      <c r="E4051" s="195" t="s">
        <v>583</v>
      </c>
      <c r="F4051" s="195" t="s">
        <v>438</v>
      </c>
    </row>
    <row r="4052" spans="1:6" x14ac:dyDescent="0.25">
      <c r="A4052" s="189" t="str">
        <f t="shared" si="63"/>
        <v>CL-MD 852H00.24E</v>
      </c>
      <c r="B4052" s="195" t="s">
        <v>2232</v>
      </c>
      <c r="C4052" s="196">
        <v>0</v>
      </c>
      <c r="D4052" s="196">
        <v>0.24</v>
      </c>
      <c r="E4052" s="195" t="s">
        <v>598</v>
      </c>
      <c r="F4052" s="195" t="s">
        <v>19</v>
      </c>
    </row>
    <row r="4053" spans="1:6" x14ac:dyDescent="0.25">
      <c r="A4053" s="189" t="str">
        <f t="shared" si="63"/>
        <v>CL-MD 852H00.24W</v>
      </c>
      <c r="B4053" s="195" t="s">
        <v>2232</v>
      </c>
      <c r="C4053" s="196">
        <v>0</v>
      </c>
      <c r="D4053" s="196">
        <v>0.24</v>
      </c>
      <c r="E4053" s="195" t="s">
        <v>593</v>
      </c>
      <c r="F4053" s="195" t="s">
        <v>432</v>
      </c>
    </row>
    <row r="4054" spans="1:6" x14ac:dyDescent="0.25">
      <c r="A4054" s="189" t="str">
        <f t="shared" si="63"/>
        <v>CL-MD 852I00.09E</v>
      </c>
      <c r="B4054" s="195" t="s">
        <v>2233</v>
      </c>
      <c r="C4054" s="196">
        <v>0</v>
      </c>
      <c r="D4054" s="196">
        <v>0.09</v>
      </c>
      <c r="E4054" s="195" t="s">
        <v>598</v>
      </c>
      <c r="F4054" s="195" t="s">
        <v>19</v>
      </c>
    </row>
    <row r="4055" spans="1:6" x14ac:dyDescent="0.25">
      <c r="A4055" s="189" t="str">
        <f t="shared" si="63"/>
        <v>CL-MD 852I00.09W</v>
      </c>
      <c r="B4055" s="195" t="s">
        <v>2233</v>
      </c>
      <c r="C4055" s="196">
        <v>0</v>
      </c>
      <c r="D4055" s="196">
        <v>0.09</v>
      </c>
      <c r="E4055" s="195" t="s">
        <v>593</v>
      </c>
      <c r="F4055" s="195" t="s">
        <v>432</v>
      </c>
    </row>
    <row r="4056" spans="1:6" x14ac:dyDescent="0.25">
      <c r="A4056" s="189" t="str">
        <f t="shared" si="63"/>
        <v>CL-MD 852J00.46N</v>
      </c>
      <c r="B4056" s="195" t="s">
        <v>2234</v>
      </c>
      <c r="C4056" s="196">
        <v>0</v>
      </c>
      <c r="D4056" s="196">
        <v>0.46</v>
      </c>
      <c r="E4056" s="195" t="s">
        <v>589</v>
      </c>
      <c r="F4056" s="195" t="s">
        <v>430</v>
      </c>
    </row>
    <row r="4057" spans="1:6" x14ac:dyDescent="0.25">
      <c r="A4057" s="189" t="str">
        <f t="shared" si="63"/>
        <v>CL-MD 852J00.46S</v>
      </c>
      <c r="B4057" s="195" t="s">
        <v>2234</v>
      </c>
      <c r="C4057" s="196">
        <v>0</v>
      </c>
      <c r="D4057" s="196">
        <v>0.46</v>
      </c>
      <c r="E4057" s="195" t="s">
        <v>595</v>
      </c>
      <c r="F4057" s="195" t="s">
        <v>438</v>
      </c>
    </row>
    <row r="4058" spans="1:6" x14ac:dyDescent="0.25">
      <c r="A4058" s="189" t="str">
        <f t="shared" si="63"/>
        <v>CL-MD 852K00.02E</v>
      </c>
      <c r="B4058" s="195" t="s">
        <v>2235</v>
      </c>
      <c r="C4058" s="196">
        <v>0</v>
      </c>
      <c r="D4058" s="196">
        <v>0.02</v>
      </c>
      <c r="E4058" s="195" t="s">
        <v>583</v>
      </c>
      <c r="F4058" s="195" t="s">
        <v>19</v>
      </c>
    </row>
    <row r="4059" spans="1:6" x14ac:dyDescent="0.25">
      <c r="A4059" s="189" t="str">
        <f t="shared" si="63"/>
        <v>CL-MD 852K00.02W</v>
      </c>
      <c r="B4059" s="195" t="s">
        <v>2235</v>
      </c>
      <c r="C4059" s="196">
        <v>0</v>
      </c>
      <c r="D4059" s="196">
        <v>0.02</v>
      </c>
      <c r="E4059" s="195" t="s">
        <v>583</v>
      </c>
      <c r="F4059" s="195" t="s">
        <v>432</v>
      </c>
    </row>
    <row r="4060" spans="1:6" x14ac:dyDescent="0.25">
      <c r="A4060" s="189" t="str">
        <f t="shared" si="63"/>
        <v>CL-MD 852K0.021.57E</v>
      </c>
      <c r="B4060" s="195" t="s">
        <v>2235</v>
      </c>
      <c r="C4060" s="196">
        <v>0.02</v>
      </c>
      <c r="D4060" s="196">
        <v>1.57</v>
      </c>
      <c r="E4060" s="195" t="s">
        <v>583</v>
      </c>
      <c r="F4060" s="195" t="s">
        <v>19</v>
      </c>
    </row>
    <row r="4061" spans="1:6" x14ac:dyDescent="0.25">
      <c r="A4061" s="189" t="str">
        <f t="shared" si="63"/>
        <v>CL-MD 852K0.021.57W</v>
      </c>
      <c r="B4061" s="195" t="s">
        <v>2235</v>
      </c>
      <c r="C4061" s="196">
        <v>0.02</v>
      </c>
      <c r="D4061" s="196">
        <v>1.57</v>
      </c>
      <c r="E4061" s="195" t="s">
        <v>583</v>
      </c>
      <c r="F4061" s="195" t="s">
        <v>432</v>
      </c>
    </row>
    <row r="4062" spans="1:6" x14ac:dyDescent="0.25">
      <c r="A4062" s="189" t="str">
        <f t="shared" si="63"/>
        <v>CL-MD 852M00.2E</v>
      </c>
      <c r="B4062" s="195" t="s">
        <v>2236</v>
      </c>
      <c r="C4062" s="196">
        <v>0</v>
      </c>
      <c r="D4062" s="196">
        <v>0.2</v>
      </c>
      <c r="E4062" s="195" t="s">
        <v>598</v>
      </c>
      <c r="F4062" s="195" t="s">
        <v>19</v>
      </c>
    </row>
    <row r="4063" spans="1:6" x14ac:dyDescent="0.25">
      <c r="A4063" s="189" t="str">
        <f t="shared" si="63"/>
        <v>CL-MD 852M00.2W</v>
      </c>
      <c r="B4063" s="195" t="s">
        <v>2236</v>
      </c>
      <c r="C4063" s="196">
        <v>0</v>
      </c>
      <c r="D4063" s="196">
        <v>0.2</v>
      </c>
      <c r="E4063" s="195" t="s">
        <v>593</v>
      </c>
      <c r="F4063" s="195" t="s">
        <v>432</v>
      </c>
    </row>
    <row r="4064" spans="1:6" x14ac:dyDescent="0.25">
      <c r="A4064" s="189" t="str">
        <f t="shared" si="63"/>
        <v>CL-MD 853A00.04N</v>
      </c>
      <c r="B4064" s="195" t="s">
        <v>2237</v>
      </c>
      <c r="C4064" s="196">
        <v>0</v>
      </c>
      <c r="D4064" s="196">
        <v>0.04</v>
      </c>
      <c r="E4064" s="195" t="s">
        <v>589</v>
      </c>
      <c r="F4064" s="195" t="s">
        <v>430</v>
      </c>
    </row>
    <row r="4065" spans="1:6" x14ac:dyDescent="0.25">
      <c r="A4065" s="189" t="str">
        <f t="shared" si="63"/>
        <v>CL-MD 853A00.04S</v>
      </c>
      <c r="B4065" s="195" t="s">
        <v>2237</v>
      </c>
      <c r="C4065" s="196">
        <v>0</v>
      </c>
      <c r="D4065" s="196">
        <v>0.04</v>
      </c>
      <c r="E4065" s="195" t="s">
        <v>595</v>
      </c>
      <c r="F4065" s="195" t="s">
        <v>438</v>
      </c>
    </row>
    <row r="4066" spans="1:6" x14ac:dyDescent="0.25">
      <c r="A4066" s="189" t="str">
        <f t="shared" si="63"/>
        <v>CL-MD 853C00.04N</v>
      </c>
      <c r="B4066" s="195" t="s">
        <v>2238</v>
      </c>
      <c r="C4066" s="196">
        <v>0</v>
      </c>
      <c r="D4066" s="196">
        <v>0.04</v>
      </c>
      <c r="E4066" s="195" t="s">
        <v>589</v>
      </c>
      <c r="F4066" s="195" t="s">
        <v>430</v>
      </c>
    </row>
    <row r="4067" spans="1:6" x14ac:dyDescent="0.25">
      <c r="A4067" s="189" t="str">
        <f t="shared" si="63"/>
        <v>CL-MD 853C00.04S</v>
      </c>
      <c r="B4067" s="195" t="s">
        <v>2238</v>
      </c>
      <c r="C4067" s="196">
        <v>0</v>
      </c>
      <c r="D4067" s="196">
        <v>0.04</v>
      </c>
      <c r="E4067" s="195" t="s">
        <v>595</v>
      </c>
      <c r="F4067" s="195" t="s">
        <v>438</v>
      </c>
    </row>
    <row r="4068" spans="1:6" x14ac:dyDescent="0.25">
      <c r="A4068" s="189" t="str">
        <f t="shared" si="63"/>
        <v>CL-MD 853E00.32N</v>
      </c>
      <c r="B4068" s="195" t="s">
        <v>2239</v>
      </c>
      <c r="C4068" s="196">
        <v>0</v>
      </c>
      <c r="D4068" s="196">
        <v>0.32</v>
      </c>
      <c r="E4068" s="195" t="s">
        <v>589</v>
      </c>
      <c r="F4068" s="195" t="s">
        <v>430</v>
      </c>
    </row>
    <row r="4069" spans="1:6" x14ac:dyDescent="0.25">
      <c r="A4069" s="189" t="str">
        <f t="shared" si="63"/>
        <v>CL-MD 853E00.32S</v>
      </c>
      <c r="B4069" s="195" t="s">
        <v>2239</v>
      </c>
      <c r="C4069" s="196">
        <v>0</v>
      </c>
      <c r="D4069" s="196">
        <v>0.32</v>
      </c>
      <c r="E4069" s="195" t="s">
        <v>595</v>
      </c>
      <c r="F4069" s="195" t="s">
        <v>438</v>
      </c>
    </row>
    <row r="4070" spans="1:6" x14ac:dyDescent="0.25">
      <c r="A4070" s="189" t="str">
        <f t="shared" si="63"/>
        <v>CL-MD 853E0.320.37N</v>
      </c>
      <c r="B4070" s="195" t="s">
        <v>2239</v>
      </c>
      <c r="C4070" s="196">
        <v>0.32</v>
      </c>
      <c r="D4070" s="196">
        <v>0.37</v>
      </c>
      <c r="E4070" s="195" t="s">
        <v>589</v>
      </c>
      <c r="F4070" s="195" t="s">
        <v>430</v>
      </c>
    </row>
    <row r="4071" spans="1:6" x14ac:dyDescent="0.25">
      <c r="A4071" s="189" t="str">
        <f t="shared" si="63"/>
        <v>CL-MD 853E0.320.37S</v>
      </c>
      <c r="B4071" s="195" t="s">
        <v>2239</v>
      </c>
      <c r="C4071" s="196">
        <v>0.32</v>
      </c>
      <c r="D4071" s="196">
        <v>0.37</v>
      </c>
      <c r="E4071" s="195" t="s">
        <v>595</v>
      </c>
      <c r="F4071" s="195" t="s">
        <v>438</v>
      </c>
    </row>
    <row r="4072" spans="1:6" x14ac:dyDescent="0.25">
      <c r="A4072" s="189" t="str">
        <f t="shared" si="63"/>
        <v>CL-MD 853F00.2N</v>
      </c>
      <c r="B4072" s="195" t="s">
        <v>2240</v>
      </c>
      <c r="C4072" s="196">
        <v>0</v>
      </c>
      <c r="D4072" s="196">
        <v>0.2</v>
      </c>
      <c r="E4072" s="195" t="s">
        <v>589</v>
      </c>
      <c r="F4072" s="195" t="s">
        <v>430</v>
      </c>
    </row>
    <row r="4073" spans="1:6" x14ac:dyDescent="0.25">
      <c r="A4073" s="189" t="str">
        <f t="shared" si="63"/>
        <v>CL-MD 853F00.2S</v>
      </c>
      <c r="B4073" s="195" t="s">
        <v>2240</v>
      </c>
      <c r="C4073" s="196">
        <v>0</v>
      </c>
      <c r="D4073" s="196">
        <v>0.2</v>
      </c>
      <c r="E4073" s="195" t="s">
        <v>595</v>
      </c>
      <c r="F4073" s="195" t="s">
        <v>438</v>
      </c>
    </row>
    <row r="4074" spans="1:6" x14ac:dyDescent="0.25">
      <c r="A4074" s="189" t="str">
        <f t="shared" si="63"/>
        <v>CL-MD 854A02.64N</v>
      </c>
      <c r="B4074" s="195" t="s">
        <v>2241</v>
      </c>
      <c r="C4074" s="196">
        <v>0</v>
      </c>
      <c r="D4074" s="196">
        <v>2.64</v>
      </c>
      <c r="E4074" s="195" t="s">
        <v>583</v>
      </c>
      <c r="F4074" s="195" t="s">
        <v>430</v>
      </c>
    </row>
    <row r="4075" spans="1:6" x14ac:dyDescent="0.25">
      <c r="A4075" s="189" t="str">
        <f t="shared" si="63"/>
        <v>CL-MD 854A02.64S</v>
      </c>
      <c r="B4075" s="195" t="s">
        <v>2241</v>
      </c>
      <c r="C4075" s="196">
        <v>0</v>
      </c>
      <c r="D4075" s="196">
        <v>2.64</v>
      </c>
      <c r="E4075" s="195" t="s">
        <v>583</v>
      </c>
      <c r="F4075" s="195" t="s">
        <v>438</v>
      </c>
    </row>
    <row r="4076" spans="1:6" x14ac:dyDescent="0.25">
      <c r="A4076" s="189" t="str">
        <f t="shared" si="63"/>
        <v>CL-MD 854B01.37N</v>
      </c>
      <c r="B4076" s="195" t="s">
        <v>2242</v>
      </c>
      <c r="C4076" s="196">
        <v>0</v>
      </c>
      <c r="D4076" s="196">
        <v>1.37</v>
      </c>
      <c r="E4076" s="195" t="s">
        <v>583</v>
      </c>
      <c r="F4076" s="195" t="s">
        <v>430</v>
      </c>
    </row>
    <row r="4077" spans="1:6" x14ac:dyDescent="0.25">
      <c r="A4077" s="189" t="str">
        <f t="shared" si="63"/>
        <v>CL-MD 854B01.37S</v>
      </c>
      <c r="B4077" s="195" t="s">
        <v>2242</v>
      </c>
      <c r="C4077" s="196">
        <v>0</v>
      </c>
      <c r="D4077" s="196">
        <v>1.37</v>
      </c>
      <c r="E4077" s="195" t="s">
        <v>583</v>
      </c>
      <c r="F4077" s="195" t="s">
        <v>438</v>
      </c>
    </row>
    <row r="4078" spans="1:6" x14ac:dyDescent="0.25">
      <c r="A4078" s="189" t="str">
        <f t="shared" si="63"/>
        <v>CL-MD 854B1.372.42N</v>
      </c>
      <c r="B4078" s="195" t="s">
        <v>2242</v>
      </c>
      <c r="C4078" s="196">
        <v>1.37</v>
      </c>
      <c r="D4078" s="196">
        <v>2.42</v>
      </c>
      <c r="E4078" s="195" t="s">
        <v>583</v>
      </c>
      <c r="F4078" s="195" t="s">
        <v>430</v>
      </c>
    </row>
    <row r="4079" spans="1:6" x14ac:dyDescent="0.25">
      <c r="A4079" s="189" t="str">
        <f t="shared" si="63"/>
        <v>CL-MD 854B1.372.42S</v>
      </c>
      <c r="B4079" s="195" t="s">
        <v>2242</v>
      </c>
      <c r="C4079" s="196">
        <v>1.37</v>
      </c>
      <c r="D4079" s="196">
        <v>2.42</v>
      </c>
      <c r="E4079" s="195" t="s">
        <v>583</v>
      </c>
      <c r="F4079" s="195" t="s">
        <v>438</v>
      </c>
    </row>
    <row r="4080" spans="1:6" x14ac:dyDescent="0.25">
      <c r="A4080" s="189" t="str">
        <f t="shared" si="63"/>
        <v>CL-MD 854B2.423.6N</v>
      </c>
      <c r="B4080" s="195" t="s">
        <v>2242</v>
      </c>
      <c r="C4080" s="196">
        <v>2.42</v>
      </c>
      <c r="D4080" s="196">
        <v>3.6</v>
      </c>
      <c r="E4080" s="195" t="s">
        <v>583</v>
      </c>
      <c r="F4080" s="195" t="s">
        <v>430</v>
      </c>
    </row>
    <row r="4081" spans="1:6" x14ac:dyDescent="0.25">
      <c r="A4081" s="189" t="str">
        <f t="shared" si="63"/>
        <v>CL-MD 854B2.423.6S</v>
      </c>
      <c r="B4081" s="195" t="s">
        <v>2242</v>
      </c>
      <c r="C4081" s="196">
        <v>2.42</v>
      </c>
      <c r="D4081" s="196">
        <v>3.6</v>
      </c>
      <c r="E4081" s="195" t="s">
        <v>583</v>
      </c>
      <c r="F4081" s="195" t="s">
        <v>438</v>
      </c>
    </row>
    <row r="4082" spans="1:6" x14ac:dyDescent="0.25">
      <c r="A4082" s="189" t="str">
        <f t="shared" si="63"/>
        <v>CL-MD 854B3.63.93N</v>
      </c>
      <c r="B4082" s="195" t="s">
        <v>2242</v>
      </c>
      <c r="C4082" s="196">
        <v>3.6</v>
      </c>
      <c r="D4082" s="196">
        <v>3.93</v>
      </c>
      <c r="E4082" s="195" t="s">
        <v>583</v>
      </c>
      <c r="F4082" s="195" t="s">
        <v>430</v>
      </c>
    </row>
    <row r="4083" spans="1:6" x14ac:dyDescent="0.25">
      <c r="A4083" s="189" t="str">
        <f t="shared" si="63"/>
        <v>CL-MD 854B3.63.93S</v>
      </c>
      <c r="B4083" s="195" t="s">
        <v>2242</v>
      </c>
      <c r="C4083" s="196">
        <v>3.6</v>
      </c>
      <c r="D4083" s="196">
        <v>3.93</v>
      </c>
      <c r="E4083" s="195" t="s">
        <v>583</v>
      </c>
      <c r="F4083" s="195" t="s">
        <v>438</v>
      </c>
    </row>
    <row r="4084" spans="1:6" x14ac:dyDescent="0.25">
      <c r="A4084" s="189" t="str">
        <f t="shared" si="63"/>
        <v>CL-MD 8600.26N</v>
      </c>
      <c r="B4084" s="195" t="s">
        <v>2243</v>
      </c>
      <c r="C4084" s="196">
        <v>0</v>
      </c>
      <c r="D4084" s="196">
        <v>0.26</v>
      </c>
      <c r="E4084" s="195" t="s">
        <v>583</v>
      </c>
      <c r="F4084" s="195" t="s">
        <v>430</v>
      </c>
    </row>
    <row r="4085" spans="1:6" x14ac:dyDescent="0.25">
      <c r="A4085" s="189" t="str">
        <f t="shared" si="63"/>
        <v>CL-MD 8600.26S</v>
      </c>
      <c r="B4085" s="195" t="s">
        <v>2243</v>
      </c>
      <c r="C4085" s="196">
        <v>0</v>
      </c>
      <c r="D4085" s="196">
        <v>0.26</v>
      </c>
      <c r="E4085" s="195" t="s">
        <v>583</v>
      </c>
      <c r="F4085" s="195" t="s">
        <v>438</v>
      </c>
    </row>
    <row r="4086" spans="1:6" x14ac:dyDescent="0.25">
      <c r="A4086" s="189" t="str">
        <f t="shared" si="63"/>
        <v>CL-MD 860.263.83N</v>
      </c>
      <c r="B4086" s="195" t="s">
        <v>2243</v>
      </c>
      <c r="C4086" s="196">
        <v>0.26</v>
      </c>
      <c r="D4086" s="196">
        <v>3.83</v>
      </c>
      <c r="E4086" s="195" t="s">
        <v>583</v>
      </c>
      <c r="F4086" s="195" t="s">
        <v>430</v>
      </c>
    </row>
    <row r="4087" spans="1:6" x14ac:dyDescent="0.25">
      <c r="A4087" s="189" t="str">
        <f t="shared" si="63"/>
        <v>CL-MD 860.263.83S</v>
      </c>
      <c r="B4087" s="195" t="s">
        <v>2243</v>
      </c>
      <c r="C4087" s="196">
        <v>0.26</v>
      </c>
      <c r="D4087" s="196">
        <v>3.83</v>
      </c>
      <c r="E4087" s="195" t="s">
        <v>583</v>
      </c>
      <c r="F4087" s="195" t="s">
        <v>438</v>
      </c>
    </row>
    <row r="4088" spans="1:6" x14ac:dyDescent="0.25">
      <c r="A4088" s="189" t="str">
        <f t="shared" si="63"/>
        <v>CL-MD 863.834N</v>
      </c>
      <c r="B4088" s="195" t="s">
        <v>2243</v>
      </c>
      <c r="C4088" s="196">
        <v>3.83</v>
      </c>
      <c r="D4088" s="196">
        <v>4</v>
      </c>
      <c r="E4088" s="195" t="s">
        <v>583</v>
      </c>
      <c r="F4088" s="195" t="s">
        <v>430</v>
      </c>
    </row>
    <row r="4089" spans="1:6" x14ac:dyDescent="0.25">
      <c r="A4089" s="189" t="str">
        <f t="shared" si="63"/>
        <v>CL-MD 863.834S</v>
      </c>
      <c r="B4089" s="195" t="s">
        <v>2243</v>
      </c>
      <c r="C4089" s="196">
        <v>3.83</v>
      </c>
      <c r="D4089" s="196">
        <v>4</v>
      </c>
      <c r="E4089" s="195" t="s">
        <v>583</v>
      </c>
      <c r="F4089" s="195" t="s">
        <v>438</v>
      </c>
    </row>
    <row r="4090" spans="1:6" x14ac:dyDescent="0.25">
      <c r="A4090" s="189" t="str">
        <f t="shared" si="63"/>
        <v>CL-MD 87900.2E</v>
      </c>
      <c r="B4090" s="195" t="s">
        <v>2244</v>
      </c>
      <c r="C4090" s="196">
        <v>0</v>
      </c>
      <c r="D4090" s="196">
        <v>0.2</v>
      </c>
      <c r="E4090" s="195" t="s">
        <v>598</v>
      </c>
      <c r="F4090" s="195" t="s">
        <v>19</v>
      </c>
    </row>
    <row r="4091" spans="1:6" x14ac:dyDescent="0.25">
      <c r="A4091" s="189" t="str">
        <f t="shared" si="63"/>
        <v>CL-MD 87900.2W</v>
      </c>
      <c r="B4091" s="195" t="s">
        <v>2244</v>
      </c>
      <c r="C4091" s="196">
        <v>0</v>
      </c>
      <c r="D4091" s="196">
        <v>0.2</v>
      </c>
      <c r="E4091" s="195" t="s">
        <v>593</v>
      </c>
      <c r="F4091" s="195" t="s">
        <v>432</v>
      </c>
    </row>
    <row r="4092" spans="1:6" x14ac:dyDescent="0.25">
      <c r="A4092" s="189" t="str">
        <f t="shared" si="63"/>
        <v>CL-MD 879B00.58N</v>
      </c>
      <c r="B4092" s="195" t="s">
        <v>2245</v>
      </c>
      <c r="C4092" s="196">
        <v>0</v>
      </c>
      <c r="D4092" s="196">
        <v>0.57999999999999996</v>
      </c>
      <c r="E4092" s="195" t="s">
        <v>589</v>
      </c>
      <c r="F4092" s="195" t="s">
        <v>430</v>
      </c>
    </row>
    <row r="4093" spans="1:6" x14ac:dyDescent="0.25">
      <c r="A4093" s="189" t="str">
        <f t="shared" si="63"/>
        <v>CL-MD 879B00.58S</v>
      </c>
      <c r="B4093" s="195" t="s">
        <v>2245</v>
      </c>
      <c r="C4093" s="196">
        <v>0</v>
      </c>
      <c r="D4093" s="196">
        <v>0.57999999999999996</v>
      </c>
      <c r="E4093" s="195" t="s">
        <v>595</v>
      </c>
      <c r="F4093" s="195" t="s">
        <v>438</v>
      </c>
    </row>
    <row r="4094" spans="1:6" x14ac:dyDescent="0.25">
      <c r="A4094" s="189" t="str">
        <f t="shared" si="63"/>
        <v>CL-MD 879C00.06E</v>
      </c>
      <c r="B4094" s="195" t="s">
        <v>2246</v>
      </c>
      <c r="C4094" s="196">
        <v>0</v>
      </c>
      <c r="D4094" s="196">
        <v>0.06</v>
      </c>
      <c r="E4094" s="195" t="s">
        <v>598</v>
      </c>
      <c r="F4094" s="195" t="s">
        <v>19</v>
      </c>
    </row>
    <row r="4095" spans="1:6" x14ac:dyDescent="0.25">
      <c r="A4095" s="189" t="str">
        <f t="shared" si="63"/>
        <v>CL-MD 879C00.06W</v>
      </c>
      <c r="B4095" s="195" t="s">
        <v>2246</v>
      </c>
      <c r="C4095" s="196">
        <v>0</v>
      </c>
      <c r="D4095" s="196">
        <v>0.06</v>
      </c>
      <c r="E4095" s="195" t="s">
        <v>593</v>
      </c>
      <c r="F4095" s="195" t="s">
        <v>432</v>
      </c>
    </row>
    <row r="4096" spans="1:6" x14ac:dyDescent="0.25">
      <c r="A4096" s="189" t="str">
        <f t="shared" si="63"/>
        <v>CL-MD 879D00.91N</v>
      </c>
      <c r="B4096" s="195" t="s">
        <v>2247</v>
      </c>
      <c r="C4096" s="196">
        <v>0</v>
      </c>
      <c r="D4096" s="196">
        <v>0.91</v>
      </c>
      <c r="E4096" s="195" t="s">
        <v>589</v>
      </c>
      <c r="F4096" s="195" t="s">
        <v>430</v>
      </c>
    </row>
    <row r="4097" spans="1:6" x14ac:dyDescent="0.25">
      <c r="A4097" s="189" t="str">
        <f t="shared" si="63"/>
        <v>CL-MD 879D00.91S</v>
      </c>
      <c r="B4097" s="195" t="s">
        <v>2247</v>
      </c>
      <c r="C4097" s="196">
        <v>0</v>
      </c>
      <c r="D4097" s="196">
        <v>0.91</v>
      </c>
      <c r="E4097" s="195" t="s">
        <v>595</v>
      </c>
      <c r="F4097" s="195" t="s">
        <v>438</v>
      </c>
    </row>
    <row r="4098" spans="1:6" x14ac:dyDescent="0.25">
      <c r="A4098" s="189" t="str">
        <f t="shared" si="63"/>
        <v>CL-MD 879E00.15E</v>
      </c>
      <c r="B4098" s="195" t="s">
        <v>2248</v>
      </c>
      <c r="C4098" s="196">
        <v>0</v>
      </c>
      <c r="D4098" s="196">
        <v>0.15</v>
      </c>
      <c r="E4098" s="195" t="s">
        <v>598</v>
      </c>
      <c r="F4098" s="195" t="s">
        <v>19</v>
      </c>
    </row>
    <row r="4099" spans="1:6" x14ac:dyDescent="0.25">
      <c r="A4099" s="189" t="str">
        <f t="shared" ref="A4099:A4162" si="64">B4099&amp;C4099&amp;D4099&amp;F4099</f>
        <v>CL-MD 879E00.15W</v>
      </c>
      <c r="B4099" s="195" t="s">
        <v>2248</v>
      </c>
      <c r="C4099" s="196">
        <v>0</v>
      </c>
      <c r="D4099" s="196">
        <v>0.15</v>
      </c>
      <c r="E4099" s="195" t="s">
        <v>593</v>
      </c>
      <c r="F4099" s="195" t="s">
        <v>432</v>
      </c>
    </row>
    <row r="4100" spans="1:6" x14ac:dyDescent="0.25">
      <c r="A4100" s="189" t="str">
        <f t="shared" si="64"/>
        <v>CL-MD 8800.68E</v>
      </c>
      <c r="B4100" s="195" t="s">
        <v>2249</v>
      </c>
      <c r="C4100" s="196">
        <v>0</v>
      </c>
      <c r="D4100" s="196">
        <v>0.68</v>
      </c>
      <c r="E4100" s="195" t="s">
        <v>583</v>
      </c>
      <c r="F4100" s="195" t="s">
        <v>19</v>
      </c>
    </row>
    <row r="4101" spans="1:6" x14ac:dyDescent="0.25">
      <c r="A4101" s="189" t="str">
        <f t="shared" si="64"/>
        <v>CL-MD 8800.68W</v>
      </c>
      <c r="B4101" s="195" t="s">
        <v>2249</v>
      </c>
      <c r="C4101" s="196">
        <v>0</v>
      </c>
      <c r="D4101" s="196">
        <v>0.68</v>
      </c>
      <c r="E4101" s="195" t="s">
        <v>583</v>
      </c>
      <c r="F4101" s="195" t="s">
        <v>432</v>
      </c>
    </row>
    <row r="4102" spans="1:6" x14ac:dyDescent="0.25">
      <c r="A4102" s="189" t="str">
        <f t="shared" si="64"/>
        <v>CL-MD 880.681.06E</v>
      </c>
      <c r="B4102" s="195" t="s">
        <v>2249</v>
      </c>
      <c r="C4102" s="196">
        <v>0.68</v>
      </c>
      <c r="D4102" s="196">
        <v>1.06</v>
      </c>
      <c r="E4102" s="195" t="s">
        <v>583</v>
      </c>
      <c r="F4102" s="195" t="s">
        <v>19</v>
      </c>
    </row>
    <row r="4103" spans="1:6" x14ac:dyDescent="0.25">
      <c r="A4103" s="189" t="str">
        <f t="shared" si="64"/>
        <v>CL-MD 880.681.06W</v>
      </c>
      <c r="B4103" s="195" t="s">
        <v>2249</v>
      </c>
      <c r="C4103" s="196">
        <v>0.68</v>
      </c>
      <c r="D4103" s="196">
        <v>1.06</v>
      </c>
      <c r="E4103" s="195" t="s">
        <v>583</v>
      </c>
      <c r="F4103" s="195" t="s">
        <v>432</v>
      </c>
    </row>
    <row r="4104" spans="1:6" x14ac:dyDescent="0.25">
      <c r="A4104" s="189" t="str">
        <f t="shared" si="64"/>
        <v>CL-MD 90400.58N</v>
      </c>
      <c r="B4104" s="195" t="s">
        <v>2250</v>
      </c>
      <c r="C4104" s="196">
        <v>0</v>
      </c>
      <c r="D4104" s="196">
        <v>0.57999999999999996</v>
      </c>
      <c r="E4104" s="195" t="s">
        <v>589</v>
      </c>
      <c r="F4104" s="195" t="s">
        <v>430</v>
      </c>
    </row>
    <row r="4105" spans="1:6" x14ac:dyDescent="0.25">
      <c r="A4105" s="189" t="str">
        <f t="shared" si="64"/>
        <v>CL-MD 90400.58S</v>
      </c>
      <c r="B4105" s="195" t="s">
        <v>2250</v>
      </c>
      <c r="C4105" s="196">
        <v>0</v>
      </c>
      <c r="D4105" s="196">
        <v>0.57999999999999996</v>
      </c>
      <c r="E4105" s="195" t="s">
        <v>595</v>
      </c>
      <c r="F4105" s="195" t="s">
        <v>438</v>
      </c>
    </row>
    <row r="4106" spans="1:6" x14ac:dyDescent="0.25">
      <c r="A4106" s="189" t="str">
        <f t="shared" si="64"/>
        <v>CL-MD 904A00.66N</v>
      </c>
      <c r="B4106" s="195" t="s">
        <v>2251</v>
      </c>
      <c r="C4106" s="196">
        <v>0</v>
      </c>
      <c r="D4106" s="196">
        <v>0.66</v>
      </c>
      <c r="E4106" s="195" t="s">
        <v>589</v>
      </c>
      <c r="F4106" s="195" t="s">
        <v>430</v>
      </c>
    </row>
    <row r="4107" spans="1:6" x14ac:dyDescent="0.25">
      <c r="A4107" s="189" t="str">
        <f t="shared" si="64"/>
        <v>CL-MD 904A00.66S</v>
      </c>
      <c r="B4107" s="195" t="s">
        <v>2251</v>
      </c>
      <c r="C4107" s="196">
        <v>0</v>
      </c>
      <c r="D4107" s="196">
        <v>0.66</v>
      </c>
      <c r="E4107" s="195" t="s">
        <v>595</v>
      </c>
      <c r="F4107" s="195" t="s">
        <v>438</v>
      </c>
    </row>
    <row r="4108" spans="1:6" x14ac:dyDescent="0.25">
      <c r="A4108" s="189" t="str">
        <f t="shared" si="64"/>
        <v>CL-MD 904D00.63N</v>
      </c>
      <c r="B4108" s="195" t="s">
        <v>2252</v>
      </c>
      <c r="C4108" s="196">
        <v>0</v>
      </c>
      <c r="D4108" s="196">
        <v>0.63</v>
      </c>
      <c r="E4108" s="195" t="s">
        <v>589</v>
      </c>
      <c r="F4108" s="195" t="s">
        <v>430</v>
      </c>
    </row>
    <row r="4109" spans="1:6" x14ac:dyDescent="0.25">
      <c r="A4109" s="189" t="str">
        <f t="shared" si="64"/>
        <v>CL-MD 904D00.63S</v>
      </c>
      <c r="B4109" s="195" t="s">
        <v>2252</v>
      </c>
      <c r="C4109" s="196">
        <v>0</v>
      </c>
      <c r="D4109" s="196">
        <v>0.63</v>
      </c>
      <c r="E4109" s="195" t="s">
        <v>595</v>
      </c>
      <c r="F4109" s="195" t="s">
        <v>438</v>
      </c>
    </row>
    <row r="4110" spans="1:6" x14ac:dyDescent="0.25">
      <c r="A4110" s="189" t="str">
        <f t="shared" si="64"/>
        <v>CL-MD 9101.22N</v>
      </c>
      <c r="B4110" s="195" t="s">
        <v>576</v>
      </c>
      <c r="C4110" s="196">
        <v>0</v>
      </c>
      <c r="D4110" s="196">
        <v>1.22</v>
      </c>
      <c r="E4110" s="195" t="s">
        <v>583</v>
      </c>
      <c r="F4110" s="195" t="s">
        <v>430</v>
      </c>
    </row>
    <row r="4111" spans="1:6" x14ac:dyDescent="0.25">
      <c r="A4111" s="189" t="str">
        <f t="shared" si="64"/>
        <v>CL-MD 9101.22S</v>
      </c>
      <c r="B4111" s="195" t="s">
        <v>576</v>
      </c>
      <c r="C4111" s="196">
        <v>0</v>
      </c>
      <c r="D4111" s="196">
        <v>1.22</v>
      </c>
      <c r="E4111" s="195" t="s">
        <v>583</v>
      </c>
      <c r="F4111" s="195" t="s">
        <v>438</v>
      </c>
    </row>
    <row r="4112" spans="1:6" x14ac:dyDescent="0.25">
      <c r="A4112" s="189" t="str">
        <f t="shared" si="64"/>
        <v>CL-MD 911.223.21N</v>
      </c>
      <c r="B4112" s="195" t="s">
        <v>576</v>
      </c>
      <c r="C4112" s="196">
        <v>1.22</v>
      </c>
      <c r="D4112" s="196">
        <v>3.21</v>
      </c>
      <c r="E4112" s="195" t="s">
        <v>583</v>
      </c>
      <c r="F4112" s="195" t="s">
        <v>430</v>
      </c>
    </row>
    <row r="4113" spans="1:6" x14ac:dyDescent="0.25">
      <c r="A4113" s="189" t="str">
        <f t="shared" si="64"/>
        <v>CL-MD 911.223.21S</v>
      </c>
      <c r="B4113" s="195" t="s">
        <v>576</v>
      </c>
      <c r="C4113" s="196">
        <v>1.22</v>
      </c>
      <c r="D4113" s="196">
        <v>3.21</v>
      </c>
      <c r="E4113" s="195" t="s">
        <v>583</v>
      </c>
      <c r="F4113" s="195" t="s">
        <v>438</v>
      </c>
    </row>
    <row r="4114" spans="1:6" x14ac:dyDescent="0.25">
      <c r="A4114" s="189" t="str">
        <f t="shared" si="64"/>
        <v>CL-MD 913.213.78N</v>
      </c>
      <c r="B4114" s="195" t="s">
        <v>576</v>
      </c>
      <c r="C4114" s="196">
        <v>3.21</v>
      </c>
      <c r="D4114" s="196">
        <v>3.78</v>
      </c>
      <c r="E4114" s="195" t="s">
        <v>583</v>
      </c>
      <c r="F4114" s="195" t="s">
        <v>430</v>
      </c>
    </row>
    <row r="4115" spans="1:6" x14ac:dyDescent="0.25">
      <c r="A4115" s="189" t="str">
        <f t="shared" si="64"/>
        <v>CL-MD 913.213.78S</v>
      </c>
      <c r="B4115" s="195" t="s">
        <v>576</v>
      </c>
      <c r="C4115" s="196">
        <v>3.21</v>
      </c>
      <c r="D4115" s="196">
        <v>3.78</v>
      </c>
      <c r="E4115" s="195" t="s">
        <v>583</v>
      </c>
      <c r="F4115" s="195" t="s">
        <v>438</v>
      </c>
    </row>
    <row r="4116" spans="1:6" x14ac:dyDescent="0.25">
      <c r="A4116" s="189" t="str">
        <f t="shared" si="64"/>
        <v>CL-MD 913.784.45N</v>
      </c>
      <c r="B4116" s="195" t="s">
        <v>576</v>
      </c>
      <c r="C4116" s="196">
        <v>3.78</v>
      </c>
      <c r="D4116" s="196">
        <v>4.45</v>
      </c>
      <c r="E4116" s="195" t="s">
        <v>583</v>
      </c>
      <c r="F4116" s="195" t="s">
        <v>430</v>
      </c>
    </row>
    <row r="4117" spans="1:6" x14ac:dyDescent="0.25">
      <c r="A4117" s="189" t="str">
        <f t="shared" si="64"/>
        <v>CL-MD 913.784.45S</v>
      </c>
      <c r="B4117" s="195" t="s">
        <v>576</v>
      </c>
      <c r="C4117" s="196">
        <v>3.78</v>
      </c>
      <c r="D4117" s="196">
        <v>4.45</v>
      </c>
      <c r="E4117" s="195" t="s">
        <v>583</v>
      </c>
      <c r="F4117" s="195" t="s">
        <v>438</v>
      </c>
    </row>
    <row r="4118" spans="1:6" x14ac:dyDescent="0.25">
      <c r="A4118" s="189" t="str">
        <f t="shared" si="64"/>
        <v>CL-MD 914.456.44N</v>
      </c>
      <c r="B4118" s="195" t="s">
        <v>576</v>
      </c>
      <c r="C4118" s="196">
        <v>4.45</v>
      </c>
      <c r="D4118" s="196">
        <v>6.44</v>
      </c>
      <c r="E4118" s="195" t="s">
        <v>583</v>
      </c>
      <c r="F4118" s="195" t="s">
        <v>430</v>
      </c>
    </row>
    <row r="4119" spans="1:6" x14ac:dyDescent="0.25">
      <c r="A4119" s="189" t="str">
        <f t="shared" si="64"/>
        <v>CL-MD 914.456.44S</v>
      </c>
      <c r="B4119" s="195" t="s">
        <v>576</v>
      </c>
      <c r="C4119" s="196">
        <v>4.45</v>
      </c>
      <c r="D4119" s="196">
        <v>6.44</v>
      </c>
      <c r="E4119" s="195" t="s">
        <v>583</v>
      </c>
      <c r="F4119" s="195" t="s">
        <v>438</v>
      </c>
    </row>
    <row r="4120" spans="1:6" x14ac:dyDescent="0.25">
      <c r="A4120" s="189" t="str">
        <f t="shared" si="64"/>
        <v>CL-MD 9700.62N</v>
      </c>
      <c r="B4120" s="195" t="s">
        <v>577</v>
      </c>
      <c r="C4120" s="196">
        <v>0</v>
      </c>
      <c r="D4120" s="196">
        <v>0.62</v>
      </c>
      <c r="E4120" s="195" t="s">
        <v>583</v>
      </c>
      <c r="F4120" s="195" t="s">
        <v>430</v>
      </c>
    </row>
    <row r="4121" spans="1:6" x14ac:dyDescent="0.25">
      <c r="A4121" s="189" t="str">
        <f t="shared" si="64"/>
        <v>CL-MD 9700.62S</v>
      </c>
      <c r="B4121" s="195" t="s">
        <v>577</v>
      </c>
      <c r="C4121" s="196">
        <v>0</v>
      </c>
      <c r="D4121" s="196">
        <v>0.62</v>
      </c>
      <c r="E4121" s="195" t="s">
        <v>583</v>
      </c>
      <c r="F4121" s="195" t="s">
        <v>438</v>
      </c>
    </row>
    <row r="4122" spans="1:6" x14ac:dyDescent="0.25">
      <c r="A4122" s="189" t="str">
        <f t="shared" si="64"/>
        <v>CL-MD 970.623.9N</v>
      </c>
      <c r="B4122" s="195" t="s">
        <v>577</v>
      </c>
      <c r="C4122" s="196">
        <v>0.62</v>
      </c>
      <c r="D4122" s="196">
        <v>3.9</v>
      </c>
      <c r="E4122" s="195" t="s">
        <v>583</v>
      </c>
      <c r="F4122" s="195" t="s">
        <v>430</v>
      </c>
    </row>
    <row r="4123" spans="1:6" x14ac:dyDescent="0.25">
      <c r="A4123" s="189" t="str">
        <f t="shared" si="64"/>
        <v>CL-MD 970.623.9S</v>
      </c>
      <c r="B4123" s="195" t="s">
        <v>577</v>
      </c>
      <c r="C4123" s="196">
        <v>0.62</v>
      </c>
      <c r="D4123" s="196">
        <v>3.9</v>
      </c>
      <c r="E4123" s="195" t="s">
        <v>583</v>
      </c>
      <c r="F4123" s="195" t="s">
        <v>438</v>
      </c>
    </row>
    <row r="4124" spans="1:6" x14ac:dyDescent="0.25">
      <c r="A4124" s="189" t="str">
        <f t="shared" si="64"/>
        <v>CL-MD 973.94.51N</v>
      </c>
      <c r="B4124" s="195" t="s">
        <v>577</v>
      </c>
      <c r="C4124" s="196">
        <v>3.9</v>
      </c>
      <c r="D4124" s="196">
        <v>4.51</v>
      </c>
      <c r="E4124" s="195" t="s">
        <v>583</v>
      </c>
      <c r="F4124" s="195" t="s">
        <v>430</v>
      </c>
    </row>
    <row r="4125" spans="1:6" x14ac:dyDescent="0.25">
      <c r="A4125" s="189" t="str">
        <f t="shared" si="64"/>
        <v>CL-MD 973.94.51S</v>
      </c>
      <c r="B4125" s="195" t="s">
        <v>577</v>
      </c>
      <c r="C4125" s="196">
        <v>3.9</v>
      </c>
      <c r="D4125" s="196">
        <v>4.51</v>
      </c>
      <c r="E4125" s="195" t="s">
        <v>583</v>
      </c>
      <c r="F4125" s="195" t="s">
        <v>438</v>
      </c>
    </row>
    <row r="4126" spans="1:6" x14ac:dyDescent="0.25">
      <c r="A4126" s="189" t="str">
        <f t="shared" si="64"/>
        <v>CL-MD 974.515.3N</v>
      </c>
      <c r="B4126" s="195" t="s">
        <v>577</v>
      </c>
      <c r="C4126" s="196">
        <v>4.51</v>
      </c>
      <c r="D4126" s="196">
        <v>5.3</v>
      </c>
      <c r="E4126" s="195" t="s">
        <v>583</v>
      </c>
      <c r="F4126" s="195" t="s">
        <v>430</v>
      </c>
    </row>
    <row r="4127" spans="1:6" x14ac:dyDescent="0.25">
      <c r="A4127" s="189" t="str">
        <f t="shared" si="64"/>
        <v>CL-MD 974.515.3S</v>
      </c>
      <c r="B4127" s="195" t="s">
        <v>577</v>
      </c>
      <c r="C4127" s="196">
        <v>4.51</v>
      </c>
      <c r="D4127" s="196">
        <v>5.3</v>
      </c>
      <c r="E4127" s="195" t="s">
        <v>583</v>
      </c>
      <c r="F4127" s="195" t="s">
        <v>438</v>
      </c>
    </row>
    <row r="4128" spans="1:6" x14ac:dyDescent="0.25">
      <c r="A4128" s="189" t="str">
        <f t="shared" si="64"/>
        <v>CL-MD 975.35.71N</v>
      </c>
      <c r="B4128" s="195" t="s">
        <v>577</v>
      </c>
      <c r="C4128" s="196">
        <v>5.3</v>
      </c>
      <c r="D4128" s="196">
        <v>5.71</v>
      </c>
      <c r="E4128" s="195" t="s">
        <v>583</v>
      </c>
      <c r="F4128" s="195" t="s">
        <v>430</v>
      </c>
    </row>
    <row r="4129" spans="1:6" x14ac:dyDescent="0.25">
      <c r="A4129" s="189" t="str">
        <f t="shared" si="64"/>
        <v>CL-MD 975.35.71S</v>
      </c>
      <c r="B4129" s="195" t="s">
        <v>577</v>
      </c>
      <c r="C4129" s="196">
        <v>5.3</v>
      </c>
      <c r="D4129" s="196">
        <v>5.71</v>
      </c>
      <c r="E4129" s="195" t="s">
        <v>583</v>
      </c>
      <c r="F4129" s="195" t="s">
        <v>438</v>
      </c>
    </row>
    <row r="4130" spans="1:6" x14ac:dyDescent="0.25">
      <c r="A4130" s="189" t="str">
        <f t="shared" si="64"/>
        <v>CL-MD 975.717.45N</v>
      </c>
      <c r="B4130" s="195" t="s">
        <v>577</v>
      </c>
      <c r="C4130" s="196">
        <v>5.71</v>
      </c>
      <c r="D4130" s="196">
        <v>7.45</v>
      </c>
      <c r="E4130" s="195" t="s">
        <v>583</v>
      </c>
      <c r="F4130" s="195" t="s">
        <v>430</v>
      </c>
    </row>
    <row r="4131" spans="1:6" x14ac:dyDescent="0.25">
      <c r="A4131" s="189" t="str">
        <f t="shared" si="64"/>
        <v>CL-MD 975.717.45S</v>
      </c>
      <c r="B4131" s="195" t="s">
        <v>577</v>
      </c>
      <c r="C4131" s="196">
        <v>5.71</v>
      </c>
      <c r="D4131" s="196">
        <v>7.45</v>
      </c>
      <c r="E4131" s="195" t="s">
        <v>583</v>
      </c>
      <c r="F4131" s="195" t="s">
        <v>438</v>
      </c>
    </row>
    <row r="4132" spans="1:6" x14ac:dyDescent="0.25">
      <c r="A4132" s="189" t="str">
        <f t="shared" si="64"/>
        <v>CL-MD 977.459.14N</v>
      </c>
      <c r="B4132" s="195" t="s">
        <v>577</v>
      </c>
      <c r="C4132" s="196">
        <v>7.45</v>
      </c>
      <c r="D4132" s="196">
        <v>9.14</v>
      </c>
      <c r="E4132" s="195" t="s">
        <v>583</v>
      </c>
      <c r="F4132" s="195" t="s">
        <v>430</v>
      </c>
    </row>
    <row r="4133" spans="1:6" x14ac:dyDescent="0.25">
      <c r="A4133" s="189" t="str">
        <f t="shared" si="64"/>
        <v>CL-MD 977.459.14S</v>
      </c>
      <c r="B4133" s="195" t="s">
        <v>577</v>
      </c>
      <c r="C4133" s="196">
        <v>7.45</v>
      </c>
      <c r="D4133" s="196">
        <v>9.14</v>
      </c>
      <c r="E4133" s="195" t="s">
        <v>583</v>
      </c>
      <c r="F4133" s="195" t="s">
        <v>438</v>
      </c>
    </row>
    <row r="4134" spans="1:6" x14ac:dyDescent="0.25">
      <c r="A4134" s="189" t="str">
        <f t="shared" si="64"/>
        <v>CL-MD 979.1412.43N</v>
      </c>
      <c r="B4134" s="195" t="s">
        <v>577</v>
      </c>
      <c r="C4134" s="196">
        <v>9.14</v>
      </c>
      <c r="D4134" s="196">
        <v>12.43</v>
      </c>
      <c r="E4134" s="195" t="s">
        <v>583</v>
      </c>
      <c r="F4134" s="195" t="s">
        <v>430</v>
      </c>
    </row>
    <row r="4135" spans="1:6" x14ac:dyDescent="0.25">
      <c r="A4135" s="189" t="str">
        <f t="shared" si="64"/>
        <v>CL-MD 979.1412.43S</v>
      </c>
      <c r="B4135" s="195" t="s">
        <v>577</v>
      </c>
      <c r="C4135" s="196">
        <v>9.14</v>
      </c>
      <c r="D4135" s="196">
        <v>12.43</v>
      </c>
      <c r="E4135" s="195" t="s">
        <v>583</v>
      </c>
      <c r="F4135" s="195" t="s">
        <v>438</v>
      </c>
    </row>
    <row r="4136" spans="1:6" x14ac:dyDescent="0.25">
      <c r="A4136" s="189" t="str">
        <f t="shared" si="64"/>
        <v>CL-MD 9712.4313.75N</v>
      </c>
      <c r="B4136" s="195" t="s">
        <v>577</v>
      </c>
      <c r="C4136" s="196">
        <v>12.43</v>
      </c>
      <c r="D4136" s="196">
        <v>13.75</v>
      </c>
      <c r="E4136" s="195" t="s">
        <v>583</v>
      </c>
      <c r="F4136" s="195" t="s">
        <v>430</v>
      </c>
    </row>
    <row r="4137" spans="1:6" x14ac:dyDescent="0.25">
      <c r="A4137" s="189" t="str">
        <f t="shared" si="64"/>
        <v>CL-MD 9712.4313.75S</v>
      </c>
      <c r="B4137" s="195" t="s">
        <v>577</v>
      </c>
      <c r="C4137" s="196">
        <v>12.43</v>
      </c>
      <c r="D4137" s="196">
        <v>13.75</v>
      </c>
      <c r="E4137" s="195" t="s">
        <v>583</v>
      </c>
      <c r="F4137" s="195" t="s">
        <v>438</v>
      </c>
    </row>
    <row r="4138" spans="1:6" x14ac:dyDescent="0.25">
      <c r="A4138" s="189" t="str">
        <f t="shared" si="64"/>
        <v>CL-MD 9713.7514.7N</v>
      </c>
      <c r="B4138" s="195" t="s">
        <v>577</v>
      </c>
      <c r="C4138" s="196">
        <v>13.75</v>
      </c>
      <c r="D4138" s="196">
        <v>14.7</v>
      </c>
      <c r="E4138" s="195" t="s">
        <v>583</v>
      </c>
      <c r="F4138" s="195" t="s">
        <v>430</v>
      </c>
    </row>
    <row r="4139" spans="1:6" x14ac:dyDescent="0.25">
      <c r="A4139" s="189" t="str">
        <f t="shared" si="64"/>
        <v>CL-MD 9713.7514.7S</v>
      </c>
      <c r="B4139" s="195" t="s">
        <v>577</v>
      </c>
      <c r="C4139" s="196">
        <v>13.75</v>
      </c>
      <c r="D4139" s="196">
        <v>14.7</v>
      </c>
      <c r="E4139" s="195" t="s">
        <v>583</v>
      </c>
      <c r="F4139" s="195" t="s">
        <v>438</v>
      </c>
    </row>
    <row r="4140" spans="1:6" x14ac:dyDescent="0.25">
      <c r="A4140" s="189" t="str">
        <f t="shared" si="64"/>
        <v>CL-MD 9715.6117.93N</v>
      </c>
      <c r="B4140" s="195" t="s">
        <v>577</v>
      </c>
      <c r="C4140" s="196">
        <v>15.61</v>
      </c>
      <c r="D4140" s="196">
        <v>17.93</v>
      </c>
      <c r="E4140" s="195" t="s">
        <v>583</v>
      </c>
      <c r="F4140" s="195" t="s">
        <v>430</v>
      </c>
    </row>
    <row r="4141" spans="1:6" x14ac:dyDescent="0.25">
      <c r="A4141" s="189" t="str">
        <f t="shared" si="64"/>
        <v>CL-MD 9715.6117.93S</v>
      </c>
      <c r="B4141" s="195" t="s">
        <v>577</v>
      </c>
      <c r="C4141" s="196">
        <v>15.61</v>
      </c>
      <c r="D4141" s="196">
        <v>17.93</v>
      </c>
      <c r="E4141" s="195" t="s">
        <v>583</v>
      </c>
      <c r="F4141" s="195" t="s">
        <v>438</v>
      </c>
    </row>
    <row r="4142" spans="1:6" x14ac:dyDescent="0.25">
      <c r="A4142" s="189" t="str">
        <f t="shared" si="64"/>
        <v>CL-MD 9717.9319.92N</v>
      </c>
      <c r="B4142" s="195" t="s">
        <v>577</v>
      </c>
      <c r="C4142" s="196">
        <v>17.93</v>
      </c>
      <c r="D4142" s="196">
        <v>19.920000000000002</v>
      </c>
      <c r="E4142" s="195" t="s">
        <v>583</v>
      </c>
      <c r="F4142" s="195" t="s">
        <v>430</v>
      </c>
    </row>
    <row r="4143" spans="1:6" x14ac:dyDescent="0.25">
      <c r="A4143" s="189" t="str">
        <f t="shared" si="64"/>
        <v>CL-MD 9717.9319.92S</v>
      </c>
      <c r="B4143" s="195" t="s">
        <v>577</v>
      </c>
      <c r="C4143" s="196">
        <v>17.93</v>
      </c>
      <c r="D4143" s="196">
        <v>19.920000000000002</v>
      </c>
      <c r="E4143" s="195" t="s">
        <v>583</v>
      </c>
      <c r="F4143" s="195" t="s">
        <v>438</v>
      </c>
    </row>
    <row r="4144" spans="1:6" x14ac:dyDescent="0.25">
      <c r="A4144" s="189" t="str">
        <f t="shared" si="64"/>
        <v>CL-MD 9719.9221.32N</v>
      </c>
      <c r="B4144" s="195" t="s">
        <v>577</v>
      </c>
      <c r="C4144" s="196">
        <v>19.920000000000002</v>
      </c>
      <c r="D4144" s="196">
        <v>21.32</v>
      </c>
      <c r="E4144" s="195" t="s">
        <v>583</v>
      </c>
      <c r="F4144" s="195" t="s">
        <v>430</v>
      </c>
    </row>
    <row r="4145" spans="1:6" x14ac:dyDescent="0.25">
      <c r="A4145" s="189" t="str">
        <f t="shared" si="64"/>
        <v>CL-MD 9719.9221.32S</v>
      </c>
      <c r="B4145" s="195" t="s">
        <v>577</v>
      </c>
      <c r="C4145" s="196">
        <v>19.920000000000002</v>
      </c>
      <c r="D4145" s="196">
        <v>21.32</v>
      </c>
      <c r="E4145" s="195" t="s">
        <v>583</v>
      </c>
      <c r="F4145" s="195" t="s">
        <v>438</v>
      </c>
    </row>
    <row r="4146" spans="1:6" x14ac:dyDescent="0.25">
      <c r="A4146" s="189" t="str">
        <f t="shared" si="64"/>
        <v>CL-MD 9721.3221.37S</v>
      </c>
      <c r="B4146" s="195" t="s">
        <v>577</v>
      </c>
      <c r="C4146" s="196">
        <v>21.32</v>
      </c>
      <c r="D4146" s="196">
        <v>21.37</v>
      </c>
      <c r="E4146" s="195" t="s">
        <v>595</v>
      </c>
      <c r="F4146" s="195" t="s">
        <v>438</v>
      </c>
    </row>
    <row r="4147" spans="1:6" x14ac:dyDescent="0.25">
      <c r="A4147" s="189" t="str">
        <f t="shared" si="64"/>
        <v>CL-MD 9721.3228.31N</v>
      </c>
      <c r="B4147" s="195" t="s">
        <v>577</v>
      </c>
      <c r="C4147" s="196">
        <v>21.32</v>
      </c>
      <c r="D4147" s="196">
        <v>28.31</v>
      </c>
      <c r="E4147" s="195" t="s">
        <v>589</v>
      </c>
      <c r="F4147" s="195" t="s">
        <v>430</v>
      </c>
    </row>
    <row r="4148" spans="1:6" x14ac:dyDescent="0.25">
      <c r="A4148" s="189" t="str">
        <f t="shared" si="64"/>
        <v>CL-MD 9721.3721.56S</v>
      </c>
      <c r="B4148" s="195" t="s">
        <v>577</v>
      </c>
      <c r="C4148" s="196">
        <v>21.37</v>
      </c>
      <c r="D4148" s="196">
        <v>21.56</v>
      </c>
      <c r="E4148" s="195" t="s">
        <v>595</v>
      </c>
      <c r="F4148" s="195" t="s">
        <v>438</v>
      </c>
    </row>
    <row r="4149" spans="1:6" x14ac:dyDescent="0.25">
      <c r="A4149" s="189" t="str">
        <f t="shared" si="64"/>
        <v>CL-MD 9721.5628.31S</v>
      </c>
      <c r="B4149" s="195" t="s">
        <v>577</v>
      </c>
      <c r="C4149" s="196">
        <v>21.56</v>
      </c>
      <c r="D4149" s="196">
        <v>28.31</v>
      </c>
      <c r="E4149" s="195" t="s">
        <v>595</v>
      </c>
      <c r="F4149" s="195" t="s">
        <v>438</v>
      </c>
    </row>
    <row r="4150" spans="1:6" x14ac:dyDescent="0.25">
      <c r="A4150" s="189" t="str">
        <f t="shared" si="64"/>
        <v>CO-MD 161.112.76E</v>
      </c>
      <c r="B4150" s="195" t="s">
        <v>2253</v>
      </c>
      <c r="C4150" s="196">
        <v>1.1000000000000001</v>
      </c>
      <c r="D4150" s="196">
        <v>12.76</v>
      </c>
      <c r="E4150" s="195" t="s">
        <v>598</v>
      </c>
      <c r="F4150" s="195" t="s">
        <v>19</v>
      </c>
    </row>
    <row r="4151" spans="1:6" x14ac:dyDescent="0.25">
      <c r="A4151" s="189" t="str">
        <f t="shared" si="64"/>
        <v>CO-MD 161.112.76W</v>
      </c>
      <c r="B4151" s="195" t="s">
        <v>2253</v>
      </c>
      <c r="C4151" s="196">
        <v>1.1000000000000001</v>
      </c>
      <c r="D4151" s="196">
        <v>12.76</v>
      </c>
      <c r="E4151" s="195" t="s">
        <v>593</v>
      </c>
      <c r="F4151" s="195" t="s">
        <v>432</v>
      </c>
    </row>
    <row r="4152" spans="1:6" x14ac:dyDescent="0.25">
      <c r="A4152" s="189" t="str">
        <f t="shared" si="64"/>
        <v>CO-MD 1615.9318.43E</v>
      </c>
      <c r="B4152" s="195" t="s">
        <v>2253</v>
      </c>
      <c r="C4152" s="196">
        <v>15.93</v>
      </c>
      <c r="D4152" s="196">
        <v>18.43</v>
      </c>
      <c r="E4152" s="195" t="s">
        <v>598</v>
      </c>
      <c r="F4152" s="195" t="s">
        <v>19</v>
      </c>
    </row>
    <row r="4153" spans="1:6" x14ac:dyDescent="0.25">
      <c r="A4153" s="189" t="str">
        <f t="shared" si="64"/>
        <v>CO-MD 1615.9318.43W</v>
      </c>
      <c r="B4153" s="195" t="s">
        <v>2253</v>
      </c>
      <c r="C4153" s="196">
        <v>15.93</v>
      </c>
      <c r="D4153" s="196">
        <v>18.43</v>
      </c>
      <c r="E4153" s="195" t="s">
        <v>593</v>
      </c>
      <c r="F4153" s="195" t="s">
        <v>432</v>
      </c>
    </row>
    <row r="4154" spans="1:6" x14ac:dyDescent="0.25">
      <c r="A4154" s="189" t="str">
        <f t="shared" si="64"/>
        <v>CO-MD 16A00.04E</v>
      </c>
      <c r="B4154" s="195" t="s">
        <v>2254</v>
      </c>
      <c r="C4154" s="196">
        <v>0</v>
      </c>
      <c r="D4154" s="196">
        <v>0.04</v>
      </c>
      <c r="E4154" s="195" t="s">
        <v>598</v>
      </c>
      <c r="F4154" s="195" t="s">
        <v>19</v>
      </c>
    </row>
    <row r="4155" spans="1:6" x14ac:dyDescent="0.25">
      <c r="A4155" s="189" t="str">
        <f t="shared" si="64"/>
        <v>CO-MD 16A00.04W</v>
      </c>
      <c r="B4155" s="195" t="s">
        <v>2254</v>
      </c>
      <c r="C4155" s="196">
        <v>0</v>
      </c>
      <c r="D4155" s="196">
        <v>0.04</v>
      </c>
      <c r="E4155" s="195" t="s">
        <v>593</v>
      </c>
      <c r="F4155" s="195" t="s">
        <v>432</v>
      </c>
    </row>
    <row r="4156" spans="1:6" x14ac:dyDescent="0.25">
      <c r="A4156" s="189" t="str">
        <f t="shared" si="64"/>
        <v>CO-MD 28700.3E</v>
      </c>
      <c r="B4156" s="195" t="s">
        <v>2255</v>
      </c>
      <c r="C4156" s="196">
        <v>0</v>
      </c>
      <c r="D4156" s="196">
        <v>0.3</v>
      </c>
      <c r="E4156" s="195" t="s">
        <v>583</v>
      </c>
      <c r="F4156" s="195" t="s">
        <v>19</v>
      </c>
    </row>
    <row r="4157" spans="1:6" x14ac:dyDescent="0.25">
      <c r="A4157" s="189" t="str">
        <f t="shared" si="64"/>
        <v>CO-MD 28700.3W</v>
      </c>
      <c r="B4157" s="195" t="s">
        <v>2255</v>
      </c>
      <c r="C4157" s="196">
        <v>0</v>
      </c>
      <c r="D4157" s="196">
        <v>0.3</v>
      </c>
      <c r="E4157" s="195" t="s">
        <v>583</v>
      </c>
      <c r="F4157" s="195" t="s">
        <v>432</v>
      </c>
    </row>
    <row r="4158" spans="1:6" x14ac:dyDescent="0.25">
      <c r="A4158" s="189" t="str">
        <f t="shared" si="64"/>
        <v>CO-MD 2870.32.88E</v>
      </c>
      <c r="B4158" s="195" t="s">
        <v>2255</v>
      </c>
      <c r="C4158" s="196">
        <v>0.3</v>
      </c>
      <c r="D4158" s="196">
        <v>2.88</v>
      </c>
      <c r="E4158" s="195" t="s">
        <v>583</v>
      </c>
      <c r="F4158" s="195" t="s">
        <v>19</v>
      </c>
    </row>
    <row r="4159" spans="1:6" x14ac:dyDescent="0.25">
      <c r="A4159" s="189" t="str">
        <f t="shared" si="64"/>
        <v>CO-MD 2870.32.88W</v>
      </c>
      <c r="B4159" s="195" t="s">
        <v>2255</v>
      </c>
      <c r="C4159" s="196">
        <v>0.3</v>
      </c>
      <c r="D4159" s="196">
        <v>2.88</v>
      </c>
      <c r="E4159" s="195" t="s">
        <v>583</v>
      </c>
      <c r="F4159" s="195" t="s">
        <v>432</v>
      </c>
    </row>
    <row r="4160" spans="1:6" x14ac:dyDescent="0.25">
      <c r="A4160" s="189" t="str">
        <f t="shared" si="64"/>
        <v>CO-MD 30201.39E</v>
      </c>
      <c r="B4160" s="195" t="s">
        <v>2256</v>
      </c>
      <c r="C4160" s="196">
        <v>0</v>
      </c>
      <c r="D4160" s="196">
        <v>1.39</v>
      </c>
      <c r="E4160" s="195" t="s">
        <v>583</v>
      </c>
      <c r="F4160" s="195" t="s">
        <v>19</v>
      </c>
    </row>
    <row r="4161" spans="1:6" x14ac:dyDescent="0.25">
      <c r="A4161" s="189" t="str">
        <f t="shared" si="64"/>
        <v>CO-MD 30201.39W</v>
      </c>
      <c r="B4161" s="195" t="s">
        <v>2256</v>
      </c>
      <c r="C4161" s="196">
        <v>0</v>
      </c>
      <c r="D4161" s="196">
        <v>1.39</v>
      </c>
      <c r="E4161" s="195" t="s">
        <v>583</v>
      </c>
      <c r="F4161" s="195" t="s">
        <v>432</v>
      </c>
    </row>
    <row r="4162" spans="1:6" x14ac:dyDescent="0.25">
      <c r="A4162" s="189" t="str">
        <f t="shared" si="64"/>
        <v>CO-MD 3021.392.56E</v>
      </c>
      <c r="B4162" s="195" t="s">
        <v>2256</v>
      </c>
      <c r="C4162" s="196">
        <v>1.39</v>
      </c>
      <c r="D4162" s="196">
        <v>2.56</v>
      </c>
      <c r="E4162" s="195" t="s">
        <v>583</v>
      </c>
      <c r="F4162" s="195" t="s">
        <v>19</v>
      </c>
    </row>
    <row r="4163" spans="1:6" x14ac:dyDescent="0.25">
      <c r="A4163" s="189" t="str">
        <f t="shared" ref="A4163:A4226" si="65">B4163&amp;C4163&amp;D4163&amp;F4163</f>
        <v>CO-MD 3021.392.56W</v>
      </c>
      <c r="B4163" s="195" t="s">
        <v>2256</v>
      </c>
      <c r="C4163" s="196">
        <v>1.39</v>
      </c>
      <c r="D4163" s="196">
        <v>2.56</v>
      </c>
      <c r="E4163" s="195" t="s">
        <v>583</v>
      </c>
      <c r="F4163" s="195" t="s">
        <v>432</v>
      </c>
    </row>
    <row r="4164" spans="1:6" x14ac:dyDescent="0.25">
      <c r="A4164" s="189" t="str">
        <f t="shared" si="65"/>
        <v>CO-MD 304A00.48E</v>
      </c>
      <c r="B4164" s="195" t="s">
        <v>2257</v>
      </c>
      <c r="C4164" s="196">
        <v>0</v>
      </c>
      <c r="D4164" s="196">
        <v>0.48</v>
      </c>
      <c r="E4164" s="195" t="s">
        <v>598</v>
      </c>
      <c r="F4164" s="195" t="s">
        <v>19</v>
      </c>
    </row>
    <row r="4165" spans="1:6" x14ac:dyDescent="0.25">
      <c r="A4165" s="189" t="str">
        <f t="shared" si="65"/>
        <v>CO-MD 304A00.48W</v>
      </c>
      <c r="B4165" s="195" t="s">
        <v>2257</v>
      </c>
      <c r="C4165" s="196">
        <v>0</v>
      </c>
      <c r="D4165" s="196">
        <v>0.48</v>
      </c>
      <c r="E4165" s="195" t="s">
        <v>593</v>
      </c>
      <c r="F4165" s="195" t="s">
        <v>432</v>
      </c>
    </row>
    <row r="4166" spans="1:6" x14ac:dyDescent="0.25">
      <c r="A4166" s="189" t="str">
        <f t="shared" si="65"/>
        <v>CO-MD 30604.13E</v>
      </c>
      <c r="B4166" s="195" t="s">
        <v>2258</v>
      </c>
      <c r="C4166" s="196">
        <v>0</v>
      </c>
      <c r="D4166" s="196">
        <v>4.13</v>
      </c>
      <c r="E4166" s="195" t="s">
        <v>583</v>
      </c>
      <c r="F4166" s="195" t="s">
        <v>19</v>
      </c>
    </row>
    <row r="4167" spans="1:6" x14ac:dyDescent="0.25">
      <c r="A4167" s="189" t="str">
        <f t="shared" si="65"/>
        <v>CO-MD 30604.13W</v>
      </c>
      <c r="B4167" s="195" t="s">
        <v>2258</v>
      </c>
      <c r="C4167" s="196">
        <v>0</v>
      </c>
      <c r="D4167" s="196">
        <v>4.13</v>
      </c>
      <c r="E4167" s="195" t="s">
        <v>583</v>
      </c>
      <c r="F4167" s="195" t="s">
        <v>432</v>
      </c>
    </row>
    <row r="4168" spans="1:6" x14ac:dyDescent="0.25">
      <c r="A4168" s="189" t="str">
        <f t="shared" si="65"/>
        <v>CO-MD 30700.53N</v>
      </c>
      <c r="B4168" s="195" t="s">
        <v>2259</v>
      </c>
      <c r="C4168" s="196">
        <v>0</v>
      </c>
      <c r="D4168" s="196">
        <v>0.53</v>
      </c>
      <c r="E4168" s="195" t="s">
        <v>589</v>
      </c>
      <c r="F4168" s="195" t="s">
        <v>430</v>
      </c>
    </row>
    <row r="4169" spans="1:6" x14ac:dyDescent="0.25">
      <c r="A4169" s="189" t="str">
        <f t="shared" si="65"/>
        <v>CO-MD 30700.53S</v>
      </c>
      <c r="B4169" s="195" t="s">
        <v>2259</v>
      </c>
      <c r="C4169" s="196">
        <v>0</v>
      </c>
      <c r="D4169" s="196">
        <v>0.53</v>
      </c>
      <c r="E4169" s="195" t="s">
        <v>595</v>
      </c>
      <c r="F4169" s="195" t="s">
        <v>438</v>
      </c>
    </row>
    <row r="4170" spans="1:6" x14ac:dyDescent="0.25">
      <c r="A4170" s="189" t="str">
        <f t="shared" si="65"/>
        <v>CO-MD 3070.550.93N</v>
      </c>
      <c r="B4170" s="195" t="s">
        <v>2259</v>
      </c>
      <c r="C4170" s="196">
        <v>0.55000000000000004</v>
      </c>
      <c r="D4170" s="196">
        <v>0.93</v>
      </c>
      <c r="E4170" s="195" t="s">
        <v>589</v>
      </c>
      <c r="F4170" s="195" t="s">
        <v>430</v>
      </c>
    </row>
    <row r="4171" spans="1:6" x14ac:dyDescent="0.25">
      <c r="A4171" s="189" t="str">
        <f t="shared" si="65"/>
        <v>CO-MD 3070.550.93S</v>
      </c>
      <c r="B4171" s="195" t="s">
        <v>2259</v>
      </c>
      <c r="C4171" s="196">
        <v>0.55000000000000004</v>
      </c>
      <c r="D4171" s="196">
        <v>0.93</v>
      </c>
      <c r="E4171" s="195" t="s">
        <v>595</v>
      </c>
      <c r="F4171" s="195" t="s">
        <v>438</v>
      </c>
    </row>
    <row r="4172" spans="1:6" x14ac:dyDescent="0.25">
      <c r="A4172" s="189" t="str">
        <f t="shared" si="65"/>
        <v>CO-MD 30800.12N</v>
      </c>
      <c r="B4172" s="195" t="s">
        <v>2260</v>
      </c>
      <c r="C4172" s="196">
        <v>0</v>
      </c>
      <c r="D4172" s="196">
        <v>0.12</v>
      </c>
      <c r="E4172" s="195" t="s">
        <v>589</v>
      </c>
      <c r="F4172" s="195" t="s">
        <v>430</v>
      </c>
    </row>
    <row r="4173" spans="1:6" x14ac:dyDescent="0.25">
      <c r="A4173" s="189" t="str">
        <f t="shared" si="65"/>
        <v>CO-MD 30800.12S</v>
      </c>
      <c r="B4173" s="195" t="s">
        <v>2260</v>
      </c>
      <c r="C4173" s="196">
        <v>0</v>
      </c>
      <c r="D4173" s="196">
        <v>0.12</v>
      </c>
      <c r="E4173" s="195" t="s">
        <v>595</v>
      </c>
      <c r="F4173" s="195" t="s">
        <v>438</v>
      </c>
    </row>
    <row r="4174" spans="1:6" x14ac:dyDescent="0.25">
      <c r="A4174" s="189" t="str">
        <f t="shared" si="65"/>
        <v>CO-MD 31106.11N</v>
      </c>
      <c r="B4174" s="195" t="s">
        <v>2261</v>
      </c>
      <c r="C4174" s="196">
        <v>0</v>
      </c>
      <c r="D4174" s="196">
        <v>6.11</v>
      </c>
      <c r="E4174" s="195" t="s">
        <v>583</v>
      </c>
      <c r="F4174" s="195" t="s">
        <v>430</v>
      </c>
    </row>
    <row r="4175" spans="1:6" x14ac:dyDescent="0.25">
      <c r="A4175" s="189" t="str">
        <f t="shared" si="65"/>
        <v>CO-MD 31106.11S</v>
      </c>
      <c r="B4175" s="195" t="s">
        <v>2261</v>
      </c>
      <c r="C4175" s="196">
        <v>0</v>
      </c>
      <c r="D4175" s="196">
        <v>6.11</v>
      </c>
      <c r="E4175" s="195" t="s">
        <v>583</v>
      </c>
      <c r="F4175" s="195" t="s">
        <v>438</v>
      </c>
    </row>
    <row r="4176" spans="1:6" x14ac:dyDescent="0.25">
      <c r="A4176" s="189" t="str">
        <f t="shared" si="65"/>
        <v>CO-MD 31201.42N</v>
      </c>
      <c r="B4176" s="195" t="s">
        <v>2262</v>
      </c>
      <c r="C4176" s="196">
        <v>0</v>
      </c>
      <c r="D4176" s="196">
        <v>1.42</v>
      </c>
      <c r="E4176" s="195" t="s">
        <v>583</v>
      </c>
      <c r="F4176" s="195" t="s">
        <v>430</v>
      </c>
    </row>
    <row r="4177" spans="1:6" x14ac:dyDescent="0.25">
      <c r="A4177" s="189" t="str">
        <f t="shared" si="65"/>
        <v>CO-MD 31201.42S</v>
      </c>
      <c r="B4177" s="195" t="s">
        <v>2262</v>
      </c>
      <c r="C4177" s="196">
        <v>0</v>
      </c>
      <c r="D4177" s="196">
        <v>1.42</v>
      </c>
      <c r="E4177" s="195" t="s">
        <v>583</v>
      </c>
      <c r="F4177" s="195" t="s">
        <v>438</v>
      </c>
    </row>
    <row r="4178" spans="1:6" x14ac:dyDescent="0.25">
      <c r="A4178" s="189" t="str">
        <f t="shared" si="65"/>
        <v>CO-MD 3121.422.3N</v>
      </c>
      <c r="B4178" s="195" t="s">
        <v>2262</v>
      </c>
      <c r="C4178" s="196">
        <v>1.42</v>
      </c>
      <c r="D4178" s="196">
        <v>2.2999999999999998</v>
      </c>
      <c r="E4178" s="195" t="s">
        <v>583</v>
      </c>
      <c r="F4178" s="195" t="s">
        <v>430</v>
      </c>
    </row>
    <row r="4179" spans="1:6" x14ac:dyDescent="0.25">
      <c r="A4179" s="189" t="str">
        <f t="shared" si="65"/>
        <v>CO-MD 3121.422.3S</v>
      </c>
      <c r="B4179" s="195" t="s">
        <v>2262</v>
      </c>
      <c r="C4179" s="196">
        <v>1.42</v>
      </c>
      <c r="D4179" s="196">
        <v>2.2999999999999998</v>
      </c>
      <c r="E4179" s="195" t="s">
        <v>583</v>
      </c>
      <c r="F4179" s="195" t="s">
        <v>438</v>
      </c>
    </row>
    <row r="4180" spans="1:6" x14ac:dyDescent="0.25">
      <c r="A4180" s="189" t="str">
        <f t="shared" si="65"/>
        <v>CO-MD 3122.33.55N</v>
      </c>
      <c r="B4180" s="195" t="s">
        <v>2262</v>
      </c>
      <c r="C4180" s="196">
        <v>2.2999999999999998</v>
      </c>
      <c r="D4180" s="196">
        <v>3.55</v>
      </c>
      <c r="E4180" s="195" t="s">
        <v>583</v>
      </c>
      <c r="F4180" s="195" t="s">
        <v>430</v>
      </c>
    </row>
    <row r="4181" spans="1:6" x14ac:dyDescent="0.25">
      <c r="A4181" s="189" t="str">
        <f t="shared" si="65"/>
        <v>CO-MD 3122.33.55S</v>
      </c>
      <c r="B4181" s="195" t="s">
        <v>2262</v>
      </c>
      <c r="C4181" s="196">
        <v>2.2999999999999998</v>
      </c>
      <c r="D4181" s="196">
        <v>3.55</v>
      </c>
      <c r="E4181" s="195" t="s">
        <v>583</v>
      </c>
      <c r="F4181" s="195" t="s">
        <v>438</v>
      </c>
    </row>
    <row r="4182" spans="1:6" x14ac:dyDescent="0.25">
      <c r="A4182" s="189" t="str">
        <f t="shared" si="65"/>
        <v>CO-MD 3123.553.7N</v>
      </c>
      <c r="B4182" s="195" t="s">
        <v>2262</v>
      </c>
      <c r="C4182" s="196">
        <v>3.55</v>
      </c>
      <c r="D4182" s="196">
        <v>3.7</v>
      </c>
      <c r="E4182" s="195" t="s">
        <v>583</v>
      </c>
      <c r="F4182" s="195" t="s">
        <v>430</v>
      </c>
    </row>
    <row r="4183" spans="1:6" x14ac:dyDescent="0.25">
      <c r="A4183" s="189" t="str">
        <f t="shared" si="65"/>
        <v>CO-MD 3123.553.7S</v>
      </c>
      <c r="B4183" s="195" t="s">
        <v>2262</v>
      </c>
      <c r="C4183" s="196">
        <v>3.55</v>
      </c>
      <c r="D4183" s="196">
        <v>3.7</v>
      </c>
      <c r="E4183" s="195" t="s">
        <v>583</v>
      </c>
      <c r="F4183" s="195" t="s">
        <v>438</v>
      </c>
    </row>
    <row r="4184" spans="1:6" x14ac:dyDescent="0.25">
      <c r="A4184" s="189" t="str">
        <f t="shared" si="65"/>
        <v>CO-MD 3123.75.89N</v>
      </c>
      <c r="B4184" s="195" t="s">
        <v>2262</v>
      </c>
      <c r="C4184" s="196">
        <v>3.7</v>
      </c>
      <c r="D4184" s="196">
        <v>5.89</v>
      </c>
      <c r="E4184" s="195" t="s">
        <v>583</v>
      </c>
      <c r="F4184" s="195" t="s">
        <v>430</v>
      </c>
    </row>
    <row r="4185" spans="1:6" x14ac:dyDescent="0.25">
      <c r="A4185" s="189" t="str">
        <f t="shared" si="65"/>
        <v>CO-MD 3123.75.89S</v>
      </c>
      <c r="B4185" s="195" t="s">
        <v>2262</v>
      </c>
      <c r="C4185" s="196">
        <v>3.7</v>
      </c>
      <c r="D4185" s="196">
        <v>5.89</v>
      </c>
      <c r="E4185" s="195" t="s">
        <v>583</v>
      </c>
      <c r="F4185" s="195" t="s">
        <v>438</v>
      </c>
    </row>
    <row r="4186" spans="1:6" x14ac:dyDescent="0.25">
      <c r="A4186" s="189" t="str">
        <f t="shared" si="65"/>
        <v>CO-MD 3125.899N</v>
      </c>
      <c r="B4186" s="195" t="s">
        <v>2262</v>
      </c>
      <c r="C4186" s="196">
        <v>5.89</v>
      </c>
      <c r="D4186" s="196">
        <v>9</v>
      </c>
      <c r="E4186" s="195" t="s">
        <v>583</v>
      </c>
      <c r="F4186" s="195" t="s">
        <v>430</v>
      </c>
    </row>
    <row r="4187" spans="1:6" x14ac:dyDescent="0.25">
      <c r="A4187" s="189" t="str">
        <f t="shared" si="65"/>
        <v>CO-MD 3125.899S</v>
      </c>
      <c r="B4187" s="195" t="s">
        <v>2262</v>
      </c>
      <c r="C4187" s="196">
        <v>5.89</v>
      </c>
      <c r="D4187" s="196">
        <v>9</v>
      </c>
      <c r="E4187" s="195" t="s">
        <v>583</v>
      </c>
      <c r="F4187" s="195" t="s">
        <v>438</v>
      </c>
    </row>
    <row r="4188" spans="1:6" x14ac:dyDescent="0.25">
      <c r="A4188" s="189" t="str">
        <f t="shared" si="65"/>
        <v>CO-MD 312911.41N</v>
      </c>
      <c r="B4188" s="195" t="s">
        <v>2262</v>
      </c>
      <c r="C4188" s="196">
        <v>9</v>
      </c>
      <c r="D4188" s="196">
        <v>11.41</v>
      </c>
      <c r="E4188" s="195" t="s">
        <v>583</v>
      </c>
      <c r="F4188" s="195" t="s">
        <v>430</v>
      </c>
    </row>
    <row r="4189" spans="1:6" x14ac:dyDescent="0.25">
      <c r="A4189" s="189" t="str">
        <f t="shared" si="65"/>
        <v>CO-MD 312911.41S</v>
      </c>
      <c r="B4189" s="195" t="s">
        <v>2262</v>
      </c>
      <c r="C4189" s="196">
        <v>9</v>
      </c>
      <c r="D4189" s="196">
        <v>11.41</v>
      </c>
      <c r="E4189" s="195" t="s">
        <v>583</v>
      </c>
      <c r="F4189" s="195" t="s">
        <v>438</v>
      </c>
    </row>
    <row r="4190" spans="1:6" x14ac:dyDescent="0.25">
      <c r="A4190" s="189" t="str">
        <f t="shared" si="65"/>
        <v>CO-MD 312A00.04E</v>
      </c>
      <c r="B4190" s="195" t="s">
        <v>2263</v>
      </c>
      <c r="C4190" s="196">
        <v>0</v>
      </c>
      <c r="D4190" s="196">
        <v>0.04</v>
      </c>
      <c r="E4190" s="195" t="s">
        <v>598</v>
      </c>
      <c r="F4190" s="195" t="s">
        <v>19</v>
      </c>
    </row>
    <row r="4191" spans="1:6" x14ac:dyDescent="0.25">
      <c r="A4191" s="189" t="str">
        <f t="shared" si="65"/>
        <v>CO-MD 31301.2N</v>
      </c>
      <c r="B4191" s="195" t="s">
        <v>2264</v>
      </c>
      <c r="C4191" s="196">
        <v>0</v>
      </c>
      <c r="D4191" s="196">
        <v>1.2</v>
      </c>
      <c r="E4191" s="195" t="s">
        <v>583</v>
      </c>
      <c r="F4191" s="195" t="s">
        <v>430</v>
      </c>
    </row>
    <row r="4192" spans="1:6" x14ac:dyDescent="0.25">
      <c r="A4192" s="189" t="str">
        <f t="shared" si="65"/>
        <v>CO-MD 31301.2S</v>
      </c>
      <c r="B4192" s="195" t="s">
        <v>2264</v>
      </c>
      <c r="C4192" s="196">
        <v>0</v>
      </c>
      <c r="D4192" s="196">
        <v>1.2</v>
      </c>
      <c r="E4192" s="195" t="s">
        <v>583</v>
      </c>
      <c r="F4192" s="195" t="s">
        <v>438</v>
      </c>
    </row>
    <row r="4193" spans="1:6" x14ac:dyDescent="0.25">
      <c r="A4193" s="189" t="str">
        <f t="shared" si="65"/>
        <v>CO-MD 3131.23.39N</v>
      </c>
      <c r="B4193" s="195" t="s">
        <v>2264</v>
      </c>
      <c r="C4193" s="196">
        <v>1.2</v>
      </c>
      <c r="D4193" s="196">
        <v>3.39</v>
      </c>
      <c r="E4193" s="195" t="s">
        <v>583</v>
      </c>
      <c r="F4193" s="195" t="s">
        <v>430</v>
      </c>
    </row>
    <row r="4194" spans="1:6" x14ac:dyDescent="0.25">
      <c r="A4194" s="189" t="str">
        <f t="shared" si="65"/>
        <v>CO-MD 3131.23.39S</v>
      </c>
      <c r="B4194" s="195" t="s">
        <v>2264</v>
      </c>
      <c r="C4194" s="196">
        <v>1.2</v>
      </c>
      <c r="D4194" s="196">
        <v>3.39</v>
      </c>
      <c r="E4194" s="195" t="s">
        <v>583</v>
      </c>
      <c r="F4194" s="195" t="s">
        <v>438</v>
      </c>
    </row>
    <row r="4195" spans="1:6" x14ac:dyDescent="0.25">
      <c r="A4195" s="189" t="str">
        <f t="shared" si="65"/>
        <v>CO-MD 3133.393.44N</v>
      </c>
      <c r="B4195" s="195" t="s">
        <v>2264</v>
      </c>
      <c r="C4195" s="196">
        <v>3.39</v>
      </c>
      <c r="D4195" s="196">
        <v>3.44</v>
      </c>
      <c r="E4195" s="195" t="s">
        <v>583</v>
      </c>
      <c r="F4195" s="195" t="s">
        <v>430</v>
      </c>
    </row>
    <row r="4196" spans="1:6" x14ac:dyDescent="0.25">
      <c r="A4196" s="189" t="str">
        <f t="shared" si="65"/>
        <v>CO-MD 3133.393.44S</v>
      </c>
      <c r="B4196" s="195" t="s">
        <v>2264</v>
      </c>
      <c r="C4196" s="196">
        <v>3.39</v>
      </c>
      <c r="D4196" s="196">
        <v>3.44</v>
      </c>
      <c r="E4196" s="195" t="s">
        <v>583</v>
      </c>
      <c r="F4196" s="195" t="s">
        <v>438</v>
      </c>
    </row>
    <row r="4197" spans="1:6" x14ac:dyDescent="0.25">
      <c r="A4197" s="189" t="str">
        <f t="shared" si="65"/>
        <v>CO-MD 3133.449.35N</v>
      </c>
      <c r="B4197" s="195" t="s">
        <v>2264</v>
      </c>
      <c r="C4197" s="196">
        <v>3.44</v>
      </c>
      <c r="D4197" s="196">
        <v>9.35</v>
      </c>
      <c r="E4197" s="195" t="s">
        <v>583</v>
      </c>
      <c r="F4197" s="195" t="s">
        <v>430</v>
      </c>
    </row>
    <row r="4198" spans="1:6" x14ac:dyDescent="0.25">
      <c r="A4198" s="189" t="str">
        <f t="shared" si="65"/>
        <v>CO-MD 3133.449.35S</v>
      </c>
      <c r="B4198" s="195" t="s">
        <v>2264</v>
      </c>
      <c r="C4198" s="196">
        <v>3.44</v>
      </c>
      <c r="D4198" s="196">
        <v>9.35</v>
      </c>
      <c r="E4198" s="195" t="s">
        <v>583</v>
      </c>
      <c r="F4198" s="195" t="s">
        <v>438</v>
      </c>
    </row>
    <row r="4199" spans="1:6" x14ac:dyDescent="0.25">
      <c r="A4199" s="189" t="str">
        <f t="shared" si="65"/>
        <v>CO-MD 3139.3513.29N</v>
      </c>
      <c r="B4199" s="195" t="s">
        <v>2264</v>
      </c>
      <c r="C4199" s="196">
        <v>9.35</v>
      </c>
      <c r="D4199" s="196">
        <v>13.29</v>
      </c>
      <c r="E4199" s="195" t="s">
        <v>583</v>
      </c>
      <c r="F4199" s="195" t="s">
        <v>430</v>
      </c>
    </row>
    <row r="4200" spans="1:6" x14ac:dyDescent="0.25">
      <c r="A4200" s="189" t="str">
        <f t="shared" si="65"/>
        <v>CO-MD 3139.3513.29S</v>
      </c>
      <c r="B4200" s="195" t="s">
        <v>2264</v>
      </c>
      <c r="C4200" s="196">
        <v>9.35</v>
      </c>
      <c r="D4200" s="196">
        <v>13.29</v>
      </c>
      <c r="E4200" s="195" t="s">
        <v>583</v>
      </c>
      <c r="F4200" s="195" t="s">
        <v>438</v>
      </c>
    </row>
    <row r="4201" spans="1:6" x14ac:dyDescent="0.25">
      <c r="A4201" s="189" t="str">
        <f t="shared" si="65"/>
        <v>CO-MD 31313.2919.16N</v>
      </c>
      <c r="B4201" s="195" t="s">
        <v>2264</v>
      </c>
      <c r="C4201" s="196">
        <v>13.29</v>
      </c>
      <c r="D4201" s="196">
        <v>19.16</v>
      </c>
      <c r="E4201" s="195" t="s">
        <v>583</v>
      </c>
      <c r="F4201" s="195" t="s">
        <v>430</v>
      </c>
    </row>
    <row r="4202" spans="1:6" x14ac:dyDescent="0.25">
      <c r="A4202" s="189" t="str">
        <f t="shared" si="65"/>
        <v>CO-MD 31313.2919.16S</v>
      </c>
      <c r="B4202" s="195" t="s">
        <v>2264</v>
      </c>
      <c r="C4202" s="196">
        <v>13.29</v>
      </c>
      <c r="D4202" s="196">
        <v>19.16</v>
      </c>
      <c r="E4202" s="195" t="s">
        <v>583</v>
      </c>
      <c r="F4202" s="195" t="s">
        <v>438</v>
      </c>
    </row>
    <row r="4203" spans="1:6" x14ac:dyDescent="0.25">
      <c r="A4203" s="189" t="str">
        <f t="shared" si="65"/>
        <v>CO-MD 31319.1625.1N</v>
      </c>
      <c r="B4203" s="195" t="s">
        <v>2264</v>
      </c>
      <c r="C4203" s="196">
        <v>19.16</v>
      </c>
      <c r="D4203" s="196">
        <v>25.1</v>
      </c>
      <c r="E4203" s="195" t="s">
        <v>583</v>
      </c>
      <c r="F4203" s="195" t="s">
        <v>430</v>
      </c>
    </row>
    <row r="4204" spans="1:6" x14ac:dyDescent="0.25">
      <c r="A4204" s="189" t="str">
        <f t="shared" si="65"/>
        <v>CO-MD 31319.1625.1S</v>
      </c>
      <c r="B4204" s="195" t="s">
        <v>2264</v>
      </c>
      <c r="C4204" s="196">
        <v>19.16</v>
      </c>
      <c r="D4204" s="196">
        <v>25.1</v>
      </c>
      <c r="E4204" s="195" t="s">
        <v>583</v>
      </c>
      <c r="F4204" s="195" t="s">
        <v>438</v>
      </c>
    </row>
    <row r="4205" spans="1:6" x14ac:dyDescent="0.25">
      <c r="A4205" s="189" t="str">
        <f t="shared" si="65"/>
        <v>CO-MD 31325.126.2N</v>
      </c>
      <c r="B4205" s="195" t="s">
        <v>2264</v>
      </c>
      <c r="C4205" s="196">
        <v>25.1</v>
      </c>
      <c r="D4205" s="196">
        <v>26.2</v>
      </c>
      <c r="E4205" s="195" t="s">
        <v>583</v>
      </c>
      <c r="F4205" s="195" t="s">
        <v>430</v>
      </c>
    </row>
    <row r="4206" spans="1:6" x14ac:dyDescent="0.25">
      <c r="A4206" s="189" t="str">
        <f t="shared" si="65"/>
        <v>CO-MD 31325.126.2S</v>
      </c>
      <c r="B4206" s="195" t="s">
        <v>2264</v>
      </c>
      <c r="C4206" s="196">
        <v>25.1</v>
      </c>
      <c r="D4206" s="196">
        <v>26.2</v>
      </c>
      <c r="E4206" s="195" t="s">
        <v>583</v>
      </c>
      <c r="F4206" s="195" t="s">
        <v>438</v>
      </c>
    </row>
    <row r="4207" spans="1:6" x14ac:dyDescent="0.25">
      <c r="A4207" s="189" t="str">
        <f t="shared" si="65"/>
        <v>CO-MD 31326.229.45N</v>
      </c>
      <c r="B4207" s="195" t="s">
        <v>2264</v>
      </c>
      <c r="C4207" s="196">
        <v>26.2</v>
      </c>
      <c r="D4207" s="196">
        <v>29.45</v>
      </c>
      <c r="E4207" s="195" t="s">
        <v>583</v>
      </c>
      <c r="F4207" s="195" t="s">
        <v>430</v>
      </c>
    </row>
    <row r="4208" spans="1:6" x14ac:dyDescent="0.25">
      <c r="A4208" s="189" t="str">
        <f t="shared" si="65"/>
        <v>CO-MD 31326.229.45S</v>
      </c>
      <c r="B4208" s="195" t="s">
        <v>2264</v>
      </c>
      <c r="C4208" s="196">
        <v>26.2</v>
      </c>
      <c r="D4208" s="196">
        <v>29.45</v>
      </c>
      <c r="E4208" s="195" t="s">
        <v>583</v>
      </c>
      <c r="F4208" s="195" t="s">
        <v>438</v>
      </c>
    </row>
    <row r="4209" spans="1:6" x14ac:dyDescent="0.25">
      <c r="A4209" s="189" t="str">
        <f t="shared" si="65"/>
        <v>CO-MD 31329.4529.47N</v>
      </c>
      <c r="B4209" s="195" t="s">
        <v>2264</v>
      </c>
      <c r="C4209" s="196">
        <v>29.45</v>
      </c>
      <c r="D4209" s="196">
        <v>29.47</v>
      </c>
      <c r="E4209" s="195" t="s">
        <v>583</v>
      </c>
      <c r="F4209" s="195" t="s">
        <v>430</v>
      </c>
    </row>
    <row r="4210" spans="1:6" x14ac:dyDescent="0.25">
      <c r="A4210" s="189" t="str">
        <f t="shared" si="65"/>
        <v>CO-MD 31329.4529.47S</v>
      </c>
      <c r="B4210" s="195" t="s">
        <v>2264</v>
      </c>
      <c r="C4210" s="196">
        <v>29.45</v>
      </c>
      <c r="D4210" s="196">
        <v>29.47</v>
      </c>
      <c r="E4210" s="195" t="s">
        <v>583</v>
      </c>
      <c r="F4210" s="195" t="s">
        <v>438</v>
      </c>
    </row>
    <row r="4211" spans="1:6" x14ac:dyDescent="0.25">
      <c r="A4211" s="189" t="str">
        <f t="shared" si="65"/>
        <v>CO-MD 31329.4729.9N</v>
      </c>
      <c r="B4211" s="195" t="s">
        <v>2264</v>
      </c>
      <c r="C4211" s="196">
        <v>29.47</v>
      </c>
      <c r="D4211" s="196">
        <v>29.9</v>
      </c>
      <c r="E4211" s="195" t="s">
        <v>583</v>
      </c>
      <c r="F4211" s="195" t="s">
        <v>430</v>
      </c>
    </row>
    <row r="4212" spans="1:6" x14ac:dyDescent="0.25">
      <c r="A4212" s="189" t="str">
        <f t="shared" si="65"/>
        <v>CO-MD 31329.4729.9S</v>
      </c>
      <c r="B4212" s="195" t="s">
        <v>2264</v>
      </c>
      <c r="C4212" s="196">
        <v>29.47</v>
      </c>
      <c r="D4212" s="196">
        <v>29.9</v>
      </c>
      <c r="E4212" s="195" t="s">
        <v>583</v>
      </c>
      <c r="F4212" s="195" t="s">
        <v>438</v>
      </c>
    </row>
    <row r="4213" spans="1:6" x14ac:dyDescent="0.25">
      <c r="A4213" s="189" t="str">
        <f t="shared" si="65"/>
        <v>CO-MD 31329.934.01N</v>
      </c>
      <c r="B4213" s="195" t="s">
        <v>2264</v>
      </c>
      <c r="C4213" s="196">
        <v>29.9</v>
      </c>
      <c r="D4213" s="196">
        <v>34.01</v>
      </c>
      <c r="E4213" s="195" t="s">
        <v>583</v>
      </c>
      <c r="F4213" s="195" t="s">
        <v>430</v>
      </c>
    </row>
    <row r="4214" spans="1:6" x14ac:dyDescent="0.25">
      <c r="A4214" s="189" t="str">
        <f t="shared" si="65"/>
        <v>CO-MD 31329.934.01S</v>
      </c>
      <c r="B4214" s="195" t="s">
        <v>2264</v>
      </c>
      <c r="C4214" s="196">
        <v>29.9</v>
      </c>
      <c r="D4214" s="196">
        <v>34.01</v>
      </c>
      <c r="E4214" s="195" t="s">
        <v>583</v>
      </c>
      <c r="F4214" s="195" t="s">
        <v>438</v>
      </c>
    </row>
    <row r="4215" spans="1:6" x14ac:dyDescent="0.25">
      <c r="A4215" s="189" t="str">
        <f t="shared" si="65"/>
        <v>CO-MD 31334.0134.15N</v>
      </c>
      <c r="B4215" s="195" t="s">
        <v>2264</v>
      </c>
      <c r="C4215" s="196">
        <v>34.01</v>
      </c>
      <c r="D4215" s="196">
        <v>34.15</v>
      </c>
      <c r="E4215" s="195" t="s">
        <v>583</v>
      </c>
      <c r="F4215" s="195" t="s">
        <v>430</v>
      </c>
    </row>
    <row r="4216" spans="1:6" x14ac:dyDescent="0.25">
      <c r="A4216" s="189" t="str">
        <f t="shared" si="65"/>
        <v>CO-MD 31334.0134.15S</v>
      </c>
      <c r="B4216" s="195" t="s">
        <v>2264</v>
      </c>
      <c r="C4216" s="196">
        <v>34.01</v>
      </c>
      <c r="D4216" s="196">
        <v>34.15</v>
      </c>
      <c r="E4216" s="195" t="s">
        <v>583</v>
      </c>
      <c r="F4216" s="195" t="s">
        <v>438</v>
      </c>
    </row>
    <row r="4217" spans="1:6" x14ac:dyDescent="0.25">
      <c r="A4217" s="189" t="str">
        <f t="shared" si="65"/>
        <v>CO-MD 31400.66E</v>
      </c>
      <c r="B4217" s="195" t="s">
        <v>2265</v>
      </c>
      <c r="C4217" s="196">
        <v>0</v>
      </c>
      <c r="D4217" s="196">
        <v>0.66</v>
      </c>
      <c r="E4217" s="195" t="s">
        <v>583</v>
      </c>
      <c r="F4217" s="195" t="s">
        <v>19</v>
      </c>
    </row>
    <row r="4218" spans="1:6" x14ac:dyDescent="0.25">
      <c r="A4218" s="189" t="str">
        <f t="shared" si="65"/>
        <v>CO-MD 31400.66W</v>
      </c>
      <c r="B4218" s="195" t="s">
        <v>2265</v>
      </c>
      <c r="C4218" s="196">
        <v>0</v>
      </c>
      <c r="D4218" s="196">
        <v>0.66</v>
      </c>
      <c r="E4218" s="195" t="s">
        <v>583</v>
      </c>
      <c r="F4218" s="195" t="s">
        <v>432</v>
      </c>
    </row>
    <row r="4219" spans="1:6" x14ac:dyDescent="0.25">
      <c r="A4219" s="189" t="str">
        <f t="shared" si="65"/>
        <v>CO-MD 3140.660.9E</v>
      </c>
      <c r="B4219" s="195" t="s">
        <v>2265</v>
      </c>
      <c r="C4219" s="196">
        <v>0.66</v>
      </c>
      <c r="D4219" s="196">
        <v>0.9</v>
      </c>
      <c r="E4219" s="195" t="s">
        <v>583</v>
      </c>
      <c r="F4219" s="195" t="s">
        <v>19</v>
      </c>
    </row>
    <row r="4220" spans="1:6" x14ac:dyDescent="0.25">
      <c r="A4220" s="189" t="str">
        <f t="shared" si="65"/>
        <v>CO-MD 3140.660.9W</v>
      </c>
      <c r="B4220" s="195" t="s">
        <v>2265</v>
      </c>
      <c r="C4220" s="196">
        <v>0.66</v>
      </c>
      <c r="D4220" s="196">
        <v>0.9</v>
      </c>
      <c r="E4220" s="195" t="s">
        <v>583</v>
      </c>
      <c r="F4220" s="195" t="s">
        <v>432</v>
      </c>
    </row>
    <row r="4221" spans="1:6" x14ac:dyDescent="0.25">
      <c r="A4221" s="189" t="str">
        <f t="shared" si="65"/>
        <v>CO-MD 3140.92.35E</v>
      </c>
      <c r="B4221" s="195" t="s">
        <v>2265</v>
      </c>
      <c r="C4221" s="196">
        <v>0.9</v>
      </c>
      <c r="D4221" s="196">
        <v>2.35</v>
      </c>
      <c r="E4221" s="195" t="s">
        <v>583</v>
      </c>
      <c r="F4221" s="195" t="s">
        <v>19</v>
      </c>
    </row>
    <row r="4222" spans="1:6" x14ac:dyDescent="0.25">
      <c r="A4222" s="189" t="str">
        <f t="shared" si="65"/>
        <v>CO-MD 3140.92.35W</v>
      </c>
      <c r="B4222" s="195" t="s">
        <v>2265</v>
      </c>
      <c r="C4222" s="196">
        <v>0.9</v>
      </c>
      <c r="D4222" s="196">
        <v>2.35</v>
      </c>
      <c r="E4222" s="195" t="s">
        <v>583</v>
      </c>
      <c r="F4222" s="195" t="s">
        <v>432</v>
      </c>
    </row>
    <row r="4223" spans="1:6" x14ac:dyDescent="0.25">
      <c r="A4223" s="189" t="str">
        <f t="shared" si="65"/>
        <v>CO-MD 3142.354.93E</v>
      </c>
      <c r="B4223" s="195" t="s">
        <v>2265</v>
      </c>
      <c r="C4223" s="196">
        <v>2.35</v>
      </c>
      <c r="D4223" s="196">
        <v>4.93</v>
      </c>
      <c r="E4223" s="195" t="s">
        <v>583</v>
      </c>
      <c r="F4223" s="195" t="s">
        <v>19</v>
      </c>
    </row>
    <row r="4224" spans="1:6" x14ac:dyDescent="0.25">
      <c r="A4224" s="189" t="str">
        <f t="shared" si="65"/>
        <v>CO-MD 3142.354.93W</v>
      </c>
      <c r="B4224" s="195" t="s">
        <v>2265</v>
      </c>
      <c r="C4224" s="196">
        <v>2.35</v>
      </c>
      <c r="D4224" s="196">
        <v>4.93</v>
      </c>
      <c r="E4224" s="195" t="s">
        <v>583</v>
      </c>
      <c r="F4224" s="195" t="s">
        <v>432</v>
      </c>
    </row>
    <row r="4225" spans="1:6" x14ac:dyDescent="0.25">
      <c r="A4225" s="189" t="str">
        <f t="shared" si="65"/>
        <v>CO-MD 314A00.1N</v>
      </c>
      <c r="B4225" s="195" t="s">
        <v>2266</v>
      </c>
      <c r="C4225" s="196">
        <v>0</v>
      </c>
      <c r="D4225" s="196">
        <v>0.1</v>
      </c>
      <c r="E4225" s="195" t="s">
        <v>589</v>
      </c>
      <c r="F4225" s="195" t="s">
        <v>430</v>
      </c>
    </row>
    <row r="4226" spans="1:6" x14ac:dyDescent="0.25">
      <c r="A4226" s="189" t="str">
        <f t="shared" si="65"/>
        <v>CO-MD 314A00.1S</v>
      </c>
      <c r="B4226" s="195" t="s">
        <v>2266</v>
      </c>
      <c r="C4226" s="196">
        <v>0</v>
      </c>
      <c r="D4226" s="196">
        <v>0.1</v>
      </c>
      <c r="E4226" s="195" t="s">
        <v>595</v>
      </c>
      <c r="F4226" s="195" t="s">
        <v>438</v>
      </c>
    </row>
    <row r="4227" spans="1:6" x14ac:dyDescent="0.25">
      <c r="A4227" s="189" t="str">
        <f t="shared" ref="A4227:A4290" si="66">B4227&amp;C4227&amp;D4227&amp;F4227</f>
        <v>CO-MD 31500.4E</v>
      </c>
      <c r="B4227" s="195" t="s">
        <v>2267</v>
      </c>
      <c r="C4227" s="196">
        <v>0</v>
      </c>
      <c r="D4227" s="196">
        <v>0.4</v>
      </c>
      <c r="E4227" s="195" t="s">
        <v>583</v>
      </c>
      <c r="F4227" s="195" t="s">
        <v>19</v>
      </c>
    </row>
    <row r="4228" spans="1:6" x14ac:dyDescent="0.25">
      <c r="A4228" s="189" t="str">
        <f t="shared" si="66"/>
        <v>CO-MD 31500.4W</v>
      </c>
      <c r="B4228" s="195" t="s">
        <v>2267</v>
      </c>
      <c r="C4228" s="196">
        <v>0</v>
      </c>
      <c r="D4228" s="196">
        <v>0.4</v>
      </c>
      <c r="E4228" s="195" t="s">
        <v>583</v>
      </c>
      <c r="F4228" s="195" t="s">
        <v>432</v>
      </c>
    </row>
    <row r="4229" spans="1:6" x14ac:dyDescent="0.25">
      <c r="A4229" s="189" t="str">
        <f t="shared" si="66"/>
        <v>CO-MD 3150.41.22E</v>
      </c>
      <c r="B4229" s="195" t="s">
        <v>2267</v>
      </c>
      <c r="C4229" s="196">
        <v>0.4</v>
      </c>
      <c r="D4229" s="196">
        <v>1.22</v>
      </c>
      <c r="E4229" s="195" t="s">
        <v>583</v>
      </c>
      <c r="F4229" s="195" t="s">
        <v>19</v>
      </c>
    </row>
    <row r="4230" spans="1:6" x14ac:dyDescent="0.25">
      <c r="A4230" s="189" t="str">
        <f t="shared" si="66"/>
        <v>CO-MD 3150.41.22W</v>
      </c>
      <c r="B4230" s="195" t="s">
        <v>2267</v>
      </c>
      <c r="C4230" s="196">
        <v>0.4</v>
      </c>
      <c r="D4230" s="196">
        <v>1.22</v>
      </c>
      <c r="E4230" s="195" t="s">
        <v>583</v>
      </c>
      <c r="F4230" s="195" t="s">
        <v>432</v>
      </c>
    </row>
    <row r="4231" spans="1:6" x14ac:dyDescent="0.25">
      <c r="A4231" s="189" t="str">
        <f t="shared" si="66"/>
        <v>CO-MD 3151.221.34E</v>
      </c>
      <c r="B4231" s="195" t="s">
        <v>2267</v>
      </c>
      <c r="C4231" s="196">
        <v>1.22</v>
      </c>
      <c r="D4231" s="196">
        <v>1.34</v>
      </c>
      <c r="E4231" s="195" t="s">
        <v>583</v>
      </c>
      <c r="F4231" s="195" t="s">
        <v>19</v>
      </c>
    </row>
    <row r="4232" spans="1:6" x14ac:dyDescent="0.25">
      <c r="A4232" s="189" t="str">
        <f t="shared" si="66"/>
        <v>CO-MD 3151.221.34W</v>
      </c>
      <c r="B4232" s="195" t="s">
        <v>2267</v>
      </c>
      <c r="C4232" s="196">
        <v>1.22</v>
      </c>
      <c r="D4232" s="196">
        <v>1.34</v>
      </c>
      <c r="E4232" s="195" t="s">
        <v>583</v>
      </c>
      <c r="F4232" s="195" t="s">
        <v>432</v>
      </c>
    </row>
    <row r="4233" spans="1:6" x14ac:dyDescent="0.25">
      <c r="A4233" s="189" t="str">
        <f t="shared" si="66"/>
        <v>CO-MD 3151.341.7E</v>
      </c>
      <c r="B4233" s="195" t="s">
        <v>2267</v>
      </c>
      <c r="C4233" s="196">
        <v>1.34</v>
      </c>
      <c r="D4233" s="196">
        <v>1.7</v>
      </c>
      <c r="E4233" s="195" t="s">
        <v>583</v>
      </c>
      <c r="F4233" s="195" t="s">
        <v>19</v>
      </c>
    </row>
    <row r="4234" spans="1:6" x14ac:dyDescent="0.25">
      <c r="A4234" s="189" t="str">
        <f t="shared" si="66"/>
        <v>CO-MD 3151.341.7W</v>
      </c>
      <c r="B4234" s="195" t="s">
        <v>2267</v>
      </c>
      <c r="C4234" s="196">
        <v>1.34</v>
      </c>
      <c r="D4234" s="196">
        <v>1.7</v>
      </c>
      <c r="E4234" s="195" t="s">
        <v>583</v>
      </c>
      <c r="F4234" s="195" t="s">
        <v>432</v>
      </c>
    </row>
    <row r="4235" spans="1:6" x14ac:dyDescent="0.25">
      <c r="A4235" s="189" t="str">
        <f t="shared" si="66"/>
        <v>CO-MD 3151.71.71E</v>
      </c>
      <c r="B4235" s="195" t="s">
        <v>2267</v>
      </c>
      <c r="C4235" s="196">
        <v>1.7</v>
      </c>
      <c r="D4235" s="196">
        <v>1.71</v>
      </c>
      <c r="E4235" s="195" t="s">
        <v>583</v>
      </c>
      <c r="F4235" s="195" t="s">
        <v>19</v>
      </c>
    </row>
    <row r="4236" spans="1:6" x14ac:dyDescent="0.25">
      <c r="A4236" s="189" t="str">
        <f t="shared" si="66"/>
        <v>CO-MD 3151.71.71W</v>
      </c>
      <c r="B4236" s="195" t="s">
        <v>2267</v>
      </c>
      <c r="C4236" s="196">
        <v>1.7</v>
      </c>
      <c r="D4236" s="196">
        <v>1.71</v>
      </c>
      <c r="E4236" s="195" t="s">
        <v>583</v>
      </c>
      <c r="F4236" s="195" t="s">
        <v>432</v>
      </c>
    </row>
    <row r="4237" spans="1:6" x14ac:dyDescent="0.25">
      <c r="A4237" s="189" t="str">
        <f t="shared" si="66"/>
        <v>CO-MD 3151.713.13E</v>
      </c>
      <c r="B4237" s="195" t="s">
        <v>2267</v>
      </c>
      <c r="C4237" s="196">
        <v>1.71</v>
      </c>
      <c r="D4237" s="196">
        <v>3.13</v>
      </c>
      <c r="E4237" s="195" t="s">
        <v>583</v>
      </c>
      <c r="F4237" s="195" t="s">
        <v>19</v>
      </c>
    </row>
    <row r="4238" spans="1:6" x14ac:dyDescent="0.25">
      <c r="A4238" s="189" t="str">
        <f t="shared" si="66"/>
        <v>CO-MD 3151.713.13W</v>
      </c>
      <c r="B4238" s="195" t="s">
        <v>2267</v>
      </c>
      <c r="C4238" s="196">
        <v>1.71</v>
      </c>
      <c r="D4238" s="196">
        <v>3.13</v>
      </c>
      <c r="E4238" s="195" t="s">
        <v>583</v>
      </c>
      <c r="F4238" s="195" t="s">
        <v>432</v>
      </c>
    </row>
    <row r="4239" spans="1:6" x14ac:dyDescent="0.25">
      <c r="A4239" s="189" t="str">
        <f t="shared" si="66"/>
        <v>CO-MD 315A00.16W</v>
      </c>
      <c r="B4239" s="195" t="s">
        <v>2268</v>
      </c>
      <c r="C4239" s="196">
        <v>0</v>
      </c>
      <c r="D4239" s="196">
        <v>0.16</v>
      </c>
      <c r="E4239" s="195" t="s">
        <v>593</v>
      </c>
      <c r="F4239" s="195" t="s">
        <v>432</v>
      </c>
    </row>
    <row r="4240" spans="1:6" x14ac:dyDescent="0.25">
      <c r="A4240" s="189" t="str">
        <f t="shared" si="66"/>
        <v>CO-MD 31704.1E</v>
      </c>
      <c r="B4240" s="195" t="s">
        <v>2269</v>
      </c>
      <c r="C4240" s="196">
        <v>0</v>
      </c>
      <c r="D4240" s="196">
        <v>4.0999999999999996</v>
      </c>
      <c r="E4240" s="195" t="s">
        <v>583</v>
      </c>
      <c r="F4240" s="195" t="s">
        <v>19</v>
      </c>
    </row>
    <row r="4241" spans="1:6" x14ac:dyDescent="0.25">
      <c r="A4241" s="189" t="str">
        <f t="shared" si="66"/>
        <v>CO-MD 31704.1W</v>
      </c>
      <c r="B4241" s="195" t="s">
        <v>2269</v>
      </c>
      <c r="C4241" s="196">
        <v>0</v>
      </c>
      <c r="D4241" s="196">
        <v>4.0999999999999996</v>
      </c>
      <c r="E4241" s="195" t="s">
        <v>583</v>
      </c>
      <c r="F4241" s="195" t="s">
        <v>432</v>
      </c>
    </row>
    <row r="4242" spans="1:6" x14ac:dyDescent="0.25">
      <c r="A4242" s="189" t="str">
        <f t="shared" si="66"/>
        <v>CO-MD 3174.14.78E</v>
      </c>
      <c r="B4242" s="195" t="s">
        <v>2269</v>
      </c>
      <c r="C4242" s="196">
        <v>4.0999999999999996</v>
      </c>
      <c r="D4242" s="196">
        <v>4.78</v>
      </c>
      <c r="E4242" s="195" t="s">
        <v>583</v>
      </c>
      <c r="F4242" s="195" t="s">
        <v>19</v>
      </c>
    </row>
    <row r="4243" spans="1:6" x14ac:dyDescent="0.25">
      <c r="A4243" s="189" t="str">
        <f t="shared" si="66"/>
        <v>CO-MD 3174.14.78W</v>
      </c>
      <c r="B4243" s="195" t="s">
        <v>2269</v>
      </c>
      <c r="C4243" s="196">
        <v>4.0999999999999996</v>
      </c>
      <c r="D4243" s="196">
        <v>4.78</v>
      </c>
      <c r="E4243" s="195" t="s">
        <v>583</v>
      </c>
      <c r="F4243" s="195" t="s">
        <v>432</v>
      </c>
    </row>
    <row r="4244" spans="1:6" x14ac:dyDescent="0.25">
      <c r="A4244" s="189" t="str">
        <f t="shared" si="66"/>
        <v>CO-MD 31803.95E</v>
      </c>
      <c r="B4244" s="195" t="s">
        <v>2270</v>
      </c>
      <c r="C4244" s="196">
        <v>0</v>
      </c>
      <c r="D4244" s="196">
        <v>3.95</v>
      </c>
      <c r="E4244" s="195" t="s">
        <v>583</v>
      </c>
      <c r="F4244" s="195" t="s">
        <v>19</v>
      </c>
    </row>
    <row r="4245" spans="1:6" x14ac:dyDescent="0.25">
      <c r="A4245" s="189" t="str">
        <f t="shared" si="66"/>
        <v>CO-MD 31803.95W</v>
      </c>
      <c r="B4245" s="195" t="s">
        <v>2270</v>
      </c>
      <c r="C4245" s="196">
        <v>0</v>
      </c>
      <c r="D4245" s="196">
        <v>3.95</v>
      </c>
      <c r="E4245" s="195" t="s">
        <v>583</v>
      </c>
      <c r="F4245" s="195" t="s">
        <v>432</v>
      </c>
    </row>
    <row r="4246" spans="1:6" x14ac:dyDescent="0.25">
      <c r="A4246" s="189" t="str">
        <f t="shared" si="66"/>
        <v>CO-MD 3183.955.68E</v>
      </c>
      <c r="B4246" s="195" t="s">
        <v>2270</v>
      </c>
      <c r="C4246" s="196">
        <v>3.95</v>
      </c>
      <c r="D4246" s="196">
        <v>5.68</v>
      </c>
      <c r="E4246" s="195" t="s">
        <v>583</v>
      </c>
      <c r="F4246" s="195" t="s">
        <v>19</v>
      </c>
    </row>
    <row r="4247" spans="1:6" x14ac:dyDescent="0.25">
      <c r="A4247" s="189" t="str">
        <f t="shared" si="66"/>
        <v>CO-MD 3183.955.68W</v>
      </c>
      <c r="B4247" s="195" t="s">
        <v>2270</v>
      </c>
      <c r="C4247" s="196">
        <v>3.95</v>
      </c>
      <c r="D4247" s="196">
        <v>5.68</v>
      </c>
      <c r="E4247" s="195" t="s">
        <v>583</v>
      </c>
      <c r="F4247" s="195" t="s">
        <v>432</v>
      </c>
    </row>
    <row r="4248" spans="1:6" x14ac:dyDescent="0.25">
      <c r="A4248" s="189" t="str">
        <f t="shared" si="66"/>
        <v>CO-MD 3185.687.87E</v>
      </c>
      <c r="B4248" s="195" t="s">
        <v>2270</v>
      </c>
      <c r="C4248" s="196">
        <v>5.68</v>
      </c>
      <c r="D4248" s="196">
        <v>7.87</v>
      </c>
      <c r="E4248" s="195" t="s">
        <v>583</v>
      </c>
      <c r="F4248" s="195" t="s">
        <v>19</v>
      </c>
    </row>
    <row r="4249" spans="1:6" x14ac:dyDescent="0.25">
      <c r="A4249" s="189" t="str">
        <f t="shared" si="66"/>
        <v>CO-MD 3185.687.87W</v>
      </c>
      <c r="B4249" s="195" t="s">
        <v>2270</v>
      </c>
      <c r="C4249" s="196">
        <v>5.68</v>
      </c>
      <c r="D4249" s="196">
        <v>7.87</v>
      </c>
      <c r="E4249" s="195" t="s">
        <v>583</v>
      </c>
      <c r="F4249" s="195" t="s">
        <v>432</v>
      </c>
    </row>
    <row r="4250" spans="1:6" x14ac:dyDescent="0.25">
      <c r="A4250" s="189" t="str">
        <f t="shared" si="66"/>
        <v>CO-MD 3187.879.23E</v>
      </c>
      <c r="B4250" s="195" t="s">
        <v>2270</v>
      </c>
      <c r="C4250" s="196">
        <v>7.87</v>
      </c>
      <c r="D4250" s="196">
        <v>9.23</v>
      </c>
      <c r="E4250" s="195" t="s">
        <v>583</v>
      </c>
      <c r="F4250" s="195" t="s">
        <v>19</v>
      </c>
    </row>
    <row r="4251" spans="1:6" x14ac:dyDescent="0.25">
      <c r="A4251" s="189" t="str">
        <f t="shared" si="66"/>
        <v>CO-MD 3187.879.23W</v>
      </c>
      <c r="B4251" s="195" t="s">
        <v>2270</v>
      </c>
      <c r="C4251" s="196">
        <v>7.87</v>
      </c>
      <c r="D4251" s="196">
        <v>9.23</v>
      </c>
      <c r="E4251" s="195" t="s">
        <v>583</v>
      </c>
      <c r="F4251" s="195" t="s">
        <v>432</v>
      </c>
    </row>
    <row r="4252" spans="1:6" x14ac:dyDescent="0.25">
      <c r="A4252" s="189" t="str">
        <f t="shared" si="66"/>
        <v>CO-MD 3189.239.7E</v>
      </c>
      <c r="B4252" s="195" t="s">
        <v>2270</v>
      </c>
      <c r="C4252" s="196">
        <v>9.23</v>
      </c>
      <c r="D4252" s="196">
        <v>9.6999999999999993</v>
      </c>
      <c r="E4252" s="195" t="s">
        <v>583</v>
      </c>
      <c r="F4252" s="195" t="s">
        <v>19</v>
      </c>
    </row>
    <row r="4253" spans="1:6" x14ac:dyDescent="0.25">
      <c r="A4253" s="189" t="str">
        <f t="shared" si="66"/>
        <v>CO-MD 3189.239.7W</v>
      </c>
      <c r="B4253" s="195" t="s">
        <v>2270</v>
      </c>
      <c r="C4253" s="196">
        <v>9.23</v>
      </c>
      <c r="D4253" s="196">
        <v>9.6999999999999993</v>
      </c>
      <c r="E4253" s="195" t="s">
        <v>583</v>
      </c>
      <c r="F4253" s="195" t="s">
        <v>432</v>
      </c>
    </row>
    <row r="4254" spans="1:6" x14ac:dyDescent="0.25">
      <c r="A4254" s="189" t="str">
        <f t="shared" si="66"/>
        <v>CO-MD 3189.710.95E</v>
      </c>
      <c r="B4254" s="195" t="s">
        <v>2270</v>
      </c>
      <c r="C4254" s="196">
        <v>9.6999999999999993</v>
      </c>
      <c r="D4254" s="196">
        <v>10.95</v>
      </c>
      <c r="E4254" s="195" t="s">
        <v>583</v>
      </c>
      <c r="F4254" s="195" t="s">
        <v>19</v>
      </c>
    </row>
    <row r="4255" spans="1:6" x14ac:dyDescent="0.25">
      <c r="A4255" s="189" t="str">
        <f t="shared" si="66"/>
        <v>CO-MD 3189.710.95W</v>
      </c>
      <c r="B4255" s="195" t="s">
        <v>2270</v>
      </c>
      <c r="C4255" s="196">
        <v>9.6999999999999993</v>
      </c>
      <c r="D4255" s="196">
        <v>10.95</v>
      </c>
      <c r="E4255" s="195" t="s">
        <v>583</v>
      </c>
      <c r="F4255" s="195" t="s">
        <v>432</v>
      </c>
    </row>
    <row r="4256" spans="1:6" x14ac:dyDescent="0.25">
      <c r="A4256" s="189" t="str">
        <f t="shared" si="66"/>
        <v>CO-MD 32400.4N</v>
      </c>
      <c r="B4256" s="195" t="s">
        <v>2271</v>
      </c>
      <c r="C4256" s="196">
        <v>0</v>
      </c>
      <c r="D4256" s="196">
        <v>0.4</v>
      </c>
      <c r="E4256" s="195" t="s">
        <v>589</v>
      </c>
      <c r="F4256" s="195" t="s">
        <v>430</v>
      </c>
    </row>
    <row r="4257" spans="1:6" x14ac:dyDescent="0.25">
      <c r="A4257" s="189" t="str">
        <f t="shared" si="66"/>
        <v>CO-MD 32400.4S</v>
      </c>
      <c r="B4257" s="195" t="s">
        <v>2271</v>
      </c>
      <c r="C4257" s="196">
        <v>0</v>
      </c>
      <c r="D4257" s="196">
        <v>0.4</v>
      </c>
      <c r="E4257" s="195" t="s">
        <v>595</v>
      </c>
      <c r="F4257" s="195" t="s">
        <v>438</v>
      </c>
    </row>
    <row r="4258" spans="1:6" x14ac:dyDescent="0.25">
      <c r="A4258" s="189" t="str">
        <f t="shared" si="66"/>
        <v>CO-MD 32800.5E</v>
      </c>
      <c r="B4258" s="195" t="s">
        <v>2272</v>
      </c>
      <c r="C4258" s="196">
        <v>0</v>
      </c>
      <c r="D4258" s="196">
        <v>0.5</v>
      </c>
      <c r="E4258" s="195" t="s">
        <v>583</v>
      </c>
      <c r="F4258" s="195" t="s">
        <v>19</v>
      </c>
    </row>
    <row r="4259" spans="1:6" x14ac:dyDescent="0.25">
      <c r="A4259" s="189" t="str">
        <f t="shared" si="66"/>
        <v>CO-MD 32800.5W</v>
      </c>
      <c r="B4259" s="195" t="s">
        <v>2272</v>
      </c>
      <c r="C4259" s="196">
        <v>0</v>
      </c>
      <c r="D4259" s="196">
        <v>0.5</v>
      </c>
      <c r="E4259" s="195" t="s">
        <v>583</v>
      </c>
      <c r="F4259" s="195" t="s">
        <v>432</v>
      </c>
    </row>
    <row r="4260" spans="1:6" x14ac:dyDescent="0.25">
      <c r="A4260" s="189" t="str">
        <f t="shared" si="66"/>
        <v>CO-MD 3280.55.25E</v>
      </c>
      <c r="B4260" s="195" t="s">
        <v>2272</v>
      </c>
      <c r="C4260" s="196">
        <v>0.5</v>
      </c>
      <c r="D4260" s="196">
        <v>5.25</v>
      </c>
      <c r="E4260" s="195" t="s">
        <v>583</v>
      </c>
      <c r="F4260" s="195" t="s">
        <v>19</v>
      </c>
    </row>
    <row r="4261" spans="1:6" x14ac:dyDescent="0.25">
      <c r="A4261" s="189" t="str">
        <f t="shared" si="66"/>
        <v>CO-MD 3280.55.25W</v>
      </c>
      <c r="B4261" s="195" t="s">
        <v>2272</v>
      </c>
      <c r="C4261" s="196">
        <v>0.5</v>
      </c>
      <c r="D4261" s="196">
        <v>5.25</v>
      </c>
      <c r="E4261" s="195" t="s">
        <v>583</v>
      </c>
      <c r="F4261" s="195" t="s">
        <v>432</v>
      </c>
    </row>
    <row r="4262" spans="1:6" x14ac:dyDescent="0.25">
      <c r="A4262" s="189" t="str">
        <f t="shared" si="66"/>
        <v>CO-MD 3285.256.27E</v>
      </c>
      <c r="B4262" s="195" t="s">
        <v>2272</v>
      </c>
      <c r="C4262" s="196">
        <v>5.25</v>
      </c>
      <c r="D4262" s="196">
        <v>6.27</v>
      </c>
      <c r="E4262" s="195" t="s">
        <v>583</v>
      </c>
      <c r="F4262" s="195" t="s">
        <v>19</v>
      </c>
    </row>
    <row r="4263" spans="1:6" x14ac:dyDescent="0.25">
      <c r="A4263" s="189" t="str">
        <f t="shared" si="66"/>
        <v>CO-MD 3285.256.27W</v>
      </c>
      <c r="B4263" s="195" t="s">
        <v>2272</v>
      </c>
      <c r="C4263" s="196">
        <v>5.25</v>
      </c>
      <c r="D4263" s="196">
        <v>6.27</v>
      </c>
      <c r="E4263" s="195" t="s">
        <v>583</v>
      </c>
      <c r="F4263" s="195" t="s">
        <v>432</v>
      </c>
    </row>
    <row r="4264" spans="1:6" x14ac:dyDescent="0.25">
      <c r="A4264" s="189" t="str">
        <f t="shared" si="66"/>
        <v>CO-MD 3286.276.35E</v>
      </c>
      <c r="B4264" s="195" t="s">
        <v>2272</v>
      </c>
      <c r="C4264" s="196">
        <v>6.27</v>
      </c>
      <c r="D4264" s="196">
        <v>6.35</v>
      </c>
      <c r="E4264" s="195" t="s">
        <v>583</v>
      </c>
      <c r="F4264" s="195" t="s">
        <v>19</v>
      </c>
    </row>
    <row r="4265" spans="1:6" x14ac:dyDescent="0.25">
      <c r="A4265" s="189" t="str">
        <f t="shared" si="66"/>
        <v>CO-MD 3286.276.35W</v>
      </c>
      <c r="B4265" s="195" t="s">
        <v>2272</v>
      </c>
      <c r="C4265" s="196">
        <v>6.27</v>
      </c>
      <c r="D4265" s="196">
        <v>6.35</v>
      </c>
      <c r="E4265" s="195" t="s">
        <v>583</v>
      </c>
      <c r="F4265" s="195" t="s">
        <v>432</v>
      </c>
    </row>
    <row r="4266" spans="1:6" x14ac:dyDescent="0.25">
      <c r="A4266" s="189" t="str">
        <f t="shared" si="66"/>
        <v>CO-MD 33100.6N</v>
      </c>
      <c r="B4266" s="195" t="s">
        <v>452</v>
      </c>
      <c r="C4266" s="196">
        <v>0</v>
      </c>
      <c r="D4266" s="196">
        <v>0.6</v>
      </c>
      <c r="E4266" s="195" t="s">
        <v>583</v>
      </c>
      <c r="F4266" s="195" t="s">
        <v>430</v>
      </c>
    </row>
    <row r="4267" spans="1:6" x14ac:dyDescent="0.25">
      <c r="A4267" s="189" t="str">
        <f t="shared" si="66"/>
        <v>CO-MD 33100.6S</v>
      </c>
      <c r="B4267" s="195" t="s">
        <v>452</v>
      </c>
      <c r="C4267" s="196">
        <v>0</v>
      </c>
      <c r="D4267" s="196">
        <v>0.6</v>
      </c>
      <c r="E4267" s="195" t="s">
        <v>583</v>
      </c>
      <c r="F4267" s="195" t="s">
        <v>438</v>
      </c>
    </row>
    <row r="4268" spans="1:6" x14ac:dyDescent="0.25">
      <c r="A4268" s="189" t="str">
        <f t="shared" si="66"/>
        <v>CO-MD 3310.61.25N</v>
      </c>
      <c r="B4268" s="195" t="s">
        <v>452</v>
      </c>
      <c r="C4268" s="196">
        <v>0.6</v>
      </c>
      <c r="D4268" s="196">
        <v>1.25</v>
      </c>
      <c r="E4268" s="195" t="s">
        <v>583</v>
      </c>
      <c r="F4268" s="195" t="s">
        <v>430</v>
      </c>
    </row>
    <row r="4269" spans="1:6" x14ac:dyDescent="0.25">
      <c r="A4269" s="189" t="str">
        <f t="shared" si="66"/>
        <v>CO-MD 3310.61.25S</v>
      </c>
      <c r="B4269" s="195" t="s">
        <v>452</v>
      </c>
      <c r="C4269" s="196">
        <v>0.6</v>
      </c>
      <c r="D4269" s="196">
        <v>1.25</v>
      </c>
      <c r="E4269" s="195" t="s">
        <v>583</v>
      </c>
      <c r="F4269" s="195" t="s">
        <v>438</v>
      </c>
    </row>
    <row r="4270" spans="1:6" x14ac:dyDescent="0.25">
      <c r="A4270" s="189" t="str">
        <f t="shared" si="66"/>
        <v>CO-MD 3311.251.66N</v>
      </c>
      <c r="B4270" s="195" t="s">
        <v>452</v>
      </c>
      <c r="C4270" s="196">
        <v>1.25</v>
      </c>
      <c r="D4270" s="196">
        <v>1.66</v>
      </c>
      <c r="E4270" s="195" t="s">
        <v>583</v>
      </c>
      <c r="F4270" s="195" t="s">
        <v>430</v>
      </c>
    </row>
    <row r="4271" spans="1:6" x14ac:dyDescent="0.25">
      <c r="A4271" s="189" t="str">
        <f t="shared" si="66"/>
        <v>CO-MD 3311.251.66S</v>
      </c>
      <c r="B4271" s="195" t="s">
        <v>452</v>
      </c>
      <c r="C4271" s="196">
        <v>1.25</v>
      </c>
      <c r="D4271" s="196">
        <v>1.66</v>
      </c>
      <c r="E4271" s="195" t="s">
        <v>583</v>
      </c>
      <c r="F4271" s="195" t="s">
        <v>438</v>
      </c>
    </row>
    <row r="4272" spans="1:6" x14ac:dyDescent="0.25">
      <c r="A4272" s="189" t="str">
        <f t="shared" si="66"/>
        <v>CO-MD 3311.664.45N</v>
      </c>
      <c r="B4272" s="195" t="s">
        <v>452</v>
      </c>
      <c r="C4272" s="196">
        <v>1.66</v>
      </c>
      <c r="D4272" s="196">
        <v>4.45</v>
      </c>
      <c r="E4272" s="195" t="s">
        <v>583</v>
      </c>
      <c r="F4272" s="195" t="s">
        <v>430</v>
      </c>
    </row>
    <row r="4273" spans="1:6" x14ac:dyDescent="0.25">
      <c r="A4273" s="189" t="str">
        <f t="shared" si="66"/>
        <v>CO-MD 3311.664.45S</v>
      </c>
      <c r="B4273" s="195" t="s">
        <v>452</v>
      </c>
      <c r="C4273" s="196">
        <v>1.66</v>
      </c>
      <c r="D4273" s="196">
        <v>4.45</v>
      </c>
      <c r="E4273" s="195" t="s">
        <v>583</v>
      </c>
      <c r="F4273" s="195" t="s">
        <v>438</v>
      </c>
    </row>
    <row r="4274" spans="1:6" x14ac:dyDescent="0.25">
      <c r="A4274" s="189" t="str">
        <f t="shared" si="66"/>
        <v>CO-MD 3314.456.55N</v>
      </c>
      <c r="B4274" s="195" t="s">
        <v>452</v>
      </c>
      <c r="C4274" s="196">
        <v>4.45</v>
      </c>
      <c r="D4274" s="196">
        <v>6.55</v>
      </c>
      <c r="E4274" s="195" t="s">
        <v>583</v>
      </c>
      <c r="F4274" s="195" t="s">
        <v>430</v>
      </c>
    </row>
    <row r="4275" spans="1:6" x14ac:dyDescent="0.25">
      <c r="A4275" s="189" t="str">
        <f t="shared" si="66"/>
        <v>CO-MD 3314.456.55S</v>
      </c>
      <c r="B4275" s="195" t="s">
        <v>452</v>
      </c>
      <c r="C4275" s="196">
        <v>4.45</v>
      </c>
      <c r="D4275" s="196">
        <v>6.55</v>
      </c>
      <c r="E4275" s="195" t="s">
        <v>583</v>
      </c>
      <c r="F4275" s="195" t="s">
        <v>438</v>
      </c>
    </row>
    <row r="4276" spans="1:6" x14ac:dyDescent="0.25">
      <c r="A4276" s="189" t="str">
        <f t="shared" si="66"/>
        <v>CO-MD 3316.557N</v>
      </c>
      <c r="B4276" s="195" t="s">
        <v>452</v>
      </c>
      <c r="C4276" s="196">
        <v>6.55</v>
      </c>
      <c r="D4276" s="196">
        <v>7</v>
      </c>
      <c r="E4276" s="195" t="s">
        <v>583</v>
      </c>
      <c r="F4276" s="195" t="s">
        <v>430</v>
      </c>
    </row>
    <row r="4277" spans="1:6" x14ac:dyDescent="0.25">
      <c r="A4277" s="189" t="str">
        <f t="shared" si="66"/>
        <v>CO-MD 3316.557S</v>
      </c>
      <c r="B4277" s="195" t="s">
        <v>452</v>
      </c>
      <c r="C4277" s="196">
        <v>6.55</v>
      </c>
      <c r="D4277" s="196">
        <v>7</v>
      </c>
      <c r="E4277" s="195" t="s">
        <v>583</v>
      </c>
      <c r="F4277" s="195" t="s">
        <v>438</v>
      </c>
    </row>
    <row r="4278" spans="1:6" x14ac:dyDescent="0.25">
      <c r="A4278" s="189" t="str">
        <f t="shared" si="66"/>
        <v>CO-MD 33177.48N</v>
      </c>
      <c r="B4278" s="195" t="s">
        <v>452</v>
      </c>
      <c r="C4278" s="196">
        <v>7</v>
      </c>
      <c r="D4278" s="196">
        <v>7.48</v>
      </c>
      <c r="E4278" s="195" t="s">
        <v>583</v>
      </c>
      <c r="F4278" s="195" t="s">
        <v>430</v>
      </c>
    </row>
    <row r="4279" spans="1:6" x14ac:dyDescent="0.25">
      <c r="A4279" s="189" t="str">
        <f t="shared" si="66"/>
        <v>CO-MD 33177.48S</v>
      </c>
      <c r="B4279" s="195" t="s">
        <v>452</v>
      </c>
      <c r="C4279" s="196">
        <v>7</v>
      </c>
      <c r="D4279" s="196">
        <v>7.48</v>
      </c>
      <c r="E4279" s="195" t="s">
        <v>583</v>
      </c>
      <c r="F4279" s="195" t="s">
        <v>438</v>
      </c>
    </row>
    <row r="4280" spans="1:6" x14ac:dyDescent="0.25">
      <c r="A4280" s="189" t="str">
        <f t="shared" si="66"/>
        <v>CO-MD 331A00.08E</v>
      </c>
      <c r="B4280" s="195" t="s">
        <v>2273</v>
      </c>
      <c r="C4280" s="196">
        <v>0</v>
      </c>
      <c r="D4280" s="196">
        <v>0.08</v>
      </c>
      <c r="E4280" s="195" t="s">
        <v>598</v>
      </c>
      <c r="F4280" s="195" t="s">
        <v>19</v>
      </c>
    </row>
    <row r="4281" spans="1:6" x14ac:dyDescent="0.25">
      <c r="A4281" s="189" t="str">
        <f t="shared" si="66"/>
        <v>CO-MD 331D00.21N</v>
      </c>
      <c r="B4281" s="195" t="s">
        <v>2274</v>
      </c>
      <c r="C4281" s="196">
        <v>0</v>
      </c>
      <c r="D4281" s="196">
        <v>0.21</v>
      </c>
      <c r="E4281" s="195" t="s">
        <v>589</v>
      </c>
      <c r="F4281" s="195" t="s">
        <v>430</v>
      </c>
    </row>
    <row r="4282" spans="1:6" x14ac:dyDescent="0.25">
      <c r="A4282" s="189" t="str">
        <f t="shared" si="66"/>
        <v>CO-MD 331D00.21S</v>
      </c>
      <c r="B4282" s="195" t="s">
        <v>2274</v>
      </c>
      <c r="C4282" s="196">
        <v>0</v>
      </c>
      <c r="D4282" s="196">
        <v>0.21</v>
      </c>
      <c r="E4282" s="195" t="s">
        <v>595</v>
      </c>
      <c r="F4282" s="195" t="s">
        <v>438</v>
      </c>
    </row>
    <row r="4283" spans="1:6" x14ac:dyDescent="0.25">
      <c r="A4283" s="189" t="str">
        <f t="shared" si="66"/>
        <v>CO-MD 40400.12W</v>
      </c>
      <c r="B4283" s="195" t="s">
        <v>453</v>
      </c>
      <c r="C4283" s="196">
        <v>0</v>
      </c>
      <c r="D4283" s="196">
        <v>0.12</v>
      </c>
      <c r="E4283" s="195" t="s">
        <v>593</v>
      </c>
      <c r="F4283" s="195" t="s">
        <v>432</v>
      </c>
    </row>
    <row r="4284" spans="1:6" x14ac:dyDescent="0.25">
      <c r="A4284" s="189" t="str">
        <f t="shared" si="66"/>
        <v>CO-MD 4041.331.72E</v>
      </c>
      <c r="B4284" s="195" t="s">
        <v>453</v>
      </c>
      <c r="C4284" s="196">
        <v>1.33</v>
      </c>
      <c r="D4284" s="196">
        <v>1.72</v>
      </c>
      <c r="E4284" s="195" t="s">
        <v>598</v>
      </c>
      <c r="F4284" s="195" t="s">
        <v>19</v>
      </c>
    </row>
    <row r="4285" spans="1:6" x14ac:dyDescent="0.25">
      <c r="A4285" s="189" t="str">
        <f t="shared" si="66"/>
        <v>CO-MD 4041.351.72W</v>
      </c>
      <c r="B4285" s="195" t="s">
        <v>453</v>
      </c>
      <c r="C4285" s="196">
        <v>1.35</v>
      </c>
      <c r="D4285" s="196">
        <v>1.72</v>
      </c>
      <c r="E4285" s="195" t="s">
        <v>593</v>
      </c>
      <c r="F4285" s="195" t="s">
        <v>432</v>
      </c>
    </row>
    <row r="4286" spans="1:6" x14ac:dyDescent="0.25">
      <c r="A4286" s="189" t="str">
        <f t="shared" si="66"/>
        <v>CO-MD 4041.721.89E</v>
      </c>
      <c r="B4286" s="195" t="s">
        <v>453</v>
      </c>
      <c r="C4286" s="196">
        <v>1.72</v>
      </c>
      <c r="D4286" s="196">
        <v>1.89</v>
      </c>
      <c r="E4286" s="195" t="s">
        <v>583</v>
      </c>
      <c r="F4286" s="195" t="s">
        <v>19</v>
      </c>
    </row>
    <row r="4287" spans="1:6" x14ac:dyDescent="0.25">
      <c r="A4287" s="189" t="str">
        <f t="shared" si="66"/>
        <v>CO-MD 4041.721.89W</v>
      </c>
      <c r="B4287" s="195" t="s">
        <v>453</v>
      </c>
      <c r="C4287" s="196">
        <v>1.72</v>
      </c>
      <c r="D4287" s="196">
        <v>1.89</v>
      </c>
      <c r="E4287" s="195" t="s">
        <v>583</v>
      </c>
      <c r="F4287" s="195" t="s">
        <v>432</v>
      </c>
    </row>
    <row r="4288" spans="1:6" x14ac:dyDescent="0.25">
      <c r="A4288" s="189" t="str">
        <f t="shared" si="66"/>
        <v>CO-MD 4041.892E</v>
      </c>
      <c r="B4288" s="195" t="s">
        <v>453</v>
      </c>
      <c r="C4288" s="196">
        <v>1.89</v>
      </c>
      <c r="D4288" s="196">
        <v>2</v>
      </c>
      <c r="E4288" s="195" t="s">
        <v>583</v>
      </c>
      <c r="F4288" s="195" t="s">
        <v>19</v>
      </c>
    </row>
    <row r="4289" spans="1:6" x14ac:dyDescent="0.25">
      <c r="A4289" s="189" t="str">
        <f t="shared" si="66"/>
        <v>CO-MD 4041.892W</v>
      </c>
      <c r="B4289" s="195" t="s">
        <v>453</v>
      </c>
      <c r="C4289" s="196">
        <v>1.89</v>
      </c>
      <c r="D4289" s="196">
        <v>2</v>
      </c>
      <c r="E4289" s="195" t="s">
        <v>583</v>
      </c>
      <c r="F4289" s="195" t="s">
        <v>432</v>
      </c>
    </row>
    <row r="4290" spans="1:6" x14ac:dyDescent="0.25">
      <c r="A4290" s="189" t="str">
        <f t="shared" si="66"/>
        <v>CO-MD 40423.1E</v>
      </c>
      <c r="B4290" s="195" t="s">
        <v>453</v>
      </c>
      <c r="C4290" s="196">
        <v>2</v>
      </c>
      <c r="D4290" s="196">
        <v>3.1</v>
      </c>
      <c r="E4290" s="195" t="s">
        <v>583</v>
      </c>
      <c r="F4290" s="195" t="s">
        <v>19</v>
      </c>
    </row>
    <row r="4291" spans="1:6" x14ac:dyDescent="0.25">
      <c r="A4291" s="189" t="str">
        <f t="shared" ref="A4291:A4354" si="67">B4291&amp;C4291&amp;D4291&amp;F4291</f>
        <v>CO-MD 40423.1W</v>
      </c>
      <c r="B4291" s="195" t="s">
        <v>453</v>
      </c>
      <c r="C4291" s="196">
        <v>2</v>
      </c>
      <c r="D4291" s="196">
        <v>3.1</v>
      </c>
      <c r="E4291" s="195" t="s">
        <v>583</v>
      </c>
      <c r="F4291" s="195" t="s">
        <v>432</v>
      </c>
    </row>
    <row r="4292" spans="1:6" x14ac:dyDescent="0.25">
      <c r="A4292" s="189" t="str">
        <f t="shared" si="67"/>
        <v>CO-MD 4043.14.37W</v>
      </c>
      <c r="B4292" s="195" t="s">
        <v>453</v>
      </c>
      <c r="C4292" s="196">
        <v>3.1</v>
      </c>
      <c r="D4292" s="196">
        <v>4.37</v>
      </c>
      <c r="E4292" s="195" t="s">
        <v>593</v>
      </c>
      <c r="F4292" s="195" t="s">
        <v>432</v>
      </c>
    </row>
    <row r="4293" spans="1:6" x14ac:dyDescent="0.25">
      <c r="A4293" s="189" t="str">
        <f t="shared" si="67"/>
        <v>CO-MD 4043.14.44E</v>
      </c>
      <c r="B4293" s="195" t="s">
        <v>453</v>
      </c>
      <c r="C4293" s="196">
        <v>3.1</v>
      </c>
      <c r="D4293" s="196">
        <v>4.4400000000000004</v>
      </c>
      <c r="E4293" s="195" t="s">
        <v>598</v>
      </c>
      <c r="F4293" s="195" t="s">
        <v>19</v>
      </c>
    </row>
    <row r="4294" spans="1:6" x14ac:dyDescent="0.25">
      <c r="A4294" s="189" t="str">
        <f t="shared" si="67"/>
        <v>CO-MD 40411.2617.37E</v>
      </c>
      <c r="B4294" s="195" t="s">
        <v>453</v>
      </c>
      <c r="C4294" s="196">
        <v>11.26</v>
      </c>
      <c r="D4294" s="196">
        <v>17.37</v>
      </c>
      <c r="E4294" s="195" t="s">
        <v>598</v>
      </c>
      <c r="F4294" s="195" t="s">
        <v>19</v>
      </c>
    </row>
    <row r="4295" spans="1:6" x14ac:dyDescent="0.25">
      <c r="A4295" s="189" t="str">
        <f t="shared" si="67"/>
        <v>CO-MD 40411.4717.37W</v>
      </c>
      <c r="B4295" s="195" t="s">
        <v>453</v>
      </c>
      <c r="C4295" s="196">
        <v>11.47</v>
      </c>
      <c r="D4295" s="196">
        <v>17.37</v>
      </c>
      <c r="E4295" s="195" t="s">
        <v>593</v>
      </c>
      <c r="F4295" s="195" t="s">
        <v>432</v>
      </c>
    </row>
    <row r="4296" spans="1:6" x14ac:dyDescent="0.25">
      <c r="A4296" s="189" t="str">
        <f t="shared" si="67"/>
        <v>CO-MD 404 RP1-700.02S</v>
      </c>
      <c r="B4296" s="195" t="s">
        <v>2275</v>
      </c>
      <c r="C4296" s="196">
        <v>0</v>
      </c>
      <c r="D4296" s="196">
        <v>0.02</v>
      </c>
      <c r="E4296" s="195" t="s">
        <v>595</v>
      </c>
      <c r="F4296" s="195" t="s">
        <v>438</v>
      </c>
    </row>
    <row r="4297" spans="1:6" x14ac:dyDescent="0.25">
      <c r="A4297" s="189" t="str">
        <f t="shared" si="67"/>
        <v>CO-MD 404 RP2-700.21N</v>
      </c>
      <c r="B4297" s="195" t="s">
        <v>2276</v>
      </c>
      <c r="C4297" s="196">
        <v>0</v>
      </c>
      <c r="D4297" s="196">
        <v>0.21</v>
      </c>
      <c r="E4297" s="195" t="s">
        <v>589</v>
      </c>
      <c r="F4297" s="195" t="s">
        <v>430</v>
      </c>
    </row>
    <row r="4298" spans="1:6" x14ac:dyDescent="0.25">
      <c r="A4298" s="189" t="str">
        <f t="shared" si="67"/>
        <v>CO-MD 404 RP3-700.02E</v>
      </c>
      <c r="B4298" s="195" t="s">
        <v>2277</v>
      </c>
      <c r="C4298" s="196">
        <v>0</v>
      </c>
      <c r="D4298" s="196">
        <v>0.02</v>
      </c>
      <c r="E4298" s="195" t="s">
        <v>598</v>
      </c>
      <c r="F4298" s="195" t="s">
        <v>19</v>
      </c>
    </row>
    <row r="4299" spans="1:6" x14ac:dyDescent="0.25">
      <c r="A4299" s="189" t="str">
        <f t="shared" si="67"/>
        <v>CO-MD 404 RP4-700.17E</v>
      </c>
      <c r="B4299" s="195" t="s">
        <v>2278</v>
      </c>
      <c r="C4299" s="196">
        <v>0</v>
      </c>
      <c r="D4299" s="196">
        <v>0.17</v>
      </c>
      <c r="E4299" s="195" t="s">
        <v>598</v>
      </c>
      <c r="F4299" s="195" t="s">
        <v>19</v>
      </c>
    </row>
    <row r="4300" spans="1:6" x14ac:dyDescent="0.25">
      <c r="A4300" s="189" t="str">
        <f t="shared" si="67"/>
        <v>CO-MD 404 RP5-700.02E</v>
      </c>
      <c r="B4300" s="195" t="s">
        <v>2279</v>
      </c>
      <c r="C4300" s="196">
        <v>0</v>
      </c>
      <c r="D4300" s="196">
        <v>0.02</v>
      </c>
      <c r="E4300" s="195" t="s">
        <v>598</v>
      </c>
      <c r="F4300" s="195" t="s">
        <v>19</v>
      </c>
    </row>
    <row r="4301" spans="1:6" x14ac:dyDescent="0.25">
      <c r="A4301" s="189" t="str">
        <f t="shared" si="67"/>
        <v>CO-MD 404 RP6-700.18S</v>
      </c>
      <c r="B4301" s="195" t="s">
        <v>2280</v>
      </c>
      <c r="C4301" s="196">
        <v>0</v>
      </c>
      <c r="D4301" s="196">
        <v>0.18</v>
      </c>
      <c r="E4301" s="195" t="s">
        <v>595</v>
      </c>
      <c r="F4301" s="195" t="s">
        <v>438</v>
      </c>
    </row>
    <row r="4302" spans="1:6" x14ac:dyDescent="0.25">
      <c r="A4302" s="189" t="str">
        <f t="shared" si="67"/>
        <v>CO-MD 404 RP7-700.03N</v>
      </c>
      <c r="B4302" s="195" t="s">
        <v>2281</v>
      </c>
      <c r="C4302" s="196">
        <v>0</v>
      </c>
      <c r="D4302" s="196">
        <v>0.03</v>
      </c>
      <c r="E4302" s="195" t="s">
        <v>589</v>
      </c>
      <c r="F4302" s="195" t="s">
        <v>430</v>
      </c>
    </row>
    <row r="4303" spans="1:6" x14ac:dyDescent="0.25">
      <c r="A4303" s="189" t="str">
        <f t="shared" si="67"/>
        <v>CO-MD 404 RP8-700.15S</v>
      </c>
      <c r="B4303" s="195" t="s">
        <v>2282</v>
      </c>
      <c r="C4303" s="196">
        <v>0</v>
      </c>
      <c r="D4303" s="196">
        <v>0.15</v>
      </c>
      <c r="E4303" s="195" t="s">
        <v>595</v>
      </c>
      <c r="F4303" s="195" t="s">
        <v>438</v>
      </c>
    </row>
    <row r="4304" spans="1:6" x14ac:dyDescent="0.25">
      <c r="A4304" s="189" t="str">
        <f t="shared" si="67"/>
        <v>CO-MD 404AL00.47E</v>
      </c>
      <c r="B4304" s="195" t="s">
        <v>2283</v>
      </c>
      <c r="C4304" s="196">
        <v>0</v>
      </c>
      <c r="D4304" s="196">
        <v>0.47</v>
      </c>
      <c r="E4304" s="195" t="s">
        <v>583</v>
      </c>
      <c r="F4304" s="195" t="s">
        <v>19</v>
      </c>
    </row>
    <row r="4305" spans="1:6" x14ac:dyDescent="0.25">
      <c r="A4305" s="189" t="str">
        <f t="shared" si="67"/>
        <v>CO-MD 404AL00.47W</v>
      </c>
      <c r="B4305" s="195" t="s">
        <v>2283</v>
      </c>
      <c r="C4305" s="196">
        <v>0</v>
      </c>
      <c r="D4305" s="196">
        <v>0.47</v>
      </c>
      <c r="E4305" s="195" t="s">
        <v>583</v>
      </c>
      <c r="F4305" s="195" t="s">
        <v>432</v>
      </c>
    </row>
    <row r="4306" spans="1:6" x14ac:dyDescent="0.25">
      <c r="A4306" s="189" t="str">
        <f t="shared" si="67"/>
        <v>CO-MD 404AL0.471.74E</v>
      </c>
      <c r="B4306" s="195" t="s">
        <v>2283</v>
      </c>
      <c r="C4306" s="196">
        <v>0.47</v>
      </c>
      <c r="D4306" s="196">
        <v>1.74</v>
      </c>
      <c r="E4306" s="195" t="s">
        <v>583</v>
      </c>
      <c r="F4306" s="195" t="s">
        <v>19</v>
      </c>
    </row>
    <row r="4307" spans="1:6" x14ac:dyDescent="0.25">
      <c r="A4307" s="189" t="str">
        <f t="shared" si="67"/>
        <v>CO-MD 404AL0.471.74W</v>
      </c>
      <c r="B4307" s="195" t="s">
        <v>2283</v>
      </c>
      <c r="C4307" s="196">
        <v>0.47</v>
      </c>
      <c r="D4307" s="196">
        <v>1.74</v>
      </c>
      <c r="E4307" s="195" t="s">
        <v>583</v>
      </c>
      <c r="F4307" s="195" t="s">
        <v>432</v>
      </c>
    </row>
    <row r="4308" spans="1:6" x14ac:dyDescent="0.25">
      <c r="A4308" s="189" t="str">
        <f t="shared" si="67"/>
        <v>CO-MD 404BU0.150.7W</v>
      </c>
      <c r="B4308" s="195" t="s">
        <v>2284</v>
      </c>
      <c r="C4308" s="196">
        <v>0.15</v>
      </c>
      <c r="D4308" s="196">
        <v>0.7</v>
      </c>
      <c r="E4308" s="195" t="s">
        <v>593</v>
      </c>
      <c r="F4308" s="195" t="s">
        <v>432</v>
      </c>
    </row>
    <row r="4309" spans="1:6" x14ac:dyDescent="0.25">
      <c r="A4309" s="189" t="str">
        <f t="shared" si="67"/>
        <v>CO-MD 404BU0.40.7E</v>
      </c>
      <c r="B4309" s="195" t="s">
        <v>2284</v>
      </c>
      <c r="C4309" s="196">
        <v>0.4</v>
      </c>
      <c r="D4309" s="196">
        <v>0.7</v>
      </c>
      <c r="E4309" s="195" t="s">
        <v>598</v>
      </c>
      <c r="F4309" s="195" t="s">
        <v>19</v>
      </c>
    </row>
    <row r="4310" spans="1:6" x14ac:dyDescent="0.25">
      <c r="A4310" s="189" t="str">
        <f t="shared" si="67"/>
        <v>CO-MD 404BU0.70.98E</v>
      </c>
      <c r="B4310" s="195" t="s">
        <v>2284</v>
      </c>
      <c r="C4310" s="196">
        <v>0.7</v>
      </c>
      <c r="D4310" s="196">
        <v>0.98</v>
      </c>
      <c r="E4310" s="195" t="s">
        <v>583</v>
      </c>
      <c r="F4310" s="195" t="s">
        <v>19</v>
      </c>
    </row>
    <row r="4311" spans="1:6" x14ac:dyDescent="0.25">
      <c r="A4311" s="189" t="str">
        <f t="shared" si="67"/>
        <v>CO-MD 404BU0.70.98W</v>
      </c>
      <c r="B4311" s="195" t="s">
        <v>2284</v>
      </c>
      <c r="C4311" s="196">
        <v>0.7</v>
      </c>
      <c r="D4311" s="196">
        <v>0.98</v>
      </c>
      <c r="E4311" s="195" t="s">
        <v>583</v>
      </c>
      <c r="F4311" s="195" t="s">
        <v>432</v>
      </c>
    </row>
    <row r="4312" spans="1:6" x14ac:dyDescent="0.25">
      <c r="A4312" s="189" t="str">
        <f t="shared" si="67"/>
        <v>CO-MD 404BU0.981.05E</v>
      </c>
      <c r="B4312" s="195" t="s">
        <v>2284</v>
      </c>
      <c r="C4312" s="196">
        <v>0.98</v>
      </c>
      <c r="D4312" s="196">
        <v>1.05</v>
      </c>
      <c r="E4312" s="195" t="s">
        <v>583</v>
      </c>
      <c r="F4312" s="195" t="s">
        <v>19</v>
      </c>
    </row>
    <row r="4313" spans="1:6" x14ac:dyDescent="0.25">
      <c r="A4313" s="189" t="str">
        <f t="shared" si="67"/>
        <v>CO-MD 404BU0.981.05W</v>
      </c>
      <c r="B4313" s="195" t="s">
        <v>2284</v>
      </c>
      <c r="C4313" s="196">
        <v>0.98</v>
      </c>
      <c r="D4313" s="196">
        <v>1.05</v>
      </c>
      <c r="E4313" s="195" t="s">
        <v>583</v>
      </c>
      <c r="F4313" s="195" t="s">
        <v>432</v>
      </c>
    </row>
    <row r="4314" spans="1:6" x14ac:dyDescent="0.25">
      <c r="A4314" s="189" t="str">
        <f t="shared" si="67"/>
        <v>CO-MD 404BU1.051.12E</v>
      </c>
      <c r="B4314" s="195" t="s">
        <v>2284</v>
      </c>
      <c r="C4314" s="196">
        <v>1.05</v>
      </c>
      <c r="D4314" s="196">
        <v>1.1200000000000001</v>
      </c>
      <c r="E4314" s="195" t="s">
        <v>583</v>
      </c>
      <c r="F4314" s="195" t="s">
        <v>19</v>
      </c>
    </row>
    <row r="4315" spans="1:6" x14ac:dyDescent="0.25">
      <c r="A4315" s="189" t="str">
        <f t="shared" si="67"/>
        <v>CO-MD 404BU1.051.12W</v>
      </c>
      <c r="B4315" s="195" t="s">
        <v>2284</v>
      </c>
      <c r="C4315" s="196">
        <v>1.05</v>
      </c>
      <c r="D4315" s="196">
        <v>1.1200000000000001</v>
      </c>
      <c r="E4315" s="195" t="s">
        <v>583</v>
      </c>
      <c r="F4315" s="195" t="s">
        <v>432</v>
      </c>
    </row>
    <row r="4316" spans="1:6" x14ac:dyDescent="0.25">
      <c r="A4316" s="189" t="str">
        <f t="shared" si="67"/>
        <v>CO-MD 404BU1.121.17W</v>
      </c>
      <c r="B4316" s="195" t="s">
        <v>2284</v>
      </c>
      <c r="C4316" s="196">
        <v>1.1200000000000001</v>
      </c>
      <c r="D4316" s="196">
        <v>1.17</v>
      </c>
      <c r="E4316" s="195" t="s">
        <v>593</v>
      </c>
      <c r="F4316" s="195" t="s">
        <v>432</v>
      </c>
    </row>
    <row r="4317" spans="1:6" x14ac:dyDescent="0.25">
      <c r="A4317" s="189" t="str">
        <f t="shared" si="67"/>
        <v>CO-MD 404BU1.121.81E</v>
      </c>
      <c r="B4317" s="195" t="s">
        <v>2284</v>
      </c>
      <c r="C4317" s="196">
        <v>1.1200000000000001</v>
      </c>
      <c r="D4317" s="196">
        <v>1.81</v>
      </c>
      <c r="E4317" s="195" t="s">
        <v>598</v>
      </c>
      <c r="F4317" s="195" t="s">
        <v>19</v>
      </c>
    </row>
    <row r="4318" spans="1:6" x14ac:dyDescent="0.25">
      <c r="A4318" s="189" t="str">
        <f t="shared" si="67"/>
        <v>CO-MD 404BU1.172.32W</v>
      </c>
      <c r="B4318" s="195" t="s">
        <v>2284</v>
      </c>
      <c r="C4318" s="196">
        <v>1.17</v>
      </c>
      <c r="D4318" s="196">
        <v>2.3199999999999998</v>
      </c>
      <c r="E4318" s="195" t="s">
        <v>593</v>
      </c>
      <c r="F4318" s="195" t="s">
        <v>432</v>
      </c>
    </row>
    <row r="4319" spans="1:6" x14ac:dyDescent="0.25">
      <c r="A4319" s="189" t="str">
        <f t="shared" si="67"/>
        <v>CO-MD 404BU1.812.32E</v>
      </c>
      <c r="B4319" s="195" t="s">
        <v>2284</v>
      </c>
      <c r="C4319" s="196">
        <v>1.81</v>
      </c>
      <c r="D4319" s="196">
        <v>2.3199999999999998</v>
      </c>
      <c r="E4319" s="195" t="s">
        <v>598</v>
      </c>
      <c r="F4319" s="195" t="s">
        <v>19</v>
      </c>
    </row>
    <row r="4320" spans="1:6" x14ac:dyDescent="0.25">
      <c r="A4320" s="189" t="str">
        <f t="shared" si="67"/>
        <v>CO-MD 404C00.03N</v>
      </c>
      <c r="B4320" s="195" t="s">
        <v>2285</v>
      </c>
      <c r="C4320" s="196">
        <v>0</v>
      </c>
      <c r="D4320" s="196">
        <v>0.03</v>
      </c>
      <c r="E4320" s="195" t="s">
        <v>589</v>
      </c>
      <c r="F4320" s="195" t="s">
        <v>430</v>
      </c>
    </row>
    <row r="4321" spans="1:6" x14ac:dyDescent="0.25">
      <c r="A4321" s="189" t="str">
        <f t="shared" si="67"/>
        <v>CO-MD 404C00.03S</v>
      </c>
      <c r="B4321" s="195" t="s">
        <v>2285</v>
      </c>
      <c r="C4321" s="196">
        <v>0</v>
      </c>
      <c r="D4321" s="196">
        <v>0.03</v>
      </c>
      <c r="E4321" s="195" t="s">
        <v>595</v>
      </c>
      <c r="F4321" s="195" t="s">
        <v>438</v>
      </c>
    </row>
    <row r="4322" spans="1:6" x14ac:dyDescent="0.25">
      <c r="A4322" s="189" t="str">
        <f t="shared" si="67"/>
        <v>CO-MD 404D00.22E</v>
      </c>
      <c r="B4322" s="195" t="s">
        <v>2286</v>
      </c>
      <c r="C4322" s="196">
        <v>0</v>
      </c>
      <c r="D4322" s="196">
        <v>0.22</v>
      </c>
      <c r="E4322" s="195" t="s">
        <v>598</v>
      </c>
      <c r="F4322" s="195" t="s">
        <v>19</v>
      </c>
    </row>
    <row r="4323" spans="1:6" x14ac:dyDescent="0.25">
      <c r="A4323" s="189" t="str">
        <f t="shared" si="67"/>
        <v>CO-MD 404D00.22W</v>
      </c>
      <c r="B4323" s="195" t="s">
        <v>2286</v>
      </c>
      <c r="C4323" s="196">
        <v>0</v>
      </c>
      <c r="D4323" s="196">
        <v>0.22</v>
      </c>
      <c r="E4323" s="195" t="s">
        <v>593</v>
      </c>
      <c r="F4323" s="195" t="s">
        <v>432</v>
      </c>
    </row>
    <row r="4324" spans="1:6" x14ac:dyDescent="0.25">
      <c r="A4324" s="189" t="str">
        <f t="shared" si="67"/>
        <v>CO-MD 404K00.3N</v>
      </c>
      <c r="B4324" s="195" t="s">
        <v>2287</v>
      </c>
      <c r="C4324" s="196">
        <v>0</v>
      </c>
      <c r="D4324" s="196">
        <v>0.3</v>
      </c>
      <c r="E4324" s="195" t="s">
        <v>589</v>
      </c>
      <c r="F4324" s="195" t="s">
        <v>430</v>
      </c>
    </row>
    <row r="4325" spans="1:6" x14ac:dyDescent="0.25">
      <c r="A4325" s="189" t="str">
        <f t="shared" si="67"/>
        <v>CO-MD 404K00.3S</v>
      </c>
      <c r="B4325" s="195" t="s">
        <v>2287</v>
      </c>
      <c r="C4325" s="196">
        <v>0</v>
      </c>
      <c r="D4325" s="196">
        <v>0.3</v>
      </c>
      <c r="E4325" s="195" t="s">
        <v>595</v>
      </c>
      <c r="F4325" s="195" t="s">
        <v>438</v>
      </c>
    </row>
    <row r="4326" spans="1:6" x14ac:dyDescent="0.25">
      <c r="A4326" s="189" t="str">
        <f t="shared" si="67"/>
        <v>CO-MD 404K0.30.31N</v>
      </c>
      <c r="B4326" s="195" t="s">
        <v>2287</v>
      </c>
      <c r="C4326" s="196">
        <v>0.3</v>
      </c>
      <c r="D4326" s="196">
        <v>0.31</v>
      </c>
      <c r="E4326" s="195" t="s">
        <v>589</v>
      </c>
      <c r="F4326" s="195" t="s">
        <v>430</v>
      </c>
    </row>
    <row r="4327" spans="1:6" x14ac:dyDescent="0.25">
      <c r="A4327" s="189" t="str">
        <f t="shared" si="67"/>
        <v>CO-MD 404K0.30.31S</v>
      </c>
      <c r="B4327" s="195" t="s">
        <v>2287</v>
      </c>
      <c r="C4327" s="196">
        <v>0.3</v>
      </c>
      <c r="D4327" s="196">
        <v>0.31</v>
      </c>
      <c r="E4327" s="195" t="s">
        <v>595</v>
      </c>
      <c r="F4327" s="195" t="s">
        <v>438</v>
      </c>
    </row>
    <row r="4328" spans="1:6" x14ac:dyDescent="0.25">
      <c r="A4328" s="189" t="str">
        <f t="shared" si="67"/>
        <v>CO-MD 404L00.39N</v>
      </c>
      <c r="B4328" s="195" t="s">
        <v>2288</v>
      </c>
      <c r="C4328" s="196">
        <v>0</v>
      </c>
      <c r="D4328" s="196">
        <v>0.39</v>
      </c>
      <c r="E4328" s="195" t="s">
        <v>589</v>
      </c>
      <c r="F4328" s="195" t="s">
        <v>430</v>
      </c>
    </row>
    <row r="4329" spans="1:6" x14ac:dyDescent="0.25">
      <c r="A4329" s="189" t="str">
        <f t="shared" si="67"/>
        <v>CO-MD 404L00.39S</v>
      </c>
      <c r="B4329" s="195" t="s">
        <v>2288</v>
      </c>
      <c r="C4329" s="196">
        <v>0</v>
      </c>
      <c r="D4329" s="196">
        <v>0.39</v>
      </c>
      <c r="E4329" s="195" t="s">
        <v>595</v>
      </c>
      <c r="F4329" s="195" t="s">
        <v>438</v>
      </c>
    </row>
    <row r="4330" spans="1:6" x14ac:dyDescent="0.25">
      <c r="A4330" s="189" t="str">
        <f t="shared" si="67"/>
        <v>CO-MD 404L0.390.39N</v>
      </c>
      <c r="B4330" s="195" t="s">
        <v>2288</v>
      </c>
      <c r="C4330" s="196">
        <v>0.39</v>
      </c>
      <c r="D4330" s="196">
        <v>0.39</v>
      </c>
      <c r="E4330" s="195" t="s">
        <v>589</v>
      </c>
      <c r="F4330" s="195" t="s">
        <v>430</v>
      </c>
    </row>
    <row r="4331" spans="1:6" x14ac:dyDescent="0.25">
      <c r="A4331" s="189" t="str">
        <f t="shared" si="67"/>
        <v>CO-MD 404L0.390.39S</v>
      </c>
      <c r="B4331" s="195" t="s">
        <v>2288</v>
      </c>
      <c r="C4331" s="196">
        <v>0.39</v>
      </c>
      <c r="D4331" s="196">
        <v>0.39</v>
      </c>
      <c r="E4331" s="195" t="s">
        <v>595</v>
      </c>
      <c r="F4331" s="195" t="s">
        <v>438</v>
      </c>
    </row>
    <row r="4332" spans="1:6" x14ac:dyDescent="0.25">
      <c r="A4332" s="189" t="str">
        <f t="shared" si="67"/>
        <v>CO-MD 404M00.35N</v>
      </c>
      <c r="B4332" s="195" t="s">
        <v>2289</v>
      </c>
      <c r="C4332" s="196">
        <v>0</v>
      </c>
      <c r="D4332" s="196">
        <v>0.35</v>
      </c>
      <c r="E4332" s="195" t="s">
        <v>589</v>
      </c>
      <c r="F4332" s="195" t="s">
        <v>430</v>
      </c>
    </row>
    <row r="4333" spans="1:6" x14ac:dyDescent="0.25">
      <c r="A4333" s="189" t="str">
        <f t="shared" si="67"/>
        <v>CO-MD 404M00.35S</v>
      </c>
      <c r="B4333" s="195" t="s">
        <v>2289</v>
      </c>
      <c r="C4333" s="196">
        <v>0</v>
      </c>
      <c r="D4333" s="196">
        <v>0.35</v>
      </c>
      <c r="E4333" s="195" t="s">
        <v>595</v>
      </c>
      <c r="F4333" s="195" t="s">
        <v>438</v>
      </c>
    </row>
    <row r="4334" spans="1:6" x14ac:dyDescent="0.25">
      <c r="A4334" s="189" t="str">
        <f t="shared" si="67"/>
        <v>CO-MD 404M0.350.36N</v>
      </c>
      <c r="B4334" s="195" t="s">
        <v>2289</v>
      </c>
      <c r="C4334" s="196">
        <v>0.35</v>
      </c>
      <c r="D4334" s="196">
        <v>0.36</v>
      </c>
      <c r="E4334" s="195" t="s">
        <v>589</v>
      </c>
      <c r="F4334" s="195" t="s">
        <v>430</v>
      </c>
    </row>
    <row r="4335" spans="1:6" x14ac:dyDescent="0.25">
      <c r="A4335" s="189" t="str">
        <f t="shared" si="67"/>
        <v>CO-MD 404M0.350.36S</v>
      </c>
      <c r="B4335" s="195" t="s">
        <v>2289</v>
      </c>
      <c r="C4335" s="196">
        <v>0.35</v>
      </c>
      <c r="D4335" s="196">
        <v>0.36</v>
      </c>
      <c r="E4335" s="195" t="s">
        <v>595</v>
      </c>
      <c r="F4335" s="195" t="s">
        <v>438</v>
      </c>
    </row>
    <row r="4336" spans="1:6" x14ac:dyDescent="0.25">
      <c r="A4336" s="189" t="str">
        <f t="shared" si="67"/>
        <v>CO-MD 404N00.05E</v>
      </c>
      <c r="B4336" s="195" t="s">
        <v>2290</v>
      </c>
      <c r="C4336" s="196">
        <v>0</v>
      </c>
      <c r="D4336" s="196">
        <v>0.05</v>
      </c>
      <c r="E4336" s="195" t="s">
        <v>598</v>
      </c>
      <c r="F4336" s="195" t="s">
        <v>19</v>
      </c>
    </row>
    <row r="4337" spans="1:6" x14ac:dyDescent="0.25">
      <c r="A4337" s="189" t="str">
        <f t="shared" si="67"/>
        <v>CO-MD 404N00.05W</v>
      </c>
      <c r="B4337" s="195" t="s">
        <v>2290</v>
      </c>
      <c r="C4337" s="196">
        <v>0</v>
      </c>
      <c r="D4337" s="196">
        <v>0.05</v>
      </c>
      <c r="E4337" s="195" t="s">
        <v>593</v>
      </c>
      <c r="F4337" s="195" t="s">
        <v>432</v>
      </c>
    </row>
    <row r="4338" spans="1:6" x14ac:dyDescent="0.25">
      <c r="A4338" s="189" t="str">
        <f t="shared" si="67"/>
        <v>CO-MD 404P00.07E</v>
      </c>
      <c r="B4338" s="195" t="s">
        <v>2291</v>
      </c>
      <c r="C4338" s="196">
        <v>0</v>
      </c>
      <c r="D4338" s="196">
        <v>7.0000000000000007E-2</v>
      </c>
      <c r="E4338" s="195" t="s">
        <v>598</v>
      </c>
      <c r="F4338" s="195" t="s">
        <v>19</v>
      </c>
    </row>
    <row r="4339" spans="1:6" x14ac:dyDescent="0.25">
      <c r="A4339" s="189" t="str">
        <f t="shared" si="67"/>
        <v>CO-MD 404P00.07W</v>
      </c>
      <c r="B4339" s="195" t="s">
        <v>2291</v>
      </c>
      <c r="C4339" s="196">
        <v>0</v>
      </c>
      <c r="D4339" s="196">
        <v>7.0000000000000007E-2</v>
      </c>
      <c r="E4339" s="195" t="s">
        <v>593</v>
      </c>
      <c r="F4339" s="195" t="s">
        <v>432</v>
      </c>
    </row>
    <row r="4340" spans="1:6" x14ac:dyDescent="0.25">
      <c r="A4340" s="189" t="str">
        <f t="shared" si="67"/>
        <v>CO-MD 404R1.041.28N</v>
      </c>
      <c r="B4340" s="195" t="s">
        <v>2292</v>
      </c>
      <c r="C4340" s="196">
        <v>1.04</v>
      </c>
      <c r="D4340" s="196">
        <v>1.28</v>
      </c>
      <c r="E4340" s="195" t="s">
        <v>589</v>
      </c>
      <c r="F4340" s="195" t="s">
        <v>430</v>
      </c>
    </row>
    <row r="4341" spans="1:6" x14ac:dyDescent="0.25">
      <c r="A4341" s="189" t="str">
        <f t="shared" si="67"/>
        <v>CO-MD 404R1.041.28S</v>
      </c>
      <c r="B4341" s="195" t="s">
        <v>2292</v>
      </c>
      <c r="C4341" s="196">
        <v>1.04</v>
      </c>
      <c r="D4341" s="196">
        <v>1.28</v>
      </c>
      <c r="E4341" s="195" t="s">
        <v>595</v>
      </c>
      <c r="F4341" s="195" t="s">
        <v>438</v>
      </c>
    </row>
    <row r="4342" spans="1:6" x14ac:dyDescent="0.25">
      <c r="A4342" s="189" t="str">
        <f t="shared" si="67"/>
        <v>CO-MD 404S00.09N</v>
      </c>
      <c r="B4342" s="195" t="s">
        <v>2293</v>
      </c>
      <c r="C4342" s="196">
        <v>0</v>
      </c>
      <c r="D4342" s="196">
        <v>0.09</v>
      </c>
      <c r="E4342" s="195" t="s">
        <v>589</v>
      </c>
      <c r="F4342" s="195" t="s">
        <v>430</v>
      </c>
    </row>
    <row r="4343" spans="1:6" x14ac:dyDescent="0.25">
      <c r="A4343" s="189" t="str">
        <f t="shared" si="67"/>
        <v>CO-MD 404S00.09S</v>
      </c>
      <c r="B4343" s="195" t="s">
        <v>2293</v>
      </c>
      <c r="C4343" s="196">
        <v>0</v>
      </c>
      <c r="D4343" s="196">
        <v>0.09</v>
      </c>
      <c r="E4343" s="195" t="s">
        <v>595</v>
      </c>
      <c r="F4343" s="195" t="s">
        <v>438</v>
      </c>
    </row>
    <row r="4344" spans="1:6" x14ac:dyDescent="0.25">
      <c r="A4344" s="189" t="str">
        <f t="shared" si="67"/>
        <v>CO-MD 404T00.09N</v>
      </c>
      <c r="B4344" s="195" t="s">
        <v>2294</v>
      </c>
      <c r="C4344" s="196">
        <v>0</v>
      </c>
      <c r="D4344" s="196">
        <v>0.09</v>
      </c>
      <c r="E4344" s="195" t="s">
        <v>589</v>
      </c>
      <c r="F4344" s="195" t="s">
        <v>430</v>
      </c>
    </row>
    <row r="4345" spans="1:6" x14ac:dyDescent="0.25">
      <c r="A4345" s="189" t="str">
        <f t="shared" si="67"/>
        <v>CO-MD 404T0.020.09S</v>
      </c>
      <c r="B4345" s="195" t="s">
        <v>2294</v>
      </c>
      <c r="C4345" s="196">
        <v>0.02</v>
      </c>
      <c r="D4345" s="196">
        <v>0.09</v>
      </c>
      <c r="E4345" s="195" t="s">
        <v>595</v>
      </c>
      <c r="F4345" s="195" t="s">
        <v>438</v>
      </c>
    </row>
    <row r="4346" spans="1:6" x14ac:dyDescent="0.25">
      <c r="A4346" s="189" t="str">
        <f t="shared" si="67"/>
        <v>CO-MD 404U00.09E</v>
      </c>
      <c r="B4346" s="195" t="s">
        <v>2295</v>
      </c>
      <c r="C4346" s="196">
        <v>0</v>
      </c>
      <c r="D4346" s="196">
        <v>0.09</v>
      </c>
      <c r="E4346" s="195" t="s">
        <v>598</v>
      </c>
      <c r="F4346" s="195" t="s">
        <v>19</v>
      </c>
    </row>
    <row r="4347" spans="1:6" x14ac:dyDescent="0.25">
      <c r="A4347" s="189" t="str">
        <f t="shared" si="67"/>
        <v>CO-MD 404U00.09W</v>
      </c>
      <c r="B4347" s="195" t="s">
        <v>2295</v>
      </c>
      <c r="C4347" s="196">
        <v>0</v>
      </c>
      <c r="D4347" s="196">
        <v>0.09</v>
      </c>
      <c r="E4347" s="195" t="s">
        <v>593</v>
      </c>
      <c r="F4347" s="195" t="s">
        <v>432</v>
      </c>
    </row>
    <row r="4348" spans="1:6" x14ac:dyDescent="0.25">
      <c r="A4348" s="189" t="str">
        <f t="shared" si="67"/>
        <v>CO-MD 45400.11N</v>
      </c>
      <c r="B4348" s="195" t="s">
        <v>2296</v>
      </c>
      <c r="C4348" s="196">
        <v>0</v>
      </c>
      <c r="D4348" s="196">
        <v>0.11</v>
      </c>
      <c r="E4348" s="195" t="s">
        <v>583</v>
      </c>
      <c r="F4348" s="195" t="s">
        <v>430</v>
      </c>
    </row>
    <row r="4349" spans="1:6" x14ac:dyDescent="0.25">
      <c r="A4349" s="189" t="str">
        <f t="shared" si="67"/>
        <v>CO-MD 45400.11S</v>
      </c>
      <c r="B4349" s="195" t="s">
        <v>2296</v>
      </c>
      <c r="C4349" s="196">
        <v>0</v>
      </c>
      <c r="D4349" s="196">
        <v>0.11</v>
      </c>
      <c r="E4349" s="195" t="s">
        <v>583</v>
      </c>
      <c r="F4349" s="195" t="s">
        <v>438</v>
      </c>
    </row>
    <row r="4350" spans="1:6" x14ac:dyDescent="0.25">
      <c r="A4350" s="189" t="str">
        <f t="shared" si="67"/>
        <v>CO-MD 4540.112.21N</v>
      </c>
      <c r="B4350" s="195" t="s">
        <v>2296</v>
      </c>
      <c r="C4350" s="196">
        <v>0.11</v>
      </c>
      <c r="D4350" s="196">
        <v>2.21</v>
      </c>
      <c r="E4350" s="195" t="s">
        <v>583</v>
      </c>
      <c r="F4350" s="195" t="s">
        <v>430</v>
      </c>
    </row>
    <row r="4351" spans="1:6" x14ac:dyDescent="0.25">
      <c r="A4351" s="189" t="str">
        <f t="shared" si="67"/>
        <v>CO-MD 4540.112.21S</v>
      </c>
      <c r="B4351" s="195" t="s">
        <v>2296</v>
      </c>
      <c r="C4351" s="196">
        <v>0.11</v>
      </c>
      <c r="D4351" s="196">
        <v>2.21</v>
      </c>
      <c r="E4351" s="195" t="s">
        <v>583</v>
      </c>
      <c r="F4351" s="195" t="s">
        <v>438</v>
      </c>
    </row>
    <row r="4352" spans="1:6" x14ac:dyDescent="0.25">
      <c r="A4352" s="189" t="str">
        <f t="shared" si="67"/>
        <v>CO-MD 48002.5E</v>
      </c>
      <c r="B4352" s="195" t="s">
        <v>2297</v>
      </c>
      <c r="C4352" s="196">
        <v>0</v>
      </c>
      <c r="D4352" s="196">
        <v>2.5</v>
      </c>
      <c r="E4352" s="195" t="s">
        <v>583</v>
      </c>
      <c r="F4352" s="195" t="s">
        <v>19</v>
      </c>
    </row>
    <row r="4353" spans="1:6" x14ac:dyDescent="0.25">
      <c r="A4353" s="189" t="str">
        <f t="shared" si="67"/>
        <v>CO-MD 48002.5W</v>
      </c>
      <c r="B4353" s="195" t="s">
        <v>2297</v>
      </c>
      <c r="C4353" s="196">
        <v>0</v>
      </c>
      <c r="D4353" s="196">
        <v>2.5</v>
      </c>
      <c r="E4353" s="195" t="s">
        <v>583</v>
      </c>
      <c r="F4353" s="195" t="s">
        <v>432</v>
      </c>
    </row>
    <row r="4354" spans="1:6" x14ac:dyDescent="0.25">
      <c r="A4354" s="189" t="str">
        <f t="shared" si="67"/>
        <v>CO-MD 4802.53.45E</v>
      </c>
      <c r="B4354" s="195" t="s">
        <v>2297</v>
      </c>
      <c r="C4354" s="196">
        <v>2.5</v>
      </c>
      <c r="D4354" s="196">
        <v>3.45</v>
      </c>
      <c r="E4354" s="195" t="s">
        <v>583</v>
      </c>
      <c r="F4354" s="195" t="s">
        <v>19</v>
      </c>
    </row>
    <row r="4355" spans="1:6" x14ac:dyDescent="0.25">
      <c r="A4355" s="189" t="str">
        <f t="shared" ref="A4355:A4418" si="68">B4355&amp;C4355&amp;D4355&amp;F4355</f>
        <v>CO-MD 4802.53.45W</v>
      </c>
      <c r="B4355" s="195" t="s">
        <v>2297</v>
      </c>
      <c r="C4355" s="196">
        <v>2.5</v>
      </c>
      <c r="D4355" s="196">
        <v>3.45</v>
      </c>
      <c r="E4355" s="195" t="s">
        <v>583</v>
      </c>
      <c r="F4355" s="195" t="s">
        <v>432</v>
      </c>
    </row>
    <row r="4356" spans="1:6" x14ac:dyDescent="0.25">
      <c r="A4356" s="189" t="str">
        <f t="shared" si="68"/>
        <v>CO-MD 4803.458.1E</v>
      </c>
      <c r="B4356" s="195" t="s">
        <v>2297</v>
      </c>
      <c r="C4356" s="196">
        <v>3.45</v>
      </c>
      <c r="D4356" s="196">
        <v>8.1</v>
      </c>
      <c r="E4356" s="195" t="s">
        <v>583</v>
      </c>
      <c r="F4356" s="195" t="s">
        <v>19</v>
      </c>
    </row>
    <row r="4357" spans="1:6" x14ac:dyDescent="0.25">
      <c r="A4357" s="189" t="str">
        <f t="shared" si="68"/>
        <v>CO-MD 4803.458.1W</v>
      </c>
      <c r="B4357" s="195" t="s">
        <v>2297</v>
      </c>
      <c r="C4357" s="196">
        <v>3.45</v>
      </c>
      <c r="D4357" s="196">
        <v>8.1</v>
      </c>
      <c r="E4357" s="195" t="s">
        <v>583</v>
      </c>
      <c r="F4357" s="195" t="s">
        <v>432</v>
      </c>
    </row>
    <row r="4358" spans="1:6" x14ac:dyDescent="0.25">
      <c r="A4358" s="189" t="str">
        <f t="shared" si="68"/>
        <v>CO-MD 4808.18.21E</v>
      </c>
      <c r="B4358" s="195" t="s">
        <v>2297</v>
      </c>
      <c r="C4358" s="196">
        <v>8.1</v>
      </c>
      <c r="D4358" s="196">
        <v>8.2100000000000009</v>
      </c>
      <c r="E4358" s="195" t="s">
        <v>583</v>
      </c>
      <c r="F4358" s="195" t="s">
        <v>19</v>
      </c>
    </row>
    <row r="4359" spans="1:6" x14ac:dyDescent="0.25">
      <c r="A4359" s="189" t="str">
        <f t="shared" si="68"/>
        <v>CO-MD 4808.18.21W</v>
      </c>
      <c r="B4359" s="195" t="s">
        <v>2297</v>
      </c>
      <c r="C4359" s="196">
        <v>8.1</v>
      </c>
      <c r="D4359" s="196">
        <v>8.2100000000000009</v>
      </c>
      <c r="E4359" s="195" t="s">
        <v>583</v>
      </c>
      <c r="F4359" s="195" t="s">
        <v>432</v>
      </c>
    </row>
    <row r="4360" spans="1:6" x14ac:dyDescent="0.25">
      <c r="A4360" s="189" t="str">
        <f t="shared" si="68"/>
        <v>CO-MD 4808.218.4E</v>
      </c>
      <c r="B4360" s="195" t="s">
        <v>2297</v>
      </c>
      <c r="C4360" s="196">
        <v>8.2100000000000009</v>
      </c>
      <c r="D4360" s="196">
        <v>8.4</v>
      </c>
      <c r="E4360" s="195" t="s">
        <v>583</v>
      </c>
      <c r="F4360" s="195" t="s">
        <v>19</v>
      </c>
    </row>
    <row r="4361" spans="1:6" x14ac:dyDescent="0.25">
      <c r="A4361" s="189" t="str">
        <f t="shared" si="68"/>
        <v>CO-MD 4808.218.4W</v>
      </c>
      <c r="B4361" s="195" t="s">
        <v>2297</v>
      </c>
      <c r="C4361" s="196">
        <v>8.2100000000000009</v>
      </c>
      <c r="D4361" s="196">
        <v>8.4</v>
      </c>
      <c r="E4361" s="195" t="s">
        <v>583</v>
      </c>
      <c r="F4361" s="195" t="s">
        <v>432</v>
      </c>
    </row>
    <row r="4362" spans="1:6" x14ac:dyDescent="0.25">
      <c r="A4362" s="189" t="str">
        <f t="shared" si="68"/>
        <v>CO-MD 4808.49.08E</v>
      </c>
      <c r="B4362" s="195" t="s">
        <v>2297</v>
      </c>
      <c r="C4362" s="196">
        <v>8.4</v>
      </c>
      <c r="D4362" s="196">
        <v>9.08</v>
      </c>
      <c r="E4362" s="195" t="s">
        <v>583</v>
      </c>
      <c r="F4362" s="195" t="s">
        <v>19</v>
      </c>
    </row>
    <row r="4363" spans="1:6" x14ac:dyDescent="0.25">
      <c r="A4363" s="189" t="str">
        <f t="shared" si="68"/>
        <v>CO-MD 4808.49.08W</v>
      </c>
      <c r="B4363" s="195" t="s">
        <v>2297</v>
      </c>
      <c r="C4363" s="196">
        <v>8.4</v>
      </c>
      <c r="D4363" s="196">
        <v>9.08</v>
      </c>
      <c r="E4363" s="195" t="s">
        <v>583</v>
      </c>
      <c r="F4363" s="195" t="s">
        <v>432</v>
      </c>
    </row>
    <row r="4364" spans="1:6" x14ac:dyDescent="0.25">
      <c r="A4364" s="189" t="str">
        <f t="shared" si="68"/>
        <v>CO-MD 48500.65E</v>
      </c>
      <c r="B4364" s="195" t="s">
        <v>2298</v>
      </c>
      <c r="C4364" s="196">
        <v>0</v>
      </c>
      <c r="D4364" s="196">
        <v>0.65</v>
      </c>
      <c r="E4364" s="195" t="s">
        <v>598</v>
      </c>
      <c r="F4364" s="195" t="s">
        <v>19</v>
      </c>
    </row>
    <row r="4365" spans="1:6" x14ac:dyDescent="0.25">
      <c r="A4365" s="189" t="str">
        <f t="shared" si="68"/>
        <v>CO-MD 48500.65W</v>
      </c>
      <c r="B4365" s="195" t="s">
        <v>2298</v>
      </c>
      <c r="C4365" s="196">
        <v>0</v>
      </c>
      <c r="D4365" s="196">
        <v>0.65</v>
      </c>
      <c r="E4365" s="195" t="s">
        <v>593</v>
      </c>
      <c r="F4365" s="195" t="s">
        <v>432</v>
      </c>
    </row>
    <row r="4366" spans="1:6" x14ac:dyDescent="0.25">
      <c r="A4366" s="189" t="str">
        <f t="shared" si="68"/>
        <v>CO-MD 485A00.15E</v>
      </c>
      <c r="B4366" s="195" t="s">
        <v>2299</v>
      </c>
      <c r="C4366" s="196">
        <v>0</v>
      </c>
      <c r="D4366" s="196">
        <v>0.15</v>
      </c>
      <c r="E4366" s="195" t="s">
        <v>598</v>
      </c>
      <c r="F4366" s="195" t="s">
        <v>19</v>
      </c>
    </row>
    <row r="4367" spans="1:6" x14ac:dyDescent="0.25">
      <c r="A4367" s="189" t="str">
        <f t="shared" si="68"/>
        <v>CO-MD 485A00.15W</v>
      </c>
      <c r="B4367" s="195" t="s">
        <v>2299</v>
      </c>
      <c r="C4367" s="196">
        <v>0</v>
      </c>
      <c r="D4367" s="196">
        <v>0.15</v>
      </c>
      <c r="E4367" s="195" t="s">
        <v>593</v>
      </c>
      <c r="F4367" s="195" t="s">
        <v>432</v>
      </c>
    </row>
    <row r="4368" spans="1:6" x14ac:dyDescent="0.25">
      <c r="A4368" s="189" t="str">
        <f t="shared" si="68"/>
        <v>CO-MD 57703.7N</v>
      </c>
      <c r="B4368" s="195" t="s">
        <v>2300</v>
      </c>
      <c r="C4368" s="196">
        <v>0</v>
      </c>
      <c r="D4368" s="196">
        <v>3.7</v>
      </c>
      <c r="E4368" s="195" t="s">
        <v>583</v>
      </c>
      <c r="F4368" s="195" t="s">
        <v>430</v>
      </c>
    </row>
    <row r="4369" spans="1:6" x14ac:dyDescent="0.25">
      <c r="A4369" s="189" t="str">
        <f t="shared" si="68"/>
        <v>CO-MD 57703.7S</v>
      </c>
      <c r="B4369" s="195" t="s">
        <v>2300</v>
      </c>
      <c r="C4369" s="196">
        <v>0</v>
      </c>
      <c r="D4369" s="196">
        <v>3.7</v>
      </c>
      <c r="E4369" s="195" t="s">
        <v>583</v>
      </c>
      <c r="F4369" s="195" t="s">
        <v>438</v>
      </c>
    </row>
    <row r="4370" spans="1:6" x14ac:dyDescent="0.25">
      <c r="A4370" s="189" t="str">
        <f t="shared" si="68"/>
        <v>CO-MD 57804.24E</v>
      </c>
      <c r="B4370" s="195" t="s">
        <v>2301</v>
      </c>
      <c r="C4370" s="196">
        <v>0</v>
      </c>
      <c r="D4370" s="196">
        <v>4.24</v>
      </c>
      <c r="E4370" s="195" t="s">
        <v>583</v>
      </c>
      <c r="F4370" s="195" t="s">
        <v>19</v>
      </c>
    </row>
    <row r="4371" spans="1:6" x14ac:dyDescent="0.25">
      <c r="A4371" s="189" t="str">
        <f t="shared" si="68"/>
        <v>CO-MD 57804.24W</v>
      </c>
      <c r="B4371" s="195" t="s">
        <v>2301</v>
      </c>
      <c r="C4371" s="196">
        <v>0</v>
      </c>
      <c r="D4371" s="196">
        <v>4.24</v>
      </c>
      <c r="E4371" s="195" t="s">
        <v>583</v>
      </c>
      <c r="F4371" s="195" t="s">
        <v>432</v>
      </c>
    </row>
    <row r="4372" spans="1:6" x14ac:dyDescent="0.25">
      <c r="A4372" s="189" t="str">
        <f t="shared" si="68"/>
        <v>CO-MD 61700.35N</v>
      </c>
      <c r="B4372" s="195" t="s">
        <v>2302</v>
      </c>
      <c r="C4372" s="196">
        <v>0</v>
      </c>
      <c r="D4372" s="196">
        <v>0.35</v>
      </c>
      <c r="E4372" s="195" t="s">
        <v>589</v>
      </c>
      <c r="F4372" s="195" t="s">
        <v>430</v>
      </c>
    </row>
    <row r="4373" spans="1:6" x14ac:dyDescent="0.25">
      <c r="A4373" s="189" t="str">
        <f t="shared" si="68"/>
        <v>CO-MD 61700.35S</v>
      </c>
      <c r="B4373" s="195" t="s">
        <v>2302</v>
      </c>
      <c r="C4373" s="196">
        <v>0</v>
      </c>
      <c r="D4373" s="196">
        <v>0.35</v>
      </c>
      <c r="E4373" s="195" t="s">
        <v>595</v>
      </c>
      <c r="F4373" s="195" t="s">
        <v>438</v>
      </c>
    </row>
    <row r="4374" spans="1:6" x14ac:dyDescent="0.25">
      <c r="A4374" s="189" t="str">
        <f t="shared" si="68"/>
        <v>CO-MD 61900.6N</v>
      </c>
      <c r="B4374" s="195" t="s">
        <v>2303</v>
      </c>
      <c r="C4374" s="196">
        <v>0</v>
      </c>
      <c r="D4374" s="196">
        <v>0.6</v>
      </c>
      <c r="E4374" s="195" t="s">
        <v>583</v>
      </c>
      <c r="F4374" s="195" t="s">
        <v>430</v>
      </c>
    </row>
    <row r="4375" spans="1:6" x14ac:dyDescent="0.25">
      <c r="A4375" s="189" t="str">
        <f t="shared" si="68"/>
        <v>CO-MD 61900.6S</v>
      </c>
      <c r="B4375" s="195" t="s">
        <v>2303</v>
      </c>
      <c r="C4375" s="196">
        <v>0</v>
      </c>
      <c r="D4375" s="196">
        <v>0.6</v>
      </c>
      <c r="E4375" s="195" t="s">
        <v>583</v>
      </c>
      <c r="F4375" s="195" t="s">
        <v>438</v>
      </c>
    </row>
    <row r="4376" spans="1:6" x14ac:dyDescent="0.25">
      <c r="A4376" s="189" t="str">
        <f t="shared" si="68"/>
        <v>CO-MD 6190.61.09N</v>
      </c>
      <c r="B4376" s="195" t="s">
        <v>2303</v>
      </c>
      <c r="C4376" s="196">
        <v>0.6</v>
      </c>
      <c r="D4376" s="196">
        <v>1.0900000000000001</v>
      </c>
      <c r="E4376" s="195" t="s">
        <v>583</v>
      </c>
      <c r="F4376" s="195" t="s">
        <v>430</v>
      </c>
    </row>
    <row r="4377" spans="1:6" x14ac:dyDescent="0.25">
      <c r="A4377" s="189" t="str">
        <f t="shared" si="68"/>
        <v>CO-MD 6190.61.09S</v>
      </c>
      <c r="B4377" s="195" t="s">
        <v>2303</v>
      </c>
      <c r="C4377" s="196">
        <v>0.6</v>
      </c>
      <c r="D4377" s="196">
        <v>1.0900000000000001</v>
      </c>
      <c r="E4377" s="195" t="s">
        <v>583</v>
      </c>
      <c r="F4377" s="195" t="s">
        <v>438</v>
      </c>
    </row>
    <row r="4378" spans="1:6" x14ac:dyDescent="0.25">
      <c r="A4378" s="189" t="str">
        <f t="shared" si="68"/>
        <v>CO-MD 619B00.11E</v>
      </c>
      <c r="B4378" s="195" t="s">
        <v>2304</v>
      </c>
      <c r="C4378" s="196">
        <v>0</v>
      </c>
      <c r="D4378" s="196">
        <v>0.11</v>
      </c>
      <c r="E4378" s="195" t="s">
        <v>598</v>
      </c>
      <c r="F4378" s="195" t="s">
        <v>19</v>
      </c>
    </row>
    <row r="4379" spans="1:6" x14ac:dyDescent="0.25">
      <c r="A4379" s="189" t="str">
        <f t="shared" si="68"/>
        <v>CO-MD 619B00.11W</v>
      </c>
      <c r="B4379" s="195" t="s">
        <v>2304</v>
      </c>
      <c r="C4379" s="196">
        <v>0</v>
      </c>
      <c r="D4379" s="196">
        <v>0.11</v>
      </c>
      <c r="E4379" s="195" t="s">
        <v>593</v>
      </c>
      <c r="F4379" s="195" t="s">
        <v>432</v>
      </c>
    </row>
    <row r="4380" spans="1:6" x14ac:dyDescent="0.25">
      <c r="A4380" s="189" t="str">
        <f t="shared" si="68"/>
        <v>CO-MD 77600.77N</v>
      </c>
      <c r="B4380" s="195" t="s">
        <v>2305</v>
      </c>
      <c r="C4380" s="196">
        <v>0</v>
      </c>
      <c r="D4380" s="196">
        <v>0.77</v>
      </c>
      <c r="E4380" s="195" t="s">
        <v>589</v>
      </c>
      <c r="F4380" s="195" t="s">
        <v>430</v>
      </c>
    </row>
    <row r="4381" spans="1:6" x14ac:dyDescent="0.25">
      <c r="A4381" s="189" t="str">
        <f t="shared" si="68"/>
        <v>CO-MD 77600.77S</v>
      </c>
      <c r="B4381" s="195" t="s">
        <v>2305</v>
      </c>
      <c r="C4381" s="196">
        <v>0</v>
      </c>
      <c r="D4381" s="196">
        <v>0.77</v>
      </c>
      <c r="E4381" s="195" t="s">
        <v>595</v>
      </c>
      <c r="F4381" s="195" t="s">
        <v>438</v>
      </c>
    </row>
    <row r="4382" spans="1:6" x14ac:dyDescent="0.25">
      <c r="A4382" s="189" t="str">
        <f t="shared" si="68"/>
        <v>CO-MD 776A00.09N</v>
      </c>
      <c r="B4382" s="195" t="s">
        <v>2306</v>
      </c>
      <c r="C4382" s="196">
        <v>0</v>
      </c>
      <c r="D4382" s="196">
        <v>0.09</v>
      </c>
      <c r="E4382" s="195" t="s">
        <v>589</v>
      </c>
      <c r="F4382" s="195" t="s">
        <v>430</v>
      </c>
    </row>
    <row r="4383" spans="1:6" x14ac:dyDescent="0.25">
      <c r="A4383" s="189" t="str">
        <f t="shared" si="68"/>
        <v>CO-MD 776A00.09S</v>
      </c>
      <c r="B4383" s="195" t="s">
        <v>2306</v>
      </c>
      <c r="C4383" s="196">
        <v>0</v>
      </c>
      <c r="D4383" s="196">
        <v>0.09</v>
      </c>
      <c r="E4383" s="195" t="s">
        <v>595</v>
      </c>
      <c r="F4383" s="195" t="s">
        <v>438</v>
      </c>
    </row>
    <row r="4384" spans="1:6" x14ac:dyDescent="0.25">
      <c r="A4384" s="189" t="str">
        <f t="shared" si="68"/>
        <v>CO-MD 817A00.46N</v>
      </c>
      <c r="B4384" s="195" t="s">
        <v>2307</v>
      </c>
      <c r="C4384" s="196">
        <v>0</v>
      </c>
      <c r="D4384" s="196">
        <v>0.46</v>
      </c>
      <c r="E4384" s="195" t="s">
        <v>589</v>
      </c>
      <c r="F4384" s="195" t="s">
        <v>430</v>
      </c>
    </row>
    <row r="4385" spans="1:6" x14ac:dyDescent="0.25">
      <c r="A4385" s="189" t="str">
        <f t="shared" si="68"/>
        <v>CO-MD 817A00.46S</v>
      </c>
      <c r="B4385" s="195" t="s">
        <v>2307</v>
      </c>
      <c r="C4385" s="196">
        <v>0</v>
      </c>
      <c r="D4385" s="196">
        <v>0.46</v>
      </c>
      <c r="E4385" s="195" t="s">
        <v>595</v>
      </c>
      <c r="F4385" s="195" t="s">
        <v>438</v>
      </c>
    </row>
    <row r="4386" spans="1:6" x14ac:dyDescent="0.25">
      <c r="A4386" s="189" t="str">
        <f t="shared" si="68"/>
        <v>CO-MD 817B00.52N</v>
      </c>
      <c r="B4386" s="195" t="s">
        <v>2308</v>
      </c>
      <c r="C4386" s="196">
        <v>0</v>
      </c>
      <c r="D4386" s="196">
        <v>0.52</v>
      </c>
      <c r="E4386" s="195" t="s">
        <v>589</v>
      </c>
      <c r="F4386" s="195" t="s">
        <v>430</v>
      </c>
    </row>
    <row r="4387" spans="1:6" x14ac:dyDescent="0.25">
      <c r="A4387" s="189" t="str">
        <f t="shared" si="68"/>
        <v>CO-MD 817B0.030.52S</v>
      </c>
      <c r="B4387" s="195" t="s">
        <v>2308</v>
      </c>
      <c r="C4387" s="196">
        <v>0.03</v>
      </c>
      <c r="D4387" s="196">
        <v>0.52</v>
      </c>
      <c r="E4387" s="195" t="s">
        <v>595</v>
      </c>
      <c r="F4387" s="195" t="s">
        <v>438</v>
      </c>
    </row>
    <row r="4388" spans="1:6" x14ac:dyDescent="0.25">
      <c r="A4388" s="189" t="str">
        <f t="shared" si="68"/>
        <v>CO-MD 82000.13E</v>
      </c>
      <c r="B4388" s="195" t="s">
        <v>2309</v>
      </c>
      <c r="C4388" s="196">
        <v>0</v>
      </c>
      <c r="D4388" s="196">
        <v>0.13</v>
      </c>
      <c r="E4388" s="195" t="s">
        <v>598</v>
      </c>
      <c r="F4388" s="195" t="s">
        <v>19</v>
      </c>
    </row>
    <row r="4389" spans="1:6" x14ac:dyDescent="0.25">
      <c r="A4389" s="189" t="str">
        <f t="shared" si="68"/>
        <v>CO-MD 82000.13W</v>
      </c>
      <c r="B4389" s="195" t="s">
        <v>2309</v>
      </c>
      <c r="C4389" s="196">
        <v>0</v>
      </c>
      <c r="D4389" s="196">
        <v>0.13</v>
      </c>
      <c r="E4389" s="195" t="s">
        <v>593</v>
      </c>
      <c r="F4389" s="195" t="s">
        <v>432</v>
      </c>
    </row>
    <row r="4390" spans="1:6" x14ac:dyDescent="0.25">
      <c r="A4390" s="189" t="str">
        <f t="shared" si="68"/>
        <v>CO-MD 82100.4E</v>
      </c>
      <c r="B4390" s="195" t="s">
        <v>2310</v>
      </c>
      <c r="C4390" s="196">
        <v>0</v>
      </c>
      <c r="D4390" s="196">
        <v>0.4</v>
      </c>
      <c r="E4390" s="195" t="s">
        <v>598</v>
      </c>
      <c r="F4390" s="195" t="s">
        <v>19</v>
      </c>
    </row>
    <row r="4391" spans="1:6" x14ac:dyDescent="0.25">
      <c r="A4391" s="189" t="str">
        <f t="shared" si="68"/>
        <v>CO-MD 82100.4W</v>
      </c>
      <c r="B4391" s="195" t="s">
        <v>2310</v>
      </c>
      <c r="C4391" s="196">
        <v>0</v>
      </c>
      <c r="D4391" s="196">
        <v>0.4</v>
      </c>
      <c r="E4391" s="195" t="s">
        <v>593</v>
      </c>
      <c r="F4391" s="195" t="s">
        <v>432</v>
      </c>
    </row>
    <row r="4392" spans="1:6" x14ac:dyDescent="0.25">
      <c r="A4392" s="189" t="str">
        <f t="shared" si="68"/>
        <v>DO-MD 1401.15E</v>
      </c>
      <c r="B4392" s="195" t="s">
        <v>2311</v>
      </c>
      <c r="C4392" s="196">
        <v>0</v>
      </c>
      <c r="D4392" s="196">
        <v>1.1499999999999999</v>
      </c>
      <c r="E4392" s="195" t="s">
        <v>583</v>
      </c>
      <c r="F4392" s="195" t="s">
        <v>19</v>
      </c>
    </row>
    <row r="4393" spans="1:6" x14ac:dyDescent="0.25">
      <c r="A4393" s="189" t="str">
        <f t="shared" si="68"/>
        <v>DO-MD 1401.15W</v>
      </c>
      <c r="B4393" s="195" t="s">
        <v>2311</v>
      </c>
      <c r="C4393" s="196">
        <v>0</v>
      </c>
      <c r="D4393" s="196">
        <v>1.1499999999999999</v>
      </c>
      <c r="E4393" s="195" t="s">
        <v>583</v>
      </c>
      <c r="F4393" s="195" t="s">
        <v>432</v>
      </c>
    </row>
    <row r="4394" spans="1:6" x14ac:dyDescent="0.25">
      <c r="A4394" s="189" t="str">
        <f t="shared" si="68"/>
        <v>DO-MD 141.151.55E</v>
      </c>
      <c r="B4394" s="195" t="s">
        <v>2311</v>
      </c>
      <c r="C4394" s="196">
        <v>1.1499999999999999</v>
      </c>
      <c r="D4394" s="196">
        <v>1.55</v>
      </c>
      <c r="E4394" s="195" t="s">
        <v>583</v>
      </c>
      <c r="F4394" s="195" t="s">
        <v>19</v>
      </c>
    </row>
    <row r="4395" spans="1:6" x14ac:dyDescent="0.25">
      <c r="A4395" s="189" t="str">
        <f t="shared" si="68"/>
        <v>DO-MD 141.151.55W</v>
      </c>
      <c r="B4395" s="195" t="s">
        <v>2311</v>
      </c>
      <c r="C4395" s="196">
        <v>1.1499999999999999</v>
      </c>
      <c r="D4395" s="196">
        <v>1.55</v>
      </c>
      <c r="E4395" s="195" t="s">
        <v>583</v>
      </c>
      <c r="F4395" s="195" t="s">
        <v>432</v>
      </c>
    </row>
    <row r="4396" spans="1:6" x14ac:dyDescent="0.25">
      <c r="A4396" s="189" t="str">
        <f t="shared" si="68"/>
        <v>DO-MD 141.553E</v>
      </c>
      <c r="B4396" s="195" t="s">
        <v>2311</v>
      </c>
      <c r="C4396" s="196">
        <v>1.55</v>
      </c>
      <c r="D4396" s="196">
        <v>3</v>
      </c>
      <c r="E4396" s="195" t="s">
        <v>583</v>
      </c>
      <c r="F4396" s="195" t="s">
        <v>19</v>
      </c>
    </row>
    <row r="4397" spans="1:6" x14ac:dyDescent="0.25">
      <c r="A4397" s="189" t="str">
        <f t="shared" si="68"/>
        <v>DO-MD 141.553W</v>
      </c>
      <c r="B4397" s="195" t="s">
        <v>2311</v>
      </c>
      <c r="C4397" s="196">
        <v>1.55</v>
      </c>
      <c r="D4397" s="196">
        <v>3</v>
      </c>
      <c r="E4397" s="195" t="s">
        <v>583</v>
      </c>
      <c r="F4397" s="195" t="s">
        <v>432</v>
      </c>
    </row>
    <row r="4398" spans="1:6" x14ac:dyDescent="0.25">
      <c r="A4398" s="189" t="str">
        <f t="shared" si="68"/>
        <v>DO-MD 1433.24E</v>
      </c>
      <c r="B4398" s="195" t="s">
        <v>2311</v>
      </c>
      <c r="C4398" s="196">
        <v>3</v>
      </c>
      <c r="D4398" s="196">
        <v>3.24</v>
      </c>
      <c r="E4398" s="195" t="s">
        <v>583</v>
      </c>
      <c r="F4398" s="195" t="s">
        <v>19</v>
      </c>
    </row>
    <row r="4399" spans="1:6" x14ac:dyDescent="0.25">
      <c r="A4399" s="189" t="str">
        <f t="shared" si="68"/>
        <v>DO-MD 1433.24W</v>
      </c>
      <c r="B4399" s="195" t="s">
        <v>2311</v>
      </c>
      <c r="C4399" s="196">
        <v>3</v>
      </c>
      <c r="D4399" s="196">
        <v>3.24</v>
      </c>
      <c r="E4399" s="195" t="s">
        <v>583</v>
      </c>
      <c r="F4399" s="195" t="s">
        <v>432</v>
      </c>
    </row>
    <row r="4400" spans="1:6" x14ac:dyDescent="0.25">
      <c r="A4400" s="189" t="str">
        <f t="shared" si="68"/>
        <v>DO-MD 143.243.87E</v>
      </c>
      <c r="B4400" s="195" t="s">
        <v>2311</v>
      </c>
      <c r="C4400" s="196">
        <v>3.24</v>
      </c>
      <c r="D4400" s="196">
        <v>3.87</v>
      </c>
      <c r="E4400" s="195" t="s">
        <v>583</v>
      </c>
      <c r="F4400" s="195" t="s">
        <v>19</v>
      </c>
    </row>
    <row r="4401" spans="1:6" x14ac:dyDescent="0.25">
      <c r="A4401" s="189" t="str">
        <f t="shared" si="68"/>
        <v>DO-MD 143.243.87W</v>
      </c>
      <c r="B4401" s="195" t="s">
        <v>2311</v>
      </c>
      <c r="C4401" s="196">
        <v>3.24</v>
      </c>
      <c r="D4401" s="196">
        <v>3.87</v>
      </c>
      <c r="E4401" s="195" t="s">
        <v>583</v>
      </c>
      <c r="F4401" s="195" t="s">
        <v>432</v>
      </c>
    </row>
    <row r="4402" spans="1:6" x14ac:dyDescent="0.25">
      <c r="A4402" s="189" t="str">
        <f t="shared" si="68"/>
        <v>DO-MD 143.876.37E</v>
      </c>
      <c r="B4402" s="195" t="s">
        <v>2311</v>
      </c>
      <c r="C4402" s="196">
        <v>3.87</v>
      </c>
      <c r="D4402" s="196">
        <v>6.37</v>
      </c>
      <c r="E4402" s="195" t="s">
        <v>583</v>
      </c>
      <c r="F4402" s="195" t="s">
        <v>19</v>
      </c>
    </row>
    <row r="4403" spans="1:6" x14ac:dyDescent="0.25">
      <c r="A4403" s="189" t="str">
        <f t="shared" si="68"/>
        <v>DO-MD 143.876.37W</v>
      </c>
      <c r="B4403" s="195" t="s">
        <v>2311</v>
      </c>
      <c r="C4403" s="196">
        <v>3.87</v>
      </c>
      <c r="D4403" s="196">
        <v>6.37</v>
      </c>
      <c r="E4403" s="195" t="s">
        <v>583</v>
      </c>
      <c r="F4403" s="195" t="s">
        <v>432</v>
      </c>
    </row>
    <row r="4404" spans="1:6" x14ac:dyDescent="0.25">
      <c r="A4404" s="189" t="str">
        <f t="shared" si="68"/>
        <v>DO-MD 146.378.41E</v>
      </c>
      <c r="B4404" s="195" t="s">
        <v>2311</v>
      </c>
      <c r="C4404" s="196">
        <v>6.37</v>
      </c>
      <c r="D4404" s="196">
        <v>8.41</v>
      </c>
      <c r="E4404" s="195" t="s">
        <v>583</v>
      </c>
      <c r="F4404" s="195" t="s">
        <v>19</v>
      </c>
    </row>
    <row r="4405" spans="1:6" x14ac:dyDescent="0.25">
      <c r="A4405" s="189" t="str">
        <f t="shared" si="68"/>
        <v>DO-MD 146.378.41W</v>
      </c>
      <c r="B4405" s="195" t="s">
        <v>2311</v>
      </c>
      <c r="C4405" s="196">
        <v>6.37</v>
      </c>
      <c r="D4405" s="196">
        <v>8.41</v>
      </c>
      <c r="E4405" s="195" t="s">
        <v>583</v>
      </c>
      <c r="F4405" s="195" t="s">
        <v>432</v>
      </c>
    </row>
    <row r="4406" spans="1:6" x14ac:dyDescent="0.25">
      <c r="A4406" s="189" t="str">
        <f t="shared" si="68"/>
        <v>DO-MD 148.4110.6E</v>
      </c>
      <c r="B4406" s="195" t="s">
        <v>2311</v>
      </c>
      <c r="C4406" s="196">
        <v>8.41</v>
      </c>
      <c r="D4406" s="196">
        <v>10.6</v>
      </c>
      <c r="E4406" s="195" t="s">
        <v>583</v>
      </c>
      <c r="F4406" s="195" t="s">
        <v>19</v>
      </c>
    </row>
    <row r="4407" spans="1:6" x14ac:dyDescent="0.25">
      <c r="A4407" s="189" t="str">
        <f t="shared" si="68"/>
        <v>DO-MD 148.4110.6W</v>
      </c>
      <c r="B4407" s="195" t="s">
        <v>2311</v>
      </c>
      <c r="C4407" s="196">
        <v>8.41</v>
      </c>
      <c r="D4407" s="196">
        <v>10.6</v>
      </c>
      <c r="E4407" s="195" t="s">
        <v>583</v>
      </c>
      <c r="F4407" s="195" t="s">
        <v>432</v>
      </c>
    </row>
    <row r="4408" spans="1:6" x14ac:dyDescent="0.25">
      <c r="A4408" s="189" t="str">
        <f t="shared" si="68"/>
        <v>DO-MD 1410.611.51E</v>
      </c>
      <c r="B4408" s="195" t="s">
        <v>2311</v>
      </c>
      <c r="C4408" s="196">
        <v>10.6</v>
      </c>
      <c r="D4408" s="196">
        <v>11.51</v>
      </c>
      <c r="E4408" s="195" t="s">
        <v>583</v>
      </c>
      <c r="F4408" s="195" t="s">
        <v>19</v>
      </c>
    </row>
    <row r="4409" spans="1:6" x14ac:dyDescent="0.25">
      <c r="A4409" s="189" t="str">
        <f t="shared" si="68"/>
        <v>DO-MD 1410.611.51W</v>
      </c>
      <c r="B4409" s="195" t="s">
        <v>2311</v>
      </c>
      <c r="C4409" s="196">
        <v>10.6</v>
      </c>
      <c r="D4409" s="196">
        <v>11.51</v>
      </c>
      <c r="E4409" s="195" t="s">
        <v>583</v>
      </c>
      <c r="F4409" s="195" t="s">
        <v>432</v>
      </c>
    </row>
    <row r="4410" spans="1:6" x14ac:dyDescent="0.25">
      <c r="A4410" s="189" t="str">
        <f t="shared" si="68"/>
        <v>DO-MD 1601.22E</v>
      </c>
      <c r="B4410" s="195" t="s">
        <v>2312</v>
      </c>
      <c r="C4410" s="196">
        <v>0</v>
      </c>
      <c r="D4410" s="196">
        <v>1.22</v>
      </c>
      <c r="E4410" s="195" t="s">
        <v>583</v>
      </c>
      <c r="F4410" s="195" t="s">
        <v>19</v>
      </c>
    </row>
    <row r="4411" spans="1:6" x14ac:dyDescent="0.25">
      <c r="A4411" s="189" t="str">
        <f t="shared" si="68"/>
        <v>DO-MD 1601.22W</v>
      </c>
      <c r="B4411" s="195" t="s">
        <v>2312</v>
      </c>
      <c r="C4411" s="196">
        <v>0</v>
      </c>
      <c r="D4411" s="196">
        <v>1.22</v>
      </c>
      <c r="E4411" s="195" t="s">
        <v>583</v>
      </c>
      <c r="F4411" s="195" t="s">
        <v>432</v>
      </c>
    </row>
    <row r="4412" spans="1:6" x14ac:dyDescent="0.25">
      <c r="A4412" s="189" t="str">
        <f t="shared" si="68"/>
        <v>DO-MD 161.229.56E</v>
      </c>
      <c r="B4412" s="195" t="s">
        <v>2312</v>
      </c>
      <c r="C4412" s="196">
        <v>1.22</v>
      </c>
      <c r="D4412" s="196">
        <v>9.56</v>
      </c>
      <c r="E4412" s="195" t="s">
        <v>583</v>
      </c>
      <c r="F4412" s="195" t="s">
        <v>19</v>
      </c>
    </row>
    <row r="4413" spans="1:6" x14ac:dyDescent="0.25">
      <c r="A4413" s="189" t="str">
        <f t="shared" si="68"/>
        <v>DO-MD 161.229.56W</v>
      </c>
      <c r="B4413" s="195" t="s">
        <v>2312</v>
      </c>
      <c r="C4413" s="196">
        <v>1.22</v>
      </c>
      <c r="D4413" s="196">
        <v>9.56</v>
      </c>
      <c r="E4413" s="195" t="s">
        <v>583</v>
      </c>
      <c r="F4413" s="195" t="s">
        <v>432</v>
      </c>
    </row>
    <row r="4414" spans="1:6" x14ac:dyDescent="0.25">
      <c r="A4414" s="189" t="str">
        <f t="shared" si="68"/>
        <v>DO-MD 169.5613.67E</v>
      </c>
      <c r="B4414" s="195" t="s">
        <v>2312</v>
      </c>
      <c r="C4414" s="196">
        <v>9.56</v>
      </c>
      <c r="D4414" s="196">
        <v>13.67</v>
      </c>
      <c r="E4414" s="195" t="s">
        <v>583</v>
      </c>
      <c r="F4414" s="195" t="s">
        <v>19</v>
      </c>
    </row>
    <row r="4415" spans="1:6" x14ac:dyDescent="0.25">
      <c r="A4415" s="189" t="str">
        <f t="shared" si="68"/>
        <v>DO-MD 169.5613.67W</v>
      </c>
      <c r="B4415" s="195" t="s">
        <v>2312</v>
      </c>
      <c r="C4415" s="196">
        <v>9.56</v>
      </c>
      <c r="D4415" s="196">
        <v>13.67</v>
      </c>
      <c r="E4415" s="195" t="s">
        <v>583</v>
      </c>
      <c r="F4415" s="195" t="s">
        <v>432</v>
      </c>
    </row>
    <row r="4416" spans="1:6" x14ac:dyDescent="0.25">
      <c r="A4416" s="189" t="str">
        <f t="shared" si="68"/>
        <v>DO-MD 1613.6716.9E</v>
      </c>
      <c r="B4416" s="195" t="s">
        <v>2312</v>
      </c>
      <c r="C4416" s="196">
        <v>13.67</v>
      </c>
      <c r="D4416" s="196">
        <v>16.899999999999999</v>
      </c>
      <c r="E4416" s="195" t="s">
        <v>583</v>
      </c>
      <c r="F4416" s="195" t="s">
        <v>19</v>
      </c>
    </row>
    <row r="4417" spans="1:6" x14ac:dyDescent="0.25">
      <c r="A4417" s="189" t="str">
        <f t="shared" si="68"/>
        <v>DO-MD 1613.6716.9W</v>
      </c>
      <c r="B4417" s="195" t="s">
        <v>2312</v>
      </c>
      <c r="C4417" s="196">
        <v>13.67</v>
      </c>
      <c r="D4417" s="196">
        <v>16.899999999999999</v>
      </c>
      <c r="E4417" s="195" t="s">
        <v>583</v>
      </c>
      <c r="F4417" s="195" t="s">
        <v>432</v>
      </c>
    </row>
    <row r="4418" spans="1:6" x14ac:dyDescent="0.25">
      <c r="A4418" s="189" t="str">
        <f t="shared" si="68"/>
        <v>DO-MD 1619.5624.41E</v>
      </c>
      <c r="B4418" s="195" t="s">
        <v>2312</v>
      </c>
      <c r="C4418" s="196">
        <v>19.559999999999999</v>
      </c>
      <c r="D4418" s="196">
        <v>24.41</v>
      </c>
      <c r="E4418" s="195" t="s">
        <v>583</v>
      </c>
      <c r="F4418" s="195" t="s">
        <v>19</v>
      </c>
    </row>
    <row r="4419" spans="1:6" x14ac:dyDescent="0.25">
      <c r="A4419" s="189" t="str">
        <f t="shared" ref="A4419:A4482" si="69">B4419&amp;C4419&amp;D4419&amp;F4419</f>
        <v>DO-MD 1619.5624.41W</v>
      </c>
      <c r="B4419" s="195" t="s">
        <v>2312</v>
      </c>
      <c r="C4419" s="196">
        <v>19.559999999999999</v>
      </c>
      <c r="D4419" s="196">
        <v>24.41</v>
      </c>
      <c r="E4419" s="195" t="s">
        <v>583</v>
      </c>
      <c r="F4419" s="195" t="s">
        <v>432</v>
      </c>
    </row>
    <row r="4420" spans="1:6" x14ac:dyDescent="0.25">
      <c r="A4420" s="189" t="str">
        <f t="shared" si="69"/>
        <v>DO-MD 1624.4124.89E</v>
      </c>
      <c r="B4420" s="195" t="s">
        <v>2312</v>
      </c>
      <c r="C4420" s="196">
        <v>24.41</v>
      </c>
      <c r="D4420" s="196">
        <v>24.89</v>
      </c>
      <c r="E4420" s="195" t="s">
        <v>583</v>
      </c>
      <c r="F4420" s="195" t="s">
        <v>19</v>
      </c>
    </row>
    <row r="4421" spans="1:6" x14ac:dyDescent="0.25">
      <c r="A4421" s="189" t="str">
        <f t="shared" si="69"/>
        <v>DO-MD 1624.4124.89W</v>
      </c>
      <c r="B4421" s="195" t="s">
        <v>2312</v>
      </c>
      <c r="C4421" s="196">
        <v>24.41</v>
      </c>
      <c r="D4421" s="196">
        <v>24.89</v>
      </c>
      <c r="E4421" s="195" t="s">
        <v>583</v>
      </c>
      <c r="F4421" s="195" t="s">
        <v>432</v>
      </c>
    </row>
    <row r="4422" spans="1:6" x14ac:dyDescent="0.25">
      <c r="A4422" s="189" t="str">
        <f t="shared" si="69"/>
        <v>DO-MD 1624.8929.15E</v>
      </c>
      <c r="B4422" s="195" t="s">
        <v>2312</v>
      </c>
      <c r="C4422" s="196">
        <v>24.89</v>
      </c>
      <c r="D4422" s="196">
        <v>29.15</v>
      </c>
      <c r="E4422" s="195" t="s">
        <v>583</v>
      </c>
      <c r="F4422" s="195" t="s">
        <v>19</v>
      </c>
    </row>
    <row r="4423" spans="1:6" x14ac:dyDescent="0.25">
      <c r="A4423" s="189" t="str">
        <f t="shared" si="69"/>
        <v>DO-MD 1624.8929.15W</v>
      </c>
      <c r="B4423" s="195" t="s">
        <v>2312</v>
      </c>
      <c r="C4423" s="196">
        <v>24.89</v>
      </c>
      <c r="D4423" s="196">
        <v>29.15</v>
      </c>
      <c r="E4423" s="195" t="s">
        <v>583</v>
      </c>
      <c r="F4423" s="195" t="s">
        <v>432</v>
      </c>
    </row>
    <row r="4424" spans="1:6" x14ac:dyDescent="0.25">
      <c r="A4424" s="189" t="str">
        <f t="shared" si="69"/>
        <v>DO-MD 30700.18N</v>
      </c>
      <c r="B4424" s="195" t="s">
        <v>2313</v>
      </c>
      <c r="C4424" s="196">
        <v>0</v>
      </c>
      <c r="D4424" s="196">
        <v>0.18</v>
      </c>
      <c r="E4424" s="195" t="s">
        <v>583</v>
      </c>
      <c r="F4424" s="195" t="s">
        <v>430</v>
      </c>
    </row>
    <row r="4425" spans="1:6" x14ac:dyDescent="0.25">
      <c r="A4425" s="189" t="str">
        <f t="shared" si="69"/>
        <v>DO-MD 30700.18S</v>
      </c>
      <c r="B4425" s="195" t="s">
        <v>2313</v>
      </c>
      <c r="C4425" s="196">
        <v>0</v>
      </c>
      <c r="D4425" s="196">
        <v>0.18</v>
      </c>
      <c r="E4425" s="195" t="s">
        <v>583</v>
      </c>
      <c r="F4425" s="195" t="s">
        <v>438</v>
      </c>
    </row>
    <row r="4426" spans="1:6" x14ac:dyDescent="0.25">
      <c r="A4426" s="189" t="str">
        <f t="shared" si="69"/>
        <v>DO-MD 3070.180.7N</v>
      </c>
      <c r="B4426" s="195" t="s">
        <v>2313</v>
      </c>
      <c r="C4426" s="196">
        <v>0.18</v>
      </c>
      <c r="D4426" s="196">
        <v>0.7</v>
      </c>
      <c r="E4426" s="195" t="s">
        <v>583</v>
      </c>
      <c r="F4426" s="195" t="s">
        <v>430</v>
      </c>
    </row>
    <row r="4427" spans="1:6" x14ac:dyDescent="0.25">
      <c r="A4427" s="189" t="str">
        <f t="shared" si="69"/>
        <v>DO-MD 3070.180.7S</v>
      </c>
      <c r="B4427" s="195" t="s">
        <v>2313</v>
      </c>
      <c r="C4427" s="196">
        <v>0.18</v>
      </c>
      <c r="D4427" s="196">
        <v>0.7</v>
      </c>
      <c r="E4427" s="195" t="s">
        <v>583</v>
      </c>
      <c r="F4427" s="195" t="s">
        <v>438</v>
      </c>
    </row>
    <row r="4428" spans="1:6" x14ac:dyDescent="0.25">
      <c r="A4428" s="189" t="str">
        <f t="shared" si="69"/>
        <v>DO-MD 3070.75.12N</v>
      </c>
      <c r="B4428" s="195" t="s">
        <v>2313</v>
      </c>
      <c r="C4428" s="196">
        <v>0.7</v>
      </c>
      <c r="D4428" s="196">
        <v>5.12</v>
      </c>
      <c r="E4428" s="195" t="s">
        <v>583</v>
      </c>
      <c r="F4428" s="195" t="s">
        <v>430</v>
      </c>
    </row>
    <row r="4429" spans="1:6" x14ac:dyDescent="0.25">
      <c r="A4429" s="189" t="str">
        <f t="shared" si="69"/>
        <v>DO-MD 3070.75.12S</v>
      </c>
      <c r="B4429" s="195" t="s">
        <v>2313</v>
      </c>
      <c r="C4429" s="196">
        <v>0.7</v>
      </c>
      <c r="D4429" s="196">
        <v>5.12</v>
      </c>
      <c r="E4429" s="195" t="s">
        <v>583</v>
      </c>
      <c r="F4429" s="195" t="s">
        <v>438</v>
      </c>
    </row>
    <row r="4430" spans="1:6" x14ac:dyDescent="0.25">
      <c r="A4430" s="189" t="str">
        <f t="shared" si="69"/>
        <v>DO-MD 31300.03S</v>
      </c>
      <c r="B4430" s="195" t="s">
        <v>2314</v>
      </c>
      <c r="C4430" s="196">
        <v>0</v>
      </c>
      <c r="D4430" s="196">
        <v>0.03</v>
      </c>
      <c r="E4430" s="195" t="s">
        <v>595</v>
      </c>
      <c r="F4430" s="195" t="s">
        <v>438</v>
      </c>
    </row>
    <row r="4431" spans="1:6" x14ac:dyDescent="0.25">
      <c r="A4431" s="189" t="str">
        <f t="shared" si="69"/>
        <v>DO-MD 31300.17N</v>
      </c>
      <c r="B4431" s="195" t="s">
        <v>2314</v>
      </c>
      <c r="C4431" s="196">
        <v>0</v>
      </c>
      <c r="D4431" s="196">
        <v>0.17</v>
      </c>
      <c r="E4431" s="195" t="s">
        <v>589</v>
      </c>
      <c r="F4431" s="195" t="s">
        <v>430</v>
      </c>
    </row>
    <row r="4432" spans="1:6" x14ac:dyDescent="0.25">
      <c r="A4432" s="189" t="str">
        <f t="shared" si="69"/>
        <v>DO-MD 3130.030.19S</v>
      </c>
      <c r="B4432" s="195" t="s">
        <v>2314</v>
      </c>
      <c r="C4432" s="196">
        <v>0.03</v>
      </c>
      <c r="D4432" s="196">
        <v>0.19</v>
      </c>
      <c r="E4432" s="195" t="s">
        <v>595</v>
      </c>
      <c r="F4432" s="195" t="s">
        <v>438</v>
      </c>
    </row>
    <row r="4433" spans="1:6" x14ac:dyDescent="0.25">
      <c r="A4433" s="189" t="str">
        <f t="shared" si="69"/>
        <v>DO-MD 3130.170.3N</v>
      </c>
      <c r="B4433" s="195" t="s">
        <v>2314</v>
      </c>
      <c r="C4433" s="196">
        <v>0.17</v>
      </c>
      <c r="D4433" s="196">
        <v>0.3</v>
      </c>
      <c r="E4433" s="195" t="s">
        <v>589</v>
      </c>
      <c r="F4433" s="195" t="s">
        <v>430</v>
      </c>
    </row>
    <row r="4434" spans="1:6" x14ac:dyDescent="0.25">
      <c r="A4434" s="189" t="str">
        <f t="shared" si="69"/>
        <v>DO-MD 3130.190.3S</v>
      </c>
      <c r="B4434" s="195" t="s">
        <v>2314</v>
      </c>
      <c r="C4434" s="196">
        <v>0.19</v>
      </c>
      <c r="D4434" s="196">
        <v>0.3</v>
      </c>
      <c r="E4434" s="195" t="s">
        <v>595</v>
      </c>
      <c r="F4434" s="195" t="s">
        <v>438</v>
      </c>
    </row>
    <row r="4435" spans="1:6" x14ac:dyDescent="0.25">
      <c r="A4435" s="189" t="str">
        <f t="shared" si="69"/>
        <v>DO-MD 3130.30.59N</v>
      </c>
      <c r="B4435" s="195" t="s">
        <v>2314</v>
      </c>
      <c r="C4435" s="196">
        <v>0.3</v>
      </c>
      <c r="D4435" s="196">
        <v>0.59</v>
      </c>
      <c r="E4435" s="195" t="s">
        <v>583</v>
      </c>
      <c r="F4435" s="195" t="s">
        <v>430</v>
      </c>
    </row>
    <row r="4436" spans="1:6" x14ac:dyDescent="0.25">
      <c r="A4436" s="189" t="str">
        <f t="shared" si="69"/>
        <v>DO-MD 3130.30.59S</v>
      </c>
      <c r="B4436" s="195" t="s">
        <v>2314</v>
      </c>
      <c r="C4436" s="196">
        <v>0.3</v>
      </c>
      <c r="D4436" s="196">
        <v>0.59</v>
      </c>
      <c r="E4436" s="195" t="s">
        <v>583</v>
      </c>
      <c r="F4436" s="195" t="s">
        <v>438</v>
      </c>
    </row>
    <row r="4437" spans="1:6" x14ac:dyDescent="0.25">
      <c r="A4437" s="189" t="str">
        <f t="shared" si="69"/>
        <v>DO-MD 3130.591.92N</v>
      </c>
      <c r="B4437" s="195" t="s">
        <v>2314</v>
      </c>
      <c r="C4437" s="196">
        <v>0.59</v>
      </c>
      <c r="D4437" s="196">
        <v>1.92</v>
      </c>
      <c r="E4437" s="195" t="s">
        <v>583</v>
      </c>
      <c r="F4437" s="195" t="s">
        <v>430</v>
      </c>
    </row>
    <row r="4438" spans="1:6" x14ac:dyDescent="0.25">
      <c r="A4438" s="189" t="str">
        <f t="shared" si="69"/>
        <v>DO-MD 3130.591.92S</v>
      </c>
      <c r="B4438" s="195" t="s">
        <v>2314</v>
      </c>
      <c r="C4438" s="196">
        <v>0.59</v>
      </c>
      <c r="D4438" s="196">
        <v>1.92</v>
      </c>
      <c r="E4438" s="195" t="s">
        <v>583</v>
      </c>
      <c r="F4438" s="195" t="s">
        <v>438</v>
      </c>
    </row>
    <row r="4439" spans="1:6" x14ac:dyDescent="0.25">
      <c r="A4439" s="189" t="str">
        <f t="shared" si="69"/>
        <v>DO-MD 3131.922.65N</v>
      </c>
      <c r="B4439" s="195" t="s">
        <v>2314</v>
      </c>
      <c r="C4439" s="196">
        <v>1.92</v>
      </c>
      <c r="D4439" s="196">
        <v>2.65</v>
      </c>
      <c r="E4439" s="195" t="s">
        <v>583</v>
      </c>
      <c r="F4439" s="195" t="s">
        <v>430</v>
      </c>
    </row>
    <row r="4440" spans="1:6" x14ac:dyDescent="0.25">
      <c r="A4440" s="189" t="str">
        <f t="shared" si="69"/>
        <v>DO-MD 3131.922.65S</v>
      </c>
      <c r="B4440" s="195" t="s">
        <v>2314</v>
      </c>
      <c r="C4440" s="196">
        <v>1.92</v>
      </c>
      <c r="D4440" s="196">
        <v>2.65</v>
      </c>
      <c r="E4440" s="195" t="s">
        <v>583</v>
      </c>
      <c r="F4440" s="195" t="s">
        <v>438</v>
      </c>
    </row>
    <row r="4441" spans="1:6" x14ac:dyDescent="0.25">
      <c r="A4441" s="189" t="str">
        <f t="shared" si="69"/>
        <v>DO-MD 3132.653N</v>
      </c>
      <c r="B4441" s="195" t="s">
        <v>2314</v>
      </c>
      <c r="C4441" s="196">
        <v>2.65</v>
      </c>
      <c r="D4441" s="196">
        <v>3</v>
      </c>
      <c r="E4441" s="195" t="s">
        <v>583</v>
      </c>
      <c r="F4441" s="195" t="s">
        <v>430</v>
      </c>
    </row>
    <row r="4442" spans="1:6" x14ac:dyDescent="0.25">
      <c r="A4442" s="189" t="str">
        <f t="shared" si="69"/>
        <v>DO-MD 3132.653S</v>
      </c>
      <c r="B4442" s="195" t="s">
        <v>2314</v>
      </c>
      <c r="C4442" s="196">
        <v>2.65</v>
      </c>
      <c r="D4442" s="196">
        <v>3</v>
      </c>
      <c r="E4442" s="195" t="s">
        <v>583</v>
      </c>
      <c r="F4442" s="195" t="s">
        <v>438</v>
      </c>
    </row>
    <row r="4443" spans="1:6" x14ac:dyDescent="0.25">
      <c r="A4443" s="189" t="str">
        <f t="shared" si="69"/>
        <v>DO-MD 31333.15N</v>
      </c>
      <c r="B4443" s="195" t="s">
        <v>2314</v>
      </c>
      <c r="C4443" s="196">
        <v>3</v>
      </c>
      <c r="D4443" s="196">
        <v>3.15</v>
      </c>
      <c r="E4443" s="195" t="s">
        <v>583</v>
      </c>
      <c r="F4443" s="195" t="s">
        <v>430</v>
      </c>
    </row>
    <row r="4444" spans="1:6" x14ac:dyDescent="0.25">
      <c r="A4444" s="189" t="str">
        <f t="shared" si="69"/>
        <v>DO-MD 31333.15S</v>
      </c>
      <c r="B4444" s="195" t="s">
        <v>2314</v>
      </c>
      <c r="C4444" s="196">
        <v>3</v>
      </c>
      <c r="D4444" s="196">
        <v>3.15</v>
      </c>
      <c r="E4444" s="195" t="s">
        <v>583</v>
      </c>
      <c r="F4444" s="195" t="s">
        <v>438</v>
      </c>
    </row>
    <row r="4445" spans="1:6" x14ac:dyDescent="0.25">
      <c r="A4445" s="189" t="str">
        <f t="shared" si="69"/>
        <v>DO-MD 3133.154.94N</v>
      </c>
      <c r="B4445" s="195" t="s">
        <v>2314</v>
      </c>
      <c r="C4445" s="196">
        <v>3.15</v>
      </c>
      <c r="D4445" s="196">
        <v>4.9400000000000004</v>
      </c>
      <c r="E4445" s="195" t="s">
        <v>583</v>
      </c>
      <c r="F4445" s="195" t="s">
        <v>430</v>
      </c>
    </row>
    <row r="4446" spans="1:6" x14ac:dyDescent="0.25">
      <c r="A4446" s="189" t="str">
        <f t="shared" si="69"/>
        <v>DO-MD 3133.154.94S</v>
      </c>
      <c r="B4446" s="195" t="s">
        <v>2314</v>
      </c>
      <c r="C4446" s="196">
        <v>3.15</v>
      </c>
      <c r="D4446" s="196">
        <v>4.9400000000000004</v>
      </c>
      <c r="E4446" s="195" t="s">
        <v>583</v>
      </c>
      <c r="F4446" s="195" t="s">
        <v>438</v>
      </c>
    </row>
    <row r="4447" spans="1:6" x14ac:dyDescent="0.25">
      <c r="A4447" s="189" t="str">
        <f t="shared" si="69"/>
        <v>DO-MD 3134.9411.62N</v>
      </c>
      <c r="B4447" s="195" t="s">
        <v>2314</v>
      </c>
      <c r="C4447" s="196">
        <v>4.9400000000000004</v>
      </c>
      <c r="D4447" s="196">
        <v>11.62</v>
      </c>
      <c r="E4447" s="195" t="s">
        <v>583</v>
      </c>
      <c r="F4447" s="195" t="s">
        <v>430</v>
      </c>
    </row>
    <row r="4448" spans="1:6" x14ac:dyDescent="0.25">
      <c r="A4448" s="189" t="str">
        <f t="shared" si="69"/>
        <v>DO-MD 3134.9411.62S</v>
      </c>
      <c r="B4448" s="195" t="s">
        <v>2314</v>
      </c>
      <c r="C4448" s="196">
        <v>4.9400000000000004</v>
      </c>
      <c r="D4448" s="196">
        <v>11.62</v>
      </c>
      <c r="E4448" s="195" t="s">
        <v>583</v>
      </c>
      <c r="F4448" s="195" t="s">
        <v>438</v>
      </c>
    </row>
    <row r="4449" spans="1:6" x14ac:dyDescent="0.25">
      <c r="A4449" s="189" t="str">
        <f t="shared" si="69"/>
        <v>DO-MD 31800.37E</v>
      </c>
      <c r="B4449" s="195" t="s">
        <v>2315</v>
      </c>
      <c r="C4449" s="196">
        <v>0</v>
      </c>
      <c r="D4449" s="196">
        <v>0.37</v>
      </c>
      <c r="E4449" s="195" t="s">
        <v>598</v>
      </c>
      <c r="F4449" s="195" t="s">
        <v>19</v>
      </c>
    </row>
    <row r="4450" spans="1:6" x14ac:dyDescent="0.25">
      <c r="A4450" s="189" t="str">
        <f t="shared" si="69"/>
        <v>DO-MD 31800.37W</v>
      </c>
      <c r="B4450" s="195" t="s">
        <v>2315</v>
      </c>
      <c r="C4450" s="196">
        <v>0</v>
      </c>
      <c r="D4450" s="196">
        <v>0.37</v>
      </c>
      <c r="E4450" s="195" t="s">
        <v>593</v>
      </c>
      <c r="F4450" s="195" t="s">
        <v>432</v>
      </c>
    </row>
    <row r="4451" spans="1:6" x14ac:dyDescent="0.25">
      <c r="A4451" s="189" t="str">
        <f t="shared" si="69"/>
        <v>DO-MD 3310.110.52N</v>
      </c>
      <c r="B4451" s="195" t="s">
        <v>429</v>
      </c>
      <c r="C4451" s="196">
        <v>0.11</v>
      </c>
      <c r="D4451" s="196">
        <v>0.52</v>
      </c>
      <c r="E4451" s="195" t="s">
        <v>583</v>
      </c>
      <c r="F4451" s="195" t="s">
        <v>430</v>
      </c>
    </row>
    <row r="4452" spans="1:6" x14ac:dyDescent="0.25">
      <c r="A4452" s="189" t="str">
        <f t="shared" si="69"/>
        <v>DO-MD 3310.110.52S</v>
      </c>
      <c r="B4452" s="195" t="s">
        <v>429</v>
      </c>
      <c r="C4452" s="196">
        <v>0.11</v>
      </c>
      <c r="D4452" s="196">
        <v>0.52</v>
      </c>
      <c r="E4452" s="195" t="s">
        <v>583</v>
      </c>
      <c r="F4452" s="195" t="s">
        <v>438</v>
      </c>
    </row>
    <row r="4453" spans="1:6" x14ac:dyDescent="0.25">
      <c r="A4453" s="189" t="str">
        <f t="shared" si="69"/>
        <v>DO-MD 3310.525.95N</v>
      </c>
      <c r="B4453" s="195" t="s">
        <v>429</v>
      </c>
      <c r="C4453" s="196">
        <v>0.52</v>
      </c>
      <c r="D4453" s="196">
        <v>5.95</v>
      </c>
      <c r="E4453" s="195" t="s">
        <v>583</v>
      </c>
      <c r="F4453" s="195" t="s">
        <v>430</v>
      </c>
    </row>
    <row r="4454" spans="1:6" x14ac:dyDescent="0.25">
      <c r="A4454" s="189" t="str">
        <f t="shared" si="69"/>
        <v>DO-MD 3310.525.95S</v>
      </c>
      <c r="B4454" s="195" t="s">
        <v>429</v>
      </c>
      <c r="C4454" s="196">
        <v>0.52</v>
      </c>
      <c r="D4454" s="196">
        <v>5.95</v>
      </c>
      <c r="E4454" s="195" t="s">
        <v>583</v>
      </c>
      <c r="F4454" s="195" t="s">
        <v>438</v>
      </c>
    </row>
    <row r="4455" spans="1:6" x14ac:dyDescent="0.25">
      <c r="A4455" s="189" t="str">
        <f t="shared" si="69"/>
        <v>DO-MD 3315.957.95N</v>
      </c>
      <c r="B4455" s="195" t="s">
        <v>429</v>
      </c>
      <c r="C4455" s="196">
        <v>5.95</v>
      </c>
      <c r="D4455" s="196">
        <v>7.95</v>
      </c>
      <c r="E4455" s="195" t="s">
        <v>583</v>
      </c>
      <c r="F4455" s="195" t="s">
        <v>430</v>
      </c>
    </row>
    <row r="4456" spans="1:6" x14ac:dyDescent="0.25">
      <c r="A4456" s="189" t="str">
        <f t="shared" si="69"/>
        <v>DO-MD 3315.957.95S</v>
      </c>
      <c r="B4456" s="195" t="s">
        <v>429</v>
      </c>
      <c r="C4456" s="196">
        <v>5.95</v>
      </c>
      <c r="D4456" s="196">
        <v>7.95</v>
      </c>
      <c r="E4456" s="195" t="s">
        <v>583</v>
      </c>
      <c r="F4456" s="195" t="s">
        <v>438</v>
      </c>
    </row>
    <row r="4457" spans="1:6" x14ac:dyDescent="0.25">
      <c r="A4457" s="189" t="str">
        <f t="shared" si="69"/>
        <v>DO-MD 3317.9510.14N</v>
      </c>
      <c r="B4457" s="195" t="s">
        <v>429</v>
      </c>
      <c r="C4457" s="196">
        <v>7.95</v>
      </c>
      <c r="D4457" s="196">
        <v>10.14</v>
      </c>
      <c r="E4457" s="195" t="s">
        <v>583</v>
      </c>
      <c r="F4457" s="195" t="s">
        <v>430</v>
      </c>
    </row>
    <row r="4458" spans="1:6" x14ac:dyDescent="0.25">
      <c r="A4458" s="189" t="str">
        <f t="shared" si="69"/>
        <v>DO-MD 3317.9510.14S</v>
      </c>
      <c r="B4458" s="195" t="s">
        <v>429</v>
      </c>
      <c r="C4458" s="196">
        <v>7.95</v>
      </c>
      <c r="D4458" s="196">
        <v>10.14</v>
      </c>
      <c r="E4458" s="195" t="s">
        <v>583</v>
      </c>
      <c r="F4458" s="195" t="s">
        <v>438</v>
      </c>
    </row>
    <row r="4459" spans="1:6" x14ac:dyDescent="0.25">
      <c r="A4459" s="189" t="str">
        <f t="shared" si="69"/>
        <v>DO-MD 33110.1410.15N</v>
      </c>
      <c r="B4459" s="195" t="s">
        <v>429</v>
      </c>
      <c r="C4459" s="196">
        <v>10.14</v>
      </c>
      <c r="D4459" s="196">
        <v>10.15</v>
      </c>
      <c r="E4459" s="195" t="s">
        <v>583</v>
      </c>
      <c r="F4459" s="195" t="s">
        <v>430</v>
      </c>
    </row>
    <row r="4460" spans="1:6" x14ac:dyDescent="0.25">
      <c r="A4460" s="189" t="str">
        <f t="shared" si="69"/>
        <v>DO-MD 33110.1410.15S</v>
      </c>
      <c r="B4460" s="195" t="s">
        <v>429</v>
      </c>
      <c r="C4460" s="196">
        <v>10.14</v>
      </c>
      <c r="D4460" s="196">
        <v>10.15</v>
      </c>
      <c r="E4460" s="195" t="s">
        <v>583</v>
      </c>
      <c r="F4460" s="195" t="s">
        <v>438</v>
      </c>
    </row>
    <row r="4461" spans="1:6" x14ac:dyDescent="0.25">
      <c r="A4461" s="189" t="str">
        <f t="shared" si="69"/>
        <v>DO-MD 33110.1510.9N</v>
      </c>
      <c r="B4461" s="195" t="s">
        <v>429</v>
      </c>
      <c r="C4461" s="196">
        <v>10.15</v>
      </c>
      <c r="D4461" s="196">
        <v>10.9</v>
      </c>
      <c r="E4461" s="195" t="s">
        <v>583</v>
      </c>
      <c r="F4461" s="195" t="s">
        <v>430</v>
      </c>
    </row>
    <row r="4462" spans="1:6" x14ac:dyDescent="0.25">
      <c r="A4462" s="189" t="str">
        <f t="shared" si="69"/>
        <v>DO-MD 33110.1510.9S</v>
      </c>
      <c r="B4462" s="195" t="s">
        <v>429</v>
      </c>
      <c r="C4462" s="196">
        <v>10.15</v>
      </c>
      <c r="D4462" s="196">
        <v>10.9</v>
      </c>
      <c r="E4462" s="195" t="s">
        <v>583</v>
      </c>
      <c r="F4462" s="195" t="s">
        <v>438</v>
      </c>
    </row>
    <row r="4463" spans="1:6" x14ac:dyDescent="0.25">
      <c r="A4463" s="189" t="str">
        <f t="shared" si="69"/>
        <v>DO-MD 33110.911.25N</v>
      </c>
      <c r="B4463" s="195" t="s">
        <v>429</v>
      </c>
      <c r="C4463" s="196">
        <v>10.9</v>
      </c>
      <c r="D4463" s="196">
        <v>11.25</v>
      </c>
      <c r="E4463" s="195" t="s">
        <v>583</v>
      </c>
      <c r="F4463" s="195" t="s">
        <v>430</v>
      </c>
    </row>
    <row r="4464" spans="1:6" x14ac:dyDescent="0.25">
      <c r="A4464" s="189" t="str">
        <f t="shared" si="69"/>
        <v>DO-MD 33110.911.25S</v>
      </c>
      <c r="B4464" s="195" t="s">
        <v>429</v>
      </c>
      <c r="C4464" s="196">
        <v>10.9</v>
      </c>
      <c r="D4464" s="196">
        <v>11.25</v>
      </c>
      <c r="E4464" s="195" t="s">
        <v>583</v>
      </c>
      <c r="F4464" s="195" t="s">
        <v>438</v>
      </c>
    </row>
    <row r="4465" spans="1:6" x14ac:dyDescent="0.25">
      <c r="A4465" s="189" t="str">
        <f t="shared" si="69"/>
        <v>DO-MD 33111.2511.35N</v>
      </c>
      <c r="B4465" s="195" t="s">
        <v>429</v>
      </c>
      <c r="C4465" s="196">
        <v>11.25</v>
      </c>
      <c r="D4465" s="196">
        <v>11.35</v>
      </c>
      <c r="E4465" s="195" t="s">
        <v>583</v>
      </c>
      <c r="F4465" s="195" t="s">
        <v>430</v>
      </c>
    </row>
    <row r="4466" spans="1:6" x14ac:dyDescent="0.25">
      <c r="A4466" s="189" t="str">
        <f t="shared" si="69"/>
        <v>DO-MD 33111.2511.35S</v>
      </c>
      <c r="B4466" s="195" t="s">
        <v>429</v>
      </c>
      <c r="C4466" s="196">
        <v>11.25</v>
      </c>
      <c r="D4466" s="196">
        <v>11.35</v>
      </c>
      <c r="E4466" s="195" t="s">
        <v>583</v>
      </c>
      <c r="F4466" s="195" t="s">
        <v>438</v>
      </c>
    </row>
    <row r="4467" spans="1:6" x14ac:dyDescent="0.25">
      <c r="A4467" s="189" t="str">
        <f t="shared" si="69"/>
        <v>DO-MD 33111.3511.94N</v>
      </c>
      <c r="B4467" s="195" t="s">
        <v>429</v>
      </c>
      <c r="C4467" s="196">
        <v>11.35</v>
      </c>
      <c r="D4467" s="196">
        <v>11.94</v>
      </c>
      <c r="E4467" s="195" t="s">
        <v>583</v>
      </c>
      <c r="F4467" s="195" t="s">
        <v>430</v>
      </c>
    </row>
    <row r="4468" spans="1:6" x14ac:dyDescent="0.25">
      <c r="A4468" s="189" t="str">
        <f t="shared" si="69"/>
        <v>DO-MD 33111.3511.94S</v>
      </c>
      <c r="B4468" s="195" t="s">
        <v>429</v>
      </c>
      <c r="C4468" s="196">
        <v>11.35</v>
      </c>
      <c r="D4468" s="196">
        <v>11.94</v>
      </c>
      <c r="E4468" s="195" t="s">
        <v>583</v>
      </c>
      <c r="F4468" s="195" t="s">
        <v>438</v>
      </c>
    </row>
    <row r="4469" spans="1:6" x14ac:dyDescent="0.25">
      <c r="A4469" s="189" t="str">
        <f t="shared" si="69"/>
        <v>DO-MD 33111.9412N</v>
      </c>
      <c r="B4469" s="195" t="s">
        <v>429</v>
      </c>
      <c r="C4469" s="196">
        <v>11.94</v>
      </c>
      <c r="D4469" s="196">
        <v>12</v>
      </c>
      <c r="E4469" s="195" t="s">
        <v>583</v>
      </c>
      <c r="F4469" s="195" t="s">
        <v>430</v>
      </c>
    </row>
    <row r="4470" spans="1:6" x14ac:dyDescent="0.25">
      <c r="A4470" s="189" t="str">
        <f t="shared" si="69"/>
        <v>DO-MD 33111.9412S</v>
      </c>
      <c r="B4470" s="195" t="s">
        <v>429</v>
      </c>
      <c r="C4470" s="196">
        <v>11.94</v>
      </c>
      <c r="D4470" s="196">
        <v>12</v>
      </c>
      <c r="E4470" s="195" t="s">
        <v>583</v>
      </c>
      <c r="F4470" s="195" t="s">
        <v>438</v>
      </c>
    </row>
    <row r="4471" spans="1:6" x14ac:dyDescent="0.25">
      <c r="A4471" s="189" t="str">
        <f t="shared" si="69"/>
        <v>DO-MD 3311212.25N</v>
      </c>
      <c r="B4471" s="195" t="s">
        <v>429</v>
      </c>
      <c r="C4471" s="196">
        <v>12</v>
      </c>
      <c r="D4471" s="196">
        <v>12.25</v>
      </c>
      <c r="E4471" s="195" t="s">
        <v>583</v>
      </c>
      <c r="F4471" s="195" t="s">
        <v>430</v>
      </c>
    </row>
    <row r="4472" spans="1:6" x14ac:dyDescent="0.25">
      <c r="A4472" s="189" t="str">
        <f t="shared" si="69"/>
        <v>DO-MD 3311212.25S</v>
      </c>
      <c r="B4472" s="195" t="s">
        <v>429</v>
      </c>
      <c r="C4472" s="196">
        <v>12</v>
      </c>
      <c r="D4472" s="196">
        <v>12.25</v>
      </c>
      <c r="E4472" s="195" t="s">
        <v>583</v>
      </c>
      <c r="F4472" s="195" t="s">
        <v>438</v>
      </c>
    </row>
    <row r="4473" spans="1:6" x14ac:dyDescent="0.25">
      <c r="A4473" s="189" t="str">
        <f t="shared" si="69"/>
        <v>DO-MD 33112.2513.8N</v>
      </c>
      <c r="B4473" s="195" t="s">
        <v>429</v>
      </c>
      <c r="C4473" s="196">
        <v>12.25</v>
      </c>
      <c r="D4473" s="196">
        <v>13.8</v>
      </c>
      <c r="E4473" s="195" t="s">
        <v>583</v>
      </c>
      <c r="F4473" s="195" t="s">
        <v>430</v>
      </c>
    </row>
    <row r="4474" spans="1:6" x14ac:dyDescent="0.25">
      <c r="A4474" s="189" t="str">
        <f t="shared" si="69"/>
        <v>DO-MD 33112.2513.8S</v>
      </c>
      <c r="B4474" s="195" t="s">
        <v>429</v>
      </c>
      <c r="C4474" s="196">
        <v>12.25</v>
      </c>
      <c r="D4474" s="196">
        <v>13.8</v>
      </c>
      <c r="E4474" s="195" t="s">
        <v>583</v>
      </c>
      <c r="F4474" s="195" t="s">
        <v>438</v>
      </c>
    </row>
    <row r="4475" spans="1:6" x14ac:dyDescent="0.25">
      <c r="A4475" s="189" t="str">
        <f t="shared" si="69"/>
        <v>DO-MD 33113.816.65N</v>
      </c>
      <c r="B4475" s="195" t="s">
        <v>429</v>
      </c>
      <c r="C4475" s="196">
        <v>13.8</v>
      </c>
      <c r="D4475" s="196">
        <v>16.649999999999999</v>
      </c>
      <c r="E4475" s="195" t="s">
        <v>583</v>
      </c>
      <c r="F4475" s="195" t="s">
        <v>430</v>
      </c>
    </row>
    <row r="4476" spans="1:6" x14ac:dyDescent="0.25">
      <c r="A4476" s="189" t="str">
        <f t="shared" si="69"/>
        <v>DO-MD 33113.816.65S</v>
      </c>
      <c r="B4476" s="195" t="s">
        <v>429</v>
      </c>
      <c r="C4476" s="196">
        <v>13.8</v>
      </c>
      <c r="D4476" s="196">
        <v>16.649999999999999</v>
      </c>
      <c r="E4476" s="195" t="s">
        <v>583</v>
      </c>
      <c r="F4476" s="195" t="s">
        <v>438</v>
      </c>
    </row>
    <row r="4477" spans="1:6" x14ac:dyDescent="0.25">
      <c r="A4477" s="189" t="str">
        <f t="shared" si="69"/>
        <v>DO-MD 33116.6517.3N</v>
      </c>
      <c r="B4477" s="195" t="s">
        <v>429</v>
      </c>
      <c r="C4477" s="196">
        <v>16.649999999999999</v>
      </c>
      <c r="D4477" s="196">
        <v>17.3</v>
      </c>
      <c r="E4477" s="195" t="s">
        <v>583</v>
      </c>
      <c r="F4477" s="195" t="s">
        <v>430</v>
      </c>
    </row>
    <row r="4478" spans="1:6" x14ac:dyDescent="0.25">
      <c r="A4478" s="189" t="str">
        <f t="shared" si="69"/>
        <v>DO-MD 33116.6517.3S</v>
      </c>
      <c r="B4478" s="195" t="s">
        <v>429</v>
      </c>
      <c r="C4478" s="196">
        <v>16.649999999999999</v>
      </c>
      <c r="D4478" s="196">
        <v>17.3</v>
      </c>
      <c r="E4478" s="195" t="s">
        <v>583</v>
      </c>
      <c r="F4478" s="195" t="s">
        <v>438</v>
      </c>
    </row>
    <row r="4479" spans="1:6" x14ac:dyDescent="0.25">
      <c r="A4479" s="189" t="str">
        <f t="shared" si="69"/>
        <v>DO-MD 331B00.06N</v>
      </c>
      <c r="B4479" s="195" t="s">
        <v>2316</v>
      </c>
      <c r="C4479" s="196">
        <v>0</v>
      </c>
      <c r="D4479" s="196">
        <v>0.06</v>
      </c>
      <c r="E4479" s="195" t="s">
        <v>589</v>
      </c>
      <c r="F4479" s="195" t="s">
        <v>430</v>
      </c>
    </row>
    <row r="4480" spans="1:6" x14ac:dyDescent="0.25">
      <c r="A4480" s="189" t="str">
        <f t="shared" si="69"/>
        <v>DO-MD 331B00.06S</v>
      </c>
      <c r="B4480" s="195" t="s">
        <v>2316</v>
      </c>
      <c r="C4480" s="196">
        <v>0</v>
      </c>
      <c r="D4480" s="196">
        <v>0.06</v>
      </c>
      <c r="E4480" s="195" t="s">
        <v>595</v>
      </c>
      <c r="F4480" s="195" t="s">
        <v>438</v>
      </c>
    </row>
    <row r="4481" spans="1:6" x14ac:dyDescent="0.25">
      <c r="A4481" s="189" t="str">
        <f t="shared" si="69"/>
        <v>DO-MD 33500.09N</v>
      </c>
      <c r="B4481" s="195" t="s">
        <v>2317</v>
      </c>
      <c r="C4481" s="196">
        <v>0</v>
      </c>
      <c r="D4481" s="196">
        <v>0.09</v>
      </c>
      <c r="E4481" s="195" t="s">
        <v>589</v>
      </c>
      <c r="F4481" s="195" t="s">
        <v>430</v>
      </c>
    </row>
    <row r="4482" spans="1:6" x14ac:dyDescent="0.25">
      <c r="A4482" s="189" t="str">
        <f t="shared" si="69"/>
        <v>DO-MD 33500.12S</v>
      </c>
      <c r="B4482" s="195" t="s">
        <v>2317</v>
      </c>
      <c r="C4482" s="196">
        <v>0</v>
      </c>
      <c r="D4482" s="196">
        <v>0.12</v>
      </c>
      <c r="E4482" s="195" t="s">
        <v>595</v>
      </c>
      <c r="F4482" s="195" t="s">
        <v>438</v>
      </c>
    </row>
    <row r="4483" spans="1:6" x14ac:dyDescent="0.25">
      <c r="A4483" s="189" t="str">
        <f t="shared" ref="A4483:A4546" si="70">B4483&amp;C4483&amp;D4483&amp;F4483</f>
        <v>DO-MD 3350.090.25N</v>
      </c>
      <c r="B4483" s="195" t="s">
        <v>2317</v>
      </c>
      <c r="C4483" s="196">
        <v>0.09</v>
      </c>
      <c r="D4483" s="196">
        <v>0.25</v>
      </c>
      <c r="E4483" s="195" t="s">
        <v>589</v>
      </c>
      <c r="F4483" s="195" t="s">
        <v>430</v>
      </c>
    </row>
    <row r="4484" spans="1:6" x14ac:dyDescent="0.25">
      <c r="A4484" s="189" t="str">
        <f t="shared" si="70"/>
        <v>DO-MD 3350.120.28S</v>
      </c>
      <c r="B4484" s="195" t="s">
        <v>2317</v>
      </c>
      <c r="C4484" s="196">
        <v>0.12</v>
      </c>
      <c r="D4484" s="196">
        <v>0.28000000000000003</v>
      </c>
      <c r="E4484" s="195" t="s">
        <v>595</v>
      </c>
      <c r="F4484" s="195" t="s">
        <v>438</v>
      </c>
    </row>
    <row r="4485" spans="1:6" x14ac:dyDescent="0.25">
      <c r="A4485" s="189" t="str">
        <f t="shared" si="70"/>
        <v>DO-MD 3350.253.85N</v>
      </c>
      <c r="B4485" s="195" t="s">
        <v>2317</v>
      </c>
      <c r="C4485" s="196">
        <v>0.25</v>
      </c>
      <c r="D4485" s="196">
        <v>3.85</v>
      </c>
      <c r="E4485" s="195" t="s">
        <v>589</v>
      </c>
      <c r="F4485" s="195" t="s">
        <v>430</v>
      </c>
    </row>
    <row r="4486" spans="1:6" x14ac:dyDescent="0.25">
      <c r="A4486" s="189" t="str">
        <f t="shared" si="70"/>
        <v>DO-MD 3350.283.85S</v>
      </c>
      <c r="B4486" s="195" t="s">
        <v>2317</v>
      </c>
      <c r="C4486" s="196">
        <v>0.28000000000000003</v>
      </c>
      <c r="D4486" s="196">
        <v>3.85</v>
      </c>
      <c r="E4486" s="195" t="s">
        <v>595</v>
      </c>
      <c r="F4486" s="195" t="s">
        <v>438</v>
      </c>
    </row>
    <row r="4487" spans="1:6" x14ac:dyDescent="0.25">
      <c r="A4487" s="189" t="str">
        <f t="shared" si="70"/>
        <v>DO-MD 3353.854.49N</v>
      </c>
      <c r="B4487" s="195" t="s">
        <v>2317</v>
      </c>
      <c r="C4487" s="196">
        <v>3.85</v>
      </c>
      <c r="D4487" s="196">
        <v>4.49</v>
      </c>
      <c r="E4487" s="195" t="s">
        <v>583</v>
      </c>
      <c r="F4487" s="195" t="s">
        <v>430</v>
      </c>
    </row>
    <row r="4488" spans="1:6" x14ac:dyDescent="0.25">
      <c r="A4488" s="189" t="str">
        <f t="shared" si="70"/>
        <v>DO-MD 3353.854.49S</v>
      </c>
      <c r="B4488" s="195" t="s">
        <v>2317</v>
      </c>
      <c r="C4488" s="196">
        <v>3.85</v>
      </c>
      <c r="D4488" s="196">
        <v>4.49</v>
      </c>
      <c r="E4488" s="195" t="s">
        <v>583</v>
      </c>
      <c r="F4488" s="195" t="s">
        <v>438</v>
      </c>
    </row>
    <row r="4489" spans="1:6" x14ac:dyDescent="0.25">
      <c r="A4489" s="189" t="str">
        <f t="shared" si="70"/>
        <v>DO-MD 3354.495.05N</v>
      </c>
      <c r="B4489" s="195" t="s">
        <v>2317</v>
      </c>
      <c r="C4489" s="196">
        <v>4.49</v>
      </c>
      <c r="D4489" s="196">
        <v>5.05</v>
      </c>
      <c r="E4489" s="195" t="s">
        <v>583</v>
      </c>
      <c r="F4489" s="195" t="s">
        <v>430</v>
      </c>
    </row>
    <row r="4490" spans="1:6" x14ac:dyDescent="0.25">
      <c r="A4490" s="189" t="str">
        <f t="shared" si="70"/>
        <v>DO-MD 3354.495.05S</v>
      </c>
      <c r="B4490" s="195" t="s">
        <v>2317</v>
      </c>
      <c r="C4490" s="196">
        <v>4.49</v>
      </c>
      <c r="D4490" s="196">
        <v>5.05</v>
      </c>
      <c r="E4490" s="195" t="s">
        <v>583</v>
      </c>
      <c r="F4490" s="195" t="s">
        <v>438</v>
      </c>
    </row>
    <row r="4491" spans="1:6" x14ac:dyDescent="0.25">
      <c r="A4491" s="189" t="str">
        <f t="shared" si="70"/>
        <v>DO-MD 3355.055.2N</v>
      </c>
      <c r="B4491" s="195" t="s">
        <v>2317</v>
      </c>
      <c r="C4491" s="196">
        <v>5.05</v>
      </c>
      <c r="D4491" s="196">
        <v>5.2</v>
      </c>
      <c r="E4491" s="195" t="s">
        <v>583</v>
      </c>
      <c r="F4491" s="195" t="s">
        <v>430</v>
      </c>
    </row>
    <row r="4492" spans="1:6" x14ac:dyDescent="0.25">
      <c r="A4492" s="189" t="str">
        <f t="shared" si="70"/>
        <v>DO-MD 3355.055.2S</v>
      </c>
      <c r="B4492" s="195" t="s">
        <v>2317</v>
      </c>
      <c r="C4492" s="196">
        <v>5.05</v>
      </c>
      <c r="D4492" s="196">
        <v>5.2</v>
      </c>
      <c r="E4492" s="195" t="s">
        <v>583</v>
      </c>
      <c r="F4492" s="195" t="s">
        <v>438</v>
      </c>
    </row>
    <row r="4493" spans="1:6" x14ac:dyDescent="0.25">
      <c r="A4493" s="189" t="str">
        <f t="shared" si="70"/>
        <v>DO-MD 3355.26.18N</v>
      </c>
      <c r="B4493" s="195" t="s">
        <v>2317</v>
      </c>
      <c r="C4493" s="196">
        <v>5.2</v>
      </c>
      <c r="D4493" s="196">
        <v>6.18</v>
      </c>
      <c r="E4493" s="195" t="s">
        <v>583</v>
      </c>
      <c r="F4493" s="195" t="s">
        <v>430</v>
      </c>
    </row>
    <row r="4494" spans="1:6" x14ac:dyDescent="0.25">
      <c r="A4494" s="189" t="str">
        <f t="shared" si="70"/>
        <v>DO-MD 3355.26.18S</v>
      </c>
      <c r="B4494" s="195" t="s">
        <v>2317</v>
      </c>
      <c r="C4494" s="196">
        <v>5.2</v>
      </c>
      <c r="D4494" s="196">
        <v>6.18</v>
      </c>
      <c r="E4494" s="195" t="s">
        <v>583</v>
      </c>
      <c r="F4494" s="195" t="s">
        <v>438</v>
      </c>
    </row>
    <row r="4495" spans="1:6" x14ac:dyDescent="0.25">
      <c r="A4495" s="189" t="str">
        <f t="shared" si="70"/>
        <v>DO-MD 3356.186.56N</v>
      </c>
      <c r="B4495" s="195" t="s">
        <v>2317</v>
      </c>
      <c r="C4495" s="196">
        <v>6.18</v>
      </c>
      <c r="D4495" s="196">
        <v>6.56</v>
      </c>
      <c r="E4495" s="195" t="s">
        <v>583</v>
      </c>
      <c r="F4495" s="195" t="s">
        <v>430</v>
      </c>
    </row>
    <row r="4496" spans="1:6" x14ac:dyDescent="0.25">
      <c r="A4496" s="189" t="str">
        <f t="shared" si="70"/>
        <v>DO-MD 3356.186.56S</v>
      </c>
      <c r="B4496" s="195" t="s">
        <v>2317</v>
      </c>
      <c r="C4496" s="196">
        <v>6.18</v>
      </c>
      <c r="D4496" s="196">
        <v>6.56</v>
      </c>
      <c r="E4496" s="195" t="s">
        <v>583</v>
      </c>
      <c r="F4496" s="195" t="s">
        <v>438</v>
      </c>
    </row>
    <row r="4497" spans="1:6" x14ac:dyDescent="0.25">
      <c r="A4497" s="189" t="str">
        <f t="shared" si="70"/>
        <v>DO-MD 3356.566.57N</v>
      </c>
      <c r="B4497" s="195" t="s">
        <v>2317</v>
      </c>
      <c r="C4497" s="196">
        <v>6.56</v>
      </c>
      <c r="D4497" s="196">
        <v>6.57</v>
      </c>
      <c r="E4497" s="195" t="s">
        <v>583</v>
      </c>
      <c r="F4497" s="195" t="s">
        <v>430</v>
      </c>
    </row>
    <row r="4498" spans="1:6" x14ac:dyDescent="0.25">
      <c r="A4498" s="189" t="str">
        <f t="shared" si="70"/>
        <v>DO-MD 3356.566.57S</v>
      </c>
      <c r="B4498" s="195" t="s">
        <v>2317</v>
      </c>
      <c r="C4498" s="196">
        <v>6.56</v>
      </c>
      <c r="D4498" s="196">
        <v>6.57</v>
      </c>
      <c r="E4498" s="195" t="s">
        <v>583</v>
      </c>
      <c r="F4498" s="195" t="s">
        <v>438</v>
      </c>
    </row>
    <row r="4499" spans="1:6" x14ac:dyDescent="0.25">
      <c r="A4499" s="189" t="str">
        <f t="shared" si="70"/>
        <v>DO-MD 3356.579.6N</v>
      </c>
      <c r="B4499" s="195" t="s">
        <v>2317</v>
      </c>
      <c r="C4499" s="196">
        <v>6.57</v>
      </c>
      <c r="D4499" s="196">
        <v>9.6</v>
      </c>
      <c r="E4499" s="195" t="s">
        <v>583</v>
      </c>
      <c r="F4499" s="195" t="s">
        <v>430</v>
      </c>
    </row>
    <row r="4500" spans="1:6" x14ac:dyDescent="0.25">
      <c r="A4500" s="189" t="str">
        <f t="shared" si="70"/>
        <v>DO-MD 3356.579.6S</v>
      </c>
      <c r="B4500" s="195" t="s">
        <v>2317</v>
      </c>
      <c r="C4500" s="196">
        <v>6.57</v>
      </c>
      <c r="D4500" s="196">
        <v>9.6</v>
      </c>
      <c r="E4500" s="195" t="s">
        <v>583</v>
      </c>
      <c r="F4500" s="195" t="s">
        <v>438</v>
      </c>
    </row>
    <row r="4501" spans="1:6" x14ac:dyDescent="0.25">
      <c r="A4501" s="189" t="str">
        <f t="shared" si="70"/>
        <v>DO-MD 3359.611.4N</v>
      </c>
      <c r="B4501" s="195" t="s">
        <v>2317</v>
      </c>
      <c r="C4501" s="196">
        <v>9.6</v>
      </c>
      <c r="D4501" s="196">
        <v>11.4</v>
      </c>
      <c r="E4501" s="195" t="s">
        <v>583</v>
      </c>
      <c r="F4501" s="195" t="s">
        <v>430</v>
      </c>
    </row>
    <row r="4502" spans="1:6" x14ac:dyDescent="0.25">
      <c r="A4502" s="189" t="str">
        <f t="shared" si="70"/>
        <v>DO-MD 3359.611.4S</v>
      </c>
      <c r="B4502" s="195" t="s">
        <v>2317</v>
      </c>
      <c r="C4502" s="196">
        <v>9.6</v>
      </c>
      <c r="D4502" s="196">
        <v>11.4</v>
      </c>
      <c r="E4502" s="195" t="s">
        <v>583</v>
      </c>
      <c r="F4502" s="195" t="s">
        <v>438</v>
      </c>
    </row>
    <row r="4503" spans="1:6" x14ac:dyDescent="0.25">
      <c r="A4503" s="189" t="str">
        <f t="shared" si="70"/>
        <v>DO-MD 33511.411.41N</v>
      </c>
      <c r="B4503" s="195" t="s">
        <v>2317</v>
      </c>
      <c r="C4503" s="196">
        <v>11.4</v>
      </c>
      <c r="D4503" s="196">
        <v>11.41</v>
      </c>
      <c r="E4503" s="195" t="s">
        <v>583</v>
      </c>
      <c r="F4503" s="195" t="s">
        <v>430</v>
      </c>
    </row>
    <row r="4504" spans="1:6" x14ac:dyDescent="0.25">
      <c r="A4504" s="189" t="str">
        <f t="shared" si="70"/>
        <v>DO-MD 33511.411.41S</v>
      </c>
      <c r="B4504" s="195" t="s">
        <v>2317</v>
      </c>
      <c r="C4504" s="196">
        <v>11.4</v>
      </c>
      <c r="D4504" s="196">
        <v>11.41</v>
      </c>
      <c r="E4504" s="195" t="s">
        <v>583</v>
      </c>
      <c r="F4504" s="195" t="s">
        <v>438</v>
      </c>
    </row>
    <row r="4505" spans="1:6" x14ac:dyDescent="0.25">
      <c r="A4505" s="189" t="str">
        <f t="shared" si="70"/>
        <v>DO-MD 33511.4114.36N</v>
      </c>
      <c r="B4505" s="195" t="s">
        <v>2317</v>
      </c>
      <c r="C4505" s="196">
        <v>11.41</v>
      </c>
      <c r="D4505" s="196">
        <v>14.36</v>
      </c>
      <c r="E4505" s="195" t="s">
        <v>583</v>
      </c>
      <c r="F4505" s="195" t="s">
        <v>430</v>
      </c>
    </row>
    <row r="4506" spans="1:6" x14ac:dyDescent="0.25">
      <c r="A4506" s="189" t="str">
        <f t="shared" si="70"/>
        <v>DO-MD 33511.4114.36S</v>
      </c>
      <c r="B4506" s="195" t="s">
        <v>2317</v>
      </c>
      <c r="C4506" s="196">
        <v>11.41</v>
      </c>
      <c r="D4506" s="196">
        <v>14.36</v>
      </c>
      <c r="E4506" s="195" t="s">
        <v>583</v>
      </c>
      <c r="F4506" s="195" t="s">
        <v>438</v>
      </c>
    </row>
    <row r="4507" spans="1:6" x14ac:dyDescent="0.25">
      <c r="A4507" s="189" t="str">
        <f t="shared" si="70"/>
        <v>DO-MD 33514.3614.5N</v>
      </c>
      <c r="B4507" s="195" t="s">
        <v>2317</v>
      </c>
      <c r="C4507" s="196">
        <v>14.36</v>
      </c>
      <c r="D4507" s="196">
        <v>14.5</v>
      </c>
      <c r="E4507" s="195" t="s">
        <v>583</v>
      </c>
      <c r="F4507" s="195" t="s">
        <v>430</v>
      </c>
    </row>
    <row r="4508" spans="1:6" x14ac:dyDescent="0.25">
      <c r="A4508" s="189" t="str">
        <f t="shared" si="70"/>
        <v>DO-MD 33514.3614.5S</v>
      </c>
      <c r="B4508" s="195" t="s">
        <v>2317</v>
      </c>
      <c r="C4508" s="196">
        <v>14.36</v>
      </c>
      <c r="D4508" s="196">
        <v>14.5</v>
      </c>
      <c r="E4508" s="195" t="s">
        <v>583</v>
      </c>
      <c r="F4508" s="195" t="s">
        <v>438</v>
      </c>
    </row>
    <row r="4509" spans="1:6" x14ac:dyDescent="0.25">
      <c r="A4509" s="189" t="str">
        <f t="shared" si="70"/>
        <v>DO-MD 33514.515.05N</v>
      </c>
      <c r="B4509" s="195" t="s">
        <v>2317</v>
      </c>
      <c r="C4509" s="196">
        <v>14.5</v>
      </c>
      <c r="D4509" s="196">
        <v>15.05</v>
      </c>
      <c r="E4509" s="195" t="s">
        <v>583</v>
      </c>
      <c r="F4509" s="195" t="s">
        <v>430</v>
      </c>
    </row>
    <row r="4510" spans="1:6" x14ac:dyDescent="0.25">
      <c r="A4510" s="189" t="str">
        <f t="shared" si="70"/>
        <v>DO-MD 33514.515.05S</v>
      </c>
      <c r="B4510" s="195" t="s">
        <v>2317</v>
      </c>
      <c r="C4510" s="196">
        <v>14.5</v>
      </c>
      <c r="D4510" s="196">
        <v>15.05</v>
      </c>
      <c r="E4510" s="195" t="s">
        <v>583</v>
      </c>
      <c r="F4510" s="195" t="s">
        <v>438</v>
      </c>
    </row>
    <row r="4511" spans="1:6" x14ac:dyDescent="0.25">
      <c r="A4511" s="189" t="str">
        <f t="shared" si="70"/>
        <v>DO-MD 33515.0516.36N</v>
      </c>
      <c r="B4511" s="195" t="s">
        <v>2317</v>
      </c>
      <c r="C4511" s="196">
        <v>15.05</v>
      </c>
      <c r="D4511" s="196">
        <v>16.36</v>
      </c>
      <c r="E4511" s="195" t="s">
        <v>583</v>
      </c>
      <c r="F4511" s="195" t="s">
        <v>430</v>
      </c>
    </row>
    <row r="4512" spans="1:6" x14ac:dyDescent="0.25">
      <c r="A4512" s="189" t="str">
        <f t="shared" si="70"/>
        <v>DO-MD 33515.0516.36S</v>
      </c>
      <c r="B4512" s="195" t="s">
        <v>2317</v>
      </c>
      <c r="C4512" s="196">
        <v>15.05</v>
      </c>
      <c r="D4512" s="196">
        <v>16.36</v>
      </c>
      <c r="E4512" s="195" t="s">
        <v>583</v>
      </c>
      <c r="F4512" s="195" t="s">
        <v>438</v>
      </c>
    </row>
    <row r="4513" spans="1:6" x14ac:dyDescent="0.25">
      <c r="A4513" s="189" t="str">
        <f t="shared" si="70"/>
        <v>DO-MD 33602.2E</v>
      </c>
      <c r="B4513" s="195" t="s">
        <v>2318</v>
      </c>
      <c r="C4513" s="196">
        <v>0</v>
      </c>
      <c r="D4513" s="196">
        <v>2.2000000000000002</v>
      </c>
      <c r="E4513" s="195" t="s">
        <v>583</v>
      </c>
      <c r="F4513" s="195" t="s">
        <v>19</v>
      </c>
    </row>
    <row r="4514" spans="1:6" x14ac:dyDescent="0.25">
      <c r="A4514" s="189" t="str">
        <f t="shared" si="70"/>
        <v>DO-MD 33602.2W</v>
      </c>
      <c r="B4514" s="195" t="s">
        <v>2318</v>
      </c>
      <c r="C4514" s="196">
        <v>0</v>
      </c>
      <c r="D4514" s="196">
        <v>2.2000000000000002</v>
      </c>
      <c r="E4514" s="195" t="s">
        <v>583</v>
      </c>
      <c r="F4514" s="195" t="s">
        <v>432</v>
      </c>
    </row>
    <row r="4515" spans="1:6" x14ac:dyDescent="0.25">
      <c r="A4515" s="189" t="str">
        <f t="shared" si="70"/>
        <v>DO-MD 3362.24.87E</v>
      </c>
      <c r="B4515" s="195" t="s">
        <v>2318</v>
      </c>
      <c r="C4515" s="196">
        <v>2.2000000000000002</v>
      </c>
      <c r="D4515" s="196">
        <v>4.87</v>
      </c>
      <c r="E4515" s="195" t="s">
        <v>583</v>
      </c>
      <c r="F4515" s="195" t="s">
        <v>19</v>
      </c>
    </row>
    <row r="4516" spans="1:6" x14ac:dyDescent="0.25">
      <c r="A4516" s="189" t="str">
        <f t="shared" si="70"/>
        <v>DO-MD 3362.24.87W</v>
      </c>
      <c r="B4516" s="195" t="s">
        <v>2318</v>
      </c>
      <c r="C4516" s="196">
        <v>2.2000000000000002</v>
      </c>
      <c r="D4516" s="196">
        <v>4.87</v>
      </c>
      <c r="E4516" s="195" t="s">
        <v>583</v>
      </c>
      <c r="F4516" s="195" t="s">
        <v>432</v>
      </c>
    </row>
    <row r="4517" spans="1:6" x14ac:dyDescent="0.25">
      <c r="A4517" s="189" t="str">
        <f t="shared" si="70"/>
        <v>DO-MD 34101.07N</v>
      </c>
      <c r="B4517" s="195" t="s">
        <v>2319</v>
      </c>
      <c r="C4517" s="196">
        <v>0</v>
      </c>
      <c r="D4517" s="196">
        <v>1.07</v>
      </c>
      <c r="E4517" s="195" t="s">
        <v>583</v>
      </c>
      <c r="F4517" s="195" t="s">
        <v>430</v>
      </c>
    </row>
    <row r="4518" spans="1:6" x14ac:dyDescent="0.25">
      <c r="A4518" s="189" t="str">
        <f t="shared" si="70"/>
        <v>DO-MD 34101.07S</v>
      </c>
      <c r="B4518" s="195" t="s">
        <v>2319</v>
      </c>
      <c r="C4518" s="196">
        <v>0</v>
      </c>
      <c r="D4518" s="196">
        <v>1.07</v>
      </c>
      <c r="E4518" s="195" t="s">
        <v>583</v>
      </c>
      <c r="F4518" s="195" t="s">
        <v>438</v>
      </c>
    </row>
    <row r="4519" spans="1:6" x14ac:dyDescent="0.25">
      <c r="A4519" s="189" t="str">
        <f t="shared" si="70"/>
        <v>DO-MD 3411.071.25N</v>
      </c>
      <c r="B4519" s="195" t="s">
        <v>2319</v>
      </c>
      <c r="C4519" s="196">
        <v>1.07</v>
      </c>
      <c r="D4519" s="196">
        <v>1.25</v>
      </c>
      <c r="E4519" s="195" t="s">
        <v>583</v>
      </c>
      <c r="F4519" s="195" t="s">
        <v>430</v>
      </c>
    </row>
    <row r="4520" spans="1:6" x14ac:dyDescent="0.25">
      <c r="A4520" s="189" t="str">
        <f t="shared" si="70"/>
        <v>DO-MD 3411.071.25S</v>
      </c>
      <c r="B4520" s="195" t="s">
        <v>2319</v>
      </c>
      <c r="C4520" s="196">
        <v>1.07</v>
      </c>
      <c r="D4520" s="196">
        <v>1.25</v>
      </c>
      <c r="E4520" s="195" t="s">
        <v>583</v>
      </c>
      <c r="F4520" s="195" t="s">
        <v>438</v>
      </c>
    </row>
    <row r="4521" spans="1:6" x14ac:dyDescent="0.25">
      <c r="A4521" s="189" t="str">
        <f t="shared" si="70"/>
        <v>DO-MD 34304.18E</v>
      </c>
      <c r="B4521" s="195" t="s">
        <v>2320</v>
      </c>
      <c r="C4521" s="196">
        <v>0</v>
      </c>
      <c r="D4521" s="196">
        <v>4.18</v>
      </c>
      <c r="E4521" s="195" t="s">
        <v>583</v>
      </c>
      <c r="F4521" s="195" t="s">
        <v>19</v>
      </c>
    </row>
    <row r="4522" spans="1:6" x14ac:dyDescent="0.25">
      <c r="A4522" s="189" t="str">
        <f t="shared" si="70"/>
        <v>DO-MD 34304.18W</v>
      </c>
      <c r="B4522" s="195" t="s">
        <v>2320</v>
      </c>
      <c r="C4522" s="196">
        <v>0</v>
      </c>
      <c r="D4522" s="196">
        <v>4.18</v>
      </c>
      <c r="E4522" s="195" t="s">
        <v>583</v>
      </c>
      <c r="F4522" s="195" t="s">
        <v>432</v>
      </c>
    </row>
    <row r="4523" spans="1:6" x14ac:dyDescent="0.25">
      <c r="A4523" s="189" t="str">
        <f t="shared" si="70"/>
        <v>DO-MD 3434.189.07E</v>
      </c>
      <c r="B4523" s="195" t="s">
        <v>2320</v>
      </c>
      <c r="C4523" s="196">
        <v>4.18</v>
      </c>
      <c r="D4523" s="196">
        <v>9.07</v>
      </c>
      <c r="E4523" s="195" t="s">
        <v>583</v>
      </c>
      <c r="F4523" s="195" t="s">
        <v>19</v>
      </c>
    </row>
    <row r="4524" spans="1:6" x14ac:dyDescent="0.25">
      <c r="A4524" s="189" t="str">
        <f t="shared" si="70"/>
        <v>DO-MD 3434.189.07W</v>
      </c>
      <c r="B4524" s="195" t="s">
        <v>2320</v>
      </c>
      <c r="C4524" s="196">
        <v>4.18</v>
      </c>
      <c r="D4524" s="196">
        <v>9.07</v>
      </c>
      <c r="E4524" s="195" t="s">
        <v>583</v>
      </c>
      <c r="F4524" s="195" t="s">
        <v>432</v>
      </c>
    </row>
    <row r="4525" spans="1:6" x14ac:dyDescent="0.25">
      <c r="A4525" s="189" t="str">
        <f t="shared" si="70"/>
        <v>DO-MD 3439.079.43E</v>
      </c>
      <c r="B4525" s="195" t="s">
        <v>2320</v>
      </c>
      <c r="C4525" s="196">
        <v>9.07</v>
      </c>
      <c r="D4525" s="196">
        <v>9.43</v>
      </c>
      <c r="E4525" s="195" t="s">
        <v>583</v>
      </c>
      <c r="F4525" s="195" t="s">
        <v>19</v>
      </c>
    </row>
    <row r="4526" spans="1:6" x14ac:dyDescent="0.25">
      <c r="A4526" s="189" t="str">
        <f t="shared" si="70"/>
        <v>DO-MD 3439.079.43W</v>
      </c>
      <c r="B4526" s="195" t="s">
        <v>2320</v>
      </c>
      <c r="C4526" s="196">
        <v>9.07</v>
      </c>
      <c r="D4526" s="196">
        <v>9.43</v>
      </c>
      <c r="E4526" s="195" t="s">
        <v>583</v>
      </c>
      <c r="F4526" s="195" t="s">
        <v>432</v>
      </c>
    </row>
    <row r="4527" spans="1:6" x14ac:dyDescent="0.25">
      <c r="A4527" s="189" t="str">
        <f t="shared" si="70"/>
        <v>DO-MD 3439.439.95E</v>
      </c>
      <c r="B4527" s="195" t="s">
        <v>2320</v>
      </c>
      <c r="C4527" s="196">
        <v>9.43</v>
      </c>
      <c r="D4527" s="196">
        <v>9.9499999999999993</v>
      </c>
      <c r="E4527" s="195" t="s">
        <v>583</v>
      </c>
      <c r="F4527" s="195" t="s">
        <v>19</v>
      </c>
    </row>
    <row r="4528" spans="1:6" x14ac:dyDescent="0.25">
      <c r="A4528" s="189" t="str">
        <f t="shared" si="70"/>
        <v>DO-MD 3439.439.95W</v>
      </c>
      <c r="B4528" s="195" t="s">
        <v>2320</v>
      </c>
      <c r="C4528" s="196">
        <v>9.43</v>
      </c>
      <c r="D4528" s="196">
        <v>9.9499999999999993</v>
      </c>
      <c r="E4528" s="195" t="s">
        <v>583</v>
      </c>
      <c r="F4528" s="195" t="s">
        <v>432</v>
      </c>
    </row>
    <row r="4529" spans="1:6" x14ac:dyDescent="0.25">
      <c r="A4529" s="189" t="str">
        <f t="shared" si="70"/>
        <v>DO-MD 3439.9510.35E</v>
      </c>
      <c r="B4529" s="195" t="s">
        <v>2320</v>
      </c>
      <c r="C4529" s="196">
        <v>9.9499999999999993</v>
      </c>
      <c r="D4529" s="196">
        <v>10.35</v>
      </c>
      <c r="E4529" s="195" t="s">
        <v>583</v>
      </c>
      <c r="F4529" s="195" t="s">
        <v>19</v>
      </c>
    </row>
    <row r="4530" spans="1:6" x14ac:dyDescent="0.25">
      <c r="A4530" s="189" t="str">
        <f t="shared" si="70"/>
        <v>DO-MD 3439.9510.35W</v>
      </c>
      <c r="B4530" s="195" t="s">
        <v>2320</v>
      </c>
      <c r="C4530" s="196">
        <v>9.9499999999999993</v>
      </c>
      <c r="D4530" s="196">
        <v>10.35</v>
      </c>
      <c r="E4530" s="195" t="s">
        <v>583</v>
      </c>
      <c r="F4530" s="195" t="s">
        <v>432</v>
      </c>
    </row>
    <row r="4531" spans="1:6" x14ac:dyDescent="0.25">
      <c r="A4531" s="189" t="str">
        <f t="shared" si="70"/>
        <v>DO-MD 34310.3511E</v>
      </c>
      <c r="B4531" s="195" t="s">
        <v>2320</v>
      </c>
      <c r="C4531" s="196">
        <v>10.35</v>
      </c>
      <c r="D4531" s="196">
        <v>11</v>
      </c>
      <c r="E4531" s="195" t="s">
        <v>583</v>
      </c>
      <c r="F4531" s="195" t="s">
        <v>19</v>
      </c>
    </row>
    <row r="4532" spans="1:6" x14ac:dyDescent="0.25">
      <c r="A4532" s="189" t="str">
        <f t="shared" si="70"/>
        <v>DO-MD 34310.3511W</v>
      </c>
      <c r="B4532" s="195" t="s">
        <v>2320</v>
      </c>
      <c r="C4532" s="196">
        <v>10.35</v>
      </c>
      <c r="D4532" s="196">
        <v>11</v>
      </c>
      <c r="E4532" s="195" t="s">
        <v>583</v>
      </c>
      <c r="F4532" s="195" t="s">
        <v>432</v>
      </c>
    </row>
    <row r="4533" spans="1:6" x14ac:dyDescent="0.25">
      <c r="A4533" s="189" t="str">
        <f t="shared" si="70"/>
        <v>DO-MD 3431111.29E</v>
      </c>
      <c r="B4533" s="195" t="s">
        <v>2320</v>
      </c>
      <c r="C4533" s="196">
        <v>11</v>
      </c>
      <c r="D4533" s="196">
        <v>11.29</v>
      </c>
      <c r="E4533" s="195" t="s">
        <v>583</v>
      </c>
      <c r="F4533" s="195" t="s">
        <v>19</v>
      </c>
    </row>
    <row r="4534" spans="1:6" x14ac:dyDescent="0.25">
      <c r="A4534" s="189" t="str">
        <f t="shared" si="70"/>
        <v>DO-MD 3431111.29W</v>
      </c>
      <c r="B4534" s="195" t="s">
        <v>2320</v>
      </c>
      <c r="C4534" s="196">
        <v>11</v>
      </c>
      <c r="D4534" s="196">
        <v>11.29</v>
      </c>
      <c r="E4534" s="195" t="s">
        <v>583</v>
      </c>
      <c r="F4534" s="195" t="s">
        <v>432</v>
      </c>
    </row>
    <row r="4535" spans="1:6" x14ac:dyDescent="0.25">
      <c r="A4535" s="189" t="str">
        <f t="shared" si="70"/>
        <v>DO-MD 343A00.17E</v>
      </c>
      <c r="B4535" s="195" t="s">
        <v>2321</v>
      </c>
      <c r="C4535" s="196">
        <v>0</v>
      </c>
      <c r="D4535" s="196">
        <v>0.17</v>
      </c>
      <c r="E4535" s="195" t="s">
        <v>598</v>
      </c>
      <c r="F4535" s="195" t="s">
        <v>19</v>
      </c>
    </row>
    <row r="4536" spans="1:6" x14ac:dyDescent="0.25">
      <c r="A4536" s="189" t="str">
        <f t="shared" si="70"/>
        <v>DO-MD 343A0.030.17W</v>
      </c>
      <c r="B4536" s="195" t="s">
        <v>2321</v>
      </c>
      <c r="C4536" s="196">
        <v>0.03</v>
      </c>
      <c r="D4536" s="196">
        <v>0.17</v>
      </c>
      <c r="E4536" s="195" t="s">
        <v>593</v>
      </c>
      <c r="F4536" s="195" t="s">
        <v>432</v>
      </c>
    </row>
    <row r="4537" spans="1:6" x14ac:dyDescent="0.25">
      <c r="A4537" s="189" t="str">
        <f t="shared" si="70"/>
        <v>DO-MD 343B00.09E</v>
      </c>
      <c r="B4537" s="195" t="s">
        <v>2322</v>
      </c>
      <c r="C4537" s="196">
        <v>0</v>
      </c>
      <c r="D4537" s="196">
        <v>0.09</v>
      </c>
      <c r="E4537" s="195" t="s">
        <v>598</v>
      </c>
      <c r="F4537" s="195" t="s">
        <v>19</v>
      </c>
    </row>
    <row r="4538" spans="1:6" x14ac:dyDescent="0.25">
      <c r="A4538" s="189" t="str">
        <f t="shared" si="70"/>
        <v>DO-MD 343B00.09W</v>
      </c>
      <c r="B4538" s="195" t="s">
        <v>2322</v>
      </c>
      <c r="C4538" s="196">
        <v>0</v>
      </c>
      <c r="D4538" s="196">
        <v>0.09</v>
      </c>
      <c r="E4538" s="195" t="s">
        <v>593</v>
      </c>
      <c r="F4538" s="195" t="s">
        <v>432</v>
      </c>
    </row>
    <row r="4539" spans="1:6" x14ac:dyDescent="0.25">
      <c r="A4539" s="189" t="str">
        <f t="shared" si="70"/>
        <v>DO-MD 39200.92E</v>
      </c>
      <c r="B4539" s="195" t="s">
        <v>431</v>
      </c>
      <c r="C4539" s="196">
        <v>0</v>
      </c>
      <c r="D4539" s="196">
        <v>0.92</v>
      </c>
      <c r="E4539" s="195" t="s">
        <v>583</v>
      </c>
      <c r="F4539" s="195" t="s">
        <v>19</v>
      </c>
    </row>
    <row r="4540" spans="1:6" x14ac:dyDescent="0.25">
      <c r="A4540" s="189" t="str">
        <f t="shared" si="70"/>
        <v>DO-MD 39200.92W</v>
      </c>
      <c r="B4540" s="195" t="s">
        <v>431</v>
      </c>
      <c r="C4540" s="196">
        <v>0</v>
      </c>
      <c r="D4540" s="196">
        <v>0.92</v>
      </c>
      <c r="E4540" s="195" t="s">
        <v>583</v>
      </c>
      <c r="F4540" s="195" t="s">
        <v>432</v>
      </c>
    </row>
    <row r="4541" spans="1:6" x14ac:dyDescent="0.25">
      <c r="A4541" s="189" t="str">
        <f t="shared" si="70"/>
        <v>DO-MD 3920.923.79E</v>
      </c>
      <c r="B4541" s="195" t="s">
        <v>431</v>
      </c>
      <c r="C4541" s="196">
        <v>0.92</v>
      </c>
      <c r="D4541" s="196">
        <v>3.79</v>
      </c>
      <c r="E4541" s="195" t="s">
        <v>583</v>
      </c>
      <c r="F4541" s="195" t="s">
        <v>19</v>
      </c>
    </row>
    <row r="4542" spans="1:6" x14ac:dyDescent="0.25">
      <c r="A4542" s="189" t="str">
        <f t="shared" si="70"/>
        <v>DO-MD 3920.923.79W</v>
      </c>
      <c r="B4542" s="195" t="s">
        <v>431</v>
      </c>
      <c r="C4542" s="196">
        <v>0.92</v>
      </c>
      <c r="D4542" s="196">
        <v>3.79</v>
      </c>
      <c r="E4542" s="195" t="s">
        <v>583</v>
      </c>
      <c r="F4542" s="195" t="s">
        <v>432</v>
      </c>
    </row>
    <row r="4543" spans="1:6" x14ac:dyDescent="0.25">
      <c r="A4543" s="189" t="str">
        <f t="shared" si="70"/>
        <v>DO-MD 3923.794.44E</v>
      </c>
      <c r="B4543" s="195" t="s">
        <v>431</v>
      </c>
      <c r="C4543" s="196">
        <v>3.79</v>
      </c>
      <c r="D4543" s="196">
        <v>4.4400000000000004</v>
      </c>
      <c r="E4543" s="195" t="s">
        <v>583</v>
      </c>
      <c r="F4543" s="195" t="s">
        <v>19</v>
      </c>
    </row>
    <row r="4544" spans="1:6" x14ac:dyDescent="0.25">
      <c r="A4544" s="189" t="str">
        <f t="shared" si="70"/>
        <v>DO-MD 3923.794.44W</v>
      </c>
      <c r="B4544" s="195" t="s">
        <v>431</v>
      </c>
      <c r="C4544" s="196">
        <v>3.79</v>
      </c>
      <c r="D4544" s="196">
        <v>4.4400000000000004</v>
      </c>
      <c r="E4544" s="195" t="s">
        <v>583</v>
      </c>
      <c r="F4544" s="195" t="s">
        <v>432</v>
      </c>
    </row>
    <row r="4545" spans="1:6" x14ac:dyDescent="0.25">
      <c r="A4545" s="189" t="str">
        <f t="shared" si="70"/>
        <v>DO-MD 3924.445E</v>
      </c>
      <c r="B4545" s="195" t="s">
        <v>431</v>
      </c>
      <c r="C4545" s="196">
        <v>4.4400000000000004</v>
      </c>
      <c r="D4545" s="196">
        <v>5</v>
      </c>
      <c r="E4545" s="195" t="s">
        <v>583</v>
      </c>
      <c r="F4545" s="195" t="s">
        <v>19</v>
      </c>
    </row>
    <row r="4546" spans="1:6" x14ac:dyDescent="0.25">
      <c r="A4546" s="189" t="str">
        <f t="shared" si="70"/>
        <v>DO-MD 3924.445W</v>
      </c>
      <c r="B4546" s="195" t="s">
        <v>431</v>
      </c>
      <c r="C4546" s="196">
        <v>4.4400000000000004</v>
      </c>
      <c r="D4546" s="196">
        <v>5</v>
      </c>
      <c r="E4546" s="195" t="s">
        <v>583</v>
      </c>
      <c r="F4546" s="195" t="s">
        <v>432</v>
      </c>
    </row>
    <row r="4547" spans="1:6" x14ac:dyDescent="0.25">
      <c r="A4547" s="189" t="str">
        <f t="shared" ref="A4547:A4610" si="71">B4547&amp;C4547&amp;D4547&amp;F4547</f>
        <v>DO-MD 39255.5E</v>
      </c>
      <c r="B4547" s="195" t="s">
        <v>431</v>
      </c>
      <c r="C4547" s="196">
        <v>5</v>
      </c>
      <c r="D4547" s="196">
        <v>5.5</v>
      </c>
      <c r="E4547" s="195" t="s">
        <v>583</v>
      </c>
      <c r="F4547" s="195" t="s">
        <v>19</v>
      </c>
    </row>
    <row r="4548" spans="1:6" x14ac:dyDescent="0.25">
      <c r="A4548" s="189" t="str">
        <f t="shared" si="71"/>
        <v>DO-MD 39255.5W</v>
      </c>
      <c r="B4548" s="195" t="s">
        <v>431</v>
      </c>
      <c r="C4548" s="196">
        <v>5</v>
      </c>
      <c r="D4548" s="196">
        <v>5.5</v>
      </c>
      <c r="E4548" s="195" t="s">
        <v>583</v>
      </c>
      <c r="F4548" s="195" t="s">
        <v>432</v>
      </c>
    </row>
    <row r="4549" spans="1:6" x14ac:dyDescent="0.25">
      <c r="A4549" s="189" t="str">
        <f t="shared" si="71"/>
        <v>DO-MD 3925.57.15E</v>
      </c>
      <c r="B4549" s="195" t="s">
        <v>431</v>
      </c>
      <c r="C4549" s="196">
        <v>5.5</v>
      </c>
      <c r="D4549" s="196">
        <v>7.15</v>
      </c>
      <c r="E4549" s="195" t="s">
        <v>583</v>
      </c>
      <c r="F4549" s="195" t="s">
        <v>19</v>
      </c>
    </row>
    <row r="4550" spans="1:6" x14ac:dyDescent="0.25">
      <c r="A4550" s="189" t="str">
        <f t="shared" si="71"/>
        <v>DO-MD 3925.57.15W</v>
      </c>
      <c r="B4550" s="195" t="s">
        <v>431</v>
      </c>
      <c r="C4550" s="196">
        <v>5.5</v>
      </c>
      <c r="D4550" s="196">
        <v>7.15</v>
      </c>
      <c r="E4550" s="195" t="s">
        <v>583</v>
      </c>
      <c r="F4550" s="195" t="s">
        <v>432</v>
      </c>
    </row>
    <row r="4551" spans="1:6" x14ac:dyDescent="0.25">
      <c r="A4551" s="189" t="str">
        <f t="shared" si="71"/>
        <v>DO-MD 3927.157.23E</v>
      </c>
      <c r="B4551" s="195" t="s">
        <v>431</v>
      </c>
      <c r="C4551" s="196">
        <v>7.15</v>
      </c>
      <c r="D4551" s="196">
        <v>7.23</v>
      </c>
      <c r="E4551" s="195" t="s">
        <v>598</v>
      </c>
      <c r="F4551" s="195" t="s">
        <v>19</v>
      </c>
    </row>
    <row r="4552" spans="1:6" x14ac:dyDescent="0.25">
      <c r="A4552" s="189" t="str">
        <f t="shared" si="71"/>
        <v>DO-MD 3927.157.3W</v>
      </c>
      <c r="B4552" s="195" t="s">
        <v>431</v>
      </c>
      <c r="C4552" s="196">
        <v>7.15</v>
      </c>
      <c r="D4552" s="196">
        <v>7.3</v>
      </c>
      <c r="E4552" s="195" t="s">
        <v>593</v>
      </c>
      <c r="F4552" s="195" t="s">
        <v>432</v>
      </c>
    </row>
    <row r="4553" spans="1:6" x14ac:dyDescent="0.25">
      <c r="A4553" s="189" t="str">
        <f t="shared" si="71"/>
        <v>DO-MD 3927.237.34E</v>
      </c>
      <c r="B4553" s="195" t="s">
        <v>431</v>
      </c>
      <c r="C4553" s="196">
        <v>7.23</v>
      </c>
      <c r="D4553" s="196">
        <v>7.34</v>
      </c>
      <c r="E4553" s="195" t="s">
        <v>598</v>
      </c>
      <c r="F4553" s="195" t="s">
        <v>19</v>
      </c>
    </row>
    <row r="4554" spans="1:6" x14ac:dyDescent="0.25">
      <c r="A4554" s="189" t="str">
        <f t="shared" si="71"/>
        <v>DO-MD 3927.37.41W</v>
      </c>
      <c r="B4554" s="195" t="s">
        <v>431</v>
      </c>
      <c r="C4554" s="196">
        <v>7.3</v>
      </c>
      <c r="D4554" s="196">
        <v>7.41</v>
      </c>
      <c r="E4554" s="195" t="s">
        <v>593</v>
      </c>
      <c r="F4554" s="195" t="s">
        <v>432</v>
      </c>
    </row>
    <row r="4555" spans="1:6" x14ac:dyDescent="0.25">
      <c r="A4555" s="189" t="str">
        <f t="shared" si="71"/>
        <v>DO-MD 3927.3410E</v>
      </c>
      <c r="B4555" s="195" t="s">
        <v>431</v>
      </c>
      <c r="C4555" s="196">
        <v>7.34</v>
      </c>
      <c r="D4555" s="196">
        <v>10</v>
      </c>
      <c r="E4555" s="195" t="s">
        <v>598</v>
      </c>
      <c r="F4555" s="195" t="s">
        <v>19</v>
      </c>
    </row>
    <row r="4556" spans="1:6" x14ac:dyDescent="0.25">
      <c r="A4556" s="189" t="str">
        <f t="shared" si="71"/>
        <v>DO-MD 3927.4110W</v>
      </c>
      <c r="B4556" s="195" t="s">
        <v>431</v>
      </c>
      <c r="C4556" s="196">
        <v>7.41</v>
      </c>
      <c r="D4556" s="196">
        <v>10</v>
      </c>
      <c r="E4556" s="195" t="s">
        <v>593</v>
      </c>
      <c r="F4556" s="195" t="s">
        <v>432</v>
      </c>
    </row>
    <row r="4557" spans="1:6" x14ac:dyDescent="0.25">
      <c r="A4557" s="189" t="str">
        <f t="shared" si="71"/>
        <v>DO-MD 3921013.54E</v>
      </c>
      <c r="B4557" s="195" t="s">
        <v>431</v>
      </c>
      <c r="C4557" s="196">
        <v>10</v>
      </c>
      <c r="D4557" s="196">
        <v>13.54</v>
      </c>
      <c r="E4557" s="195" t="s">
        <v>583</v>
      </c>
      <c r="F4557" s="195" t="s">
        <v>19</v>
      </c>
    </row>
    <row r="4558" spans="1:6" x14ac:dyDescent="0.25">
      <c r="A4558" s="189" t="str">
        <f t="shared" si="71"/>
        <v>DO-MD 3921013.54W</v>
      </c>
      <c r="B4558" s="195" t="s">
        <v>431</v>
      </c>
      <c r="C4558" s="196">
        <v>10</v>
      </c>
      <c r="D4558" s="196">
        <v>13.54</v>
      </c>
      <c r="E4558" s="195" t="s">
        <v>583</v>
      </c>
      <c r="F4558" s="195" t="s">
        <v>432</v>
      </c>
    </row>
    <row r="4559" spans="1:6" x14ac:dyDescent="0.25">
      <c r="A4559" s="189" t="str">
        <f t="shared" si="71"/>
        <v>DO-MD 392A00.08E</v>
      </c>
      <c r="B4559" s="195" t="s">
        <v>2323</v>
      </c>
      <c r="C4559" s="196">
        <v>0</v>
      </c>
      <c r="D4559" s="196">
        <v>0.08</v>
      </c>
      <c r="E4559" s="195" t="s">
        <v>598</v>
      </c>
      <c r="F4559" s="195" t="s">
        <v>19</v>
      </c>
    </row>
    <row r="4560" spans="1:6" x14ac:dyDescent="0.25">
      <c r="A4560" s="189" t="str">
        <f t="shared" si="71"/>
        <v>DO-MD 392A00.08W</v>
      </c>
      <c r="B4560" s="195" t="s">
        <v>2323</v>
      </c>
      <c r="C4560" s="196">
        <v>0</v>
      </c>
      <c r="D4560" s="196">
        <v>0.08</v>
      </c>
      <c r="E4560" s="195" t="s">
        <v>593</v>
      </c>
      <c r="F4560" s="195" t="s">
        <v>432</v>
      </c>
    </row>
    <row r="4561" spans="1:6" x14ac:dyDescent="0.25">
      <c r="A4561" s="189" t="str">
        <f t="shared" si="71"/>
        <v>DO-MD 75000.87E</v>
      </c>
      <c r="B4561" s="195" t="s">
        <v>2324</v>
      </c>
      <c r="C4561" s="196">
        <v>0</v>
      </c>
      <c r="D4561" s="196">
        <v>0.87</v>
      </c>
      <c r="E4561" s="195" t="s">
        <v>598</v>
      </c>
      <c r="F4561" s="195" t="s">
        <v>19</v>
      </c>
    </row>
    <row r="4562" spans="1:6" x14ac:dyDescent="0.25">
      <c r="A4562" s="189" t="str">
        <f t="shared" si="71"/>
        <v>DO-MD 75000.87W</v>
      </c>
      <c r="B4562" s="195" t="s">
        <v>2324</v>
      </c>
      <c r="C4562" s="196">
        <v>0</v>
      </c>
      <c r="D4562" s="196">
        <v>0.87</v>
      </c>
      <c r="E4562" s="195" t="s">
        <v>593</v>
      </c>
      <c r="F4562" s="195" t="s">
        <v>432</v>
      </c>
    </row>
    <row r="4563" spans="1:6" x14ac:dyDescent="0.25">
      <c r="A4563" s="189" t="str">
        <f t="shared" si="71"/>
        <v>DO-MD 79500.07E</v>
      </c>
      <c r="B4563" s="195" t="s">
        <v>2325</v>
      </c>
      <c r="C4563" s="196">
        <v>0</v>
      </c>
      <c r="D4563" s="196">
        <v>7.0000000000000007E-2</v>
      </c>
      <c r="E4563" s="195" t="s">
        <v>598</v>
      </c>
      <c r="F4563" s="195" t="s">
        <v>19</v>
      </c>
    </row>
    <row r="4564" spans="1:6" x14ac:dyDescent="0.25">
      <c r="A4564" s="189" t="str">
        <f t="shared" si="71"/>
        <v>DO-MD 79500.07W</v>
      </c>
      <c r="B4564" s="195" t="s">
        <v>2325</v>
      </c>
      <c r="C4564" s="196">
        <v>0</v>
      </c>
      <c r="D4564" s="196">
        <v>7.0000000000000007E-2</v>
      </c>
      <c r="E4564" s="195" t="s">
        <v>593</v>
      </c>
      <c r="F4564" s="195" t="s">
        <v>432</v>
      </c>
    </row>
    <row r="4565" spans="1:6" x14ac:dyDescent="0.25">
      <c r="A4565" s="189" t="str">
        <f t="shared" si="71"/>
        <v>DO-MD 81900.19S</v>
      </c>
      <c r="B4565" s="195" t="s">
        <v>2326</v>
      </c>
      <c r="C4565" s="196">
        <v>0</v>
      </c>
      <c r="D4565" s="196">
        <v>0.19</v>
      </c>
      <c r="E4565" s="195" t="s">
        <v>595</v>
      </c>
      <c r="F4565" s="195" t="s">
        <v>438</v>
      </c>
    </row>
    <row r="4566" spans="1:6" x14ac:dyDescent="0.25">
      <c r="A4566" s="189" t="str">
        <f t="shared" si="71"/>
        <v>DO-MD 8190.030.19N</v>
      </c>
      <c r="B4566" s="195" t="s">
        <v>2326</v>
      </c>
      <c r="C4566" s="196">
        <v>0.03</v>
      </c>
      <c r="D4566" s="196">
        <v>0.19</v>
      </c>
      <c r="E4566" s="195" t="s">
        <v>589</v>
      </c>
      <c r="F4566" s="195" t="s">
        <v>430</v>
      </c>
    </row>
    <row r="4567" spans="1:6" x14ac:dyDescent="0.25">
      <c r="A4567" s="189" t="str">
        <f t="shared" si="71"/>
        <v>DO-US 50 RP1-9500.04N</v>
      </c>
      <c r="B4567" s="195" t="s">
        <v>2327</v>
      </c>
      <c r="C4567" s="196">
        <v>0</v>
      </c>
      <c r="D4567" s="196">
        <v>0.04</v>
      </c>
      <c r="E4567" s="195" t="s">
        <v>589</v>
      </c>
      <c r="F4567" s="195" t="s">
        <v>430</v>
      </c>
    </row>
    <row r="4568" spans="1:6" x14ac:dyDescent="0.25">
      <c r="A4568" s="189" t="str">
        <f t="shared" si="71"/>
        <v>DO-US 50 RP2-9500.05W</v>
      </c>
      <c r="B4568" s="195" t="s">
        <v>2328</v>
      </c>
      <c r="C4568" s="196">
        <v>0</v>
      </c>
      <c r="D4568" s="196">
        <v>0.05</v>
      </c>
      <c r="E4568" s="195" t="s">
        <v>593</v>
      </c>
      <c r="F4568" s="195" t="s">
        <v>432</v>
      </c>
    </row>
    <row r="4569" spans="1:6" x14ac:dyDescent="0.25">
      <c r="A4569" s="189" t="str">
        <f t="shared" si="71"/>
        <v>DO-US 50 RP4-9500.05N</v>
      </c>
      <c r="B4569" s="195" t="s">
        <v>2329</v>
      </c>
      <c r="C4569" s="196">
        <v>0</v>
      </c>
      <c r="D4569" s="196">
        <v>0.05</v>
      </c>
      <c r="E4569" s="195" t="s">
        <v>589</v>
      </c>
      <c r="F4569" s="195" t="s">
        <v>430</v>
      </c>
    </row>
    <row r="4570" spans="1:6" x14ac:dyDescent="0.25">
      <c r="A4570" s="189" t="str">
        <f t="shared" si="71"/>
        <v>DO-US 50 RP5-9500.31S</v>
      </c>
      <c r="B4570" s="195" t="s">
        <v>2330</v>
      </c>
      <c r="C4570" s="196">
        <v>0</v>
      </c>
      <c r="D4570" s="196">
        <v>0.31</v>
      </c>
      <c r="E4570" s="195" t="s">
        <v>595</v>
      </c>
      <c r="F4570" s="195" t="s">
        <v>438</v>
      </c>
    </row>
    <row r="4571" spans="1:6" x14ac:dyDescent="0.25">
      <c r="A4571" s="189" t="str">
        <f t="shared" si="71"/>
        <v>DO-US 50 RP6-9500.44E</v>
      </c>
      <c r="B4571" s="195" t="s">
        <v>2331</v>
      </c>
      <c r="C4571" s="196">
        <v>0</v>
      </c>
      <c r="D4571" s="196">
        <v>0.44</v>
      </c>
      <c r="E4571" s="195" t="s">
        <v>598</v>
      </c>
      <c r="F4571" s="195" t="s">
        <v>19</v>
      </c>
    </row>
    <row r="4572" spans="1:6" x14ac:dyDescent="0.25">
      <c r="A4572" s="189" t="str">
        <f t="shared" si="71"/>
        <v>DO-US 50 RP7-9500.27W</v>
      </c>
      <c r="B4572" s="195" t="s">
        <v>2332</v>
      </c>
      <c r="C4572" s="196">
        <v>0</v>
      </c>
      <c r="D4572" s="196">
        <v>0.27</v>
      </c>
      <c r="E4572" s="195" t="s">
        <v>593</v>
      </c>
      <c r="F4572" s="195" t="s">
        <v>432</v>
      </c>
    </row>
    <row r="4573" spans="1:6" x14ac:dyDescent="0.25">
      <c r="A4573" s="189" t="str">
        <f t="shared" si="71"/>
        <v>DO-US 50 RP8-9500.31S</v>
      </c>
      <c r="B4573" s="195" t="s">
        <v>2333</v>
      </c>
      <c r="C4573" s="196">
        <v>0</v>
      </c>
      <c r="D4573" s="196">
        <v>0.31</v>
      </c>
      <c r="E4573" s="195" t="s">
        <v>595</v>
      </c>
      <c r="F4573" s="195" t="s">
        <v>438</v>
      </c>
    </row>
    <row r="4574" spans="1:6" x14ac:dyDescent="0.25">
      <c r="A4574" s="189" t="str">
        <f t="shared" si="71"/>
        <v>FR-IS 270 RP1-2600.21N</v>
      </c>
      <c r="B4574" s="195" t="s">
        <v>2334</v>
      </c>
      <c r="C4574" s="196">
        <v>0</v>
      </c>
      <c r="D4574" s="196">
        <v>0.21</v>
      </c>
      <c r="E4574" s="195" t="s">
        <v>589</v>
      </c>
      <c r="F4574" s="195" t="s">
        <v>430</v>
      </c>
    </row>
    <row r="4575" spans="1:6" x14ac:dyDescent="0.25">
      <c r="A4575" s="189" t="str">
        <f t="shared" si="71"/>
        <v>FR-IS 270 RP1-3100.13N</v>
      </c>
      <c r="B4575" s="195" t="s">
        <v>2335</v>
      </c>
      <c r="C4575" s="196">
        <v>0</v>
      </c>
      <c r="D4575" s="196">
        <v>0.13</v>
      </c>
      <c r="E4575" s="195" t="s">
        <v>589</v>
      </c>
      <c r="F4575" s="195" t="s">
        <v>430</v>
      </c>
    </row>
    <row r="4576" spans="1:6" x14ac:dyDescent="0.25">
      <c r="A4576" s="189" t="str">
        <f t="shared" si="71"/>
        <v>FR-IS 270 RP2-2600.21W</v>
      </c>
      <c r="B4576" s="195" t="s">
        <v>2336</v>
      </c>
      <c r="C4576" s="196">
        <v>0</v>
      </c>
      <c r="D4576" s="196">
        <v>0.21</v>
      </c>
      <c r="E4576" s="195" t="s">
        <v>593</v>
      </c>
      <c r="F4576" s="195" t="s">
        <v>432</v>
      </c>
    </row>
    <row r="4577" spans="1:6" x14ac:dyDescent="0.25">
      <c r="A4577" s="189" t="str">
        <f t="shared" si="71"/>
        <v>FR-IS 270 RP2-3100.14W</v>
      </c>
      <c r="B4577" s="195" t="s">
        <v>2337</v>
      </c>
      <c r="C4577" s="196">
        <v>0</v>
      </c>
      <c r="D4577" s="196">
        <v>0.14000000000000001</v>
      </c>
      <c r="E4577" s="195" t="s">
        <v>593</v>
      </c>
      <c r="F4577" s="195" t="s">
        <v>432</v>
      </c>
    </row>
    <row r="4578" spans="1:6" x14ac:dyDescent="0.25">
      <c r="A4578" s="189" t="str">
        <f t="shared" si="71"/>
        <v>FR-IS 270 RP3-2600.03W</v>
      </c>
      <c r="B4578" s="195" t="s">
        <v>2338</v>
      </c>
      <c r="C4578" s="196">
        <v>0</v>
      </c>
      <c r="D4578" s="196">
        <v>0.03</v>
      </c>
      <c r="E4578" s="195" t="s">
        <v>593</v>
      </c>
      <c r="F4578" s="195" t="s">
        <v>432</v>
      </c>
    </row>
    <row r="4579" spans="1:6" x14ac:dyDescent="0.25">
      <c r="A4579" s="189" t="str">
        <f t="shared" si="71"/>
        <v>FR-IS 270 RP3-3100.03W</v>
      </c>
      <c r="B4579" s="195" t="s">
        <v>2339</v>
      </c>
      <c r="C4579" s="196">
        <v>0</v>
      </c>
      <c r="D4579" s="196">
        <v>0.03</v>
      </c>
      <c r="E4579" s="195" t="s">
        <v>593</v>
      </c>
      <c r="F4579" s="195" t="s">
        <v>432</v>
      </c>
    </row>
    <row r="4580" spans="1:6" x14ac:dyDescent="0.25">
      <c r="A4580" s="189" t="str">
        <f t="shared" si="71"/>
        <v>FR-IS 270 RP4-2600.02S</v>
      </c>
      <c r="B4580" s="195" t="s">
        <v>2340</v>
      </c>
      <c r="C4580" s="196">
        <v>0</v>
      </c>
      <c r="D4580" s="196">
        <v>0.02</v>
      </c>
      <c r="E4580" s="195" t="s">
        <v>595</v>
      </c>
      <c r="F4580" s="195" t="s">
        <v>438</v>
      </c>
    </row>
    <row r="4581" spans="1:6" x14ac:dyDescent="0.25">
      <c r="A4581" s="189" t="str">
        <f t="shared" si="71"/>
        <v>FR-IS 270 RP4-3100.31N</v>
      </c>
      <c r="B4581" s="195" t="s">
        <v>2341</v>
      </c>
      <c r="C4581" s="196">
        <v>0</v>
      </c>
      <c r="D4581" s="196">
        <v>0.31</v>
      </c>
      <c r="E4581" s="195" t="s">
        <v>589</v>
      </c>
      <c r="F4581" s="195" t="s">
        <v>430</v>
      </c>
    </row>
    <row r="4582" spans="1:6" x14ac:dyDescent="0.25">
      <c r="A4582" s="189" t="str">
        <f t="shared" si="71"/>
        <v>FR-IS 270 RP5-2600.16S</v>
      </c>
      <c r="B4582" s="195" t="s">
        <v>2342</v>
      </c>
      <c r="C4582" s="196">
        <v>0</v>
      </c>
      <c r="D4582" s="196">
        <v>0.16</v>
      </c>
      <c r="E4582" s="195" t="s">
        <v>595</v>
      </c>
      <c r="F4582" s="195" t="s">
        <v>438</v>
      </c>
    </row>
    <row r="4583" spans="1:6" x14ac:dyDescent="0.25">
      <c r="A4583" s="189" t="str">
        <f t="shared" si="71"/>
        <v>FR-IS 270 RP5-3100.13S</v>
      </c>
      <c r="B4583" s="195" t="s">
        <v>2343</v>
      </c>
      <c r="C4583" s="196">
        <v>0</v>
      </c>
      <c r="D4583" s="196">
        <v>0.13</v>
      </c>
      <c r="E4583" s="195" t="s">
        <v>595</v>
      </c>
      <c r="F4583" s="195" t="s">
        <v>438</v>
      </c>
    </row>
    <row r="4584" spans="1:6" x14ac:dyDescent="0.25">
      <c r="A4584" s="189" t="str">
        <f t="shared" si="71"/>
        <v>FR-IS 270 RP6-2600.18E</v>
      </c>
      <c r="B4584" s="195" t="s">
        <v>2344</v>
      </c>
      <c r="C4584" s="196">
        <v>0</v>
      </c>
      <c r="D4584" s="196">
        <v>0.18</v>
      </c>
      <c r="E4584" s="195" t="s">
        <v>598</v>
      </c>
      <c r="F4584" s="195" t="s">
        <v>19</v>
      </c>
    </row>
    <row r="4585" spans="1:6" x14ac:dyDescent="0.25">
      <c r="A4585" s="189" t="str">
        <f t="shared" si="71"/>
        <v>FR-IS 270 RP6-3100.13E</v>
      </c>
      <c r="B4585" s="195" t="s">
        <v>2345</v>
      </c>
      <c r="C4585" s="196">
        <v>0</v>
      </c>
      <c r="D4585" s="196">
        <v>0.13</v>
      </c>
      <c r="E4585" s="195" t="s">
        <v>598</v>
      </c>
      <c r="F4585" s="195" t="s">
        <v>19</v>
      </c>
    </row>
    <row r="4586" spans="1:6" x14ac:dyDescent="0.25">
      <c r="A4586" s="189" t="str">
        <f t="shared" si="71"/>
        <v>FR-IS 270 RP7-3100.03E</v>
      </c>
      <c r="B4586" s="195" t="s">
        <v>2346</v>
      </c>
      <c r="C4586" s="196">
        <v>0</v>
      </c>
      <c r="D4586" s="196">
        <v>0.03</v>
      </c>
      <c r="E4586" s="195" t="s">
        <v>598</v>
      </c>
      <c r="F4586" s="195" t="s">
        <v>19</v>
      </c>
    </row>
    <row r="4587" spans="1:6" x14ac:dyDescent="0.25">
      <c r="A4587" s="189" t="str">
        <f t="shared" si="71"/>
        <v>FR-IS 270 RP8-3100.32S</v>
      </c>
      <c r="B4587" s="195" t="s">
        <v>2347</v>
      </c>
      <c r="C4587" s="196">
        <v>0</v>
      </c>
      <c r="D4587" s="196">
        <v>0.32</v>
      </c>
      <c r="E4587" s="195" t="s">
        <v>595</v>
      </c>
      <c r="F4587" s="195" t="s">
        <v>438</v>
      </c>
    </row>
    <row r="4588" spans="1:6" x14ac:dyDescent="0.25">
      <c r="A4588" s="189" t="str">
        <f t="shared" si="71"/>
        <v>FR-IS 70 RP1-4200.05W</v>
      </c>
      <c r="B4588" s="195" t="s">
        <v>2348</v>
      </c>
      <c r="C4588" s="196">
        <v>0</v>
      </c>
      <c r="D4588" s="196">
        <v>0.05</v>
      </c>
      <c r="E4588" s="195" t="s">
        <v>593</v>
      </c>
      <c r="F4588" s="195" t="s">
        <v>432</v>
      </c>
    </row>
    <row r="4589" spans="1:6" x14ac:dyDescent="0.25">
      <c r="A4589" s="189" t="str">
        <f t="shared" si="71"/>
        <v>FR-IS 70 RP1-5200.04W</v>
      </c>
      <c r="B4589" s="195" t="s">
        <v>2349</v>
      </c>
      <c r="C4589" s="196">
        <v>0</v>
      </c>
      <c r="D4589" s="196">
        <v>0.04</v>
      </c>
      <c r="E4589" s="195" t="s">
        <v>593</v>
      </c>
      <c r="F4589" s="195" t="s">
        <v>432</v>
      </c>
    </row>
    <row r="4590" spans="1:6" x14ac:dyDescent="0.25">
      <c r="A4590" s="189" t="str">
        <f t="shared" si="71"/>
        <v>FR-IS 70 RP1-5300.54N</v>
      </c>
      <c r="B4590" s="195" t="s">
        <v>2350</v>
      </c>
      <c r="C4590" s="196">
        <v>0</v>
      </c>
      <c r="D4590" s="196">
        <v>0.54</v>
      </c>
      <c r="E4590" s="195" t="s">
        <v>589</v>
      </c>
      <c r="F4590" s="195" t="s">
        <v>430</v>
      </c>
    </row>
    <row r="4591" spans="1:6" x14ac:dyDescent="0.25">
      <c r="A4591" s="189" t="str">
        <f t="shared" si="71"/>
        <v>FR-IS 70 RP1-530.540.66N</v>
      </c>
      <c r="B4591" s="195" t="s">
        <v>2350</v>
      </c>
      <c r="C4591" s="196">
        <v>0.54</v>
      </c>
      <c r="D4591" s="196">
        <v>0.66</v>
      </c>
      <c r="E4591" s="195" t="s">
        <v>589</v>
      </c>
      <c r="F4591" s="195" t="s">
        <v>430</v>
      </c>
    </row>
    <row r="4592" spans="1:6" x14ac:dyDescent="0.25">
      <c r="A4592" s="189" t="str">
        <f t="shared" si="71"/>
        <v>FR-IS 70 RP1-5400.06W</v>
      </c>
      <c r="B4592" s="195" t="s">
        <v>2351</v>
      </c>
      <c r="C4592" s="196">
        <v>0</v>
      </c>
      <c r="D4592" s="196">
        <v>0.06</v>
      </c>
      <c r="E4592" s="195" t="s">
        <v>593</v>
      </c>
      <c r="F4592" s="195" t="s">
        <v>432</v>
      </c>
    </row>
    <row r="4593" spans="1:6" x14ac:dyDescent="0.25">
      <c r="A4593" s="189" t="str">
        <f t="shared" si="71"/>
        <v>FR-IS 70 RP1-5500.13S</v>
      </c>
      <c r="B4593" s="195" t="s">
        <v>2352</v>
      </c>
      <c r="C4593" s="196">
        <v>0</v>
      </c>
      <c r="D4593" s="196">
        <v>0.13</v>
      </c>
      <c r="E4593" s="195" t="s">
        <v>595</v>
      </c>
      <c r="F4593" s="195" t="s">
        <v>438</v>
      </c>
    </row>
    <row r="4594" spans="1:6" x14ac:dyDescent="0.25">
      <c r="A4594" s="189" t="str">
        <f t="shared" si="71"/>
        <v>FR-IS 70 RP1-6200.09W</v>
      </c>
      <c r="B4594" s="195" t="s">
        <v>2353</v>
      </c>
      <c r="C4594" s="196">
        <v>0</v>
      </c>
      <c r="D4594" s="196">
        <v>0.09</v>
      </c>
      <c r="E4594" s="195" t="s">
        <v>593</v>
      </c>
      <c r="F4594" s="195" t="s">
        <v>432</v>
      </c>
    </row>
    <row r="4595" spans="1:6" x14ac:dyDescent="0.25">
      <c r="A4595" s="189" t="str">
        <f t="shared" si="71"/>
        <v>FR-IS 70 RP2-4200.24N</v>
      </c>
      <c r="B4595" s="195" t="s">
        <v>2354</v>
      </c>
      <c r="C4595" s="196">
        <v>0</v>
      </c>
      <c r="D4595" s="196">
        <v>0.24</v>
      </c>
      <c r="E4595" s="195" t="s">
        <v>589</v>
      </c>
      <c r="F4595" s="195" t="s">
        <v>430</v>
      </c>
    </row>
    <row r="4596" spans="1:6" x14ac:dyDescent="0.25">
      <c r="A4596" s="189" t="str">
        <f t="shared" si="71"/>
        <v>FR-IS 70 RP2-4800.56W</v>
      </c>
      <c r="B4596" s="195" t="s">
        <v>2355</v>
      </c>
      <c r="C4596" s="196">
        <v>0</v>
      </c>
      <c r="D4596" s="196">
        <v>0.56000000000000005</v>
      </c>
      <c r="E4596" s="195" t="s">
        <v>593</v>
      </c>
      <c r="F4596" s="195" t="s">
        <v>432</v>
      </c>
    </row>
    <row r="4597" spans="1:6" x14ac:dyDescent="0.25">
      <c r="A4597" s="189" t="str">
        <f t="shared" si="71"/>
        <v>FR-IS 70 RP2-5300.45W</v>
      </c>
      <c r="B4597" s="195" t="s">
        <v>2356</v>
      </c>
      <c r="C4597" s="196">
        <v>0</v>
      </c>
      <c r="D4597" s="196">
        <v>0.45</v>
      </c>
      <c r="E4597" s="195" t="s">
        <v>593</v>
      </c>
      <c r="F4597" s="195" t="s">
        <v>432</v>
      </c>
    </row>
    <row r="4598" spans="1:6" x14ac:dyDescent="0.25">
      <c r="A4598" s="189" t="str">
        <f t="shared" si="71"/>
        <v>FR-IS 70 RP2-5400.16W</v>
      </c>
      <c r="B4598" s="195" t="s">
        <v>2357</v>
      </c>
      <c r="C4598" s="196">
        <v>0</v>
      </c>
      <c r="D4598" s="196">
        <v>0.16</v>
      </c>
      <c r="E4598" s="195" t="s">
        <v>593</v>
      </c>
      <c r="F4598" s="195" t="s">
        <v>432</v>
      </c>
    </row>
    <row r="4599" spans="1:6" x14ac:dyDescent="0.25">
      <c r="A4599" s="189" t="str">
        <f t="shared" si="71"/>
        <v>FR-IS 70 RP2-540.160.18E</v>
      </c>
      <c r="B4599" s="195" t="s">
        <v>2357</v>
      </c>
      <c r="C4599" s="196">
        <v>0.16</v>
      </c>
      <c r="D4599" s="196">
        <v>0.18</v>
      </c>
      <c r="E4599" s="195" t="s">
        <v>598</v>
      </c>
      <c r="F4599" s="195" t="s">
        <v>19</v>
      </c>
    </row>
    <row r="4600" spans="1:6" x14ac:dyDescent="0.25">
      <c r="A4600" s="189" t="str">
        <f t="shared" si="71"/>
        <v>FR-IS 70 RP2-540.160.23W</v>
      </c>
      <c r="B4600" s="195" t="s">
        <v>2357</v>
      </c>
      <c r="C4600" s="196">
        <v>0.16</v>
      </c>
      <c r="D4600" s="196">
        <v>0.23</v>
      </c>
      <c r="E4600" s="195" t="s">
        <v>593</v>
      </c>
      <c r="F4600" s="195" t="s">
        <v>432</v>
      </c>
    </row>
    <row r="4601" spans="1:6" x14ac:dyDescent="0.25">
      <c r="A4601" s="189" t="str">
        <f t="shared" si="71"/>
        <v>FR-IS 70 RP2-5500.08W</v>
      </c>
      <c r="B4601" s="195" t="s">
        <v>2358</v>
      </c>
      <c r="C4601" s="196">
        <v>0</v>
      </c>
      <c r="D4601" s="196">
        <v>0.08</v>
      </c>
      <c r="E4601" s="195" t="s">
        <v>593</v>
      </c>
      <c r="F4601" s="195" t="s">
        <v>432</v>
      </c>
    </row>
    <row r="4602" spans="1:6" x14ac:dyDescent="0.25">
      <c r="A4602" s="189" t="str">
        <f t="shared" si="71"/>
        <v>FR-IS 70 RP2-5600.04W</v>
      </c>
      <c r="B4602" s="195" t="s">
        <v>2359</v>
      </c>
      <c r="C4602" s="196">
        <v>0</v>
      </c>
      <c r="D4602" s="196">
        <v>0.04</v>
      </c>
      <c r="E4602" s="195" t="s">
        <v>593</v>
      </c>
      <c r="F4602" s="195" t="s">
        <v>432</v>
      </c>
    </row>
    <row r="4603" spans="1:6" x14ac:dyDescent="0.25">
      <c r="A4603" s="189" t="str">
        <f t="shared" si="71"/>
        <v>FR-IS 70 RP2-560.040.19W</v>
      </c>
      <c r="B4603" s="195" t="s">
        <v>2359</v>
      </c>
      <c r="C4603" s="196">
        <v>0.04</v>
      </c>
      <c r="D4603" s="196">
        <v>0.19</v>
      </c>
      <c r="E4603" s="195" t="s">
        <v>593</v>
      </c>
      <c r="F4603" s="195" t="s">
        <v>432</v>
      </c>
    </row>
    <row r="4604" spans="1:6" x14ac:dyDescent="0.25">
      <c r="A4604" s="189" t="str">
        <f t="shared" si="71"/>
        <v>FR-IS 70 RP2-6200.29N</v>
      </c>
      <c r="B4604" s="195" t="s">
        <v>2360</v>
      </c>
      <c r="C4604" s="196">
        <v>0</v>
      </c>
      <c r="D4604" s="196">
        <v>0.28999999999999998</v>
      </c>
      <c r="E4604" s="195" t="s">
        <v>589</v>
      </c>
      <c r="F4604" s="195" t="s">
        <v>430</v>
      </c>
    </row>
    <row r="4605" spans="1:6" x14ac:dyDescent="0.25">
      <c r="A4605" s="189" t="str">
        <f t="shared" si="71"/>
        <v>FR-IS 70 RP3-4200.02E</v>
      </c>
      <c r="B4605" s="195" t="s">
        <v>2361</v>
      </c>
      <c r="C4605" s="196">
        <v>0</v>
      </c>
      <c r="D4605" s="196">
        <v>0.02</v>
      </c>
      <c r="E4605" s="195" t="s">
        <v>598</v>
      </c>
      <c r="F4605" s="195" t="s">
        <v>19</v>
      </c>
    </row>
    <row r="4606" spans="1:6" x14ac:dyDescent="0.25">
      <c r="A4606" s="189" t="str">
        <f t="shared" si="71"/>
        <v>FR-IS 70 RP3-5200.05E</v>
      </c>
      <c r="B4606" s="195" t="s">
        <v>2362</v>
      </c>
      <c r="C4606" s="196">
        <v>0</v>
      </c>
      <c r="D4606" s="196">
        <v>0.05</v>
      </c>
      <c r="E4606" s="195" t="s">
        <v>598</v>
      </c>
      <c r="F4606" s="195" t="s">
        <v>19</v>
      </c>
    </row>
    <row r="4607" spans="1:6" x14ac:dyDescent="0.25">
      <c r="A4607" s="189" t="str">
        <f t="shared" si="71"/>
        <v>FR-IS 70 RP3-520.050.29E</v>
      </c>
      <c r="B4607" s="195" t="s">
        <v>2362</v>
      </c>
      <c r="C4607" s="196">
        <v>0.05</v>
      </c>
      <c r="D4607" s="196">
        <v>0.28999999999999998</v>
      </c>
      <c r="E4607" s="195" t="s">
        <v>598</v>
      </c>
      <c r="F4607" s="195" t="s">
        <v>19</v>
      </c>
    </row>
    <row r="4608" spans="1:6" x14ac:dyDescent="0.25">
      <c r="A4608" s="189" t="str">
        <f t="shared" si="71"/>
        <v>FR-IS 70 RP3-5400.1E</v>
      </c>
      <c r="B4608" s="195" t="s">
        <v>2363</v>
      </c>
      <c r="C4608" s="196">
        <v>0</v>
      </c>
      <c r="D4608" s="196">
        <v>0.1</v>
      </c>
      <c r="E4608" s="195" t="s">
        <v>598</v>
      </c>
      <c r="F4608" s="195" t="s">
        <v>19</v>
      </c>
    </row>
    <row r="4609" spans="1:6" x14ac:dyDescent="0.25">
      <c r="A4609" s="189" t="str">
        <f t="shared" si="71"/>
        <v>FR-IS 70 RP3-5500.19E</v>
      </c>
      <c r="B4609" s="195" t="s">
        <v>2364</v>
      </c>
      <c r="C4609" s="196">
        <v>0</v>
      </c>
      <c r="D4609" s="196">
        <v>0.19</v>
      </c>
      <c r="E4609" s="195" t="s">
        <v>598</v>
      </c>
      <c r="F4609" s="195" t="s">
        <v>19</v>
      </c>
    </row>
    <row r="4610" spans="1:6" x14ac:dyDescent="0.25">
      <c r="A4610" s="189" t="str">
        <f t="shared" si="71"/>
        <v>FR-IS 70 RP3-5600.17S</v>
      </c>
      <c r="B4610" s="195" t="s">
        <v>2365</v>
      </c>
      <c r="C4610" s="196">
        <v>0</v>
      </c>
      <c r="D4610" s="196">
        <v>0.17</v>
      </c>
      <c r="E4610" s="195" t="s">
        <v>595</v>
      </c>
      <c r="F4610" s="195" t="s">
        <v>438</v>
      </c>
    </row>
    <row r="4611" spans="1:6" x14ac:dyDescent="0.25">
      <c r="A4611" s="189" t="str">
        <f t="shared" ref="A4611:A4674" si="72">B4611&amp;C4611&amp;D4611&amp;F4611</f>
        <v>FR-IS 70 RP3-6200.02E</v>
      </c>
      <c r="B4611" s="195" t="s">
        <v>2366</v>
      </c>
      <c r="C4611" s="196">
        <v>0</v>
      </c>
      <c r="D4611" s="196">
        <v>0.02</v>
      </c>
      <c r="E4611" s="195" t="s">
        <v>598</v>
      </c>
      <c r="F4611" s="195" t="s">
        <v>19</v>
      </c>
    </row>
    <row r="4612" spans="1:6" x14ac:dyDescent="0.25">
      <c r="A4612" s="189" t="str">
        <f t="shared" si="72"/>
        <v>FR-IS 70 RP3-6800.05E</v>
      </c>
      <c r="B4612" s="195" t="s">
        <v>2367</v>
      </c>
      <c r="C4612" s="196">
        <v>0</v>
      </c>
      <c r="D4612" s="196">
        <v>0.05</v>
      </c>
      <c r="E4612" s="195" t="s">
        <v>598</v>
      </c>
      <c r="F4612" s="195" t="s">
        <v>19</v>
      </c>
    </row>
    <row r="4613" spans="1:6" x14ac:dyDescent="0.25">
      <c r="A4613" s="189" t="str">
        <f t="shared" si="72"/>
        <v>FR-IS 70 RP4-4200.27N</v>
      </c>
      <c r="B4613" s="195" t="s">
        <v>2368</v>
      </c>
      <c r="C4613" s="196">
        <v>0</v>
      </c>
      <c r="D4613" s="196">
        <v>0.27</v>
      </c>
      <c r="E4613" s="195" t="s">
        <v>589</v>
      </c>
      <c r="F4613" s="195" t="s">
        <v>430</v>
      </c>
    </row>
    <row r="4614" spans="1:6" x14ac:dyDescent="0.25">
      <c r="A4614" s="189" t="str">
        <f t="shared" si="72"/>
        <v>FR-IS 70 RP4-4900.22N</v>
      </c>
      <c r="B4614" s="195" t="s">
        <v>2369</v>
      </c>
      <c r="C4614" s="196">
        <v>0</v>
      </c>
      <c r="D4614" s="196">
        <v>0.22</v>
      </c>
      <c r="E4614" s="195" t="s">
        <v>589</v>
      </c>
      <c r="F4614" s="195" t="s">
        <v>430</v>
      </c>
    </row>
    <row r="4615" spans="1:6" x14ac:dyDescent="0.25">
      <c r="A4615" s="189" t="str">
        <f t="shared" si="72"/>
        <v>FR-IS 70 RP4-490.160.22S</v>
      </c>
      <c r="B4615" s="195" t="s">
        <v>2369</v>
      </c>
      <c r="C4615" s="196">
        <v>0.16</v>
      </c>
      <c r="D4615" s="196">
        <v>0.22</v>
      </c>
      <c r="E4615" s="195" t="s">
        <v>595</v>
      </c>
      <c r="F4615" s="195" t="s">
        <v>438</v>
      </c>
    </row>
    <row r="4616" spans="1:6" x14ac:dyDescent="0.25">
      <c r="A4616" s="189" t="str">
        <f t="shared" si="72"/>
        <v>FR-IS 70 RP4-5200.51E</v>
      </c>
      <c r="B4616" s="195" t="s">
        <v>2370</v>
      </c>
      <c r="C4616" s="196">
        <v>0</v>
      </c>
      <c r="D4616" s="196">
        <v>0.51</v>
      </c>
      <c r="E4616" s="195" t="s">
        <v>598</v>
      </c>
      <c r="F4616" s="195" t="s">
        <v>19</v>
      </c>
    </row>
    <row r="4617" spans="1:6" x14ac:dyDescent="0.25">
      <c r="A4617" s="189" t="str">
        <f t="shared" si="72"/>
        <v>FR-IS 70 RP4-520.510.62E</v>
      </c>
      <c r="B4617" s="195" t="s">
        <v>2370</v>
      </c>
      <c r="C4617" s="196">
        <v>0.51</v>
      </c>
      <c r="D4617" s="196">
        <v>0.62</v>
      </c>
      <c r="E4617" s="195" t="s">
        <v>598</v>
      </c>
      <c r="F4617" s="195" t="s">
        <v>19</v>
      </c>
    </row>
    <row r="4618" spans="1:6" x14ac:dyDescent="0.25">
      <c r="A4618" s="189" t="str">
        <f t="shared" si="72"/>
        <v>FR-IS 70 RP4-5300.17E</v>
      </c>
      <c r="B4618" s="195" t="s">
        <v>2371</v>
      </c>
      <c r="C4618" s="196">
        <v>0</v>
      </c>
      <c r="D4618" s="196">
        <v>0.17</v>
      </c>
      <c r="E4618" s="195" t="s">
        <v>598</v>
      </c>
      <c r="F4618" s="195" t="s">
        <v>19</v>
      </c>
    </row>
    <row r="4619" spans="1:6" x14ac:dyDescent="0.25">
      <c r="A4619" s="189" t="str">
        <f t="shared" si="72"/>
        <v>FR-IS 70 RP4-5400.27E</v>
      </c>
      <c r="B4619" s="195" t="s">
        <v>2372</v>
      </c>
      <c r="C4619" s="196">
        <v>0</v>
      </c>
      <c r="D4619" s="196">
        <v>0.27</v>
      </c>
      <c r="E4619" s="195" t="s">
        <v>598</v>
      </c>
      <c r="F4619" s="195" t="s">
        <v>19</v>
      </c>
    </row>
    <row r="4620" spans="1:6" x14ac:dyDescent="0.25">
      <c r="A4620" s="189" t="str">
        <f t="shared" si="72"/>
        <v>FR-IS 70 RP4-5500.22E</v>
      </c>
      <c r="B4620" s="195" t="s">
        <v>2373</v>
      </c>
      <c r="C4620" s="196">
        <v>0</v>
      </c>
      <c r="D4620" s="196">
        <v>0.22</v>
      </c>
      <c r="E4620" s="195" t="s">
        <v>598</v>
      </c>
      <c r="F4620" s="195" t="s">
        <v>19</v>
      </c>
    </row>
    <row r="4621" spans="1:6" x14ac:dyDescent="0.25">
      <c r="A4621" s="189" t="str">
        <f t="shared" si="72"/>
        <v>FR-IS 70 RP4-5900.23E</v>
      </c>
      <c r="B4621" s="195" t="s">
        <v>2374</v>
      </c>
      <c r="C4621" s="196">
        <v>0</v>
      </c>
      <c r="D4621" s="196">
        <v>0.23</v>
      </c>
      <c r="E4621" s="195" t="s">
        <v>598</v>
      </c>
      <c r="F4621" s="195" t="s">
        <v>19</v>
      </c>
    </row>
    <row r="4622" spans="1:6" x14ac:dyDescent="0.25">
      <c r="A4622" s="189" t="str">
        <f t="shared" si="72"/>
        <v>FR-IS 70 RP4-6200.3N</v>
      </c>
      <c r="B4622" s="195" t="s">
        <v>2375</v>
      </c>
      <c r="C4622" s="196">
        <v>0</v>
      </c>
      <c r="D4622" s="196">
        <v>0.3</v>
      </c>
      <c r="E4622" s="195" t="s">
        <v>589</v>
      </c>
      <c r="F4622" s="195" t="s">
        <v>430</v>
      </c>
    </row>
    <row r="4623" spans="1:6" x14ac:dyDescent="0.25">
      <c r="A4623" s="189" t="str">
        <f t="shared" si="72"/>
        <v>FR-IS 70 RP5-4200.07E</v>
      </c>
      <c r="B4623" s="195" t="s">
        <v>2376</v>
      </c>
      <c r="C4623" s="196">
        <v>0</v>
      </c>
      <c r="D4623" s="196">
        <v>7.0000000000000007E-2</v>
      </c>
      <c r="E4623" s="195" t="s">
        <v>598</v>
      </c>
      <c r="F4623" s="195" t="s">
        <v>19</v>
      </c>
    </row>
    <row r="4624" spans="1:6" x14ac:dyDescent="0.25">
      <c r="A4624" s="189" t="str">
        <f t="shared" si="72"/>
        <v>FR-IS 70 RP5-4800.84S</v>
      </c>
      <c r="B4624" s="195" t="s">
        <v>2377</v>
      </c>
      <c r="C4624" s="196">
        <v>0</v>
      </c>
      <c r="D4624" s="196">
        <v>0.84</v>
      </c>
      <c r="E4624" s="195" t="s">
        <v>595</v>
      </c>
      <c r="F4624" s="195" t="s">
        <v>438</v>
      </c>
    </row>
    <row r="4625" spans="1:6" x14ac:dyDescent="0.25">
      <c r="A4625" s="189" t="str">
        <f t="shared" si="72"/>
        <v>FR-IS 70 RP5-5200.21S</v>
      </c>
      <c r="B4625" s="195" t="s">
        <v>2378</v>
      </c>
      <c r="C4625" s="196">
        <v>0</v>
      </c>
      <c r="D4625" s="196">
        <v>0.21</v>
      </c>
      <c r="E4625" s="195" t="s">
        <v>595</v>
      </c>
      <c r="F4625" s="195" t="s">
        <v>438</v>
      </c>
    </row>
    <row r="4626" spans="1:6" x14ac:dyDescent="0.25">
      <c r="A4626" s="189" t="str">
        <f t="shared" si="72"/>
        <v>FR-IS 70 RP5-5300.4S</v>
      </c>
      <c r="B4626" s="195" t="s">
        <v>2379</v>
      </c>
      <c r="C4626" s="196">
        <v>0</v>
      </c>
      <c r="D4626" s="196">
        <v>0.4</v>
      </c>
      <c r="E4626" s="195" t="s">
        <v>595</v>
      </c>
      <c r="F4626" s="195" t="s">
        <v>438</v>
      </c>
    </row>
    <row r="4627" spans="1:6" x14ac:dyDescent="0.25">
      <c r="A4627" s="189" t="str">
        <f t="shared" si="72"/>
        <v>FR-IS 70 RP5-5400.06S</v>
      </c>
      <c r="B4627" s="195" t="s">
        <v>2380</v>
      </c>
      <c r="C4627" s="196">
        <v>0</v>
      </c>
      <c r="D4627" s="196">
        <v>0.06</v>
      </c>
      <c r="E4627" s="195" t="s">
        <v>595</v>
      </c>
      <c r="F4627" s="195" t="s">
        <v>438</v>
      </c>
    </row>
    <row r="4628" spans="1:6" x14ac:dyDescent="0.25">
      <c r="A4628" s="189" t="str">
        <f t="shared" si="72"/>
        <v>FR-IS 70 RP5-5500.02N</v>
      </c>
      <c r="B4628" s="195" t="s">
        <v>2381</v>
      </c>
      <c r="C4628" s="196">
        <v>0</v>
      </c>
      <c r="D4628" s="196">
        <v>0.02</v>
      </c>
      <c r="E4628" s="195" t="s">
        <v>589</v>
      </c>
      <c r="F4628" s="195" t="s">
        <v>430</v>
      </c>
    </row>
    <row r="4629" spans="1:6" x14ac:dyDescent="0.25">
      <c r="A4629" s="189" t="str">
        <f t="shared" si="72"/>
        <v>FR-IS 70 RP5-5600.12N</v>
      </c>
      <c r="B4629" s="195" t="s">
        <v>2382</v>
      </c>
      <c r="C4629" s="196">
        <v>0</v>
      </c>
      <c r="D4629" s="196">
        <v>0.12</v>
      </c>
      <c r="E4629" s="195" t="s">
        <v>589</v>
      </c>
      <c r="F4629" s="195" t="s">
        <v>430</v>
      </c>
    </row>
    <row r="4630" spans="1:6" x14ac:dyDescent="0.25">
      <c r="A4630" s="189" t="str">
        <f t="shared" si="72"/>
        <v>FR-IS 70 RP5-5900.04E</v>
      </c>
      <c r="B4630" s="195" t="s">
        <v>2383</v>
      </c>
      <c r="C4630" s="196">
        <v>0</v>
      </c>
      <c r="D4630" s="196">
        <v>0.04</v>
      </c>
      <c r="E4630" s="195" t="s">
        <v>598</v>
      </c>
      <c r="F4630" s="195" t="s">
        <v>19</v>
      </c>
    </row>
    <row r="4631" spans="1:6" x14ac:dyDescent="0.25">
      <c r="A4631" s="189" t="str">
        <f t="shared" si="72"/>
        <v>FR-IS 70 RP5-6200.07E</v>
      </c>
      <c r="B4631" s="195" t="s">
        <v>2384</v>
      </c>
      <c r="C4631" s="196">
        <v>0</v>
      </c>
      <c r="D4631" s="196">
        <v>7.0000000000000007E-2</v>
      </c>
      <c r="E4631" s="195" t="s">
        <v>598</v>
      </c>
      <c r="F4631" s="195" t="s">
        <v>19</v>
      </c>
    </row>
    <row r="4632" spans="1:6" x14ac:dyDescent="0.25">
      <c r="A4632" s="189" t="str">
        <f t="shared" si="72"/>
        <v>FR-IS 70 RP5-6800.18S</v>
      </c>
      <c r="B4632" s="195" t="s">
        <v>2385</v>
      </c>
      <c r="C4632" s="196">
        <v>0</v>
      </c>
      <c r="D4632" s="196">
        <v>0.18</v>
      </c>
      <c r="E4632" s="195" t="s">
        <v>595</v>
      </c>
      <c r="F4632" s="195" t="s">
        <v>438</v>
      </c>
    </row>
    <row r="4633" spans="1:6" x14ac:dyDescent="0.25">
      <c r="A4633" s="189" t="str">
        <f t="shared" si="72"/>
        <v>FR-IS 70 RP6-4200.23S</v>
      </c>
      <c r="B4633" s="195" t="s">
        <v>2386</v>
      </c>
      <c r="C4633" s="196">
        <v>0</v>
      </c>
      <c r="D4633" s="196">
        <v>0.23</v>
      </c>
      <c r="E4633" s="195" t="s">
        <v>595</v>
      </c>
      <c r="F4633" s="195" t="s">
        <v>438</v>
      </c>
    </row>
    <row r="4634" spans="1:6" x14ac:dyDescent="0.25">
      <c r="A4634" s="189" t="str">
        <f t="shared" si="72"/>
        <v>FR-IS 70 RP6-4900.36E</v>
      </c>
      <c r="B4634" s="195" t="s">
        <v>2387</v>
      </c>
      <c r="C4634" s="196">
        <v>0</v>
      </c>
      <c r="D4634" s="196">
        <v>0.36</v>
      </c>
      <c r="E4634" s="195" t="s">
        <v>598</v>
      </c>
      <c r="F4634" s="195" t="s">
        <v>19</v>
      </c>
    </row>
    <row r="4635" spans="1:6" x14ac:dyDescent="0.25">
      <c r="A4635" s="189" t="str">
        <f t="shared" si="72"/>
        <v>FR-IS 70 RP6-5200.28E</v>
      </c>
      <c r="B4635" s="195" t="s">
        <v>2388</v>
      </c>
      <c r="C4635" s="196">
        <v>0</v>
      </c>
      <c r="D4635" s="196">
        <v>0.28000000000000003</v>
      </c>
      <c r="E4635" s="195" t="s">
        <v>598</v>
      </c>
      <c r="F4635" s="195" t="s">
        <v>19</v>
      </c>
    </row>
    <row r="4636" spans="1:6" x14ac:dyDescent="0.25">
      <c r="A4636" s="189" t="str">
        <f t="shared" si="72"/>
        <v>FR-IS 70 RP6-5300.37E</v>
      </c>
      <c r="B4636" s="195" t="s">
        <v>2389</v>
      </c>
      <c r="C4636" s="196">
        <v>0</v>
      </c>
      <c r="D4636" s="196">
        <v>0.37</v>
      </c>
      <c r="E4636" s="195" t="s">
        <v>598</v>
      </c>
      <c r="F4636" s="195" t="s">
        <v>19</v>
      </c>
    </row>
    <row r="4637" spans="1:6" x14ac:dyDescent="0.25">
      <c r="A4637" s="189" t="str">
        <f t="shared" si="72"/>
        <v>FR-IS 70 RP6-5400.19E</v>
      </c>
      <c r="B4637" s="195" t="s">
        <v>2390</v>
      </c>
      <c r="C4637" s="196">
        <v>0</v>
      </c>
      <c r="D4637" s="196">
        <v>0.19</v>
      </c>
      <c r="E4637" s="195" t="s">
        <v>598</v>
      </c>
      <c r="F4637" s="195" t="s">
        <v>19</v>
      </c>
    </row>
    <row r="4638" spans="1:6" x14ac:dyDescent="0.25">
      <c r="A4638" s="189" t="str">
        <f t="shared" si="72"/>
        <v>FR-IS 70 RP6-5600.11S</v>
      </c>
      <c r="B4638" s="195" t="s">
        <v>2391</v>
      </c>
      <c r="C4638" s="196">
        <v>0</v>
      </c>
      <c r="D4638" s="196">
        <v>0.11</v>
      </c>
      <c r="E4638" s="195" t="s">
        <v>595</v>
      </c>
      <c r="F4638" s="195" t="s">
        <v>438</v>
      </c>
    </row>
    <row r="4639" spans="1:6" x14ac:dyDescent="0.25">
      <c r="A4639" s="189" t="str">
        <f t="shared" si="72"/>
        <v>FR-IS 70 RP6-560.080.11N</v>
      </c>
      <c r="B4639" s="195" t="s">
        <v>2391</v>
      </c>
      <c r="C4639" s="196">
        <v>0.08</v>
      </c>
      <c r="D4639" s="196">
        <v>0.11</v>
      </c>
      <c r="E4639" s="195" t="s">
        <v>589</v>
      </c>
      <c r="F4639" s="195" t="s">
        <v>430</v>
      </c>
    </row>
    <row r="4640" spans="1:6" x14ac:dyDescent="0.25">
      <c r="A4640" s="189" t="str">
        <f t="shared" si="72"/>
        <v>FR-IS 70 RP6-6200.17E</v>
      </c>
      <c r="B4640" s="195" t="s">
        <v>2392</v>
      </c>
      <c r="C4640" s="196">
        <v>0</v>
      </c>
      <c r="D4640" s="196">
        <v>0.17</v>
      </c>
      <c r="E4640" s="195" t="s">
        <v>598</v>
      </c>
      <c r="F4640" s="195" t="s">
        <v>19</v>
      </c>
    </row>
    <row r="4641" spans="1:6" x14ac:dyDescent="0.25">
      <c r="A4641" s="189" t="str">
        <f t="shared" si="72"/>
        <v>FR-IS 70 RP6-620.170.25E</v>
      </c>
      <c r="B4641" s="195" t="s">
        <v>2392</v>
      </c>
      <c r="C4641" s="196">
        <v>0.17</v>
      </c>
      <c r="D4641" s="196">
        <v>0.25</v>
      </c>
      <c r="E4641" s="195" t="s">
        <v>598</v>
      </c>
      <c r="F4641" s="195" t="s">
        <v>19</v>
      </c>
    </row>
    <row r="4642" spans="1:6" x14ac:dyDescent="0.25">
      <c r="A4642" s="189" t="str">
        <f t="shared" si="72"/>
        <v>FR-IS 70 RP6-620.250.26E</v>
      </c>
      <c r="B4642" s="195" t="s">
        <v>2392</v>
      </c>
      <c r="C4642" s="196">
        <v>0.25</v>
      </c>
      <c r="D4642" s="196">
        <v>0.26</v>
      </c>
      <c r="E4642" s="195" t="s">
        <v>598</v>
      </c>
      <c r="F4642" s="195" t="s">
        <v>19</v>
      </c>
    </row>
    <row r="4643" spans="1:6" x14ac:dyDescent="0.25">
      <c r="A4643" s="189" t="str">
        <f t="shared" si="72"/>
        <v>FR-IS 70 RP6-6800.23E</v>
      </c>
      <c r="B4643" s="195" t="s">
        <v>2393</v>
      </c>
      <c r="C4643" s="196">
        <v>0</v>
      </c>
      <c r="D4643" s="196">
        <v>0.23</v>
      </c>
      <c r="E4643" s="195" t="s">
        <v>598</v>
      </c>
      <c r="F4643" s="195" t="s">
        <v>19</v>
      </c>
    </row>
    <row r="4644" spans="1:6" x14ac:dyDescent="0.25">
      <c r="A4644" s="189" t="str">
        <f t="shared" si="72"/>
        <v>FR-IS 70 RP7-4200.02W</v>
      </c>
      <c r="B4644" s="195" t="s">
        <v>2394</v>
      </c>
      <c r="C4644" s="196">
        <v>0</v>
      </c>
      <c r="D4644" s="196">
        <v>0.02</v>
      </c>
      <c r="E4644" s="195" t="s">
        <v>593</v>
      </c>
      <c r="F4644" s="195" t="s">
        <v>432</v>
      </c>
    </row>
    <row r="4645" spans="1:6" x14ac:dyDescent="0.25">
      <c r="A4645" s="189" t="str">
        <f t="shared" si="72"/>
        <v>FR-IS 70 RP7-4900.02S</v>
      </c>
      <c r="B4645" s="195" t="s">
        <v>2395</v>
      </c>
      <c r="C4645" s="196">
        <v>0</v>
      </c>
      <c r="D4645" s="196">
        <v>0.02</v>
      </c>
      <c r="E4645" s="195" t="s">
        <v>595</v>
      </c>
      <c r="F4645" s="195" t="s">
        <v>438</v>
      </c>
    </row>
    <row r="4646" spans="1:6" x14ac:dyDescent="0.25">
      <c r="A4646" s="189" t="str">
        <f t="shared" si="72"/>
        <v>FR-IS 70 RP7-5200.64W</v>
      </c>
      <c r="B4646" s="195" t="s">
        <v>2396</v>
      </c>
      <c r="C4646" s="196">
        <v>0</v>
      </c>
      <c r="D4646" s="196">
        <v>0.64</v>
      </c>
      <c r="E4646" s="195" t="s">
        <v>593</v>
      </c>
      <c r="F4646" s="195" t="s">
        <v>432</v>
      </c>
    </row>
    <row r="4647" spans="1:6" x14ac:dyDescent="0.25">
      <c r="A4647" s="189" t="str">
        <f t="shared" si="72"/>
        <v>FR-IS 70 RP7-5300.38W</v>
      </c>
      <c r="B4647" s="195" t="s">
        <v>2397</v>
      </c>
      <c r="C4647" s="196">
        <v>0</v>
      </c>
      <c r="D4647" s="196">
        <v>0.38</v>
      </c>
      <c r="E4647" s="195" t="s">
        <v>593</v>
      </c>
      <c r="F4647" s="195" t="s">
        <v>432</v>
      </c>
    </row>
    <row r="4648" spans="1:6" x14ac:dyDescent="0.25">
      <c r="A4648" s="189" t="str">
        <f t="shared" si="72"/>
        <v>FR-IS 70 RP7-5400.09W</v>
      </c>
      <c r="B4648" s="195" t="s">
        <v>2398</v>
      </c>
      <c r="C4648" s="196">
        <v>0</v>
      </c>
      <c r="D4648" s="196">
        <v>0.09</v>
      </c>
      <c r="E4648" s="195" t="s">
        <v>593</v>
      </c>
      <c r="F4648" s="195" t="s">
        <v>432</v>
      </c>
    </row>
    <row r="4649" spans="1:6" x14ac:dyDescent="0.25">
      <c r="A4649" s="189" t="str">
        <f t="shared" si="72"/>
        <v>FR-IS 70 RP7-5500.01S</v>
      </c>
      <c r="B4649" s="195" t="s">
        <v>2399</v>
      </c>
      <c r="C4649" s="196">
        <v>0</v>
      </c>
      <c r="D4649" s="196">
        <v>0.01</v>
      </c>
      <c r="E4649" s="195" t="s">
        <v>595</v>
      </c>
      <c r="F4649" s="195" t="s">
        <v>438</v>
      </c>
    </row>
    <row r="4650" spans="1:6" x14ac:dyDescent="0.25">
      <c r="A4650" s="189" t="str">
        <f t="shared" si="72"/>
        <v>FR-IS 70 RP7-5900.44N</v>
      </c>
      <c r="B4650" s="195" t="s">
        <v>2400</v>
      </c>
      <c r="C4650" s="196">
        <v>0</v>
      </c>
      <c r="D4650" s="196">
        <v>0.44</v>
      </c>
      <c r="E4650" s="195" t="s">
        <v>589</v>
      </c>
      <c r="F4650" s="195" t="s">
        <v>430</v>
      </c>
    </row>
    <row r="4651" spans="1:6" x14ac:dyDescent="0.25">
      <c r="A4651" s="189" t="str">
        <f t="shared" si="72"/>
        <v>FR-IS 70 RP7-6200.02W</v>
      </c>
      <c r="B4651" s="195" t="s">
        <v>2401</v>
      </c>
      <c r="C4651" s="196">
        <v>0</v>
      </c>
      <c r="D4651" s="196">
        <v>0.02</v>
      </c>
      <c r="E4651" s="195" t="s">
        <v>593</v>
      </c>
      <c r="F4651" s="195" t="s">
        <v>432</v>
      </c>
    </row>
    <row r="4652" spans="1:6" x14ac:dyDescent="0.25">
      <c r="A4652" s="189" t="str">
        <f t="shared" si="72"/>
        <v>FR-IS 70 RP8-4200.21S</v>
      </c>
      <c r="B4652" s="195" t="s">
        <v>2402</v>
      </c>
      <c r="C4652" s="196">
        <v>0</v>
      </c>
      <c r="D4652" s="196">
        <v>0.21</v>
      </c>
      <c r="E4652" s="195" t="s">
        <v>595</v>
      </c>
      <c r="F4652" s="195" t="s">
        <v>438</v>
      </c>
    </row>
    <row r="4653" spans="1:6" x14ac:dyDescent="0.25">
      <c r="A4653" s="189" t="str">
        <f t="shared" si="72"/>
        <v>FR-IS 70 RP8-5200.28W</v>
      </c>
      <c r="B4653" s="195" t="s">
        <v>2403</v>
      </c>
      <c r="C4653" s="196">
        <v>0</v>
      </c>
      <c r="D4653" s="196">
        <v>0.28000000000000003</v>
      </c>
      <c r="E4653" s="195" t="s">
        <v>593</v>
      </c>
      <c r="F4653" s="195" t="s">
        <v>432</v>
      </c>
    </row>
    <row r="4654" spans="1:6" x14ac:dyDescent="0.25">
      <c r="A4654" s="189" t="str">
        <f t="shared" si="72"/>
        <v>FR-IS 70 RP8-5400.27W</v>
      </c>
      <c r="B4654" s="195" t="s">
        <v>2404</v>
      </c>
      <c r="C4654" s="196">
        <v>0</v>
      </c>
      <c r="D4654" s="196">
        <v>0.27</v>
      </c>
      <c r="E4654" s="195" t="s">
        <v>593</v>
      </c>
      <c r="F4654" s="195" t="s">
        <v>432</v>
      </c>
    </row>
    <row r="4655" spans="1:6" x14ac:dyDescent="0.25">
      <c r="A4655" s="189" t="str">
        <f t="shared" si="72"/>
        <v>FR-IS 70 RP8-6200.35S</v>
      </c>
      <c r="B4655" s="195" t="s">
        <v>2405</v>
      </c>
      <c r="C4655" s="196">
        <v>0</v>
      </c>
      <c r="D4655" s="196">
        <v>0.35</v>
      </c>
      <c r="E4655" s="195" t="s">
        <v>595</v>
      </c>
      <c r="F4655" s="195" t="s">
        <v>438</v>
      </c>
    </row>
    <row r="4656" spans="1:6" x14ac:dyDescent="0.25">
      <c r="A4656" s="189" t="str">
        <f t="shared" si="72"/>
        <v>FR-IS 70 RP8-680.140.22S</v>
      </c>
      <c r="B4656" s="195" t="s">
        <v>2406</v>
      </c>
      <c r="C4656" s="196">
        <v>0.14000000000000001</v>
      </c>
      <c r="D4656" s="196">
        <v>0.22</v>
      </c>
      <c r="E4656" s="195" t="s">
        <v>595</v>
      </c>
      <c r="F4656" s="195" t="s">
        <v>438</v>
      </c>
    </row>
    <row r="4657" spans="1:6" x14ac:dyDescent="0.25">
      <c r="A4657" s="189" t="str">
        <f t="shared" si="72"/>
        <v>FR-MD 14000.5N</v>
      </c>
      <c r="B4657" s="195" t="s">
        <v>561</v>
      </c>
      <c r="C4657" s="196">
        <v>0</v>
      </c>
      <c r="D4657" s="196">
        <v>0.5</v>
      </c>
      <c r="E4657" s="195" t="s">
        <v>583</v>
      </c>
      <c r="F4657" s="195" t="s">
        <v>430</v>
      </c>
    </row>
    <row r="4658" spans="1:6" x14ac:dyDescent="0.25">
      <c r="A4658" s="189" t="str">
        <f t="shared" si="72"/>
        <v>FR-MD 14000.5S</v>
      </c>
      <c r="B4658" s="195" t="s">
        <v>561</v>
      </c>
      <c r="C4658" s="196">
        <v>0</v>
      </c>
      <c r="D4658" s="196">
        <v>0.5</v>
      </c>
      <c r="E4658" s="195" t="s">
        <v>583</v>
      </c>
      <c r="F4658" s="195" t="s">
        <v>438</v>
      </c>
    </row>
    <row r="4659" spans="1:6" x14ac:dyDescent="0.25">
      <c r="A4659" s="189" t="str">
        <f t="shared" si="72"/>
        <v>FR-MD 1400.52.69N</v>
      </c>
      <c r="B4659" s="195" t="s">
        <v>561</v>
      </c>
      <c r="C4659" s="196">
        <v>0.5</v>
      </c>
      <c r="D4659" s="196">
        <v>2.69</v>
      </c>
      <c r="E4659" s="195" t="s">
        <v>583</v>
      </c>
      <c r="F4659" s="195" t="s">
        <v>430</v>
      </c>
    </row>
    <row r="4660" spans="1:6" x14ac:dyDescent="0.25">
      <c r="A4660" s="189" t="str">
        <f t="shared" si="72"/>
        <v>FR-MD 1400.52.69S</v>
      </c>
      <c r="B4660" s="195" t="s">
        <v>561</v>
      </c>
      <c r="C4660" s="196">
        <v>0.5</v>
      </c>
      <c r="D4660" s="196">
        <v>2.69</v>
      </c>
      <c r="E4660" s="195" t="s">
        <v>583</v>
      </c>
      <c r="F4660" s="195" t="s">
        <v>438</v>
      </c>
    </row>
    <row r="4661" spans="1:6" x14ac:dyDescent="0.25">
      <c r="A4661" s="189" t="str">
        <f t="shared" si="72"/>
        <v>FR-MD 1402.984.3N</v>
      </c>
      <c r="B4661" s="195" t="s">
        <v>561</v>
      </c>
      <c r="C4661" s="196">
        <v>2.98</v>
      </c>
      <c r="D4661" s="196">
        <v>4.3</v>
      </c>
      <c r="E4661" s="195" t="s">
        <v>583</v>
      </c>
      <c r="F4661" s="195" t="s">
        <v>430</v>
      </c>
    </row>
    <row r="4662" spans="1:6" x14ac:dyDescent="0.25">
      <c r="A4662" s="189" t="str">
        <f t="shared" si="72"/>
        <v>FR-MD 1402.984.3S</v>
      </c>
      <c r="B4662" s="195" t="s">
        <v>561</v>
      </c>
      <c r="C4662" s="196">
        <v>2.98</v>
      </c>
      <c r="D4662" s="196">
        <v>4.3</v>
      </c>
      <c r="E4662" s="195" t="s">
        <v>583</v>
      </c>
      <c r="F4662" s="195" t="s">
        <v>438</v>
      </c>
    </row>
    <row r="4663" spans="1:6" x14ac:dyDescent="0.25">
      <c r="A4663" s="189" t="str">
        <f t="shared" si="72"/>
        <v>FR-MD 1404.34.58N</v>
      </c>
      <c r="B4663" s="195" t="s">
        <v>561</v>
      </c>
      <c r="C4663" s="196">
        <v>4.3</v>
      </c>
      <c r="D4663" s="196">
        <v>4.58</v>
      </c>
      <c r="E4663" s="195" t="s">
        <v>583</v>
      </c>
      <c r="F4663" s="195" t="s">
        <v>430</v>
      </c>
    </row>
    <row r="4664" spans="1:6" x14ac:dyDescent="0.25">
      <c r="A4664" s="189" t="str">
        <f t="shared" si="72"/>
        <v>FR-MD 1404.34.58S</v>
      </c>
      <c r="B4664" s="195" t="s">
        <v>561</v>
      </c>
      <c r="C4664" s="196">
        <v>4.3</v>
      </c>
      <c r="D4664" s="196">
        <v>4.58</v>
      </c>
      <c r="E4664" s="195" t="s">
        <v>583</v>
      </c>
      <c r="F4664" s="195" t="s">
        <v>438</v>
      </c>
    </row>
    <row r="4665" spans="1:6" x14ac:dyDescent="0.25">
      <c r="A4665" s="189" t="str">
        <f t="shared" si="72"/>
        <v>FR-MD 1404.584.61N</v>
      </c>
      <c r="B4665" s="195" t="s">
        <v>561</v>
      </c>
      <c r="C4665" s="196">
        <v>4.58</v>
      </c>
      <c r="D4665" s="196">
        <v>4.6100000000000003</v>
      </c>
      <c r="E4665" s="195" t="s">
        <v>583</v>
      </c>
      <c r="F4665" s="195" t="s">
        <v>430</v>
      </c>
    </row>
    <row r="4666" spans="1:6" x14ac:dyDescent="0.25">
      <c r="A4666" s="189" t="str">
        <f t="shared" si="72"/>
        <v>FR-MD 1404.584.61S</v>
      </c>
      <c r="B4666" s="195" t="s">
        <v>561</v>
      </c>
      <c r="C4666" s="196">
        <v>4.58</v>
      </c>
      <c r="D4666" s="196">
        <v>4.6100000000000003</v>
      </c>
      <c r="E4666" s="195" t="s">
        <v>583</v>
      </c>
      <c r="F4666" s="195" t="s">
        <v>438</v>
      </c>
    </row>
    <row r="4667" spans="1:6" x14ac:dyDescent="0.25">
      <c r="A4667" s="189" t="str">
        <f t="shared" si="72"/>
        <v>FR-MD 1404.614.88N</v>
      </c>
      <c r="B4667" s="195" t="s">
        <v>561</v>
      </c>
      <c r="C4667" s="196">
        <v>4.6100000000000003</v>
      </c>
      <c r="D4667" s="196">
        <v>4.88</v>
      </c>
      <c r="E4667" s="195" t="s">
        <v>583</v>
      </c>
      <c r="F4667" s="195" t="s">
        <v>430</v>
      </c>
    </row>
    <row r="4668" spans="1:6" x14ac:dyDescent="0.25">
      <c r="A4668" s="189" t="str">
        <f t="shared" si="72"/>
        <v>FR-MD 1404.614.88S</v>
      </c>
      <c r="B4668" s="195" t="s">
        <v>561</v>
      </c>
      <c r="C4668" s="196">
        <v>4.6100000000000003</v>
      </c>
      <c r="D4668" s="196">
        <v>4.88</v>
      </c>
      <c r="E4668" s="195" t="s">
        <v>583</v>
      </c>
      <c r="F4668" s="195" t="s">
        <v>438</v>
      </c>
    </row>
    <row r="4669" spans="1:6" x14ac:dyDescent="0.25">
      <c r="A4669" s="189" t="str">
        <f t="shared" si="72"/>
        <v>FR-MD 1404.885.2N</v>
      </c>
      <c r="B4669" s="195" t="s">
        <v>561</v>
      </c>
      <c r="C4669" s="196">
        <v>4.88</v>
      </c>
      <c r="D4669" s="196">
        <v>5.2</v>
      </c>
      <c r="E4669" s="195" t="s">
        <v>583</v>
      </c>
      <c r="F4669" s="195" t="s">
        <v>430</v>
      </c>
    </row>
    <row r="4670" spans="1:6" x14ac:dyDescent="0.25">
      <c r="A4670" s="189" t="str">
        <f t="shared" si="72"/>
        <v>FR-MD 1404.885.2S</v>
      </c>
      <c r="B4670" s="195" t="s">
        <v>561</v>
      </c>
      <c r="C4670" s="196">
        <v>4.88</v>
      </c>
      <c r="D4670" s="196">
        <v>5.2</v>
      </c>
      <c r="E4670" s="195" t="s">
        <v>583</v>
      </c>
      <c r="F4670" s="195" t="s">
        <v>438</v>
      </c>
    </row>
    <row r="4671" spans="1:6" x14ac:dyDescent="0.25">
      <c r="A4671" s="189" t="str">
        <f t="shared" si="72"/>
        <v>FR-MD 1405.25.55N</v>
      </c>
      <c r="B4671" s="195" t="s">
        <v>561</v>
      </c>
      <c r="C4671" s="196">
        <v>5.2</v>
      </c>
      <c r="D4671" s="196">
        <v>5.55</v>
      </c>
      <c r="E4671" s="195" t="s">
        <v>583</v>
      </c>
      <c r="F4671" s="195" t="s">
        <v>430</v>
      </c>
    </row>
    <row r="4672" spans="1:6" x14ac:dyDescent="0.25">
      <c r="A4672" s="189" t="str">
        <f t="shared" si="72"/>
        <v>FR-MD 1405.25.55S</v>
      </c>
      <c r="B4672" s="195" t="s">
        <v>561</v>
      </c>
      <c r="C4672" s="196">
        <v>5.2</v>
      </c>
      <c r="D4672" s="196">
        <v>5.55</v>
      </c>
      <c r="E4672" s="195" t="s">
        <v>583</v>
      </c>
      <c r="F4672" s="195" t="s">
        <v>438</v>
      </c>
    </row>
    <row r="4673" spans="1:6" x14ac:dyDescent="0.25">
      <c r="A4673" s="189" t="str">
        <f t="shared" si="72"/>
        <v>FR-MD 1405.556.99N</v>
      </c>
      <c r="B4673" s="195" t="s">
        <v>561</v>
      </c>
      <c r="C4673" s="196">
        <v>5.55</v>
      </c>
      <c r="D4673" s="196">
        <v>6.99</v>
      </c>
      <c r="E4673" s="195" t="s">
        <v>583</v>
      </c>
      <c r="F4673" s="195" t="s">
        <v>430</v>
      </c>
    </row>
    <row r="4674" spans="1:6" x14ac:dyDescent="0.25">
      <c r="A4674" s="189" t="str">
        <f t="shared" si="72"/>
        <v>FR-MD 1405.556.99S</v>
      </c>
      <c r="B4674" s="195" t="s">
        <v>561</v>
      </c>
      <c r="C4674" s="196">
        <v>5.55</v>
      </c>
      <c r="D4674" s="196">
        <v>6.99</v>
      </c>
      <c r="E4674" s="195" t="s">
        <v>583</v>
      </c>
      <c r="F4674" s="195" t="s">
        <v>438</v>
      </c>
    </row>
    <row r="4675" spans="1:6" x14ac:dyDescent="0.25">
      <c r="A4675" s="189" t="str">
        <f t="shared" ref="A4675:A4738" si="73">B4675&amp;C4675&amp;D4675&amp;F4675</f>
        <v>FR-MD 144A00.07E</v>
      </c>
      <c r="B4675" s="195" t="s">
        <v>2407</v>
      </c>
      <c r="C4675" s="196">
        <v>0</v>
      </c>
      <c r="D4675" s="196">
        <v>7.0000000000000007E-2</v>
      </c>
      <c r="E4675" s="195" t="s">
        <v>598</v>
      </c>
      <c r="F4675" s="195" t="s">
        <v>19</v>
      </c>
    </row>
    <row r="4676" spans="1:6" x14ac:dyDescent="0.25">
      <c r="A4676" s="189" t="str">
        <f t="shared" si="73"/>
        <v>FR-MD 144A00.07W</v>
      </c>
      <c r="B4676" s="195" t="s">
        <v>2407</v>
      </c>
      <c r="C4676" s="196">
        <v>0</v>
      </c>
      <c r="D4676" s="196">
        <v>7.0000000000000007E-2</v>
      </c>
      <c r="E4676" s="195" t="s">
        <v>593</v>
      </c>
      <c r="F4676" s="195" t="s">
        <v>432</v>
      </c>
    </row>
    <row r="4677" spans="1:6" x14ac:dyDescent="0.25">
      <c r="A4677" s="189" t="str">
        <f t="shared" si="73"/>
        <v>FR-MD 144FA2.32.96E</v>
      </c>
      <c r="B4677" s="195" t="s">
        <v>562</v>
      </c>
      <c r="C4677" s="196">
        <v>2.2999999999999998</v>
      </c>
      <c r="D4677" s="196">
        <v>2.96</v>
      </c>
      <c r="E4677" s="195" t="s">
        <v>583</v>
      </c>
      <c r="F4677" s="195" t="s">
        <v>19</v>
      </c>
    </row>
    <row r="4678" spans="1:6" x14ac:dyDescent="0.25">
      <c r="A4678" s="189" t="str">
        <f t="shared" si="73"/>
        <v>FR-MD 144FA2.32.96W</v>
      </c>
      <c r="B4678" s="195" t="s">
        <v>562</v>
      </c>
      <c r="C4678" s="196">
        <v>2.2999999999999998</v>
      </c>
      <c r="D4678" s="196">
        <v>2.96</v>
      </c>
      <c r="E4678" s="195" t="s">
        <v>583</v>
      </c>
      <c r="F4678" s="195" t="s">
        <v>432</v>
      </c>
    </row>
    <row r="4679" spans="1:6" x14ac:dyDescent="0.25">
      <c r="A4679" s="189" t="str">
        <f t="shared" si="73"/>
        <v>FR-MD 144FA2.963.34E</v>
      </c>
      <c r="B4679" s="195" t="s">
        <v>562</v>
      </c>
      <c r="C4679" s="196">
        <v>2.96</v>
      </c>
      <c r="D4679" s="196">
        <v>3.34</v>
      </c>
      <c r="E4679" s="195" t="s">
        <v>583</v>
      </c>
      <c r="F4679" s="195" t="s">
        <v>19</v>
      </c>
    </row>
    <row r="4680" spans="1:6" x14ac:dyDescent="0.25">
      <c r="A4680" s="189" t="str">
        <f t="shared" si="73"/>
        <v>FR-MD 144FA2.963.34W</v>
      </c>
      <c r="B4680" s="195" t="s">
        <v>562</v>
      </c>
      <c r="C4680" s="196">
        <v>2.96</v>
      </c>
      <c r="D4680" s="196">
        <v>3.34</v>
      </c>
      <c r="E4680" s="195" t="s">
        <v>583</v>
      </c>
      <c r="F4680" s="195" t="s">
        <v>432</v>
      </c>
    </row>
    <row r="4681" spans="1:6" x14ac:dyDescent="0.25">
      <c r="A4681" s="189" t="str">
        <f t="shared" si="73"/>
        <v>FR-MD 144FA3.343.9W</v>
      </c>
      <c r="B4681" s="195" t="s">
        <v>562</v>
      </c>
      <c r="C4681" s="196">
        <v>3.34</v>
      </c>
      <c r="D4681" s="196">
        <v>3.9</v>
      </c>
      <c r="E4681" s="195" t="s">
        <v>593</v>
      </c>
      <c r="F4681" s="195" t="s">
        <v>432</v>
      </c>
    </row>
    <row r="4682" spans="1:6" x14ac:dyDescent="0.25">
      <c r="A4682" s="189" t="str">
        <f t="shared" si="73"/>
        <v>FR-MD 144FA3.343.98E</v>
      </c>
      <c r="B4682" s="195" t="s">
        <v>562</v>
      </c>
      <c r="C4682" s="196">
        <v>3.34</v>
      </c>
      <c r="D4682" s="196">
        <v>3.98</v>
      </c>
      <c r="E4682" s="195" t="s">
        <v>598</v>
      </c>
      <c r="F4682" s="195" t="s">
        <v>19</v>
      </c>
    </row>
    <row r="4683" spans="1:6" x14ac:dyDescent="0.25">
      <c r="A4683" s="189" t="str">
        <f t="shared" si="73"/>
        <v>FR-MD 144FA3.94.71W</v>
      </c>
      <c r="B4683" s="195" t="s">
        <v>562</v>
      </c>
      <c r="C4683" s="196">
        <v>3.9</v>
      </c>
      <c r="D4683" s="196">
        <v>4.71</v>
      </c>
      <c r="E4683" s="195" t="s">
        <v>593</v>
      </c>
      <c r="F4683" s="195" t="s">
        <v>432</v>
      </c>
    </row>
    <row r="4684" spans="1:6" x14ac:dyDescent="0.25">
      <c r="A4684" s="189" t="str">
        <f t="shared" si="73"/>
        <v>FR-MD 144FA3.984.71E</v>
      </c>
      <c r="B4684" s="195" t="s">
        <v>562</v>
      </c>
      <c r="C4684" s="196">
        <v>3.98</v>
      </c>
      <c r="D4684" s="196">
        <v>4.71</v>
      </c>
      <c r="E4684" s="195" t="s">
        <v>598</v>
      </c>
      <c r="F4684" s="195" t="s">
        <v>19</v>
      </c>
    </row>
    <row r="4685" spans="1:6" x14ac:dyDescent="0.25">
      <c r="A4685" s="189" t="str">
        <f t="shared" si="73"/>
        <v>FR-MD 144FA4.715.57W</v>
      </c>
      <c r="B4685" s="195" t="s">
        <v>562</v>
      </c>
      <c r="C4685" s="196">
        <v>4.71</v>
      </c>
      <c r="D4685" s="196">
        <v>5.57</v>
      </c>
      <c r="E4685" s="195" t="s">
        <v>593</v>
      </c>
      <c r="F4685" s="195" t="s">
        <v>432</v>
      </c>
    </row>
    <row r="4686" spans="1:6" x14ac:dyDescent="0.25">
      <c r="A4686" s="189" t="str">
        <f t="shared" si="73"/>
        <v>FR-MD 144FB00.75E</v>
      </c>
      <c r="B4686" s="195" t="s">
        <v>2408</v>
      </c>
      <c r="C4686" s="196">
        <v>0</v>
      </c>
      <c r="D4686" s="196">
        <v>0.75</v>
      </c>
      <c r="E4686" s="195" t="s">
        <v>583</v>
      </c>
      <c r="F4686" s="195" t="s">
        <v>19</v>
      </c>
    </row>
    <row r="4687" spans="1:6" x14ac:dyDescent="0.25">
      <c r="A4687" s="189" t="str">
        <f t="shared" si="73"/>
        <v>FR-MD 144FB00.75W</v>
      </c>
      <c r="B4687" s="195" t="s">
        <v>2408</v>
      </c>
      <c r="C4687" s="196">
        <v>0</v>
      </c>
      <c r="D4687" s="196">
        <v>0.75</v>
      </c>
      <c r="E4687" s="195" t="s">
        <v>583</v>
      </c>
      <c r="F4687" s="195" t="s">
        <v>432</v>
      </c>
    </row>
    <row r="4688" spans="1:6" x14ac:dyDescent="0.25">
      <c r="A4688" s="189" t="str">
        <f t="shared" si="73"/>
        <v>FR-MD 144FB0.751.1E</v>
      </c>
      <c r="B4688" s="195" t="s">
        <v>2408</v>
      </c>
      <c r="C4688" s="196">
        <v>0.75</v>
      </c>
      <c r="D4688" s="196">
        <v>1.1000000000000001</v>
      </c>
      <c r="E4688" s="195" t="s">
        <v>583</v>
      </c>
      <c r="F4688" s="195" t="s">
        <v>19</v>
      </c>
    </row>
    <row r="4689" spans="1:6" x14ac:dyDescent="0.25">
      <c r="A4689" s="189" t="str">
        <f t="shared" si="73"/>
        <v>FR-MD 144FB0.751.1W</v>
      </c>
      <c r="B4689" s="195" t="s">
        <v>2408</v>
      </c>
      <c r="C4689" s="196">
        <v>0.75</v>
      </c>
      <c r="D4689" s="196">
        <v>1.1000000000000001</v>
      </c>
      <c r="E4689" s="195" t="s">
        <v>583</v>
      </c>
      <c r="F4689" s="195" t="s">
        <v>432</v>
      </c>
    </row>
    <row r="4690" spans="1:6" x14ac:dyDescent="0.25">
      <c r="A4690" s="189" t="str">
        <f t="shared" si="73"/>
        <v>FR-MD 144FB1.11.41E</v>
      </c>
      <c r="B4690" s="195" t="s">
        <v>2408</v>
      </c>
      <c r="C4690" s="196">
        <v>1.1000000000000001</v>
      </c>
      <c r="D4690" s="196">
        <v>1.41</v>
      </c>
      <c r="E4690" s="195" t="s">
        <v>583</v>
      </c>
      <c r="F4690" s="195" t="s">
        <v>19</v>
      </c>
    </row>
    <row r="4691" spans="1:6" x14ac:dyDescent="0.25">
      <c r="A4691" s="189" t="str">
        <f t="shared" si="73"/>
        <v>FR-MD 144FB1.11.41W</v>
      </c>
      <c r="B4691" s="195" t="s">
        <v>2408</v>
      </c>
      <c r="C4691" s="196">
        <v>1.1000000000000001</v>
      </c>
      <c r="D4691" s="196">
        <v>1.41</v>
      </c>
      <c r="E4691" s="195" t="s">
        <v>583</v>
      </c>
      <c r="F4691" s="195" t="s">
        <v>432</v>
      </c>
    </row>
    <row r="4692" spans="1:6" x14ac:dyDescent="0.25">
      <c r="A4692" s="189" t="str">
        <f t="shared" si="73"/>
        <v>FR-MD 15C00.12E</v>
      </c>
      <c r="B4692" s="195" t="s">
        <v>2409</v>
      </c>
      <c r="C4692" s="196">
        <v>0</v>
      </c>
      <c r="D4692" s="196">
        <v>0.12</v>
      </c>
      <c r="E4692" s="195" t="s">
        <v>598</v>
      </c>
      <c r="F4692" s="195" t="s">
        <v>19</v>
      </c>
    </row>
    <row r="4693" spans="1:6" x14ac:dyDescent="0.25">
      <c r="A4693" s="189" t="str">
        <f t="shared" si="73"/>
        <v>FR-MD 15C00.12W</v>
      </c>
      <c r="B4693" s="195" t="s">
        <v>2409</v>
      </c>
      <c r="C4693" s="196">
        <v>0</v>
      </c>
      <c r="D4693" s="196">
        <v>0.12</v>
      </c>
      <c r="E4693" s="195" t="s">
        <v>593</v>
      </c>
      <c r="F4693" s="195" t="s">
        <v>432</v>
      </c>
    </row>
    <row r="4694" spans="1:6" x14ac:dyDescent="0.25">
      <c r="A4694" s="189" t="str">
        <f t="shared" si="73"/>
        <v>FR-MD 15D00.04N</v>
      </c>
      <c r="B4694" s="195" t="s">
        <v>2410</v>
      </c>
      <c r="C4694" s="196">
        <v>0</v>
      </c>
      <c r="D4694" s="196">
        <v>0.04</v>
      </c>
      <c r="E4694" s="195" t="s">
        <v>589</v>
      </c>
      <c r="F4694" s="195" t="s">
        <v>430</v>
      </c>
    </row>
    <row r="4695" spans="1:6" x14ac:dyDescent="0.25">
      <c r="A4695" s="189" t="str">
        <f t="shared" si="73"/>
        <v>FR-MD 15D00.04S</v>
      </c>
      <c r="B4695" s="195" t="s">
        <v>2410</v>
      </c>
      <c r="C4695" s="196">
        <v>0</v>
      </c>
      <c r="D4695" s="196">
        <v>0.04</v>
      </c>
      <c r="E4695" s="195" t="s">
        <v>595</v>
      </c>
      <c r="F4695" s="195" t="s">
        <v>438</v>
      </c>
    </row>
    <row r="4696" spans="1:6" x14ac:dyDescent="0.25">
      <c r="A4696" s="189" t="str">
        <f t="shared" si="73"/>
        <v>FR-MD 1700.08N</v>
      </c>
      <c r="B4696" s="195" t="s">
        <v>2411</v>
      </c>
      <c r="C4696" s="196">
        <v>0</v>
      </c>
      <c r="D4696" s="196">
        <v>0.08</v>
      </c>
      <c r="E4696" s="195" t="s">
        <v>589</v>
      </c>
      <c r="F4696" s="195" t="s">
        <v>430</v>
      </c>
    </row>
    <row r="4697" spans="1:6" x14ac:dyDescent="0.25">
      <c r="A4697" s="189" t="str">
        <f t="shared" si="73"/>
        <v>FR-MD 1700.14S</v>
      </c>
      <c r="B4697" s="195" t="s">
        <v>2411</v>
      </c>
      <c r="C4697" s="196">
        <v>0</v>
      </c>
      <c r="D4697" s="196">
        <v>0.14000000000000001</v>
      </c>
      <c r="E4697" s="195" t="s">
        <v>595</v>
      </c>
      <c r="F4697" s="195" t="s">
        <v>438</v>
      </c>
    </row>
    <row r="4698" spans="1:6" x14ac:dyDescent="0.25">
      <c r="A4698" s="189" t="str">
        <f t="shared" si="73"/>
        <v>FR-MD 170.080.5N</v>
      </c>
      <c r="B4698" s="195" t="s">
        <v>2411</v>
      </c>
      <c r="C4698" s="196">
        <v>0.08</v>
      </c>
      <c r="D4698" s="196">
        <v>0.5</v>
      </c>
      <c r="E4698" s="195" t="s">
        <v>589</v>
      </c>
      <c r="F4698" s="195" t="s">
        <v>430</v>
      </c>
    </row>
    <row r="4699" spans="1:6" x14ac:dyDescent="0.25">
      <c r="A4699" s="189" t="str">
        <f t="shared" si="73"/>
        <v>FR-MD 170.140.5S</v>
      </c>
      <c r="B4699" s="195" t="s">
        <v>2411</v>
      </c>
      <c r="C4699" s="196">
        <v>0.14000000000000001</v>
      </c>
      <c r="D4699" s="196">
        <v>0.5</v>
      </c>
      <c r="E4699" s="195" t="s">
        <v>595</v>
      </c>
      <c r="F4699" s="195" t="s">
        <v>438</v>
      </c>
    </row>
    <row r="4700" spans="1:6" x14ac:dyDescent="0.25">
      <c r="A4700" s="189" t="str">
        <f t="shared" si="73"/>
        <v>FR-MD 170.60.62S</v>
      </c>
      <c r="B4700" s="195" t="s">
        <v>2411</v>
      </c>
      <c r="C4700" s="196">
        <v>0.6</v>
      </c>
      <c r="D4700" s="196">
        <v>0.62</v>
      </c>
      <c r="E4700" s="195" t="s">
        <v>595</v>
      </c>
      <c r="F4700" s="195" t="s">
        <v>438</v>
      </c>
    </row>
    <row r="4701" spans="1:6" x14ac:dyDescent="0.25">
      <c r="A4701" s="189" t="str">
        <f t="shared" si="73"/>
        <v>FR-MD 170.61.45N</v>
      </c>
      <c r="B4701" s="195" t="s">
        <v>2411</v>
      </c>
      <c r="C4701" s="196">
        <v>0.6</v>
      </c>
      <c r="D4701" s="196">
        <v>1.45</v>
      </c>
      <c r="E4701" s="195" t="s">
        <v>589</v>
      </c>
      <c r="F4701" s="195" t="s">
        <v>430</v>
      </c>
    </row>
    <row r="4702" spans="1:6" x14ac:dyDescent="0.25">
      <c r="A4702" s="189" t="str">
        <f t="shared" si="73"/>
        <v>FR-MD 170.621.45S</v>
      </c>
      <c r="B4702" s="195" t="s">
        <v>2411</v>
      </c>
      <c r="C4702" s="196">
        <v>0.62</v>
      </c>
      <c r="D4702" s="196">
        <v>1.45</v>
      </c>
      <c r="E4702" s="195" t="s">
        <v>595</v>
      </c>
      <c r="F4702" s="195" t="s">
        <v>438</v>
      </c>
    </row>
    <row r="4703" spans="1:6" x14ac:dyDescent="0.25">
      <c r="A4703" s="189" t="str">
        <f t="shared" si="73"/>
        <v>FR-MD 172.72.88N</v>
      </c>
      <c r="B4703" s="195" t="s">
        <v>2411</v>
      </c>
      <c r="C4703" s="196">
        <v>2.7</v>
      </c>
      <c r="D4703" s="196">
        <v>2.88</v>
      </c>
      <c r="E4703" s="195" t="s">
        <v>583</v>
      </c>
      <c r="F4703" s="195" t="s">
        <v>430</v>
      </c>
    </row>
    <row r="4704" spans="1:6" x14ac:dyDescent="0.25">
      <c r="A4704" s="189" t="str">
        <f t="shared" si="73"/>
        <v>FR-MD 172.72.88S</v>
      </c>
      <c r="B4704" s="195" t="s">
        <v>2411</v>
      </c>
      <c r="C4704" s="196">
        <v>2.7</v>
      </c>
      <c r="D4704" s="196">
        <v>2.88</v>
      </c>
      <c r="E4704" s="195" t="s">
        <v>583</v>
      </c>
      <c r="F4704" s="195" t="s">
        <v>438</v>
      </c>
    </row>
    <row r="4705" spans="1:6" x14ac:dyDescent="0.25">
      <c r="A4705" s="189" t="str">
        <f t="shared" si="73"/>
        <v>FR-MD 172.886.61N</v>
      </c>
      <c r="B4705" s="195" t="s">
        <v>2411</v>
      </c>
      <c r="C4705" s="196">
        <v>2.88</v>
      </c>
      <c r="D4705" s="196">
        <v>6.61</v>
      </c>
      <c r="E4705" s="195" t="s">
        <v>583</v>
      </c>
      <c r="F4705" s="195" t="s">
        <v>430</v>
      </c>
    </row>
    <row r="4706" spans="1:6" x14ac:dyDescent="0.25">
      <c r="A4706" s="189" t="str">
        <f t="shared" si="73"/>
        <v>FR-MD 172.886.61S</v>
      </c>
      <c r="B4706" s="195" t="s">
        <v>2411</v>
      </c>
      <c r="C4706" s="196">
        <v>2.88</v>
      </c>
      <c r="D4706" s="196">
        <v>6.61</v>
      </c>
      <c r="E4706" s="195" t="s">
        <v>583</v>
      </c>
      <c r="F4706" s="195" t="s">
        <v>438</v>
      </c>
    </row>
    <row r="4707" spans="1:6" x14ac:dyDescent="0.25">
      <c r="A4707" s="189" t="str">
        <f t="shared" si="73"/>
        <v>FR-MD 176.616.83N</v>
      </c>
      <c r="B4707" s="195" t="s">
        <v>2411</v>
      </c>
      <c r="C4707" s="196">
        <v>6.61</v>
      </c>
      <c r="D4707" s="196">
        <v>6.83</v>
      </c>
      <c r="E4707" s="195" t="s">
        <v>583</v>
      </c>
      <c r="F4707" s="195" t="s">
        <v>430</v>
      </c>
    </row>
    <row r="4708" spans="1:6" x14ac:dyDescent="0.25">
      <c r="A4708" s="189" t="str">
        <f t="shared" si="73"/>
        <v>FR-MD 176.616.83S</v>
      </c>
      <c r="B4708" s="195" t="s">
        <v>2411</v>
      </c>
      <c r="C4708" s="196">
        <v>6.61</v>
      </c>
      <c r="D4708" s="196">
        <v>6.83</v>
      </c>
      <c r="E4708" s="195" t="s">
        <v>583</v>
      </c>
      <c r="F4708" s="195" t="s">
        <v>438</v>
      </c>
    </row>
    <row r="4709" spans="1:6" x14ac:dyDescent="0.25">
      <c r="A4709" s="189" t="str">
        <f t="shared" si="73"/>
        <v>FR-MD 176.836.89N</v>
      </c>
      <c r="B4709" s="195" t="s">
        <v>2411</v>
      </c>
      <c r="C4709" s="196">
        <v>6.83</v>
      </c>
      <c r="D4709" s="196">
        <v>6.89</v>
      </c>
      <c r="E4709" s="195" t="s">
        <v>583</v>
      </c>
      <c r="F4709" s="195" t="s">
        <v>430</v>
      </c>
    </row>
    <row r="4710" spans="1:6" x14ac:dyDescent="0.25">
      <c r="A4710" s="189" t="str">
        <f t="shared" si="73"/>
        <v>FR-MD 176.836.89S</v>
      </c>
      <c r="B4710" s="195" t="s">
        <v>2411</v>
      </c>
      <c r="C4710" s="196">
        <v>6.83</v>
      </c>
      <c r="D4710" s="196">
        <v>6.89</v>
      </c>
      <c r="E4710" s="195" t="s">
        <v>583</v>
      </c>
      <c r="F4710" s="195" t="s">
        <v>438</v>
      </c>
    </row>
    <row r="4711" spans="1:6" x14ac:dyDescent="0.25">
      <c r="A4711" s="189" t="str">
        <f t="shared" si="73"/>
        <v>FR-MD 176.896.9N</v>
      </c>
      <c r="B4711" s="195" t="s">
        <v>2411</v>
      </c>
      <c r="C4711" s="196">
        <v>6.89</v>
      </c>
      <c r="D4711" s="196">
        <v>6.9</v>
      </c>
      <c r="E4711" s="195" t="s">
        <v>583</v>
      </c>
      <c r="F4711" s="195" t="s">
        <v>430</v>
      </c>
    </row>
    <row r="4712" spans="1:6" x14ac:dyDescent="0.25">
      <c r="A4712" s="189" t="str">
        <f t="shared" si="73"/>
        <v>FR-MD 176.896.9S</v>
      </c>
      <c r="B4712" s="195" t="s">
        <v>2411</v>
      </c>
      <c r="C4712" s="196">
        <v>6.89</v>
      </c>
      <c r="D4712" s="196">
        <v>6.9</v>
      </c>
      <c r="E4712" s="195" t="s">
        <v>583</v>
      </c>
      <c r="F4712" s="195" t="s">
        <v>438</v>
      </c>
    </row>
    <row r="4713" spans="1:6" x14ac:dyDescent="0.25">
      <c r="A4713" s="189" t="str">
        <f t="shared" si="73"/>
        <v>FR-MD 176.97.55N</v>
      </c>
      <c r="B4713" s="195" t="s">
        <v>2411</v>
      </c>
      <c r="C4713" s="196">
        <v>6.9</v>
      </c>
      <c r="D4713" s="196">
        <v>7.55</v>
      </c>
      <c r="E4713" s="195" t="s">
        <v>583</v>
      </c>
      <c r="F4713" s="195" t="s">
        <v>430</v>
      </c>
    </row>
    <row r="4714" spans="1:6" x14ac:dyDescent="0.25">
      <c r="A4714" s="189" t="str">
        <f t="shared" si="73"/>
        <v>FR-MD 176.97.55S</v>
      </c>
      <c r="B4714" s="195" t="s">
        <v>2411</v>
      </c>
      <c r="C4714" s="196">
        <v>6.9</v>
      </c>
      <c r="D4714" s="196">
        <v>7.55</v>
      </c>
      <c r="E4714" s="195" t="s">
        <v>583</v>
      </c>
      <c r="F4714" s="195" t="s">
        <v>438</v>
      </c>
    </row>
    <row r="4715" spans="1:6" x14ac:dyDescent="0.25">
      <c r="A4715" s="189" t="str">
        <f t="shared" si="73"/>
        <v>FR-MD 177.559.1N</v>
      </c>
      <c r="B4715" s="195" t="s">
        <v>2411</v>
      </c>
      <c r="C4715" s="196">
        <v>7.55</v>
      </c>
      <c r="D4715" s="196">
        <v>9.1</v>
      </c>
      <c r="E4715" s="195" t="s">
        <v>583</v>
      </c>
      <c r="F4715" s="195" t="s">
        <v>430</v>
      </c>
    </row>
    <row r="4716" spans="1:6" x14ac:dyDescent="0.25">
      <c r="A4716" s="189" t="str">
        <f t="shared" si="73"/>
        <v>FR-MD 177.559.1S</v>
      </c>
      <c r="B4716" s="195" t="s">
        <v>2411</v>
      </c>
      <c r="C4716" s="196">
        <v>7.55</v>
      </c>
      <c r="D4716" s="196">
        <v>9.1</v>
      </c>
      <c r="E4716" s="195" t="s">
        <v>583</v>
      </c>
      <c r="F4716" s="195" t="s">
        <v>438</v>
      </c>
    </row>
    <row r="4717" spans="1:6" x14ac:dyDescent="0.25">
      <c r="A4717" s="189" t="str">
        <f t="shared" si="73"/>
        <v>FR-MD 179.19.47N</v>
      </c>
      <c r="B4717" s="195" t="s">
        <v>2411</v>
      </c>
      <c r="C4717" s="196">
        <v>9.1</v>
      </c>
      <c r="D4717" s="196">
        <v>9.4700000000000006</v>
      </c>
      <c r="E4717" s="195" t="s">
        <v>583</v>
      </c>
      <c r="F4717" s="195" t="s">
        <v>430</v>
      </c>
    </row>
    <row r="4718" spans="1:6" x14ac:dyDescent="0.25">
      <c r="A4718" s="189" t="str">
        <f t="shared" si="73"/>
        <v>FR-MD 179.19.47S</v>
      </c>
      <c r="B4718" s="195" t="s">
        <v>2411</v>
      </c>
      <c r="C4718" s="196">
        <v>9.1</v>
      </c>
      <c r="D4718" s="196">
        <v>9.4700000000000006</v>
      </c>
      <c r="E4718" s="195" t="s">
        <v>583</v>
      </c>
      <c r="F4718" s="195" t="s">
        <v>438</v>
      </c>
    </row>
    <row r="4719" spans="1:6" x14ac:dyDescent="0.25">
      <c r="A4719" s="189" t="str">
        <f t="shared" si="73"/>
        <v>FR-MD 179.479.7N</v>
      </c>
      <c r="B4719" s="195" t="s">
        <v>2411</v>
      </c>
      <c r="C4719" s="196">
        <v>9.4700000000000006</v>
      </c>
      <c r="D4719" s="196">
        <v>9.6999999999999993</v>
      </c>
      <c r="E4719" s="195" t="s">
        <v>583</v>
      </c>
      <c r="F4719" s="195" t="s">
        <v>430</v>
      </c>
    </row>
    <row r="4720" spans="1:6" x14ac:dyDescent="0.25">
      <c r="A4720" s="189" t="str">
        <f t="shared" si="73"/>
        <v>FR-MD 179.479.7S</v>
      </c>
      <c r="B4720" s="195" t="s">
        <v>2411</v>
      </c>
      <c r="C4720" s="196">
        <v>9.4700000000000006</v>
      </c>
      <c r="D4720" s="196">
        <v>9.6999999999999993</v>
      </c>
      <c r="E4720" s="195" t="s">
        <v>583</v>
      </c>
      <c r="F4720" s="195" t="s">
        <v>438</v>
      </c>
    </row>
    <row r="4721" spans="1:6" x14ac:dyDescent="0.25">
      <c r="A4721" s="189" t="str">
        <f t="shared" si="73"/>
        <v>FR-MD 179.712.3N</v>
      </c>
      <c r="B4721" s="195" t="s">
        <v>2411</v>
      </c>
      <c r="C4721" s="196">
        <v>9.6999999999999993</v>
      </c>
      <c r="D4721" s="196">
        <v>12.3</v>
      </c>
      <c r="E4721" s="195" t="s">
        <v>583</v>
      </c>
      <c r="F4721" s="195" t="s">
        <v>430</v>
      </c>
    </row>
    <row r="4722" spans="1:6" x14ac:dyDescent="0.25">
      <c r="A4722" s="189" t="str">
        <f t="shared" si="73"/>
        <v>FR-MD 179.712.3S</v>
      </c>
      <c r="B4722" s="195" t="s">
        <v>2411</v>
      </c>
      <c r="C4722" s="196">
        <v>9.6999999999999993</v>
      </c>
      <c r="D4722" s="196">
        <v>12.3</v>
      </c>
      <c r="E4722" s="195" t="s">
        <v>583</v>
      </c>
      <c r="F4722" s="195" t="s">
        <v>438</v>
      </c>
    </row>
    <row r="4723" spans="1:6" x14ac:dyDescent="0.25">
      <c r="A4723" s="189" t="str">
        <f t="shared" si="73"/>
        <v>FR-MD 1712.312.6N</v>
      </c>
      <c r="B4723" s="195" t="s">
        <v>2411</v>
      </c>
      <c r="C4723" s="196">
        <v>12.3</v>
      </c>
      <c r="D4723" s="196">
        <v>12.6</v>
      </c>
      <c r="E4723" s="195" t="s">
        <v>583</v>
      </c>
      <c r="F4723" s="195" t="s">
        <v>430</v>
      </c>
    </row>
    <row r="4724" spans="1:6" x14ac:dyDescent="0.25">
      <c r="A4724" s="189" t="str">
        <f t="shared" si="73"/>
        <v>FR-MD 1712.312.6S</v>
      </c>
      <c r="B4724" s="195" t="s">
        <v>2411</v>
      </c>
      <c r="C4724" s="196">
        <v>12.3</v>
      </c>
      <c r="D4724" s="196">
        <v>12.6</v>
      </c>
      <c r="E4724" s="195" t="s">
        <v>583</v>
      </c>
      <c r="F4724" s="195" t="s">
        <v>438</v>
      </c>
    </row>
    <row r="4725" spans="1:6" x14ac:dyDescent="0.25">
      <c r="A4725" s="189" t="str">
        <f t="shared" si="73"/>
        <v>FR-MD 1712.612.9N</v>
      </c>
      <c r="B4725" s="195" t="s">
        <v>2411</v>
      </c>
      <c r="C4725" s="196">
        <v>12.6</v>
      </c>
      <c r="D4725" s="196">
        <v>12.9</v>
      </c>
      <c r="E4725" s="195" t="s">
        <v>583</v>
      </c>
      <c r="F4725" s="195" t="s">
        <v>430</v>
      </c>
    </row>
    <row r="4726" spans="1:6" x14ac:dyDescent="0.25">
      <c r="A4726" s="189" t="str">
        <f t="shared" si="73"/>
        <v>FR-MD 1712.612.9S</v>
      </c>
      <c r="B4726" s="195" t="s">
        <v>2411</v>
      </c>
      <c r="C4726" s="196">
        <v>12.6</v>
      </c>
      <c r="D4726" s="196">
        <v>12.9</v>
      </c>
      <c r="E4726" s="195" t="s">
        <v>583</v>
      </c>
      <c r="F4726" s="195" t="s">
        <v>438</v>
      </c>
    </row>
    <row r="4727" spans="1:6" x14ac:dyDescent="0.25">
      <c r="A4727" s="189" t="str">
        <f t="shared" si="73"/>
        <v>FR-MD 1712.913.2N</v>
      </c>
      <c r="B4727" s="195" t="s">
        <v>2411</v>
      </c>
      <c r="C4727" s="196">
        <v>12.9</v>
      </c>
      <c r="D4727" s="196">
        <v>13.2</v>
      </c>
      <c r="E4727" s="195" t="s">
        <v>583</v>
      </c>
      <c r="F4727" s="195" t="s">
        <v>430</v>
      </c>
    </row>
    <row r="4728" spans="1:6" x14ac:dyDescent="0.25">
      <c r="A4728" s="189" t="str">
        <f t="shared" si="73"/>
        <v>FR-MD 1712.913.2S</v>
      </c>
      <c r="B4728" s="195" t="s">
        <v>2411</v>
      </c>
      <c r="C4728" s="196">
        <v>12.9</v>
      </c>
      <c r="D4728" s="196">
        <v>13.2</v>
      </c>
      <c r="E4728" s="195" t="s">
        <v>583</v>
      </c>
      <c r="F4728" s="195" t="s">
        <v>438</v>
      </c>
    </row>
    <row r="4729" spans="1:6" x14ac:dyDescent="0.25">
      <c r="A4729" s="189" t="str">
        <f t="shared" si="73"/>
        <v>FR-MD 1713.213.68N</v>
      </c>
      <c r="B4729" s="195" t="s">
        <v>2411</v>
      </c>
      <c r="C4729" s="196">
        <v>13.2</v>
      </c>
      <c r="D4729" s="196">
        <v>13.68</v>
      </c>
      <c r="E4729" s="195" t="s">
        <v>583</v>
      </c>
      <c r="F4729" s="195" t="s">
        <v>430</v>
      </c>
    </row>
    <row r="4730" spans="1:6" x14ac:dyDescent="0.25">
      <c r="A4730" s="189" t="str">
        <f t="shared" si="73"/>
        <v>FR-MD 1713.213.68S</v>
      </c>
      <c r="B4730" s="195" t="s">
        <v>2411</v>
      </c>
      <c r="C4730" s="196">
        <v>13.2</v>
      </c>
      <c r="D4730" s="196">
        <v>13.68</v>
      </c>
      <c r="E4730" s="195" t="s">
        <v>583</v>
      </c>
      <c r="F4730" s="195" t="s">
        <v>438</v>
      </c>
    </row>
    <row r="4731" spans="1:6" x14ac:dyDescent="0.25">
      <c r="A4731" s="189" t="str">
        <f t="shared" si="73"/>
        <v>FR-MD 1713.6818N</v>
      </c>
      <c r="B4731" s="195" t="s">
        <v>2411</v>
      </c>
      <c r="C4731" s="196">
        <v>13.68</v>
      </c>
      <c r="D4731" s="196">
        <v>18</v>
      </c>
      <c r="E4731" s="195" t="s">
        <v>583</v>
      </c>
      <c r="F4731" s="195" t="s">
        <v>430</v>
      </c>
    </row>
    <row r="4732" spans="1:6" x14ac:dyDescent="0.25">
      <c r="A4732" s="189" t="str">
        <f t="shared" si="73"/>
        <v>FR-MD 1713.6818S</v>
      </c>
      <c r="B4732" s="195" t="s">
        <v>2411</v>
      </c>
      <c r="C4732" s="196">
        <v>13.68</v>
      </c>
      <c r="D4732" s="196">
        <v>18</v>
      </c>
      <c r="E4732" s="195" t="s">
        <v>583</v>
      </c>
      <c r="F4732" s="195" t="s">
        <v>438</v>
      </c>
    </row>
    <row r="4733" spans="1:6" x14ac:dyDescent="0.25">
      <c r="A4733" s="189" t="str">
        <f t="shared" si="73"/>
        <v>FR-MD 1718.519N</v>
      </c>
      <c r="B4733" s="195" t="s">
        <v>2411</v>
      </c>
      <c r="C4733" s="196">
        <v>18.5</v>
      </c>
      <c r="D4733" s="196">
        <v>19</v>
      </c>
      <c r="E4733" s="195" t="s">
        <v>583</v>
      </c>
      <c r="F4733" s="195" t="s">
        <v>430</v>
      </c>
    </row>
    <row r="4734" spans="1:6" x14ac:dyDescent="0.25">
      <c r="A4734" s="189" t="str">
        <f t="shared" si="73"/>
        <v>FR-MD 1718.519S</v>
      </c>
      <c r="B4734" s="195" t="s">
        <v>2411</v>
      </c>
      <c r="C4734" s="196">
        <v>18.5</v>
      </c>
      <c r="D4734" s="196">
        <v>19</v>
      </c>
      <c r="E4734" s="195" t="s">
        <v>583</v>
      </c>
      <c r="F4734" s="195" t="s">
        <v>438</v>
      </c>
    </row>
    <row r="4735" spans="1:6" x14ac:dyDescent="0.25">
      <c r="A4735" s="189" t="str">
        <f t="shared" si="73"/>
        <v>FR-MD 171919.45N</v>
      </c>
      <c r="B4735" s="195" t="s">
        <v>2411</v>
      </c>
      <c r="C4735" s="196">
        <v>19</v>
      </c>
      <c r="D4735" s="196">
        <v>19.45</v>
      </c>
      <c r="E4735" s="195" t="s">
        <v>583</v>
      </c>
      <c r="F4735" s="195" t="s">
        <v>430</v>
      </c>
    </row>
    <row r="4736" spans="1:6" x14ac:dyDescent="0.25">
      <c r="A4736" s="189" t="str">
        <f t="shared" si="73"/>
        <v>FR-MD 171919.45S</v>
      </c>
      <c r="B4736" s="195" t="s">
        <v>2411</v>
      </c>
      <c r="C4736" s="196">
        <v>19</v>
      </c>
      <c r="D4736" s="196">
        <v>19.45</v>
      </c>
      <c r="E4736" s="195" t="s">
        <v>583</v>
      </c>
      <c r="F4736" s="195" t="s">
        <v>438</v>
      </c>
    </row>
    <row r="4737" spans="1:6" x14ac:dyDescent="0.25">
      <c r="A4737" s="189" t="str">
        <f t="shared" si="73"/>
        <v>FR-MD 1719.4521.1N</v>
      </c>
      <c r="B4737" s="195" t="s">
        <v>2411</v>
      </c>
      <c r="C4737" s="196">
        <v>19.45</v>
      </c>
      <c r="D4737" s="196">
        <v>21.1</v>
      </c>
      <c r="E4737" s="195" t="s">
        <v>583</v>
      </c>
      <c r="F4737" s="195" t="s">
        <v>430</v>
      </c>
    </row>
    <row r="4738" spans="1:6" x14ac:dyDescent="0.25">
      <c r="A4738" s="189" t="str">
        <f t="shared" si="73"/>
        <v>FR-MD 1719.4521.1S</v>
      </c>
      <c r="B4738" s="195" t="s">
        <v>2411</v>
      </c>
      <c r="C4738" s="196">
        <v>19.45</v>
      </c>
      <c r="D4738" s="196">
        <v>21.1</v>
      </c>
      <c r="E4738" s="195" t="s">
        <v>583</v>
      </c>
      <c r="F4738" s="195" t="s">
        <v>438</v>
      </c>
    </row>
    <row r="4739" spans="1:6" x14ac:dyDescent="0.25">
      <c r="A4739" s="189" t="str">
        <f t="shared" ref="A4739:A4802" si="74">B4739&amp;C4739&amp;D4739&amp;F4739</f>
        <v>FR-MD 1721.122.73N</v>
      </c>
      <c r="B4739" s="195" t="s">
        <v>2411</v>
      </c>
      <c r="C4739" s="196">
        <v>21.1</v>
      </c>
      <c r="D4739" s="196">
        <v>22.73</v>
      </c>
      <c r="E4739" s="195" t="s">
        <v>583</v>
      </c>
      <c r="F4739" s="195" t="s">
        <v>430</v>
      </c>
    </row>
    <row r="4740" spans="1:6" x14ac:dyDescent="0.25">
      <c r="A4740" s="189" t="str">
        <f t="shared" si="74"/>
        <v>FR-MD 1721.122.73S</v>
      </c>
      <c r="B4740" s="195" t="s">
        <v>2411</v>
      </c>
      <c r="C4740" s="196">
        <v>21.1</v>
      </c>
      <c r="D4740" s="196">
        <v>22.73</v>
      </c>
      <c r="E4740" s="195" t="s">
        <v>583</v>
      </c>
      <c r="F4740" s="195" t="s">
        <v>438</v>
      </c>
    </row>
    <row r="4741" spans="1:6" x14ac:dyDescent="0.25">
      <c r="A4741" s="189" t="str">
        <f t="shared" si="74"/>
        <v>FR-MD 1722.7323N</v>
      </c>
      <c r="B4741" s="195" t="s">
        <v>2411</v>
      </c>
      <c r="C4741" s="196">
        <v>22.73</v>
      </c>
      <c r="D4741" s="196">
        <v>23</v>
      </c>
      <c r="E4741" s="195" t="s">
        <v>583</v>
      </c>
      <c r="F4741" s="195" t="s">
        <v>430</v>
      </c>
    </row>
    <row r="4742" spans="1:6" x14ac:dyDescent="0.25">
      <c r="A4742" s="189" t="str">
        <f t="shared" si="74"/>
        <v>FR-MD 1722.7323S</v>
      </c>
      <c r="B4742" s="195" t="s">
        <v>2411</v>
      </c>
      <c r="C4742" s="196">
        <v>22.73</v>
      </c>
      <c r="D4742" s="196">
        <v>23</v>
      </c>
      <c r="E4742" s="195" t="s">
        <v>583</v>
      </c>
      <c r="F4742" s="195" t="s">
        <v>438</v>
      </c>
    </row>
    <row r="4743" spans="1:6" x14ac:dyDescent="0.25">
      <c r="A4743" s="189" t="str">
        <f t="shared" si="74"/>
        <v>FR-MD 172324.8N</v>
      </c>
      <c r="B4743" s="195" t="s">
        <v>2411</v>
      </c>
      <c r="C4743" s="196">
        <v>23</v>
      </c>
      <c r="D4743" s="196">
        <v>24.8</v>
      </c>
      <c r="E4743" s="195" t="s">
        <v>583</v>
      </c>
      <c r="F4743" s="195" t="s">
        <v>430</v>
      </c>
    </row>
    <row r="4744" spans="1:6" x14ac:dyDescent="0.25">
      <c r="A4744" s="189" t="str">
        <f t="shared" si="74"/>
        <v>FR-MD 172324.8S</v>
      </c>
      <c r="B4744" s="195" t="s">
        <v>2411</v>
      </c>
      <c r="C4744" s="196">
        <v>23</v>
      </c>
      <c r="D4744" s="196">
        <v>24.8</v>
      </c>
      <c r="E4744" s="195" t="s">
        <v>583</v>
      </c>
      <c r="F4744" s="195" t="s">
        <v>438</v>
      </c>
    </row>
    <row r="4745" spans="1:6" x14ac:dyDescent="0.25">
      <c r="A4745" s="189" t="str">
        <f t="shared" si="74"/>
        <v>FR-MD 1724.825.5N</v>
      </c>
      <c r="B4745" s="195" t="s">
        <v>2411</v>
      </c>
      <c r="C4745" s="196">
        <v>24.8</v>
      </c>
      <c r="D4745" s="196">
        <v>25.5</v>
      </c>
      <c r="E4745" s="195" t="s">
        <v>583</v>
      </c>
      <c r="F4745" s="195" t="s">
        <v>430</v>
      </c>
    </row>
    <row r="4746" spans="1:6" x14ac:dyDescent="0.25">
      <c r="A4746" s="189" t="str">
        <f t="shared" si="74"/>
        <v>FR-MD 1724.825.5S</v>
      </c>
      <c r="B4746" s="195" t="s">
        <v>2411</v>
      </c>
      <c r="C4746" s="196">
        <v>24.8</v>
      </c>
      <c r="D4746" s="196">
        <v>25.5</v>
      </c>
      <c r="E4746" s="195" t="s">
        <v>583</v>
      </c>
      <c r="F4746" s="195" t="s">
        <v>438</v>
      </c>
    </row>
    <row r="4747" spans="1:6" x14ac:dyDescent="0.25">
      <c r="A4747" s="189" t="str">
        <f t="shared" si="74"/>
        <v>FR-MD 1725.529.49N</v>
      </c>
      <c r="B4747" s="195" t="s">
        <v>2411</v>
      </c>
      <c r="C4747" s="196">
        <v>25.5</v>
      </c>
      <c r="D4747" s="196">
        <v>29.49</v>
      </c>
      <c r="E4747" s="195" t="s">
        <v>583</v>
      </c>
      <c r="F4747" s="195" t="s">
        <v>430</v>
      </c>
    </row>
    <row r="4748" spans="1:6" x14ac:dyDescent="0.25">
      <c r="A4748" s="189" t="str">
        <f t="shared" si="74"/>
        <v>FR-MD 1725.529.49S</v>
      </c>
      <c r="B4748" s="195" t="s">
        <v>2411</v>
      </c>
      <c r="C4748" s="196">
        <v>25.5</v>
      </c>
      <c r="D4748" s="196">
        <v>29.49</v>
      </c>
      <c r="E4748" s="195" t="s">
        <v>583</v>
      </c>
      <c r="F4748" s="195" t="s">
        <v>438</v>
      </c>
    </row>
    <row r="4749" spans="1:6" x14ac:dyDescent="0.25">
      <c r="A4749" s="189" t="str">
        <f t="shared" si="74"/>
        <v>FR-MD 17A00.03N</v>
      </c>
      <c r="B4749" s="195" t="s">
        <v>2412</v>
      </c>
      <c r="C4749" s="196">
        <v>0</v>
      </c>
      <c r="D4749" s="196">
        <v>0.03</v>
      </c>
      <c r="E4749" s="195" t="s">
        <v>589</v>
      </c>
      <c r="F4749" s="195" t="s">
        <v>430</v>
      </c>
    </row>
    <row r="4750" spans="1:6" x14ac:dyDescent="0.25">
      <c r="A4750" s="189" t="str">
        <f t="shared" si="74"/>
        <v>FR-MD 17A00.03S</v>
      </c>
      <c r="B4750" s="195" t="s">
        <v>2412</v>
      </c>
      <c r="C4750" s="196">
        <v>0</v>
      </c>
      <c r="D4750" s="196">
        <v>0.03</v>
      </c>
      <c r="E4750" s="195" t="s">
        <v>595</v>
      </c>
      <c r="F4750" s="195" t="s">
        <v>438</v>
      </c>
    </row>
    <row r="4751" spans="1:6" x14ac:dyDescent="0.25">
      <c r="A4751" s="189" t="str">
        <f t="shared" si="74"/>
        <v>FR-MD 1800.20.4E</v>
      </c>
      <c r="B4751" s="195" t="s">
        <v>2413</v>
      </c>
      <c r="C4751" s="196">
        <v>0.2</v>
      </c>
      <c r="D4751" s="196">
        <v>0.4</v>
      </c>
      <c r="E4751" s="195" t="s">
        <v>583</v>
      </c>
      <c r="F4751" s="195" t="s">
        <v>19</v>
      </c>
    </row>
    <row r="4752" spans="1:6" x14ac:dyDescent="0.25">
      <c r="A4752" s="189" t="str">
        <f t="shared" si="74"/>
        <v>FR-MD 1800.20.4W</v>
      </c>
      <c r="B4752" s="195" t="s">
        <v>2413</v>
      </c>
      <c r="C4752" s="196">
        <v>0.2</v>
      </c>
      <c r="D4752" s="196">
        <v>0.4</v>
      </c>
      <c r="E4752" s="195" t="s">
        <v>583</v>
      </c>
      <c r="F4752" s="195" t="s">
        <v>432</v>
      </c>
    </row>
    <row r="4753" spans="1:6" x14ac:dyDescent="0.25">
      <c r="A4753" s="189" t="str">
        <f t="shared" si="74"/>
        <v>FR-MD 1800.40.42E</v>
      </c>
      <c r="B4753" s="195" t="s">
        <v>2413</v>
      </c>
      <c r="C4753" s="196">
        <v>0.4</v>
      </c>
      <c r="D4753" s="196">
        <v>0.42</v>
      </c>
      <c r="E4753" s="195" t="s">
        <v>583</v>
      </c>
      <c r="F4753" s="195" t="s">
        <v>19</v>
      </c>
    </row>
    <row r="4754" spans="1:6" x14ac:dyDescent="0.25">
      <c r="A4754" s="189" t="str">
        <f t="shared" si="74"/>
        <v>FR-MD 1800.40.42W</v>
      </c>
      <c r="B4754" s="195" t="s">
        <v>2413</v>
      </c>
      <c r="C4754" s="196">
        <v>0.4</v>
      </c>
      <c r="D4754" s="196">
        <v>0.42</v>
      </c>
      <c r="E4754" s="195" t="s">
        <v>583</v>
      </c>
      <c r="F4754" s="195" t="s">
        <v>432</v>
      </c>
    </row>
    <row r="4755" spans="1:6" x14ac:dyDescent="0.25">
      <c r="A4755" s="189" t="str">
        <f t="shared" si="74"/>
        <v>FR-MD 1800.420.6E</v>
      </c>
      <c r="B4755" s="195" t="s">
        <v>2413</v>
      </c>
      <c r="C4755" s="196">
        <v>0.42</v>
      </c>
      <c r="D4755" s="196">
        <v>0.6</v>
      </c>
      <c r="E4755" s="195" t="s">
        <v>583</v>
      </c>
      <c r="F4755" s="195" t="s">
        <v>19</v>
      </c>
    </row>
    <row r="4756" spans="1:6" x14ac:dyDescent="0.25">
      <c r="A4756" s="189" t="str">
        <f t="shared" si="74"/>
        <v>FR-MD 1800.420.6W</v>
      </c>
      <c r="B4756" s="195" t="s">
        <v>2413</v>
      </c>
      <c r="C4756" s="196">
        <v>0.42</v>
      </c>
      <c r="D4756" s="196">
        <v>0.6</v>
      </c>
      <c r="E4756" s="195" t="s">
        <v>583</v>
      </c>
      <c r="F4756" s="195" t="s">
        <v>432</v>
      </c>
    </row>
    <row r="4757" spans="1:6" x14ac:dyDescent="0.25">
      <c r="A4757" s="189" t="str">
        <f t="shared" si="74"/>
        <v>FR-MD 1800.61.8E</v>
      </c>
      <c r="B4757" s="195" t="s">
        <v>2413</v>
      </c>
      <c r="C4757" s="196">
        <v>0.6</v>
      </c>
      <c r="D4757" s="196">
        <v>1.8</v>
      </c>
      <c r="E4757" s="195" t="s">
        <v>598</v>
      </c>
      <c r="F4757" s="195" t="s">
        <v>19</v>
      </c>
    </row>
    <row r="4758" spans="1:6" x14ac:dyDescent="0.25">
      <c r="A4758" s="189" t="str">
        <f t="shared" si="74"/>
        <v>FR-MD 1800.62.5W</v>
      </c>
      <c r="B4758" s="195" t="s">
        <v>2413</v>
      </c>
      <c r="C4758" s="196">
        <v>0.6</v>
      </c>
      <c r="D4758" s="196">
        <v>2.5</v>
      </c>
      <c r="E4758" s="195" t="s">
        <v>593</v>
      </c>
      <c r="F4758" s="195" t="s">
        <v>432</v>
      </c>
    </row>
    <row r="4759" spans="1:6" x14ac:dyDescent="0.25">
      <c r="A4759" s="189" t="str">
        <f t="shared" si="74"/>
        <v>FR-MD 1801.82.5E</v>
      </c>
      <c r="B4759" s="195" t="s">
        <v>2413</v>
      </c>
      <c r="C4759" s="196">
        <v>1.8</v>
      </c>
      <c r="D4759" s="196">
        <v>2.5</v>
      </c>
      <c r="E4759" s="195" t="s">
        <v>598</v>
      </c>
      <c r="F4759" s="195" t="s">
        <v>19</v>
      </c>
    </row>
    <row r="4760" spans="1:6" x14ac:dyDescent="0.25">
      <c r="A4760" s="189" t="str">
        <f t="shared" si="74"/>
        <v>FR-MD 1802.53.81E</v>
      </c>
      <c r="B4760" s="195" t="s">
        <v>2413</v>
      </c>
      <c r="C4760" s="196">
        <v>2.5</v>
      </c>
      <c r="D4760" s="196">
        <v>3.81</v>
      </c>
      <c r="E4760" s="195" t="s">
        <v>583</v>
      </c>
      <c r="F4760" s="195" t="s">
        <v>19</v>
      </c>
    </row>
    <row r="4761" spans="1:6" x14ac:dyDescent="0.25">
      <c r="A4761" s="189" t="str">
        <f t="shared" si="74"/>
        <v>FR-MD 1802.53.81W</v>
      </c>
      <c r="B4761" s="195" t="s">
        <v>2413</v>
      </c>
      <c r="C4761" s="196">
        <v>2.5</v>
      </c>
      <c r="D4761" s="196">
        <v>3.81</v>
      </c>
      <c r="E4761" s="195" t="s">
        <v>583</v>
      </c>
      <c r="F4761" s="195" t="s">
        <v>432</v>
      </c>
    </row>
    <row r="4762" spans="1:6" x14ac:dyDescent="0.25">
      <c r="A4762" s="189" t="str">
        <f t="shared" si="74"/>
        <v>FR-MD 1803.816.18E</v>
      </c>
      <c r="B4762" s="195" t="s">
        <v>2413</v>
      </c>
      <c r="C4762" s="196">
        <v>3.81</v>
      </c>
      <c r="D4762" s="196">
        <v>6.18</v>
      </c>
      <c r="E4762" s="195" t="s">
        <v>583</v>
      </c>
      <c r="F4762" s="195" t="s">
        <v>19</v>
      </c>
    </row>
    <row r="4763" spans="1:6" x14ac:dyDescent="0.25">
      <c r="A4763" s="189" t="str">
        <f t="shared" si="74"/>
        <v>FR-MD 1803.816.18W</v>
      </c>
      <c r="B4763" s="195" t="s">
        <v>2413</v>
      </c>
      <c r="C4763" s="196">
        <v>3.81</v>
      </c>
      <c r="D4763" s="196">
        <v>6.18</v>
      </c>
      <c r="E4763" s="195" t="s">
        <v>583</v>
      </c>
      <c r="F4763" s="195" t="s">
        <v>432</v>
      </c>
    </row>
    <row r="4764" spans="1:6" x14ac:dyDescent="0.25">
      <c r="A4764" s="189" t="str">
        <f t="shared" si="74"/>
        <v>FR-MD 1806.187.63E</v>
      </c>
      <c r="B4764" s="195" t="s">
        <v>2413</v>
      </c>
      <c r="C4764" s="196">
        <v>6.18</v>
      </c>
      <c r="D4764" s="196">
        <v>7.63</v>
      </c>
      <c r="E4764" s="195" t="s">
        <v>583</v>
      </c>
      <c r="F4764" s="195" t="s">
        <v>19</v>
      </c>
    </row>
    <row r="4765" spans="1:6" x14ac:dyDescent="0.25">
      <c r="A4765" s="189" t="str">
        <f t="shared" si="74"/>
        <v>FR-MD 1806.187.63W</v>
      </c>
      <c r="B4765" s="195" t="s">
        <v>2413</v>
      </c>
      <c r="C4765" s="196">
        <v>6.18</v>
      </c>
      <c r="D4765" s="196">
        <v>7.63</v>
      </c>
      <c r="E4765" s="195" t="s">
        <v>583</v>
      </c>
      <c r="F4765" s="195" t="s">
        <v>432</v>
      </c>
    </row>
    <row r="4766" spans="1:6" x14ac:dyDescent="0.25">
      <c r="A4766" s="189" t="str">
        <f t="shared" si="74"/>
        <v>FR-MD 1807.637.95E</v>
      </c>
      <c r="B4766" s="195" t="s">
        <v>2413</v>
      </c>
      <c r="C4766" s="196">
        <v>7.63</v>
      </c>
      <c r="D4766" s="196">
        <v>7.95</v>
      </c>
      <c r="E4766" s="195" t="s">
        <v>583</v>
      </c>
      <c r="F4766" s="195" t="s">
        <v>19</v>
      </c>
    </row>
    <row r="4767" spans="1:6" x14ac:dyDescent="0.25">
      <c r="A4767" s="189" t="str">
        <f t="shared" si="74"/>
        <v>FR-MD 1807.637.95W</v>
      </c>
      <c r="B4767" s="195" t="s">
        <v>2413</v>
      </c>
      <c r="C4767" s="196">
        <v>7.63</v>
      </c>
      <c r="D4767" s="196">
        <v>7.95</v>
      </c>
      <c r="E4767" s="195" t="s">
        <v>583</v>
      </c>
      <c r="F4767" s="195" t="s">
        <v>432</v>
      </c>
    </row>
    <row r="4768" spans="1:6" x14ac:dyDescent="0.25">
      <c r="A4768" s="189" t="str">
        <f t="shared" si="74"/>
        <v>FR-MD 1807.958.15E</v>
      </c>
      <c r="B4768" s="195" t="s">
        <v>2413</v>
      </c>
      <c r="C4768" s="196">
        <v>7.95</v>
      </c>
      <c r="D4768" s="196">
        <v>8.15</v>
      </c>
      <c r="E4768" s="195" t="s">
        <v>583</v>
      </c>
      <c r="F4768" s="195" t="s">
        <v>19</v>
      </c>
    </row>
    <row r="4769" spans="1:6" x14ac:dyDescent="0.25">
      <c r="A4769" s="189" t="str">
        <f t="shared" si="74"/>
        <v>FR-MD 1807.958.15W</v>
      </c>
      <c r="B4769" s="195" t="s">
        <v>2413</v>
      </c>
      <c r="C4769" s="196">
        <v>7.95</v>
      </c>
      <c r="D4769" s="196">
        <v>8.15</v>
      </c>
      <c r="E4769" s="195" t="s">
        <v>583</v>
      </c>
      <c r="F4769" s="195" t="s">
        <v>432</v>
      </c>
    </row>
    <row r="4770" spans="1:6" x14ac:dyDescent="0.25">
      <c r="A4770" s="189" t="str">
        <f t="shared" si="74"/>
        <v>FR-MD 1808.158.46E</v>
      </c>
      <c r="B4770" s="195" t="s">
        <v>2413</v>
      </c>
      <c r="C4770" s="196">
        <v>8.15</v>
      </c>
      <c r="D4770" s="196">
        <v>8.4600000000000009</v>
      </c>
      <c r="E4770" s="195" t="s">
        <v>583</v>
      </c>
      <c r="F4770" s="195" t="s">
        <v>19</v>
      </c>
    </row>
    <row r="4771" spans="1:6" x14ac:dyDescent="0.25">
      <c r="A4771" s="189" t="str">
        <f t="shared" si="74"/>
        <v>FR-MD 1808.158.46W</v>
      </c>
      <c r="B4771" s="195" t="s">
        <v>2413</v>
      </c>
      <c r="C4771" s="196">
        <v>8.15</v>
      </c>
      <c r="D4771" s="196">
        <v>8.4600000000000009</v>
      </c>
      <c r="E4771" s="195" t="s">
        <v>583</v>
      </c>
      <c r="F4771" s="195" t="s">
        <v>432</v>
      </c>
    </row>
    <row r="4772" spans="1:6" x14ac:dyDescent="0.25">
      <c r="A4772" s="189" t="str">
        <f t="shared" si="74"/>
        <v>FR-MD 1808.468.49E</v>
      </c>
      <c r="B4772" s="195" t="s">
        <v>2413</v>
      </c>
      <c r="C4772" s="196">
        <v>8.4600000000000009</v>
      </c>
      <c r="D4772" s="196">
        <v>8.49</v>
      </c>
      <c r="E4772" s="195" t="s">
        <v>583</v>
      </c>
      <c r="F4772" s="195" t="s">
        <v>19</v>
      </c>
    </row>
    <row r="4773" spans="1:6" x14ac:dyDescent="0.25">
      <c r="A4773" s="189" t="str">
        <f t="shared" si="74"/>
        <v>FR-MD 1808.468.49W</v>
      </c>
      <c r="B4773" s="195" t="s">
        <v>2413</v>
      </c>
      <c r="C4773" s="196">
        <v>8.4600000000000009</v>
      </c>
      <c r="D4773" s="196">
        <v>8.49</v>
      </c>
      <c r="E4773" s="195" t="s">
        <v>583</v>
      </c>
      <c r="F4773" s="195" t="s">
        <v>432</v>
      </c>
    </row>
    <row r="4774" spans="1:6" x14ac:dyDescent="0.25">
      <c r="A4774" s="189" t="str">
        <f t="shared" si="74"/>
        <v>FR-MD 1808.499.05E</v>
      </c>
      <c r="B4774" s="195" t="s">
        <v>2413</v>
      </c>
      <c r="C4774" s="196">
        <v>8.49</v>
      </c>
      <c r="D4774" s="196">
        <v>9.0500000000000007</v>
      </c>
      <c r="E4774" s="195" t="s">
        <v>583</v>
      </c>
      <c r="F4774" s="195" t="s">
        <v>19</v>
      </c>
    </row>
    <row r="4775" spans="1:6" x14ac:dyDescent="0.25">
      <c r="A4775" s="189" t="str">
        <f t="shared" si="74"/>
        <v>FR-MD 1808.499.05W</v>
      </c>
      <c r="B4775" s="195" t="s">
        <v>2413</v>
      </c>
      <c r="C4775" s="196">
        <v>8.49</v>
      </c>
      <c r="D4775" s="196">
        <v>9.0500000000000007</v>
      </c>
      <c r="E4775" s="195" t="s">
        <v>583</v>
      </c>
      <c r="F4775" s="195" t="s">
        <v>432</v>
      </c>
    </row>
    <row r="4776" spans="1:6" x14ac:dyDescent="0.25">
      <c r="A4776" s="189" t="str">
        <f t="shared" si="74"/>
        <v>FR-MD 1809.0510E</v>
      </c>
      <c r="B4776" s="195" t="s">
        <v>2413</v>
      </c>
      <c r="C4776" s="196">
        <v>9.0500000000000007</v>
      </c>
      <c r="D4776" s="196">
        <v>10</v>
      </c>
      <c r="E4776" s="195" t="s">
        <v>583</v>
      </c>
      <c r="F4776" s="195" t="s">
        <v>19</v>
      </c>
    </row>
    <row r="4777" spans="1:6" x14ac:dyDescent="0.25">
      <c r="A4777" s="189" t="str">
        <f t="shared" si="74"/>
        <v>FR-MD 1809.0510W</v>
      </c>
      <c r="B4777" s="195" t="s">
        <v>2413</v>
      </c>
      <c r="C4777" s="196">
        <v>9.0500000000000007</v>
      </c>
      <c r="D4777" s="196">
        <v>10</v>
      </c>
      <c r="E4777" s="195" t="s">
        <v>583</v>
      </c>
      <c r="F4777" s="195" t="s">
        <v>432</v>
      </c>
    </row>
    <row r="4778" spans="1:6" x14ac:dyDescent="0.25">
      <c r="A4778" s="189" t="str">
        <f t="shared" si="74"/>
        <v>FR-MD 1801014E</v>
      </c>
      <c r="B4778" s="195" t="s">
        <v>2413</v>
      </c>
      <c r="C4778" s="196">
        <v>10</v>
      </c>
      <c r="D4778" s="196">
        <v>14</v>
      </c>
      <c r="E4778" s="195" t="s">
        <v>583</v>
      </c>
      <c r="F4778" s="195" t="s">
        <v>19</v>
      </c>
    </row>
    <row r="4779" spans="1:6" x14ac:dyDescent="0.25">
      <c r="A4779" s="189" t="str">
        <f t="shared" si="74"/>
        <v>FR-MD 1801014W</v>
      </c>
      <c r="B4779" s="195" t="s">
        <v>2413</v>
      </c>
      <c r="C4779" s="196">
        <v>10</v>
      </c>
      <c r="D4779" s="196">
        <v>14</v>
      </c>
      <c r="E4779" s="195" t="s">
        <v>583</v>
      </c>
      <c r="F4779" s="195" t="s">
        <v>432</v>
      </c>
    </row>
    <row r="4780" spans="1:6" x14ac:dyDescent="0.25">
      <c r="A4780" s="189" t="str">
        <f t="shared" si="74"/>
        <v>FR-MD 1801414.95E</v>
      </c>
      <c r="B4780" s="195" t="s">
        <v>2413</v>
      </c>
      <c r="C4780" s="196">
        <v>14</v>
      </c>
      <c r="D4780" s="196">
        <v>14.95</v>
      </c>
      <c r="E4780" s="195" t="s">
        <v>583</v>
      </c>
      <c r="F4780" s="195" t="s">
        <v>19</v>
      </c>
    </row>
    <row r="4781" spans="1:6" x14ac:dyDescent="0.25">
      <c r="A4781" s="189" t="str">
        <f t="shared" si="74"/>
        <v>FR-MD 1801414.95W</v>
      </c>
      <c r="B4781" s="195" t="s">
        <v>2413</v>
      </c>
      <c r="C4781" s="196">
        <v>14</v>
      </c>
      <c r="D4781" s="196">
        <v>14.95</v>
      </c>
      <c r="E4781" s="195" t="s">
        <v>583</v>
      </c>
      <c r="F4781" s="195" t="s">
        <v>432</v>
      </c>
    </row>
    <row r="4782" spans="1:6" x14ac:dyDescent="0.25">
      <c r="A4782" s="189" t="str">
        <f t="shared" si="74"/>
        <v>FR-MD 180B0.80.98N</v>
      </c>
      <c r="B4782" s="195" t="s">
        <v>2414</v>
      </c>
      <c r="C4782" s="196">
        <v>0.8</v>
      </c>
      <c r="D4782" s="196">
        <v>0.98</v>
      </c>
      <c r="E4782" s="195" t="s">
        <v>589</v>
      </c>
      <c r="F4782" s="195" t="s">
        <v>430</v>
      </c>
    </row>
    <row r="4783" spans="1:6" x14ac:dyDescent="0.25">
      <c r="A4783" s="189" t="str">
        <f t="shared" si="74"/>
        <v>FR-MD 180B0.80.98S</v>
      </c>
      <c r="B4783" s="195" t="s">
        <v>2414</v>
      </c>
      <c r="C4783" s="196">
        <v>0.8</v>
      </c>
      <c r="D4783" s="196">
        <v>0.98</v>
      </c>
      <c r="E4783" s="195" t="s">
        <v>595</v>
      </c>
      <c r="F4783" s="195" t="s">
        <v>438</v>
      </c>
    </row>
    <row r="4784" spans="1:6" x14ac:dyDescent="0.25">
      <c r="A4784" s="189" t="str">
        <f t="shared" si="74"/>
        <v>FR-MD 19403.2N</v>
      </c>
      <c r="B4784" s="195" t="s">
        <v>563</v>
      </c>
      <c r="C4784" s="196">
        <v>0</v>
      </c>
      <c r="D4784" s="196">
        <v>3.2</v>
      </c>
      <c r="E4784" s="195" t="s">
        <v>583</v>
      </c>
      <c r="F4784" s="195" t="s">
        <v>430</v>
      </c>
    </row>
    <row r="4785" spans="1:6" x14ac:dyDescent="0.25">
      <c r="A4785" s="189" t="str">
        <f t="shared" si="74"/>
        <v>FR-MD 19403.2S</v>
      </c>
      <c r="B4785" s="195" t="s">
        <v>563</v>
      </c>
      <c r="C4785" s="196">
        <v>0</v>
      </c>
      <c r="D4785" s="196">
        <v>3.2</v>
      </c>
      <c r="E4785" s="195" t="s">
        <v>583</v>
      </c>
      <c r="F4785" s="195" t="s">
        <v>438</v>
      </c>
    </row>
    <row r="4786" spans="1:6" x14ac:dyDescent="0.25">
      <c r="A4786" s="189" t="str">
        <f t="shared" si="74"/>
        <v>FR-MD 1943.23.42N</v>
      </c>
      <c r="B4786" s="195" t="s">
        <v>563</v>
      </c>
      <c r="C4786" s="196">
        <v>3.2</v>
      </c>
      <c r="D4786" s="196">
        <v>3.42</v>
      </c>
      <c r="E4786" s="195" t="s">
        <v>583</v>
      </c>
      <c r="F4786" s="195" t="s">
        <v>430</v>
      </c>
    </row>
    <row r="4787" spans="1:6" x14ac:dyDescent="0.25">
      <c r="A4787" s="189" t="str">
        <f t="shared" si="74"/>
        <v>FR-MD 1943.23.42S</v>
      </c>
      <c r="B4787" s="195" t="s">
        <v>563</v>
      </c>
      <c r="C4787" s="196">
        <v>3.2</v>
      </c>
      <c r="D4787" s="196">
        <v>3.42</v>
      </c>
      <c r="E4787" s="195" t="s">
        <v>583</v>
      </c>
      <c r="F4787" s="195" t="s">
        <v>438</v>
      </c>
    </row>
    <row r="4788" spans="1:6" x14ac:dyDescent="0.25">
      <c r="A4788" s="189" t="str">
        <f t="shared" si="74"/>
        <v>FR-MD 1943.425.6N</v>
      </c>
      <c r="B4788" s="195" t="s">
        <v>563</v>
      </c>
      <c r="C4788" s="196">
        <v>3.42</v>
      </c>
      <c r="D4788" s="196">
        <v>5.6</v>
      </c>
      <c r="E4788" s="195" t="s">
        <v>583</v>
      </c>
      <c r="F4788" s="195" t="s">
        <v>430</v>
      </c>
    </row>
    <row r="4789" spans="1:6" x14ac:dyDescent="0.25">
      <c r="A4789" s="189" t="str">
        <f t="shared" si="74"/>
        <v>FR-MD 1943.425.6S</v>
      </c>
      <c r="B4789" s="195" t="s">
        <v>563</v>
      </c>
      <c r="C4789" s="196">
        <v>3.42</v>
      </c>
      <c r="D4789" s="196">
        <v>5.6</v>
      </c>
      <c r="E4789" s="195" t="s">
        <v>583</v>
      </c>
      <c r="F4789" s="195" t="s">
        <v>438</v>
      </c>
    </row>
    <row r="4790" spans="1:6" x14ac:dyDescent="0.25">
      <c r="A4790" s="189" t="str">
        <f t="shared" si="74"/>
        <v>FR-MD 1945.67.3N</v>
      </c>
      <c r="B4790" s="195" t="s">
        <v>563</v>
      </c>
      <c r="C4790" s="196">
        <v>5.6</v>
      </c>
      <c r="D4790" s="196">
        <v>7.3</v>
      </c>
      <c r="E4790" s="195" t="s">
        <v>583</v>
      </c>
      <c r="F4790" s="195" t="s">
        <v>430</v>
      </c>
    </row>
    <row r="4791" spans="1:6" x14ac:dyDescent="0.25">
      <c r="A4791" s="189" t="str">
        <f t="shared" si="74"/>
        <v>FR-MD 1945.67.3S</v>
      </c>
      <c r="B4791" s="195" t="s">
        <v>563</v>
      </c>
      <c r="C4791" s="196">
        <v>5.6</v>
      </c>
      <c r="D4791" s="196">
        <v>7.3</v>
      </c>
      <c r="E4791" s="195" t="s">
        <v>583</v>
      </c>
      <c r="F4791" s="195" t="s">
        <v>438</v>
      </c>
    </row>
    <row r="4792" spans="1:6" x14ac:dyDescent="0.25">
      <c r="A4792" s="189" t="str">
        <f t="shared" si="74"/>
        <v>FR-MD 1947.37.85N</v>
      </c>
      <c r="B4792" s="195" t="s">
        <v>563</v>
      </c>
      <c r="C4792" s="196">
        <v>7.3</v>
      </c>
      <c r="D4792" s="196">
        <v>7.85</v>
      </c>
      <c r="E4792" s="195" t="s">
        <v>583</v>
      </c>
      <c r="F4792" s="195" t="s">
        <v>430</v>
      </c>
    </row>
    <row r="4793" spans="1:6" x14ac:dyDescent="0.25">
      <c r="A4793" s="189" t="str">
        <f t="shared" si="74"/>
        <v>FR-MD 1947.37.85S</v>
      </c>
      <c r="B4793" s="195" t="s">
        <v>563</v>
      </c>
      <c r="C4793" s="196">
        <v>7.3</v>
      </c>
      <c r="D4793" s="196">
        <v>7.85</v>
      </c>
      <c r="E4793" s="195" t="s">
        <v>583</v>
      </c>
      <c r="F4793" s="195" t="s">
        <v>438</v>
      </c>
    </row>
    <row r="4794" spans="1:6" x14ac:dyDescent="0.25">
      <c r="A4794" s="189" t="str">
        <f t="shared" si="74"/>
        <v>FR-MD 1947.8512.41N</v>
      </c>
      <c r="B4794" s="195" t="s">
        <v>563</v>
      </c>
      <c r="C4794" s="196">
        <v>7.85</v>
      </c>
      <c r="D4794" s="196">
        <v>12.41</v>
      </c>
      <c r="E4794" s="195" t="s">
        <v>583</v>
      </c>
      <c r="F4794" s="195" t="s">
        <v>430</v>
      </c>
    </row>
    <row r="4795" spans="1:6" x14ac:dyDescent="0.25">
      <c r="A4795" s="189" t="str">
        <f t="shared" si="74"/>
        <v>FR-MD 1947.8512.41S</v>
      </c>
      <c r="B4795" s="195" t="s">
        <v>563</v>
      </c>
      <c r="C4795" s="196">
        <v>7.85</v>
      </c>
      <c r="D4795" s="196">
        <v>12.41</v>
      </c>
      <c r="E4795" s="195" t="s">
        <v>583</v>
      </c>
      <c r="F4795" s="195" t="s">
        <v>438</v>
      </c>
    </row>
    <row r="4796" spans="1:6" x14ac:dyDescent="0.25">
      <c r="A4796" s="189" t="str">
        <f t="shared" si="74"/>
        <v>FR-MD 194A00.4N</v>
      </c>
      <c r="B4796" s="195" t="s">
        <v>2415</v>
      </c>
      <c r="C4796" s="196">
        <v>0</v>
      </c>
      <c r="D4796" s="196">
        <v>0.4</v>
      </c>
      <c r="E4796" s="195" t="s">
        <v>583</v>
      </c>
      <c r="F4796" s="195" t="s">
        <v>430</v>
      </c>
    </row>
    <row r="4797" spans="1:6" x14ac:dyDescent="0.25">
      <c r="A4797" s="189" t="str">
        <f t="shared" si="74"/>
        <v>FR-MD 194A00.4S</v>
      </c>
      <c r="B4797" s="195" t="s">
        <v>2415</v>
      </c>
      <c r="C4797" s="196">
        <v>0</v>
      </c>
      <c r="D4797" s="196">
        <v>0.4</v>
      </c>
      <c r="E4797" s="195" t="s">
        <v>583</v>
      </c>
      <c r="F4797" s="195" t="s">
        <v>438</v>
      </c>
    </row>
    <row r="4798" spans="1:6" x14ac:dyDescent="0.25">
      <c r="A4798" s="189" t="str">
        <f t="shared" si="74"/>
        <v>FR-MD 194A0.41.15N</v>
      </c>
      <c r="B4798" s="195" t="s">
        <v>2415</v>
      </c>
      <c r="C4798" s="196">
        <v>0.4</v>
      </c>
      <c r="D4798" s="196">
        <v>1.1499999999999999</v>
      </c>
      <c r="E4798" s="195" t="s">
        <v>583</v>
      </c>
      <c r="F4798" s="195" t="s">
        <v>430</v>
      </c>
    </row>
    <row r="4799" spans="1:6" x14ac:dyDescent="0.25">
      <c r="A4799" s="189" t="str">
        <f t="shared" si="74"/>
        <v>FR-MD 194A0.41.15S</v>
      </c>
      <c r="B4799" s="195" t="s">
        <v>2415</v>
      </c>
      <c r="C4799" s="196">
        <v>0.4</v>
      </c>
      <c r="D4799" s="196">
        <v>1.1499999999999999</v>
      </c>
      <c r="E4799" s="195" t="s">
        <v>583</v>
      </c>
      <c r="F4799" s="195" t="s">
        <v>438</v>
      </c>
    </row>
    <row r="4800" spans="1:6" x14ac:dyDescent="0.25">
      <c r="A4800" s="189" t="str">
        <f t="shared" si="74"/>
        <v>FR-MD 194A1.151.28N</v>
      </c>
      <c r="B4800" s="195" t="s">
        <v>2415</v>
      </c>
      <c r="C4800" s="196">
        <v>1.1499999999999999</v>
      </c>
      <c r="D4800" s="196">
        <v>1.28</v>
      </c>
      <c r="E4800" s="195" t="s">
        <v>583</v>
      </c>
      <c r="F4800" s="195" t="s">
        <v>430</v>
      </c>
    </row>
    <row r="4801" spans="1:6" x14ac:dyDescent="0.25">
      <c r="A4801" s="189" t="str">
        <f t="shared" si="74"/>
        <v>FR-MD 194A1.151.28S</v>
      </c>
      <c r="B4801" s="195" t="s">
        <v>2415</v>
      </c>
      <c r="C4801" s="196">
        <v>1.1499999999999999</v>
      </c>
      <c r="D4801" s="196">
        <v>1.28</v>
      </c>
      <c r="E4801" s="195" t="s">
        <v>583</v>
      </c>
      <c r="F4801" s="195" t="s">
        <v>438</v>
      </c>
    </row>
    <row r="4802" spans="1:6" x14ac:dyDescent="0.25">
      <c r="A4802" s="189" t="str">
        <f t="shared" si="74"/>
        <v>FR-MD 194B00.09N</v>
      </c>
      <c r="B4802" s="195" t="s">
        <v>2416</v>
      </c>
      <c r="C4802" s="196">
        <v>0</v>
      </c>
      <c r="D4802" s="196">
        <v>0.09</v>
      </c>
      <c r="E4802" s="195" t="s">
        <v>589</v>
      </c>
      <c r="F4802" s="195" t="s">
        <v>430</v>
      </c>
    </row>
    <row r="4803" spans="1:6" x14ac:dyDescent="0.25">
      <c r="A4803" s="189" t="str">
        <f t="shared" ref="A4803:A4866" si="75">B4803&amp;C4803&amp;D4803&amp;F4803</f>
        <v>FR-MD 194B00.09S</v>
      </c>
      <c r="B4803" s="195" t="s">
        <v>2416</v>
      </c>
      <c r="C4803" s="196">
        <v>0</v>
      </c>
      <c r="D4803" s="196">
        <v>0.09</v>
      </c>
      <c r="E4803" s="195" t="s">
        <v>595</v>
      </c>
      <c r="F4803" s="195" t="s">
        <v>438</v>
      </c>
    </row>
    <row r="4804" spans="1:6" x14ac:dyDescent="0.25">
      <c r="A4804" s="189" t="str">
        <f t="shared" si="75"/>
        <v>FR-MD 262.864.16E</v>
      </c>
      <c r="B4804" s="195" t="s">
        <v>564</v>
      </c>
      <c r="C4804" s="196">
        <v>2.86</v>
      </c>
      <c r="D4804" s="196">
        <v>4.16</v>
      </c>
      <c r="E4804" s="195" t="s">
        <v>583</v>
      </c>
      <c r="F4804" s="195" t="s">
        <v>19</v>
      </c>
    </row>
    <row r="4805" spans="1:6" x14ac:dyDescent="0.25">
      <c r="A4805" s="189" t="str">
        <f t="shared" si="75"/>
        <v>FR-MD 262.864.16W</v>
      </c>
      <c r="B4805" s="195" t="s">
        <v>564</v>
      </c>
      <c r="C4805" s="196">
        <v>2.86</v>
      </c>
      <c r="D4805" s="196">
        <v>4.16</v>
      </c>
      <c r="E4805" s="195" t="s">
        <v>583</v>
      </c>
      <c r="F4805" s="195" t="s">
        <v>432</v>
      </c>
    </row>
    <row r="4806" spans="1:6" x14ac:dyDescent="0.25">
      <c r="A4806" s="189" t="str">
        <f t="shared" si="75"/>
        <v>FR-MD 264.164.75E</v>
      </c>
      <c r="B4806" s="195" t="s">
        <v>564</v>
      </c>
      <c r="C4806" s="196">
        <v>4.16</v>
      </c>
      <c r="D4806" s="196">
        <v>4.75</v>
      </c>
      <c r="E4806" s="195" t="s">
        <v>583</v>
      </c>
      <c r="F4806" s="195" t="s">
        <v>19</v>
      </c>
    </row>
    <row r="4807" spans="1:6" x14ac:dyDescent="0.25">
      <c r="A4807" s="189" t="str">
        <f t="shared" si="75"/>
        <v>FR-MD 264.164.75W</v>
      </c>
      <c r="B4807" s="195" t="s">
        <v>564</v>
      </c>
      <c r="C4807" s="196">
        <v>4.16</v>
      </c>
      <c r="D4807" s="196">
        <v>4.75</v>
      </c>
      <c r="E4807" s="195" t="s">
        <v>583</v>
      </c>
      <c r="F4807" s="195" t="s">
        <v>432</v>
      </c>
    </row>
    <row r="4808" spans="1:6" x14ac:dyDescent="0.25">
      <c r="A4808" s="189" t="str">
        <f t="shared" si="75"/>
        <v>FR-MD 264.7510.1E</v>
      </c>
      <c r="B4808" s="195" t="s">
        <v>564</v>
      </c>
      <c r="C4808" s="196">
        <v>4.75</v>
      </c>
      <c r="D4808" s="196">
        <v>10.1</v>
      </c>
      <c r="E4808" s="195" t="s">
        <v>583</v>
      </c>
      <c r="F4808" s="195" t="s">
        <v>19</v>
      </c>
    </row>
    <row r="4809" spans="1:6" x14ac:dyDescent="0.25">
      <c r="A4809" s="189" t="str">
        <f t="shared" si="75"/>
        <v>FR-MD 264.7510.1W</v>
      </c>
      <c r="B4809" s="195" t="s">
        <v>564</v>
      </c>
      <c r="C4809" s="196">
        <v>4.75</v>
      </c>
      <c r="D4809" s="196">
        <v>10.1</v>
      </c>
      <c r="E4809" s="195" t="s">
        <v>583</v>
      </c>
      <c r="F4809" s="195" t="s">
        <v>432</v>
      </c>
    </row>
    <row r="4810" spans="1:6" x14ac:dyDescent="0.25">
      <c r="A4810" s="189" t="str">
        <f t="shared" si="75"/>
        <v>FR-MD 2610.110.95E</v>
      </c>
      <c r="B4810" s="195" t="s">
        <v>564</v>
      </c>
      <c r="C4810" s="196">
        <v>10.1</v>
      </c>
      <c r="D4810" s="196">
        <v>10.95</v>
      </c>
      <c r="E4810" s="195" t="s">
        <v>583</v>
      </c>
      <c r="F4810" s="195" t="s">
        <v>19</v>
      </c>
    </row>
    <row r="4811" spans="1:6" x14ac:dyDescent="0.25">
      <c r="A4811" s="189" t="str">
        <f t="shared" si="75"/>
        <v>FR-MD 2610.110.95W</v>
      </c>
      <c r="B4811" s="195" t="s">
        <v>564</v>
      </c>
      <c r="C4811" s="196">
        <v>10.1</v>
      </c>
      <c r="D4811" s="196">
        <v>10.95</v>
      </c>
      <c r="E4811" s="195" t="s">
        <v>583</v>
      </c>
      <c r="F4811" s="195" t="s">
        <v>432</v>
      </c>
    </row>
    <row r="4812" spans="1:6" x14ac:dyDescent="0.25">
      <c r="A4812" s="189" t="str">
        <f t="shared" si="75"/>
        <v>FR-MD 2610.9513.35E</v>
      </c>
      <c r="B4812" s="195" t="s">
        <v>564</v>
      </c>
      <c r="C4812" s="196">
        <v>10.95</v>
      </c>
      <c r="D4812" s="196">
        <v>13.35</v>
      </c>
      <c r="E4812" s="195" t="s">
        <v>583</v>
      </c>
      <c r="F4812" s="195" t="s">
        <v>19</v>
      </c>
    </row>
    <row r="4813" spans="1:6" x14ac:dyDescent="0.25">
      <c r="A4813" s="189" t="str">
        <f t="shared" si="75"/>
        <v>FR-MD 2610.9513.35W</v>
      </c>
      <c r="B4813" s="195" t="s">
        <v>564</v>
      </c>
      <c r="C4813" s="196">
        <v>10.95</v>
      </c>
      <c r="D4813" s="196">
        <v>13.35</v>
      </c>
      <c r="E4813" s="195" t="s">
        <v>583</v>
      </c>
      <c r="F4813" s="195" t="s">
        <v>432</v>
      </c>
    </row>
    <row r="4814" spans="1:6" x14ac:dyDescent="0.25">
      <c r="A4814" s="189" t="str">
        <f t="shared" si="75"/>
        <v>FR-MD 2613.3514.49E</v>
      </c>
      <c r="B4814" s="195" t="s">
        <v>564</v>
      </c>
      <c r="C4814" s="196">
        <v>13.35</v>
      </c>
      <c r="D4814" s="196">
        <v>14.49</v>
      </c>
      <c r="E4814" s="195" t="s">
        <v>583</v>
      </c>
      <c r="F4814" s="195" t="s">
        <v>19</v>
      </c>
    </row>
    <row r="4815" spans="1:6" x14ac:dyDescent="0.25">
      <c r="A4815" s="189" t="str">
        <f t="shared" si="75"/>
        <v>FR-MD 2613.3514.49W</v>
      </c>
      <c r="B4815" s="195" t="s">
        <v>564</v>
      </c>
      <c r="C4815" s="196">
        <v>13.35</v>
      </c>
      <c r="D4815" s="196">
        <v>14.49</v>
      </c>
      <c r="E4815" s="195" t="s">
        <v>583</v>
      </c>
      <c r="F4815" s="195" t="s">
        <v>432</v>
      </c>
    </row>
    <row r="4816" spans="1:6" x14ac:dyDescent="0.25">
      <c r="A4816" s="189" t="str">
        <f t="shared" si="75"/>
        <v>FR-MD 2614.4914.5E</v>
      </c>
      <c r="B4816" s="195" t="s">
        <v>564</v>
      </c>
      <c r="C4816" s="196">
        <v>14.49</v>
      </c>
      <c r="D4816" s="196">
        <v>14.5</v>
      </c>
      <c r="E4816" s="195" t="s">
        <v>583</v>
      </c>
      <c r="F4816" s="195" t="s">
        <v>19</v>
      </c>
    </row>
    <row r="4817" spans="1:6" x14ac:dyDescent="0.25">
      <c r="A4817" s="189" t="str">
        <f t="shared" si="75"/>
        <v>FR-MD 2614.4914.5W</v>
      </c>
      <c r="B4817" s="195" t="s">
        <v>564</v>
      </c>
      <c r="C4817" s="196">
        <v>14.49</v>
      </c>
      <c r="D4817" s="196">
        <v>14.5</v>
      </c>
      <c r="E4817" s="195" t="s">
        <v>583</v>
      </c>
      <c r="F4817" s="195" t="s">
        <v>432</v>
      </c>
    </row>
    <row r="4818" spans="1:6" x14ac:dyDescent="0.25">
      <c r="A4818" s="189" t="str">
        <f t="shared" si="75"/>
        <v>FR-MD 2614.516.4E</v>
      </c>
      <c r="B4818" s="195" t="s">
        <v>564</v>
      </c>
      <c r="C4818" s="196">
        <v>14.5</v>
      </c>
      <c r="D4818" s="196">
        <v>16.399999999999999</v>
      </c>
      <c r="E4818" s="195" t="s">
        <v>583</v>
      </c>
      <c r="F4818" s="195" t="s">
        <v>19</v>
      </c>
    </row>
    <row r="4819" spans="1:6" x14ac:dyDescent="0.25">
      <c r="A4819" s="189" t="str">
        <f t="shared" si="75"/>
        <v>FR-MD 2614.516.4W</v>
      </c>
      <c r="B4819" s="195" t="s">
        <v>564</v>
      </c>
      <c r="C4819" s="196">
        <v>14.5</v>
      </c>
      <c r="D4819" s="196">
        <v>16.399999999999999</v>
      </c>
      <c r="E4819" s="195" t="s">
        <v>583</v>
      </c>
      <c r="F4819" s="195" t="s">
        <v>432</v>
      </c>
    </row>
    <row r="4820" spans="1:6" x14ac:dyDescent="0.25">
      <c r="A4820" s="189" t="str">
        <f t="shared" si="75"/>
        <v>FR-MD 2616.416.56E</v>
      </c>
      <c r="B4820" s="195" t="s">
        <v>564</v>
      </c>
      <c r="C4820" s="196">
        <v>16.399999999999999</v>
      </c>
      <c r="D4820" s="196">
        <v>16.559999999999999</v>
      </c>
      <c r="E4820" s="195" t="s">
        <v>583</v>
      </c>
      <c r="F4820" s="195" t="s">
        <v>19</v>
      </c>
    </row>
    <row r="4821" spans="1:6" x14ac:dyDescent="0.25">
      <c r="A4821" s="189" t="str">
        <f t="shared" si="75"/>
        <v>FR-MD 2616.416.56W</v>
      </c>
      <c r="B4821" s="195" t="s">
        <v>564</v>
      </c>
      <c r="C4821" s="196">
        <v>16.399999999999999</v>
      </c>
      <c r="D4821" s="196">
        <v>16.559999999999999</v>
      </c>
      <c r="E4821" s="195" t="s">
        <v>583</v>
      </c>
      <c r="F4821" s="195" t="s">
        <v>432</v>
      </c>
    </row>
    <row r="4822" spans="1:6" x14ac:dyDescent="0.25">
      <c r="A4822" s="189" t="str">
        <f t="shared" si="75"/>
        <v>FR-MD 2800.05E</v>
      </c>
      <c r="B4822" s="195" t="s">
        <v>565</v>
      </c>
      <c r="C4822" s="196">
        <v>0</v>
      </c>
      <c r="D4822" s="196">
        <v>0.05</v>
      </c>
      <c r="E4822" s="195" t="s">
        <v>583</v>
      </c>
      <c r="F4822" s="195" t="s">
        <v>19</v>
      </c>
    </row>
    <row r="4823" spans="1:6" x14ac:dyDescent="0.25">
      <c r="A4823" s="189" t="str">
        <f t="shared" si="75"/>
        <v>FR-MD 2800.05W</v>
      </c>
      <c r="B4823" s="195" t="s">
        <v>565</v>
      </c>
      <c r="C4823" s="196">
        <v>0</v>
      </c>
      <c r="D4823" s="196">
        <v>0.05</v>
      </c>
      <c r="E4823" s="195" t="s">
        <v>583</v>
      </c>
      <c r="F4823" s="195" t="s">
        <v>432</v>
      </c>
    </row>
    <row r="4824" spans="1:6" x14ac:dyDescent="0.25">
      <c r="A4824" s="189" t="str">
        <f t="shared" si="75"/>
        <v>FR-MD 280.051.01E</v>
      </c>
      <c r="B4824" s="195" t="s">
        <v>565</v>
      </c>
      <c r="C4824" s="196">
        <v>0.05</v>
      </c>
      <c r="D4824" s="196">
        <v>1.01</v>
      </c>
      <c r="E4824" s="195" t="s">
        <v>583</v>
      </c>
      <c r="F4824" s="195" t="s">
        <v>19</v>
      </c>
    </row>
    <row r="4825" spans="1:6" x14ac:dyDescent="0.25">
      <c r="A4825" s="189" t="str">
        <f t="shared" si="75"/>
        <v>FR-MD 280.051.01W</v>
      </c>
      <c r="B4825" s="195" t="s">
        <v>565</v>
      </c>
      <c r="C4825" s="196">
        <v>0.05</v>
      </c>
      <c r="D4825" s="196">
        <v>1.01</v>
      </c>
      <c r="E4825" s="195" t="s">
        <v>583</v>
      </c>
      <c r="F4825" s="195" t="s">
        <v>432</v>
      </c>
    </row>
    <row r="4826" spans="1:6" x14ac:dyDescent="0.25">
      <c r="A4826" s="189" t="str">
        <f t="shared" si="75"/>
        <v>FR-MD 281.011.08E</v>
      </c>
      <c r="B4826" s="195" t="s">
        <v>565</v>
      </c>
      <c r="C4826" s="196">
        <v>1.01</v>
      </c>
      <c r="D4826" s="196">
        <v>1.08</v>
      </c>
      <c r="E4826" s="195" t="s">
        <v>583</v>
      </c>
      <c r="F4826" s="195" t="s">
        <v>19</v>
      </c>
    </row>
    <row r="4827" spans="1:6" x14ac:dyDescent="0.25">
      <c r="A4827" s="189" t="str">
        <f t="shared" si="75"/>
        <v>FR-MD 281.011.08W</v>
      </c>
      <c r="B4827" s="195" t="s">
        <v>565</v>
      </c>
      <c r="C4827" s="196">
        <v>1.01</v>
      </c>
      <c r="D4827" s="196">
        <v>1.08</v>
      </c>
      <c r="E4827" s="195" t="s">
        <v>583</v>
      </c>
      <c r="F4827" s="195" t="s">
        <v>432</v>
      </c>
    </row>
    <row r="4828" spans="1:6" x14ac:dyDescent="0.25">
      <c r="A4828" s="189" t="str">
        <f t="shared" si="75"/>
        <v>FR-MD 281.084.73E</v>
      </c>
      <c r="B4828" s="195" t="s">
        <v>565</v>
      </c>
      <c r="C4828" s="196">
        <v>1.08</v>
      </c>
      <c r="D4828" s="196">
        <v>4.7300000000000004</v>
      </c>
      <c r="E4828" s="195" t="s">
        <v>583</v>
      </c>
      <c r="F4828" s="195" t="s">
        <v>19</v>
      </c>
    </row>
    <row r="4829" spans="1:6" x14ac:dyDescent="0.25">
      <c r="A4829" s="189" t="str">
        <f t="shared" si="75"/>
        <v>FR-MD 281.084.73W</v>
      </c>
      <c r="B4829" s="195" t="s">
        <v>565</v>
      </c>
      <c r="C4829" s="196">
        <v>1.08</v>
      </c>
      <c r="D4829" s="196">
        <v>4.7300000000000004</v>
      </c>
      <c r="E4829" s="195" t="s">
        <v>583</v>
      </c>
      <c r="F4829" s="195" t="s">
        <v>432</v>
      </c>
    </row>
    <row r="4830" spans="1:6" x14ac:dyDescent="0.25">
      <c r="A4830" s="189" t="str">
        <f t="shared" si="75"/>
        <v>FR-MD 284.734.83W</v>
      </c>
      <c r="B4830" s="195" t="s">
        <v>565</v>
      </c>
      <c r="C4830" s="196">
        <v>4.7300000000000004</v>
      </c>
      <c r="D4830" s="196">
        <v>4.83</v>
      </c>
      <c r="E4830" s="195" t="s">
        <v>593</v>
      </c>
      <c r="F4830" s="195" t="s">
        <v>432</v>
      </c>
    </row>
    <row r="4831" spans="1:6" x14ac:dyDescent="0.25">
      <c r="A4831" s="189" t="str">
        <f t="shared" si="75"/>
        <v>FR-MD 284.736.49E</v>
      </c>
      <c r="B4831" s="195" t="s">
        <v>565</v>
      </c>
      <c r="C4831" s="196">
        <v>4.7300000000000004</v>
      </c>
      <c r="D4831" s="196">
        <v>6.49</v>
      </c>
      <c r="E4831" s="195" t="s">
        <v>598</v>
      </c>
      <c r="F4831" s="195" t="s">
        <v>19</v>
      </c>
    </row>
    <row r="4832" spans="1:6" x14ac:dyDescent="0.25">
      <c r="A4832" s="189" t="str">
        <f t="shared" si="75"/>
        <v>FR-MD 284.836.49W</v>
      </c>
      <c r="B4832" s="195" t="s">
        <v>565</v>
      </c>
      <c r="C4832" s="196">
        <v>4.83</v>
      </c>
      <c r="D4832" s="196">
        <v>6.49</v>
      </c>
      <c r="E4832" s="195" t="s">
        <v>593</v>
      </c>
      <c r="F4832" s="195" t="s">
        <v>432</v>
      </c>
    </row>
    <row r="4833" spans="1:6" x14ac:dyDescent="0.25">
      <c r="A4833" s="189" t="str">
        <f t="shared" si="75"/>
        <v>FR-MD 286.497.5E</v>
      </c>
      <c r="B4833" s="195" t="s">
        <v>565</v>
      </c>
      <c r="C4833" s="196">
        <v>6.49</v>
      </c>
      <c r="D4833" s="196">
        <v>7.5</v>
      </c>
      <c r="E4833" s="195" t="s">
        <v>583</v>
      </c>
      <c r="F4833" s="195" t="s">
        <v>19</v>
      </c>
    </row>
    <row r="4834" spans="1:6" x14ac:dyDescent="0.25">
      <c r="A4834" s="189" t="str">
        <f t="shared" si="75"/>
        <v>FR-MD 286.497.5W</v>
      </c>
      <c r="B4834" s="195" t="s">
        <v>565</v>
      </c>
      <c r="C4834" s="196">
        <v>6.49</v>
      </c>
      <c r="D4834" s="196">
        <v>7.5</v>
      </c>
      <c r="E4834" s="195" t="s">
        <v>583</v>
      </c>
      <c r="F4834" s="195" t="s">
        <v>432</v>
      </c>
    </row>
    <row r="4835" spans="1:6" x14ac:dyDescent="0.25">
      <c r="A4835" s="189" t="str">
        <f t="shared" si="75"/>
        <v>FR-MD 3103.15E</v>
      </c>
      <c r="B4835" s="195" t="s">
        <v>2417</v>
      </c>
      <c r="C4835" s="196">
        <v>0</v>
      </c>
      <c r="D4835" s="196">
        <v>3.15</v>
      </c>
      <c r="E4835" s="195" t="s">
        <v>583</v>
      </c>
      <c r="F4835" s="195" t="s">
        <v>19</v>
      </c>
    </row>
    <row r="4836" spans="1:6" x14ac:dyDescent="0.25">
      <c r="A4836" s="189" t="str">
        <f t="shared" si="75"/>
        <v>FR-MD 3103.15W</v>
      </c>
      <c r="B4836" s="195" t="s">
        <v>2417</v>
      </c>
      <c r="C4836" s="196">
        <v>0</v>
      </c>
      <c r="D4836" s="196">
        <v>3.15</v>
      </c>
      <c r="E4836" s="195" t="s">
        <v>583</v>
      </c>
      <c r="F4836" s="195" t="s">
        <v>432</v>
      </c>
    </row>
    <row r="4837" spans="1:6" x14ac:dyDescent="0.25">
      <c r="A4837" s="189" t="str">
        <f t="shared" si="75"/>
        <v>FR-MD 313.156.6E</v>
      </c>
      <c r="B4837" s="195" t="s">
        <v>2417</v>
      </c>
      <c r="C4837" s="196">
        <v>3.15</v>
      </c>
      <c r="D4837" s="196">
        <v>6.6</v>
      </c>
      <c r="E4837" s="195" t="s">
        <v>583</v>
      </c>
      <c r="F4837" s="195" t="s">
        <v>19</v>
      </c>
    </row>
    <row r="4838" spans="1:6" x14ac:dyDescent="0.25">
      <c r="A4838" s="189" t="str">
        <f t="shared" si="75"/>
        <v>FR-MD 313.156.6W</v>
      </c>
      <c r="B4838" s="195" t="s">
        <v>2417</v>
      </c>
      <c r="C4838" s="196">
        <v>3.15</v>
      </c>
      <c r="D4838" s="196">
        <v>6.6</v>
      </c>
      <c r="E4838" s="195" t="s">
        <v>583</v>
      </c>
      <c r="F4838" s="195" t="s">
        <v>432</v>
      </c>
    </row>
    <row r="4839" spans="1:6" x14ac:dyDescent="0.25">
      <c r="A4839" s="189" t="str">
        <f t="shared" si="75"/>
        <v>FR-MD 3516.778.65N</v>
      </c>
      <c r="B4839" s="195" t="s">
        <v>2418</v>
      </c>
      <c r="C4839" s="196">
        <v>6.77</v>
      </c>
      <c r="D4839" s="196">
        <v>8.65</v>
      </c>
      <c r="E4839" s="195" t="s">
        <v>583</v>
      </c>
      <c r="F4839" s="195" t="s">
        <v>430</v>
      </c>
    </row>
    <row r="4840" spans="1:6" x14ac:dyDescent="0.25">
      <c r="A4840" s="189" t="str">
        <f t="shared" si="75"/>
        <v>FR-MD 3516.778.65S</v>
      </c>
      <c r="B4840" s="195" t="s">
        <v>2418</v>
      </c>
      <c r="C4840" s="196">
        <v>6.77</v>
      </c>
      <c r="D4840" s="196">
        <v>8.65</v>
      </c>
      <c r="E4840" s="195" t="s">
        <v>583</v>
      </c>
      <c r="F4840" s="195" t="s">
        <v>438</v>
      </c>
    </row>
    <row r="4841" spans="1:6" x14ac:dyDescent="0.25">
      <c r="A4841" s="189" t="str">
        <f t="shared" si="75"/>
        <v>FR-MD 3518.658.76N</v>
      </c>
      <c r="B4841" s="195" t="s">
        <v>2418</v>
      </c>
      <c r="C4841" s="196">
        <v>8.65</v>
      </c>
      <c r="D4841" s="196">
        <v>8.76</v>
      </c>
      <c r="E4841" s="195" t="s">
        <v>583</v>
      </c>
      <c r="F4841" s="195" t="s">
        <v>430</v>
      </c>
    </row>
    <row r="4842" spans="1:6" x14ac:dyDescent="0.25">
      <c r="A4842" s="189" t="str">
        <f t="shared" si="75"/>
        <v>FR-MD 3518.658.76S</v>
      </c>
      <c r="B4842" s="195" t="s">
        <v>2418</v>
      </c>
      <c r="C4842" s="196">
        <v>8.65</v>
      </c>
      <c r="D4842" s="196">
        <v>8.76</v>
      </c>
      <c r="E4842" s="195" t="s">
        <v>583</v>
      </c>
      <c r="F4842" s="195" t="s">
        <v>438</v>
      </c>
    </row>
    <row r="4843" spans="1:6" x14ac:dyDescent="0.25">
      <c r="A4843" s="189" t="str">
        <f t="shared" si="75"/>
        <v>FR-MD 3518.869.18N</v>
      </c>
      <c r="B4843" s="195" t="s">
        <v>2418</v>
      </c>
      <c r="C4843" s="196">
        <v>8.86</v>
      </c>
      <c r="D4843" s="196">
        <v>9.18</v>
      </c>
      <c r="E4843" s="195" t="s">
        <v>583</v>
      </c>
      <c r="F4843" s="195" t="s">
        <v>430</v>
      </c>
    </row>
    <row r="4844" spans="1:6" x14ac:dyDescent="0.25">
      <c r="A4844" s="189" t="str">
        <f t="shared" si="75"/>
        <v>FR-MD 3518.869.18S</v>
      </c>
      <c r="B4844" s="195" t="s">
        <v>2418</v>
      </c>
      <c r="C4844" s="196">
        <v>8.86</v>
      </c>
      <c r="D4844" s="196">
        <v>9.18</v>
      </c>
      <c r="E4844" s="195" t="s">
        <v>583</v>
      </c>
      <c r="F4844" s="195" t="s">
        <v>438</v>
      </c>
    </row>
    <row r="4845" spans="1:6" x14ac:dyDescent="0.25">
      <c r="A4845" s="189" t="str">
        <f t="shared" si="75"/>
        <v>FR-MD 3519.2210.02N</v>
      </c>
      <c r="B4845" s="195" t="s">
        <v>2418</v>
      </c>
      <c r="C4845" s="196">
        <v>9.2200000000000006</v>
      </c>
      <c r="D4845" s="196">
        <v>10.02</v>
      </c>
      <c r="E4845" s="195" t="s">
        <v>583</v>
      </c>
      <c r="F4845" s="195" t="s">
        <v>430</v>
      </c>
    </row>
    <row r="4846" spans="1:6" x14ac:dyDescent="0.25">
      <c r="A4846" s="189" t="str">
        <f t="shared" si="75"/>
        <v>FR-MD 3519.2210.02S</v>
      </c>
      <c r="B4846" s="195" t="s">
        <v>2418</v>
      </c>
      <c r="C4846" s="196">
        <v>9.2200000000000006</v>
      </c>
      <c r="D4846" s="196">
        <v>10.02</v>
      </c>
      <c r="E4846" s="195" t="s">
        <v>583</v>
      </c>
      <c r="F4846" s="195" t="s">
        <v>438</v>
      </c>
    </row>
    <row r="4847" spans="1:6" x14ac:dyDescent="0.25">
      <c r="A4847" s="189" t="str">
        <f t="shared" si="75"/>
        <v>FR-MD 35110.0211.01N</v>
      </c>
      <c r="B4847" s="195" t="s">
        <v>2418</v>
      </c>
      <c r="C4847" s="196">
        <v>10.02</v>
      </c>
      <c r="D4847" s="196">
        <v>11.01</v>
      </c>
      <c r="E4847" s="195" t="s">
        <v>583</v>
      </c>
      <c r="F4847" s="195" t="s">
        <v>430</v>
      </c>
    </row>
    <row r="4848" spans="1:6" x14ac:dyDescent="0.25">
      <c r="A4848" s="189" t="str">
        <f t="shared" si="75"/>
        <v>FR-MD 35110.0211.01S</v>
      </c>
      <c r="B4848" s="195" t="s">
        <v>2418</v>
      </c>
      <c r="C4848" s="196">
        <v>10.02</v>
      </c>
      <c r="D4848" s="196">
        <v>11.01</v>
      </c>
      <c r="E4848" s="195" t="s">
        <v>583</v>
      </c>
      <c r="F4848" s="195" t="s">
        <v>438</v>
      </c>
    </row>
    <row r="4849" spans="1:6" x14ac:dyDescent="0.25">
      <c r="A4849" s="189" t="str">
        <f t="shared" si="75"/>
        <v>FR-MD 35111.0111.01N</v>
      </c>
      <c r="B4849" s="195" t="s">
        <v>2418</v>
      </c>
      <c r="C4849" s="196">
        <v>11.01</v>
      </c>
      <c r="D4849" s="196">
        <v>11.01</v>
      </c>
      <c r="E4849" s="195" t="s">
        <v>583</v>
      </c>
      <c r="F4849" s="195" t="s">
        <v>430</v>
      </c>
    </row>
    <row r="4850" spans="1:6" x14ac:dyDescent="0.25">
      <c r="A4850" s="189" t="str">
        <f t="shared" si="75"/>
        <v>FR-MD 35111.0111.01S</v>
      </c>
      <c r="B4850" s="195" t="s">
        <v>2418</v>
      </c>
      <c r="C4850" s="196">
        <v>11.01</v>
      </c>
      <c r="D4850" s="196">
        <v>11.01</v>
      </c>
      <c r="E4850" s="195" t="s">
        <v>583</v>
      </c>
      <c r="F4850" s="195" t="s">
        <v>438</v>
      </c>
    </row>
    <row r="4851" spans="1:6" x14ac:dyDescent="0.25">
      <c r="A4851" s="189" t="str">
        <f t="shared" si="75"/>
        <v>FR-MD 35503.14N</v>
      </c>
      <c r="B4851" s="195" t="s">
        <v>2419</v>
      </c>
      <c r="C4851" s="196">
        <v>0</v>
      </c>
      <c r="D4851" s="196">
        <v>3.14</v>
      </c>
      <c r="E4851" s="195" t="s">
        <v>583</v>
      </c>
      <c r="F4851" s="195" t="s">
        <v>430</v>
      </c>
    </row>
    <row r="4852" spans="1:6" x14ac:dyDescent="0.25">
      <c r="A4852" s="189" t="str">
        <f t="shared" si="75"/>
        <v>FR-MD 35503.14S</v>
      </c>
      <c r="B4852" s="195" t="s">
        <v>2419</v>
      </c>
      <c r="C4852" s="196">
        <v>0</v>
      </c>
      <c r="D4852" s="196">
        <v>3.14</v>
      </c>
      <c r="E4852" s="195" t="s">
        <v>583</v>
      </c>
      <c r="F4852" s="195" t="s">
        <v>438</v>
      </c>
    </row>
    <row r="4853" spans="1:6" x14ac:dyDescent="0.25">
      <c r="A4853" s="189" t="str">
        <f t="shared" si="75"/>
        <v>FR-MD 3553.143.22N</v>
      </c>
      <c r="B4853" s="195" t="s">
        <v>2419</v>
      </c>
      <c r="C4853" s="196">
        <v>3.14</v>
      </c>
      <c r="D4853" s="196">
        <v>3.22</v>
      </c>
      <c r="E4853" s="195" t="s">
        <v>583</v>
      </c>
      <c r="F4853" s="195" t="s">
        <v>430</v>
      </c>
    </row>
    <row r="4854" spans="1:6" x14ac:dyDescent="0.25">
      <c r="A4854" s="189" t="str">
        <f t="shared" si="75"/>
        <v>FR-MD 3553.143.22S</v>
      </c>
      <c r="B4854" s="195" t="s">
        <v>2419</v>
      </c>
      <c r="C4854" s="196">
        <v>3.14</v>
      </c>
      <c r="D4854" s="196">
        <v>3.22</v>
      </c>
      <c r="E4854" s="195" t="s">
        <v>583</v>
      </c>
      <c r="F4854" s="195" t="s">
        <v>438</v>
      </c>
    </row>
    <row r="4855" spans="1:6" x14ac:dyDescent="0.25">
      <c r="A4855" s="189" t="str">
        <f t="shared" si="75"/>
        <v>FR-MD 3553.223.4N</v>
      </c>
      <c r="B4855" s="195" t="s">
        <v>2419</v>
      </c>
      <c r="C4855" s="196">
        <v>3.22</v>
      </c>
      <c r="D4855" s="196">
        <v>3.4</v>
      </c>
      <c r="E4855" s="195" t="s">
        <v>583</v>
      </c>
      <c r="F4855" s="195" t="s">
        <v>430</v>
      </c>
    </row>
    <row r="4856" spans="1:6" x14ac:dyDescent="0.25">
      <c r="A4856" s="189" t="str">
        <f t="shared" si="75"/>
        <v>FR-MD 3553.223.4S</v>
      </c>
      <c r="B4856" s="195" t="s">
        <v>2419</v>
      </c>
      <c r="C4856" s="196">
        <v>3.22</v>
      </c>
      <c r="D4856" s="196">
        <v>3.4</v>
      </c>
      <c r="E4856" s="195" t="s">
        <v>583</v>
      </c>
      <c r="F4856" s="195" t="s">
        <v>438</v>
      </c>
    </row>
    <row r="4857" spans="1:6" x14ac:dyDescent="0.25">
      <c r="A4857" s="189" t="str">
        <f t="shared" si="75"/>
        <v>FR-MD 3553.44.35N</v>
      </c>
      <c r="B4857" s="195" t="s">
        <v>2419</v>
      </c>
      <c r="C4857" s="196">
        <v>3.4</v>
      </c>
      <c r="D4857" s="196">
        <v>4.3499999999999996</v>
      </c>
      <c r="E4857" s="195" t="s">
        <v>583</v>
      </c>
      <c r="F4857" s="195" t="s">
        <v>430</v>
      </c>
    </row>
    <row r="4858" spans="1:6" x14ac:dyDescent="0.25">
      <c r="A4858" s="189" t="str">
        <f t="shared" si="75"/>
        <v>FR-MD 3553.44.35S</v>
      </c>
      <c r="B4858" s="195" t="s">
        <v>2419</v>
      </c>
      <c r="C4858" s="196">
        <v>3.4</v>
      </c>
      <c r="D4858" s="196">
        <v>4.3499999999999996</v>
      </c>
      <c r="E4858" s="195" t="s">
        <v>583</v>
      </c>
      <c r="F4858" s="195" t="s">
        <v>438</v>
      </c>
    </row>
    <row r="4859" spans="1:6" x14ac:dyDescent="0.25">
      <c r="A4859" s="189" t="str">
        <f t="shared" si="75"/>
        <v>FR-MD 3554.354.69N</v>
      </c>
      <c r="B4859" s="195" t="s">
        <v>2419</v>
      </c>
      <c r="C4859" s="196">
        <v>4.3499999999999996</v>
      </c>
      <c r="D4859" s="196">
        <v>4.6900000000000004</v>
      </c>
      <c r="E4859" s="195" t="s">
        <v>583</v>
      </c>
      <c r="F4859" s="195" t="s">
        <v>430</v>
      </c>
    </row>
    <row r="4860" spans="1:6" x14ac:dyDescent="0.25">
      <c r="A4860" s="189" t="str">
        <f t="shared" si="75"/>
        <v>FR-MD 3554.354.69S</v>
      </c>
      <c r="B4860" s="195" t="s">
        <v>2419</v>
      </c>
      <c r="C4860" s="196">
        <v>4.3499999999999996</v>
      </c>
      <c r="D4860" s="196">
        <v>4.6900000000000004</v>
      </c>
      <c r="E4860" s="195" t="s">
        <v>583</v>
      </c>
      <c r="F4860" s="195" t="s">
        <v>438</v>
      </c>
    </row>
    <row r="4861" spans="1:6" x14ac:dyDescent="0.25">
      <c r="A4861" s="189" t="str">
        <f t="shared" si="75"/>
        <v>FR-MD 3554.697.53N</v>
      </c>
      <c r="B4861" s="195" t="s">
        <v>2419</v>
      </c>
      <c r="C4861" s="196">
        <v>4.6900000000000004</v>
      </c>
      <c r="D4861" s="196">
        <v>7.53</v>
      </c>
      <c r="E4861" s="195" t="s">
        <v>583</v>
      </c>
      <c r="F4861" s="195" t="s">
        <v>430</v>
      </c>
    </row>
    <row r="4862" spans="1:6" x14ac:dyDescent="0.25">
      <c r="A4862" s="189" t="str">
        <f t="shared" si="75"/>
        <v>FR-MD 3554.697.53S</v>
      </c>
      <c r="B4862" s="195" t="s">
        <v>2419</v>
      </c>
      <c r="C4862" s="196">
        <v>4.6900000000000004</v>
      </c>
      <c r="D4862" s="196">
        <v>7.53</v>
      </c>
      <c r="E4862" s="195" t="s">
        <v>583</v>
      </c>
      <c r="F4862" s="195" t="s">
        <v>438</v>
      </c>
    </row>
    <row r="4863" spans="1:6" x14ac:dyDescent="0.25">
      <c r="A4863" s="189" t="str">
        <f t="shared" si="75"/>
        <v>FR-MD 3557.537.59N</v>
      </c>
      <c r="B4863" s="195" t="s">
        <v>2419</v>
      </c>
      <c r="C4863" s="196">
        <v>7.53</v>
      </c>
      <c r="D4863" s="196">
        <v>7.59</v>
      </c>
      <c r="E4863" s="195" t="s">
        <v>583</v>
      </c>
      <c r="F4863" s="195" t="s">
        <v>430</v>
      </c>
    </row>
    <row r="4864" spans="1:6" x14ac:dyDescent="0.25">
      <c r="A4864" s="189" t="str">
        <f t="shared" si="75"/>
        <v>FR-MD 3557.537.59S</v>
      </c>
      <c r="B4864" s="195" t="s">
        <v>2419</v>
      </c>
      <c r="C4864" s="196">
        <v>7.53</v>
      </c>
      <c r="D4864" s="196">
        <v>7.59</v>
      </c>
      <c r="E4864" s="195" t="s">
        <v>583</v>
      </c>
      <c r="F4864" s="195" t="s">
        <v>438</v>
      </c>
    </row>
    <row r="4865" spans="1:6" x14ac:dyDescent="0.25">
      <c r="A4865" s="189" t="str">
        <f t="shared" si="75"/>
        <v>FR-MD 3557.598.33N</v>
      </c>
      <c r="B4865" s="195" t="s">
        <v>2419</v>
      </c>
      <c r="C4865" s="196">
        <v>7.59</v>
      </c>
      <c r="D4865" s="196">
        <v>8.33</v>
      </c>
      <c r="E4865" s="195" t="s">
        <v>589</v>
      </c>
      <c r="F4865" s="195" t="s">
        <v>430</v>
      </c>
    </row>
    <row r="4866" spans="1:6" x14ac:dyDescent="0.25">
      <c r="A4866" s="189" t="str">
        <f t="shared" si="75"/>
        <v>FR-MD 3557.598.39S</v>
      </c>
      <c r="B4866" s="195" t="s">
        <v>2419</v>
      </c>
      <c r="C4866" s="196">
        <v>7.59</v>
      </c>
      <c r="D4866" s="196">
        <v>8.39</v>
      </c>
      <c r="E4866" s="195" t="s">
        <v>595</v>
      </c>
      <c r="F4866" s="195" t="s">
        <v>438</v>
      </c>
    </row>
    <row r="4867" spans="1:6" x14ac:dyDescent="0.25">
      <c r="A4867" s="189" t="str">
        <f t="shared" ref="A4867:A4930" si="76">B4867&amp;C4867&amp;D4867&amp;F4867</f>
        <v>FR-MD 355A00.05N</v>
      </c>
      <c r="B4867" s="195" t="s">
        <v>2420</v>
      </c>
      <c r="C4867" s="196">
        <v>0</v>
      </c>
      <c r="D4867" s="196">
        <v>0.05</v>
      </c>
      <c r="E4867" s="195" t="s">
        <v>589</v>
      </c>
      <c r="F4867" s="195" t="s">
        <v>430</v>
      </c>
    </row>
    <row r="4868" spans="1:6" x14ac:dyDescent="0.25">
      <c r="A4868" s="189" t="str">
        <f t="shared" si="76"/>
        <v>FR-MD 355A00.05S</v>
      </c>
      <c r="B4868" s="195" t="s">
        <v>2420</v>
      </c>
      <c r="C4868" s="196">
        <v>0</v>
      </c>
      <c r="D4868" s="196">
        <v>0.05</v>
      </c>
      <c r="E4868" s="195" t="s">
        <v>595</v>
      </c>
      <c r="F4868" s="195" t="s">
        <v>438</v>
      </c>
    </row>
    <row r="4869" spans="1:6" x14ac:dyDescent="0.25">
      <c r="A4869" s="189" t="str">
        <f t="shared" si="76"/>
        <v>FR-MD 355B00.12E</v>
      </c>
      <c r="B4869" s="195" t="s">
        <v>2421</v>
      </c>
      <c r="C4869" s="196">
        <v>0</v>
      </c>
      <c r="D4869" s="196">
        <v>0.12</v>
      </c>
      <c r="E4869" s="195" t="s">
        <v>598</v>
      </c>
      <c r="F4869" s="195" t="s">
        <v>19</v>
      </c>
    </row>
    <row r="4870" spans="1:6" x14ac:dyDescent="0.25">
      <c r="A4870" s="189" t="str">
        <f t="shared" si="76"/>
        <v>FR-MD 355B00.12W</v>
      </c>
      <c r="B4870" s="195" t="s">
        <v>2421</v>
      </c>
      <c r="C4870" s="196">
        <v>0</v>
      </c>
      <c r="D4870" s="196">
        <v>0.12</v>
      </c>
      <c r="E4870" s="195" t="s">
        <v>593</v>
      </c>
      <c r="F4870" s="195" t="s">
        <v>432</v>
      </c>
    </row>
    <row r="4871" spans="1:6" x14ac:dyDescent="0.25">
      <c r="A4871" s="189" t="str">
        <f t="shared" si="76"/>
        <v>FR-MD 38301.5N</v>
      </c>
      <c r="B4871" s="195" t="s">
        <v>2422</v>
      </c>
      <c r="C4871" s="196">
        <v>0</v>
      </c>
      <c r="D4871" s="196">
        <v>1.5</v>
      </c>
      <c r="E4871" s="195" t="s">
        <v>583</v>
      </c>
      <c r="F4871" s="195" t="s">
        <v>430</v>
      </c>
    </row>
    <row r="4872" spans="1:6" x14ac:dyDescent="0.25">
      <c r="A4872" s="189" t="str">
        <f t="shared" si="76"/>
        <v>FR-MD 38301.5S</v>
      </c>
      <c r="B4872" s="195" t="s">
        <v>2422</v>
      </c>
      <c r="C4872" s="196">
        <v>0</v>
      </c>
      <c r="D4872" s="196">
        <v>1.5</v>
      </c>
      <c r="E4872" s="195" t="s">
        <v>583</v>
      </c>
      <c r="F4872" s="195" t="s">
        <v>438</v>
      </c>
    </row>
    <row r="4873" spans="1:6" x14ac:dyDescent="0.25">
      <c r="A4873" s="189" t="str">
        <f t="shared" si="76"/>
        <v>FR-MD 3831.52.36N</v>
      </c>
      <c r="B4873" s="195" t="s">
        <v>2422</v>
      </c>
      <c r="C4873" s="196">
        <v>1.5</v>
      </c>
      <c r="D4873" s="196">
        <v>2.36</v>
      </c>
      <c r="E4873" s="195" t="s">
        <v>583</v>
      </c>
      <c r="F4873" s="195" t="s">
        <v>430</v>
      </c>
    </row>
    <row r="4874" spans="1:6" x14ac:dyDescent="0.25">
      <c r="A4874" s="189" t="str">
        <f t="shared" si="76"/>
        <v>FR-MD 3831.52.36S</v>
      </c>
      <c r="B4874" s="195" t="s">
        <v>2422</v>
      </c>
      <c r="C4874" s="196">
        <v>1.5</v>
      </c>
      <c r="D4874" s="196">
        <v>2.36</v>
      </c>
      <c r="E4874" s="195" t="s">
        <v>583</v>
      </c>
      <c r="F4874" s="195" t="s">
        <v>438</v>
      </c>
    </row>
    <row r="4875" spans="1:6" x14ac:dyDescent="0.25">
      <c r="A4875" s="189" t="str">
        <f t="shared" si="76"/>
        <v>FR-MD 3832.364.15N</v>
      </c>
      <c r="B4875" s="195" t="s">
        <v>2422</v>
      </c>
      <c r="C4875" s="196">
        <v>2.36</v>
      </c>
      <c r="D4875" s="196">
        <v>4.1500000000000004</v>
      </c>
      <c r="E4875" s="195" t="s">
        <v>583</v>
      </c>
      <c r="F4875" s="195" t="s">
        <v>430</v>
      </c>
    </row>
    <row r="4876" spans="1:6" x14ac:dyDescent="0.25">
      <c r="A4876" s="189" t="str">
        <f t="shared" si="76"/>
        <v>FR-MD 3832.364.15S</v>
      </c>
      <c r="B4876" s="195" t="s">
        <v>2422</v>
      </c>
      <c r="C4876" s="196">
        <v>2.36</v>
      </c>
      <c r="D4876" s="196">
        <v>4.1500000000000004</v>
      </c>
      <c r="E4876" s="195" t="s">
        <v>583</v>
      </c>
      <c r="F4876" s="195" t="s">
        <v>438</v>
      </c>
    </row>
    <row r="4877" spans="1:6" x14ac:dyDescent="0.25">
      <c r="A4877" s="189" t="str">
        <f t="shared" si="76"/>
        <v>FR-MD 3834.155.48N</v>
      </c>
      <c r="B4877" s="195" t="s">
        <v>2422</v>
      </c>
      <c r="C4877" s="196">
        <v>4.1500000000000004</v>
      </c>
      <c r="D4877" s="196">
        <v>5.48</v>
      </c>
      <c r="E4877" s="195" t="s">
        <v>583</v>
      </c>
      <c r="F4877" s="195" t="s">
        <v>430</v>
      </c>
    </row>
    <row r="4878" spans="1:6" x14ac:dyDescent="0.25">
      <c r="A4878" s="189" t="str">
        <f t="shared" si="76"/>
        <v>FR-MD 3834.155.48S</v>
      </c>
      <c r="B4878" s="195" t="s">
        <v>2422</v>
      </c>
      <c r="C4878" s="196">
        <v>4.1500000000000004</v>
      </c>
      <c r="D4878" s="196">
        <v>5.48</v>
      </c>
      <c r="E4878" s="195" t="s">
        <v>583</v>
      </c>
      <c r="F4878" s="195" t="s">
        <v>438</v>
      </c>
    </row>
    <row r="4879" spans="1:6" x14ac:dyDescent="0.25">
      <c r="A4879" s="189" t="str">
        <f t="shared" si="76"/>
        <v>FR-MD 46400.3E</v>
      </c>
      <c r="B4879" s="195" t="s">
        <v>2423</v>
      </c>
      <c r="C4879" s="196">
        <v>0</v>
      </c>
      <c r="D4879" s="196">
        <v>0.3</v>
      </c>
      <c r="E4879" s="195" t="s">
        <v>583</v>
      </c>
      <c r="F4879" s="195" t="s">
        <v>19</v>
      </c>
    </row>
    <row r="4880" spans="1:6" x14ac:dyDescent="0.25">
      <c r="A4880" s="189" t="str">
        <f t="shared" si="76"/>
        <v>FR-MD 46400.3W</v>
      </c>
      <c r="B4880" s="195" t="s">
        <v>2423</v>
      </c>
      <c r="C4880" s="196">
        <v>0</v>
      </c>
      <c r="D4880" s="196">
        <v>0.3</v>
      </c>
      <c r="E4880" s="195" t="s">
        <v>583</v>
      </c>
      <c r="F4880" s="195" t="s">
        <v>432</v>
      </c>
    </row>
    <row r="4881" spans="1:6" x14ac:dyDescent="0.25">
      <c r="A4881" s="189" t="str">
        <f t="shared" si="76"/>
        <v>FR-MD 4640.31.05E</v>
      </c>
      <c r="B4881" s="195" t="s">
        <v>2423</v>
      </c>
      <c r="C4881" s="196">
        <v>0.3</v>
      </c>
      <c r="D4881" s="196">
        <v>1.05</v>
      </c>
      <c r="E4881" s="195" t="s">
        <v>583</v>
      </c>
      <c r="F4881" s="195" t="s">
        <v>19</v>
      </c>
    </row>
    <row r="4882" spans="1:6" x14ac:dyDescent="0.25">
      <c r="A4882" s="189" t="str">
        <f t="shared" si="76"/>
        <v>FR-MD 4640.31.05W</v>
      </c>
      <c r="B4882" s="195" t="s">
        <v>2423</v>
      </c>
      <c r="C4882" s="196">
        <v>0.3</v>
      </c>
      <c r="D4882" s="196">
        <v>1.05</v>
      </c>
      <c r="E4882" s="195" t="s">
        <v>583</v>
      </c>
      <c r="F4882" s="195" t="s">
        <v>432</v>
      </c>
    </row>
    <row r="4883" spans="1:6" x14ac:dyDescent="0.25">
      <c r="A4883" s="189" t="str">
        <f t="shared" si="76"/>
        <v>FR-MD 4641.051.35W</v>
      </c>
      <c r="B4883" s="195" t="s">
        <v>2423</v>
      </c>
      <c r="C4883" s="196">
        <v>1.05</v>
      </c>
      <c r="D4883" s="196">
        <v>1.35</v>
      </c>
      <c r="E4883" s="195" t="s">
        <v>593</v>
      </c>
      <c r="F4883" s="195" t="s">
        <v>432</v>
      </c>
    </row>
    <row r="4884" spans="1:6" x14ac:dyDescent="0.25">
      <c r="A4884" s="189" t="str">
        <f t="shared" si="76"/>
        <v>FR-MD 4641.054.65E</v>
      </c>
      <c r="B4884" s="195" t="s">
        <v>2423</v>
      </c>
      <c r="C4884" s="196">
        <v>1.05</v>
      </c>
      <c r="D4884" s="196">
        <v>4.6500000000000004</v>
      </c>
      <c r="E4884" s="195" t="s">
        <v>598</v>
      </c>
      <c r="F4884" s="195" t="s">
        <v>19</v>
      </c>
    </row>
    <row r="4885" spans="1:6" x14ac:dyDescent="0.25">
      <c r="A4885" s="189" t="str">
        <f t="shared" si="76"/>
        <v>FR-MD 4641.624.65W</v>
      </c>
      <c r="B4885" s="195" t="s">
        <v>2423</v>
      </c>
      <c r="C4885" s="196">
        <v>1.62</v>
      </c>
      <c r="D4885" s="196">
        <v>4.6500000000000004</v>
      </c>
      <c r="E4885" s="195" t="s">
        <v>593</v>
      </c>
      <c r="F4885" s="195" t="s">
        <v>432</v>
      </c>
    </row>
    <row r="4886" spans="1:6" x14ac:dyDescent="0.25">
      <c r="A4886" s="189" t="str">
        <f t="shared" si="76"/>
        <v>FR-MD 4644.657.98E</v>
      </c>
      <c r="B4886" s="195" t="s">
        <v>2423</v>
      </c>
      <c r="C4886" s="196">
        <v>4.6500000000000004</v>
      </c>
      <c r="D4886" s="196">
        <v>7.98</v>
      </c>
      <c r="E4886" s="195" t="s">
        <v>583</v>
      </c>
      <c r="F4886" s="195" t="s">
        <v>19</v>
      </c>
    </row>
    <row r="4887" spans="1:6" x14ac:dyDescent="0.25">
      <c r="A4887" s="189" t="str">
        <f t="shared" si="76"/>
        <v>FR-MD 4644.657.98W</v>
      </c>
      <c r="B4887" s="195" t="s">
        <v>2423</v>
      </c>
      <c r="C4887" s="196">
        <v>4.6500000000000004</v>
      </c>
      <c r="D4887" s="196">
        <v>7.98</v>
      </c>
      <c r="E4887" s="195" t="s">
        <v>583</v>
      </c>
      <c r="F4887" s="195" t="s">
        <v>432</v>
      </c>
    </row>
    <row r="4888" spans="1:6" x14ac:dyDescent="0.25">
      <c r="A4888" s="189" t="str">
        <f t="shared" si="76"/>
        <v>FR-MD 4647.988.1E</v>
      </c>
      <c r="B4888" s="195" t="s">
        <v>2423</v>
      </c>
      <c r="C4888" s="196">
        <v>7.98</v>
      </c>
      <c r="D4888" s="196">
        <v>8.1</v>
      </c>
      <c r="E4888" s="195" t="s">
        <v>583</v>
      </c>
      <c r="F4888" s="195" t="s">
        <v>19</v>
      </c>
    </row>
    <row r="4889" spans="1:6" x14ac:dyDescent="0.25">
      <c r="A4889" s="189" t="str">
        <f t="shared" si="76"/>
        <v>FR-MD 4647.988.1W</v>
      </c>
      <c r="B4889" s="195" t="s">
        <v>2423</v>
      </c>
      <c r="C4889" s="196">
        <v>7.98</v>
      </c>
      <c r="D4889" s="196">
        <v>8.1</v>
      </c>
      <c r="E4889" s="195" t="s">
        <v>583</v>
      </c>
      <c r="F4889" s="195" t="s">
        <v>432</v>
      </c>
    </row>
    <row r="4890" spans="1:6" x14ac:dyDescent="0.25">
      <c r="A4890" s="189" t="str">
        <f t="shared" si="76"/>
        <v>FR-MD 47801.88E</v>
      </c>
      <c r="B4890" s="195" t="s">
        <v>2424</v>
      </c>
      <c r="C4890" s="196">
        <v>0</v>
      </c>
      <c r="D4890" s="196">
        <v>1.88</v>
      </c>
      <c r="E4890" s="195" t="s">
        <v>583</v>
      </c>
      <c r="F4890" s="195" t="s">
        <v>19</v>
      </c>
    </row>
    <row r="4891" spans="1:6" x14ac:dyDescent="0.25">
      <c r="A4891" s="189" t="str">
        <f t="shared" si="76"/>
        <v>FR-MD 47801.88W</v>
      </c>
      <c r="B4891" s="195" t="s">
        <v>2424</v>
      </c>
      <c r="C4891" s="196">
        <v>0</v>
      </c>
      <c r="D4891" s="196">
        <v>1.88</v>
      </c>
      <c r="E4891" s="195" t="s">
        <v>583</v>
      </c>
      <c r="F4891" s="195" t="s">
        <v>432</v>
      </c>
    </row>
    <row r="4892" spans="1:6" x14ac:dyDescent="0.25">
      <c r="A4892" s="189" t="str">
        <f t="shared" si="76"/>
        <v>FR-MD 49101.71N</v>
      </c>
      <c r="B4892" s="195" t="s">
        <v>2425</v>
      </c>
      <c r="C4892" s="196">
        <v>0</v>
      </c>
      <c r="D4892" s="196">
        <v>1.71</v>
      </c>
      <c r="E4892" s="195" t="s">
        <v>583</v>
      </c>
      <c r="F4892" s="195" t="s">
        <v>430</v>
      </c>
    </row>
    <row r="4893" spans="1:6" x14ac:dyDescent="0.25">
      <c r="A4893" s="189" t="str">
        <f t="shared" si="76"/>
        <v>FR-MD 49101.71S</v>
      </c>
      <c r="B4893" s="195" t="s">
        <v>2425</v>
      </c>
      <c r="C4893" s="196">
        <v>0</v>
      </c>
      <c r="D4893" s="196">
        <v>1.71</v>
      </c>
      <c r="E4893" s="195" t="s">
        <v>583</v>
      </c>
      <c r="F4893" s="195" t="s">
        <v>438</v>
      </c>
    </row>
    <row r="4894" spans="1:6" x14ac:dyDescent="0.25">
      <c r="A4894" s="189" t="str">
        <f t="shared" si="76"/>
        <v>FR-MD 55004.2N</v>
      </c>
      <c r="B4894" s="195" t="s">
        <v>2426</v>
      </c>
      <c r="C4894" s="196">
        <v>0</v>
      </c>
      <c r="D4894" s="196">
        <v>4.2</v>
      </c>
      <c r="E4894" s="195" t="s">
        <v>583</v>
      </c>
      <c r="F4894" s="195" t="s">
        <v>430</v>
      </c>
    </row>
    <row r="4895" spans="1:6" x14ac:dyDescent="0.25">
      <c r="A4895" s="189" t="str">
        <f t="shared" si="76"/>
        <v>FR-MD 55004.2S</v>
      </c>
      <c r="B4895" s="195" t="s">
        <v>2426</v>
      </c>
      <c r="C4895" s="196">
        <v>0</v>
      </c>
      <c r="D4895" s="196">
        <v>4.2</v>
      </c>
      <c r="E4895" s="195" t="s">
        <v>583</v>
      </c>
      <c r="F4895" s="195" t="s">
        <v>438</v>
      </c>
    </row>
    <row r="4896" spans="1:6" x14ac:dyDescent="0.25">
      <c r="A4896" s="189" t="str">
        <f t="shared" si="76"/>
        <v>FR-MD 5504.25.01N</v>
      </c>
      <c r="B4896" s="195" t="s">
        <v>2426</v>
      </c>
      <c r="C4896" s="196">
        <v>4.2</v>
      </c>
      <c r="D4896" s="196">
        <v>5.01</v>
      </c>
      <c r="E4896" s="195" t="s">
        <v>583</v>
      </c>
      <c r="F4896" s="195" t="s">
        <v>430</v>
      </c>
    </row>
    <row r="4897" spans="1:6" x14ac:dyDescent="0.25">
      <c r="A4897" s="189" t="str">
        <f t="shared" si="76"/>
        <v>FR-MD 5504.25.01S</v>
      </c>
      <c r="B4897" s="195" t="s">
        <v>2426</v>
      </c>
      <c r="C4897" s="196">
        <v>4.2</v>
      </c>
      <c r="D4897" s="196">
        <v>5.01</v>
      </c>
      <c r="E4897" s="195" t="s">
        <v>583</v>
      </c>
      <c r="F4897" s="195" t="s">
        <v>438</v>
      </c>
    </row>
    <row r="4898" spans="1:6" x14ac:dyDescent="0.25">
      <c r="A4898" s="189" t="str">
        <f t="shared" si="76"/>
        <v>FR-MD 5505.015.56N</v>
      </c>
      <c r="B4898" s="195" t="s">
        <v>2426</v>
      </c>
      <c r="C4898" s="196">
        <v>5.01</v>
      </c>
      <c r="D4898" s="196">
        <v>5.56</v>
      </c>
      <c r="E4898" s="195" t="s">
        <v>583</v>
      </c>
      <c r="F4898" s="195" t="s">
        <v>430</v>
      </c>
    </row>
    <row r="4899" spans="1:6" x14ac:dyDescent="0.25">
      <c r="A4899" s="189" t="str">
        <f t="shared" si="76"/>
        <v>FR-MD 5505.015.56S</v>
      </c>
      <c r="B4899" s="195" t="s">
        <v>2426</v>
      </c>
      <c r="C4899" s="196">
        <v>5.01</v>
      </c>
      <c r="D4899" s="196">
        <v>5.56</v>
      </c>
      <c r="E4899" s="195" t="s">
        <v>583</v>
      </c>
      <c r="F4899" s="195" t="s">
        <v>438</v>
      </c>
    </row>
    <row r="4900" spans="1:6" x14ac:dyDescent="0.25">
      <c r="A4900" s="189" t="str">
        <f t="shared" si="76"/>
        <v>FR-MD 5505.565.85N</v>
      </c>
      <c r="B4900" s="195" t="s">
        <v>2426</v>
      </c>
      <c r="C4900" s="196">
        <v>5.56</v>
      </c>
      <c r="D4900" s="196">
        <v>5.85</v>
      </c>
      <c r="E4900" s="195" t="s">
        <v>583</v>
      </c>
      <c r="F4900" s="195" t="s">
        <v>430</v>
      </c>
    </row>
    <row r="4901" spans="1:6" x14ac:dyDescent="0.25">
      <c r="A4901" s="189" t="str">
        <f t="shared" si="76"/>
        <v>FR-MD 5505.565.85S</v>
      </c>
      <c r="B4901" s="195" t="s">
        <v>2426</v>
      </c>
      <c r="C4901" s="196">
        <v>5.56</v>
      </c>
      <c r="D4901" s="196">
        <v>5.85</v>
      </c>
      <c r="E4901" s="195" t="s">
        <v>583</v>
      </c>
      <c r="F4901" s="195" t="s">
        <v>438</v>
      </c>
    </row>
    <row r="4902" spans="1:6" x14ac:dyDescent="0.25">
      <c r="A4902" s="189" t="str">
        <f t="shared" si="76"/>
        <v>FR-MD 5505.859.13N</v>
      </c>
      <c r="B4902" s="195" t="s">
        <v>2426</v>
      </c>
      <c r="C4902" s="196">
        <v>5.85</v>
      </c>
      <c r="D4902" s="196">
        <v>9.1300000000000008</v>
      </c>
      <c r="E4902" s="195" t="s">
        <v>583</v>
      </c>
      <c r="F4902" s="195" t="s">
        <v>430</v>
      </c>
    </row>
    <row r="4903" spans="1:6" x14ac:dyDescent="0.25">
      <c r="A4903" s="189" t="str">
        <f t="shared" si="76"/>
        <v>FR-MD 5505.859.13S</v>
      </c>
      <c r="B4903" s="195" t="s">
        <v>2426</v>
      </c>
      <c r="C4903" s="196">
        <v>5.85</v>
      </c>
      <c r="D4903" s="196">
        <v>9.1300000000000008</v>
      </c>
      <c r="E4903" s="195" t="s">
        <v>583</v>
      </c>
      <c r="F4903" s="195" t="s">
        <v>438</v>
      </c>
    </row>
    <row r="4904" spans="1:6" x14ac:dyDescent="0.25">
      <c r="A4904" s="189" t="str">
        <f t="shared" si="76"/>
        <v>FR-MD 5509.1312.39N</v>
      </c>
      <c r="B4904" s="195" t="s">
        <v>2426</v>
      </c>
      <c r="C4904" s="196">
        <v>9.1300000000000008</v>
      </c>
      <c r="D4904" s="196">
        <v>12.39</v>
      </c>
      <c r="E4904" s="195" t="s">
        <v>583</v>
      </c>
      <c r="F4904" s="195" t="s">
        <v>430</v>
      </c>
    </row>
    <row r="4905" spans="1:6" x14ac:dyDescent="0.25">
      <c r="A4905" s="189" t="str">
        <f t="shared" si="76"/>
        <v>FR-MD 5509.1312.39S</v>
      </c>
      <c r="B4905" s="195" t="s">
        <v>2426</v>
      </c>
      <c r="C4905" s="196">
        <v>9.1300000000000008</v>
      </c>
      <c r="D4905" s="196">
        <v>12.39</v>
      </c>
      <c r="E4905" s="195" t="s">
        <v>583</v>
      </c>
      <c r="F4905" s="195" t="s">
        <v>438</v>
      </c>
    </row>
    <row r="4906" spans="1:6" x14ac:dyDescent="0.25">
      <c r="A4906" s="189" t="str">
        <f t="shared" si="76"/>
        <v>FR-MD 55012.3912.92N</v>
      </c>
      <c r="B4906" s="195" t="s">
        <v>2426</v>
      </c>
      <c r="C4906" s="196">
        <v>12.39</v>
      </c>
      <c r="D4906" s="196">
        <v>12.92</v>
      </c>
      <c r="E4906" s="195" t="s">
        <v>583</v>
      </c>
      <c r="F4906" s="195" t="s">
        <v>430</v>
      </c>
    </row>
    <row r="4907" spans="1:6" x14ac:dyDescent="0.25">
      <c r="A4907" s="189" t="str">
        <f t="shared" si="76"/>
        <v>FR-MD 55012.3912.92S</v>
      </c>
      <c r="B4907" s="195" t="s">
        <v>2426</v>
      </c>
      <c r="C4907" s="196">
        <v>12.39</v>
      </c>
      <c r="D4907" s="196">
        <v>12.92</v>
      </c>
      <c r="E4907" s="195" t="s">
        <v>583</v>
      </c>
      <c r="F4907" s="195" t="s">
        <v>438</v>
      </c>
    </row>
    <row r="4908" spans="1:6" x14ac:dyDescent="0.25">
      <c r="A4908" s="189" t="str">
        <f t="shared" si="76"/>
        <v>FR-MD 55012.9213.91N</v>
      </c>
      <c r="B4908" s="195" t="s">
        <v>2426</v>
      </c>
      <c r="C4908" s="196">
        <v>12.92</v>
      </c>
      <c r="D4908" s="196">
        <v>13.91</v>
      </c>
      <c r="E4908" s="195" t="s">
        <v>583</v>
      </c>
      <c r="F4908" s="195" t="s">
        <v>430</v>
      </c>
    </row>
    <row r="4909" spans="1:6" x14ac:dyDescent="0.25">
      <c r="A4909" s="189" t="str">
        <f t="shared" si="76"/>
        <v>FR-MD 55012.9213.91S</v>
      </c>
      <c r="B4909" s="195" t="s">
        <v>2426</v>
      </c>
      <c r="C4909" s="196">
        <v>12.92</v>
      </c>
      <c r="D4909" s="196">
        <v>13.91</v>
      </c>
      <c r="E4909" s="195" t="s">
        <v>583</v>
      </c>
      <c r="F4909" s="195" t="s">
        <v>438</v>
      </c>
    </row>
    <row r="4910" spans="1:6" x14ac:dyDescent="0.25">
      <c r="A4910" s="189" t="str">
        <f t="shared" si="76"/>
        <v>FR-MD 55013.9114.67N</v>
      </c>
      <c r="B4910" s="195" t="s">
        <v>2426</v>
      </c>
      <c r="C4910" s="196">
        <v>13.91</v>
      </c>
      <c r="D4910" s="196">
        <v>14.67</v>
      </c>
      <c r="E4910" s="195" t="s">
        <v>583</v>
      </c>
      <c r="F4910" s="195" t="s">
        <v>430</v>
      </c>
    </row>
    <row r="4911" spans="1:6" x14ac:dyDescent="0.25">
      <c r="A4911" s="189" t="str">
        <f t="shared" si="76"/>
        <v>FR-MD 55013.9114.67S</v>
      </c>
      <c r="B4911" s="195" t="s">
        <v>2426</v>
      </c>
      <c r="C4911" s="196">
        <v>13.91</v>
      </c>
      <c r="D4911" s="196">
        <v>14.67</v>
      </c>
      <c r="E4911" s="195" t="s">
        <v>583</v>
      </c>
      <c r="F4911" s="195" t="s">
        <v>438</v>
      </c>
    </row>
    <row r="4912" spans="1:6" x14ac:dyDescent="0.25">
      <c r="A4912" s="189" t="str">
        <f t="shared" si="76"/>
        <v>FR-MD 55014.6715.53N</v>
      </c>
      <c r="B4912" s="195" t="s">
        <v>2426</v>
      </c>
      <c r="C4912" s="196">
        <v>14.67</v>
      </c>
      <c r="D4912" s="196">
        <v>15.53</v>
      </c>
      <c r="E4912" s="195" t="s">
        <v>583</v>
      </c>
      <c r="F4912" s="195" t="s">
        <v>430</v>
      </c>
    </row>
    <row r="4913" spans="1:6" x14ac:dyDescent="0.25">
      <c r="A4913" s="189" t="str">
        <f t="shared" si="76"/>
        <v>FR-MD 55014.6715.53S</v>
      </c>
      <c r="B4913" s="195" t="s">
        <v>2426</v>
      </c>
      <c r="C4913" s="196">
        <v>14.67</v>
      </c>
      <c r="D4913" s="196">
        <v>15.53</v>
      </c>
      <c r="E4913" s="195" t="s">
        <v>583</v>
      </c>
      <c r="F4913" s="195" t="s">
        <v>438</v>
      </c>
    </row>
    <row r="4914" spans="1:6" x14ac:dyDescent="0.25">
      <c r="A4914" s="189" t="str">
        <f t="shared" si="76"/>
        <v>FR-MD 55015.5319.91N</v>
      </c>
      <c r="B4914" s="195" t="s">
        <v>2426</v>
      </c>
      <c r="C4914" s="196">
        <v>15.53</v>
      </c>
      <c r="D4914" s="196">
        <v>19.91</v>
      </c>
      <c r="E4914" s="195" t="s">
        <v>583</v>
      </c>
      <c r="F4914" s="195" t="s">
        <v>430</v>
      </c>
    </row>
    <row r="4915" spans="1:6" x14ac:dyDescent="0.25">
      <c r="A4915" s="189" t="str">
        <f t="shared" si="76"/>
        <v>FR-MD 55015.5319.91S</v>
      </c>
      <c r="B4915" s="195" t="s">
        <v>2426</v>
      </c>
      <c r="C4915" s="196">
        <v>15.53</v>
      </c>
      <c r="D4915" s="196">
        <v>19.91</v>
      </c>
      <c r="E4915" s="195" t="s">
        <v>583</v>
      </c>
      <c r="F4915" s="195" t="s">
        <v>438</v>
      </c>
    </row>
    <row r="4916" spans="1:6" x14ac:dyDescent="0.25">
      <c r="A4916" s="189" t="str">
        <f t="shared" si="76"/>
        <v>FR-MD 55019.9120.75N</v>
      </c>
      <c r="B4916" s="195" t="s">
        <v>2426</v>
      </c>
      <c r="C4916" s="196">
        <v>19.91</v>
      </c>
      <c r="D4916" s="196">
        <v>20.75</v>
      </c>
      <c r="E4916" s="195" t="s">
        <v>583</v>
      </c>
      <c r="F4916" s="195" t="s">
        <v>430</v>
      </c>
    </row>
    <row r="4917" spans="1:6" x14ac:dyDescent="0.25">
      <c r="A4917" s="189" t="str">
        <f t="shared" si="76"/>
        <v>FR-MD 55019.9120.75S</v>
      </c>
      <c r="B4917" s="195" t="s">
        <v>2426</v>
      </c>
      <c r="C4917" s="196">
        <v>19.91</v>
      </c>
      <c r="D4917" s="196">
        <v>20.75</v>
      </c>
      <c r="E4917" s="195" t="s">
        <v>583</v>
      </c>
      <c r="F4917" s="195" t="s">
        <v>438</v>
      </c>
    </row>
    <row r="4918" spans="1:6" x14ac:dyDescent="0.25">
      <c r="A4918" s="189" t="str">
        <f t="shared" si="76"/>
        <v>FR-MD 55020.7522.42N</v>
      </c>
      <c r="B4918" s="195" t="s">
        <v>2426</v>
      </c>
      <c r="C4918" s="196">
        <v>20.75</v>
      </c>
      <c r="D4918" s="196">
        <v>22.42</v>
      </c>
      <c r="E4918" s="195" t="s">
        <v>583</v>
      </c>
      <c r="F4918" s="195" t="s">
        <v>430</v>
      </c>
    </row>
    <row r="4919" spans="1:6" x14ac:dyDescent="0.25">
      <c r="A4919" s="189" t="str">
        <f t="shared" si="76"/>
        <v>FR-MD 55020.7522.42S</v>
      </c>
      <c r="B4919" s="195" t="s">
        <v>2426</v>
      </c>
      <c r="C4919" s="196">
        <v>20.75</v>
      </c>
      <c r="D4919" s="196">
        <v>22.42</v>
      </c>
      <c r="E4919" s="195" t="s">
        <v>583</v>
      </c>
      <c r="F4919" s="195" t="s">
        <v>438</v>
      </c>
    </row>
    <row r="4920" spans="1:6" x14ac:dyDescent="0.25">
      <c r="A4920" s="189" t="str">
        <f t="shared" si="76"/>
        <v>FR-MD 7501.85N</v>
      </c>
      <c r="B4920" s="195" t="s">
        <v>2427</v>
      </c>
      <c r="C4920" s="196">
        <v>0</v>
      </c>
      <c r="D4920" s="196">
        <v>1.85</v>
      </c>
      <c r="E4920" s="195" t="s">
        <v>583</v>
      </c>
      <c r="F4920" s="195" t="s">
        <v>430</v>
      </c>
    </row>
    <row r="4921" spans="1:6" x14ac:dyDescent="0.25">
      <c r="A4921" s="189" t="str">
        <f t="shared" si="76"/>
        <v>FR-MD 7501.85S</v>
      </c>
      <c r="B4921" s="195" t="s">
        <v>2427</v>
      </c>
      <c r="C4921" s="196">
        <v>0</v>
      </c>
      <c r="D4921" s="196">
        <v>1.85</v>
      </c>
      <c r="E4921" s="195" t="s">
        <v>583</v>
      </c>
      <c r="F4921" s="195" t="s">
        <v>438</v>
      </c>
    </row>
    <row r="4922" spans="1:6" x14ac:dyDescent="0.25">
      <c r="A4922" s="189" t="str">
        <f t="shared" si="76"/>
        <v>FR-MD 751.852.45N</v>
      </c>
      <c r="B4922" s="195" t="s">
        <v>2427</v>
      </c>
      <c r="C4922" s="196">
        <v>1.85</v>
      </c>
      <c r="D4922" s="196">
        <v>2.4500000000000002</v>
      </c>
      <c r="E4922" s="195" t="s">
        <v>583</v>
      </c>
      <c r="F4922" s="195" t="s">
        <v>430</v>
      </c>
    </row>
    <row r="4923" spans="1:6" x14ac:dyDescent="0.25">
      <c r="A4923" s="189" t="str">
        <f t="shared" si="76"/>
        <v>FR-MD 751.852.45S</v>
      </c>
      <c r="B4923" s="195" t="s">
        <v>2427</v>
      </c>
      <c r="C4923" s="196">
        <v>1.85</v>
      </c>
      <c r="D4923" s="196">
        <v>2.4500000000000002</v>
      </c>
      <c r="E4923" s="195" t="s">
        <v>583</v>
      </c>
      <c r="F4923" s="195" t="s">
        <v>438</v>
      </c>
    </row>
    <row r="4924" spans="1:6" x14ac:dyDescent="0.25">
      <c r="A4924" s="189" t="str">
        <f t="shared" si="76"/>
        <v>FR-MD 752.453.37N</v>
      </c>
      <c r="B4924" s="195" t="s">
        <v>2427</v>
      </c>
      <c r="C4924" s="196">
        <v>2.4500000000000002</v>
      </c>
      <c r="D4924" s="196">
        <v>3.37</v>
      </c>
      <c r="E4924" s="195" t="s">
        <v>583</v>
      </c>
      <c r="F4924" s="195" t="s">
        <v>430</v>
      </c>
    </row>
    <row r="4925" spans="1:6" x14ac:dyDescent="0.25">
      <c r="A4925" s="189" t="str">
        <f t="shared" si="76"/>
        <v>FR-MD 752.453.37S</v>
      </c>
      <c r="B4925" s="195" t="s">
        <v>2427</v>
      </c>
      <c r="C4925" s="196">
        <v>2.4500000000000002</v>
      </c>
      <c r="D4925" s="196">
        <v>3.37</v>
      </c>
      <c r="E4925" s="195" t="s">
        <v>583</v>
      </c>
      <c r="F4925" s="195" t="s">
        <v>438</v>
      </c>
    </row>
    <row r="4926" spans="1:6" x14ac:dyDescent="0.25">
      <c r="A4926" s="189" t="str">
        <f t="shared" si="76"/>
        <v>FR-MD 753.374.83N</v>
      </c>
      <c r="B4926" s="195" t="s">
        <v>2427</v>
      </c>
      <c r="C4926" s="196">
        <v>3.37</v>
      </c>
      <c r="D4926" s="196">
        <v>4.83</v>
      </c>
      <c r="E4926" s="195" t="s">
        <v>583</v>
      </c>
      <c r="F4926" s="195" t="s">
        <v>430</v>
      </c>
    </row>
    <row r="4927" spans="1:6" x14ac:dyDescent="0.25">
      <c r="A4927" s="189" t="str">
        <f t="shared" si="76"/>
        <v>FR-MD 753.374.83S</v>
      </c>
      <c r="B4927" s="195" t="s">
        <v>2427</v>
      </c>
      <c r="C4927" s="196">
        <v>3.37</v>
      </c>
      <c r="D4927" s="196">
        <v>4.83</v>
      </c>
      <c r="E4927" s="195" t="s">
        <v>583</v>
      </c>
      <c r="F4927" s="195" t="s">
        <v>438</v>
      </c>
    </row>
    <row r="4928" spans="1:6" x14ac:dyDescent="0.25">
      <c r="A4928" s="189" t="str">
        <f t="shared" si="76"/>
        <v>FR-MD 754.834.96N</v>
      </c>
      <c r="B4928" s="195" t="s">
        <v>2427</v>
      </c>
      <c r="C4928" s="196">
        <v>4.83</v>
      </c>
      <c r="D4928" s="196">
        <v>4.96</v>
      </c>
      <c r="E4928" s="195" t="s">
        <v>583</v>
      </c>
      <c r="F4928" s="195" t="s">
        <v>430</v>
      </c>
    </row>
    <row r="4929" spans="1:6" x14ac:dyDescent="0.25">
      <c r="A4929" s="189" t="str">
        <f t="shared" si="76"/>
        <v>FR-MD 754.834.96S</v>
      </c>
      <c r="B4929" s="195" t="s">
        <v>2427</v>
      </c>
      <c r="C4929" s="196">
        <v>4.83</v>
      </c>
      <c r="D4929" s="196">
        <v>4.96</v>
      </c>
      <c r="E4929" s="195" t="s">
        <v>583</v>
      </c>
      <c r="F4929" s="195" t="s">
        <v>438</v>
      </c>
    </row>
    <row r="4930" spans="1:6" x14ac:dyDescent="0.25">
      <c r="A4930" s="189" t="str">
        <f t="shared" si="76"/>
        <v>FR-MD 754.968.4N</v>
      </c>
      <c r="B4930" s="195" t="s">
        <v>2427</v>
      </c>
      <c r="C4930" s="196">
        <v>4.96</v>
      </c>
      <c r="D4930" s="196">
        <v>8.4</v>
      </c>
      <c r="E4930" s="195" t="s">
        <v>583</v>
      </c>
      <c r="F4930" s="195" t="s">
        <v>430</v>
      </c>
    </row>
    <row r="4931" spans="1:6" x14ac:dyDescent="0.25">
      <c r="A4931" s="189" t="str">
        <f t="shared" ref="A4931:A4994" si="77">B4931&amp;C4931&amp;D4931&amp;F4931</f>
        <v>FR-MD 754.968.4S</v>
      </c>
      <c r="B4931" s="195" t="s">
        <v>2427</v>
      </c>
      <c r="C4931" s="196">
        <v>4.96</v>
      </c>
      <c r="D4931" s="196">
        <v>8.4</v>
      </c>
      <c r="E4931" s="195" t="s">
        <v>583</v>
      </c>
      <c r="F4931" s="195" t="s">
        <v>438</v>
      </c>
    </row>
    <row r="4932" spans="1:6" x14ac:dyDescent="0.25">
      <c r="A4932" s="189" t="str">
        <f t="shared" si="77"/>
        <v>FR-MD 758.811.8N</v>
      </c>
      <c r="B4932" s="195" t="s">
        <v>2427</v>
      </c>
      <c r="C4932" s="196">
        <v>8.8000000000000007</v>
      </c>
      <c r="D4932" s="196">
        <v>11.8</v>
      </c>
      <c r="E4932" s="195" t="s">
        <v>583</v>
      </c>
      <c r="F4932" s="195" t="s">
        <v>430</v>
      </c>
    </row>
    <row r="4933" spans="1:6" x14ac:dyDescent="0.25">
      <c r="A4933" s="189" t="str">
        <f t="shared" si="77"/>
        <v>FR-MD 758.811.8S</v>
      </c>
      <c r="B4933" s="195" t="s">
        <v>2427</v>
      </c>
      <c r="C4933" s="196">
        <v>8.8000000000000007</v>
      </c>
      <c r="D4933" s="196">
        <v>11.8</v>
      </c>
      <c r="E4933" s="195" t="s">
        <v>583</v>
      </c>
      <c r="F4933" s="195" t="s">
        <v>438</v>
      </c>
    </row>
    <row r="4934" spans="1:6" x14ac:dyDescent="0.25">
      <c r="A4934" s="189" t="str">
        <f t="shared" si="77"/>
        <v>FR-MD 7511.814N</v>
      </c>
      <c r="B4934" s="195" t="s">
        <v>2427</v>
      </c>
      <c r="C4934" s="196">
        <v>11.8</v>
      </c>
      <c r="D4934" s="196">
        <v>14</v>
      </c>
      <c r="E4934" s="195" t="s">
        <v>583</v>
      </c>
      <c r="F4934" s="195" t="s">
        <v>430</v>
      </c>
    </row>
    <row r="4935" spans="1:6" x14ac:dyDescent="0.25">
      <c r="A4935" s="189" t="str">
        <f t="shared" si="77"/>
        <v>FR-MD 7511.814S</v>
      </c>
      <c r="B4935" s="195" t="s">
        <v>2427</v>
      </c>
      <c r="C4935" s="196">
        <v>11.8</v>
      </c>
      <c r="D4935" s="196">
        <v>14</v>
      </c>
      <c r="E4935" s="195" t="s">
        <v>583</v>
      </c>
      <c r="F4935" s="195" t="s">
        <v>438</v>
      </c>
    </row>
    <row r="4936" spans="1:6" x14ac:dyDescent="0.25">
      <c r="A4936" s="189" t="str">
        <f t="shared" si="77"/>
        <v>FR-MD 751414.4N</v>
      </c>
      <c r="B4936" s="195" t="s">
        <v>2427</v>
      </c>
      <c r="C4936" s="196">
        <v>14</v>
      </c>
      <c r="D4936" s="196">
        <v>14.4</v>
      </c>
      <c r="E4936" s="195" t="s">
        <v>583</v>
      </c>
      <c r="F4936" s="195" t="s">
        <v>430</v>
      </c>
    </row>
    <row r="4937" spans="1:6" x14ac:dyDescent="0.25">
      <c r="A4937" s="189" t="str">
        <f t="shared" si="77"/>
        <v>FR-MD 751414.4S</v>
      </c>
      <c r="B4937" s="195" t="s">
        <v>2427</v>
      </c>
      <c r="C4937" s="196">
        <v>14</v>
      </c>
      <c r="D4937" s="196">
        <v>14.4</v>
      </c>
      <c r="E4937" s="195" t="s">
        <v>583</v>
      </c>
      <c r="F4937" s="195" t="s">
        <v>438</v>
      </c>
    </row>
    <row r="4938" spans="1:6" x14ac:dyDescent="0.25">
      <c r="A4938" s="189" t="str">
        <f t="shared" si="77"/>
        <v>FR-MD 7514.415.45N</v>
      </c>
      <c r="B4938" s="195" t="s">
        <v>2427</v>
      </c>
      <c r="C4938" s="196">
        <v>14.4</v>
      </c>
      <c r="D4938" s="196">
        <v>15.45</v>
      </c>
      <c r="E4938" s="195" t="s">
        <v>583</v>
      </c>
      <c r="F4938" s="195" t="s">
        <v>430</v>
      </c>
    </row>
    <row r="4939" spans="1:6" x14ac:dyDescent="0.25">
      <c r="A4939" s="189" t="str">
        <f t="shared" si="77"/>
        <v>FR-MD 7514.415.45S</v>
      </c>
      <c r="B4939" s="195" t="s">
        <v>2427</v>
      </c>
      <c r="C4939" s="196">
        <v>14.4</v>
      </c>
      <c r="D4939" s="196">
        <v>15.45</v>
      </c>
      <c r="E4939" s="195" t="s">
        <v>583</v>
      </c>
      <c r="F4939" s="195" t="s">
        <v>438</v>
      </c>
    </row>
    <row r="4940" spans="1:6" x14ac:dyDescent="0.25">
      <c r="A4940" s="189" t="str">
        <f t="shared" si="77"/>
        <v>FR-MD 7515.4515.65N</v>
      </c>
      <c r="B4940" s="195" t="s">
        <v>2427</v>
      </c>
      <c r="C4940" s="196">
        <v>15.45</v>
      </c>
      <c r="D4940" s="196">
        <v>15.65</v>
      </c>
      <c r="E4940" s="195" t="s">
        <v>583</v>
      </c>
      <c r="F4940" s="195" t="s">
        <v>430</v>
      </c>
    </row>
    <row r="4941" spans="1:6" x14ac:dyDescent="0.25">
      <c r="A4941" s="189" t="str">
        <f t="shared" si="77"/>
        <v>FR-MD 7515.4515.65S</v>
      </c>
      <c r="B4941" s="195" t="s">
        <v>2427</v>
      </c>
      <c r="C4941" s="196">
        <v>15.45</v>
      </c>
      <c r="D4941" s="196">
        <v>15.65</v>
      </c>
      <c r="E4941" s="195" t="s">
        <v>583</v>
      </c>
      <c r="F4941" s="195" t="s">
        <v>438</v>
      </c>
    </row>
    <row r="4942" spans="1:6" x14ac:dyDescent="0.25">
      <c r="A4942" s="189" t="str">
        <f t="shared" si="77"/>
        <v>FR-MD 7515.6517.75N</v>
      </c>
      <c r="B4942" s="195" t="s">
        <v>2427</v>
      </c>
      <c r="C4942" s="196">
        <v>15.65</v>
      </c>
      <c r="D4942" s="196">
        <v>17.75</v>
      </c>
      <c r="E4942" s="195" t="s">
        <v>583</v>
      </c>
      <c r="F4942" s="195" t="s">
        <v>430</v>
      </c>
    </row>
    <row r="4943" spans="1:6" x14ac:dyDescent="0.25">
      <c r="A4943" s="189" t="str">
        <f t="shared" si="77"/>
        <v>FR-MD 7515.6517.75S</v>
      </c>
      <c r="B4943" s="195" t="s">
        <v>2427</v>
      </c>
      <c r="C4943" s="196">
        <v>15.65</v>
      </c>
      <c r="D4943" s="196">
        <v>17.75</v>
      </c>
      <c r="E4943" s="195" t="s">
        <v>583</v>
      </c>
      <c r="F4943" s="195" t="s">
        <v>438</v>
      </c>
    </row>
    <row r="4944" spans="1:6" x14ac:dyDescent="0.25">
      <c r="A4944" s="189" t="str">
        <f t="shared" si="77"/>
        <v>FR-MD 7517.7519.6N</v>
      </c>
      <c r="B4944" s="195" t="s">
        <v>2427</v>
      </c>
      <c r="C4944" s="196">
        <v>17.75</v>
      </c>
      <c r="D4944" s="196">
        <v>19.600000000000001</v>
      </c>
      <c r="E4944" s="195" t="s">
        <v>583</v>
      </c>
      <c r="F4944" s="195" t="s">
        <v>430</v>
      </c>
    </row>
    <row r="4945" spans="1:6" x14ac:dyDescent="0.25">
      <c r="A4945" s="189" t="str">
        <f t="shared" si="77"/>
        <v>FR-MD 7517.7519.6S</v>
      </c>
      <c r="B4945" s="195" t="s">
        <v>2427</v>
      </c>
      <c r="C4945" s="196">
        <v>17.75</v>
      </c>
      <c r="D4945" s="196">
        <v>19.600000000000001</v>
      </c>
      <c r="E4945" s="195" t="s">
        <v>583</v>
      </c>
      <c r="F4945" s="195" t="s">
        <v>438</v>
      </c>
    </row>
    <row r="4946" spans="1:6" x14ac:dyDescent="0.25">
      <c r="A4946" s="189" t="str">
        <f t="shared" si="77"/>
        <v>FR-MD 7519.623.1N</v>
      </c>
      <c r="B4946" s="195" t="s">
        <v>2427</v>
      </c>
      <c r="C4946" s="196">
        <v>19.600000000000001</v>
      </c>
      <c r="D4946" s="196">
        <v>23.1</v>
      </c>
      <c r="E4946" s="195" t="s">
        <v>583</v>
      </c>
      <c r="F4946" s="195" t="s">
        <v>430</v>
      </c>
    </row>
    <row r="4947" spans="1:6" x14ac:dyDescent="0.25">
      <c r="A4947" s="189" t="str">
        <f t="shared" si="77"/>
        <v>FR-MD 7519.623.1S</v>
      </c>
      <c r="B4947" s="195" t="s">
        <v>2427</v>
      </c>
      <c r="C4947" s="196">
        <v>19.600000000000001</v>
      </c>
      <c r="D4947" s="196">
        <v>23.1</v>
      </c>
      <c r="E4947" s="195" t="s">
        <v>583</v>
      </c>
      <c r="F4947" s="195" t="s">
        <v>438</v>
      </c>
    </row>
    <row r="4948" spans="1:6" x14ac:dyDescent="0.25">
      <c r="A4948" s="189" t="str">
        <f t="shared" si="77"/>
        <v>FR-MD 75FB00.12N</v>
      </c>
      <c r="B4948" s="195" t="s">
        <v>2428</v>
      </c>
      <c r="C4948" s="196">
        <v>0</v>
      </c>
      <c r="D4948" s="196">
        <v>0.12</v>
      </c>
      <c r="E4948" s="195" t="s">
        <v>589</v>
      </c>
      <c r="F4948" s="195" t="s">
        <v>430</v>
      </c>
    </row>
    <row r="4949" spans="1:6" x14ac:dyDescent="0.25">
      <c r="A4949" s="189" t="str">
        <f t="shared" si="77"/>
        <v>FR-MD 75FB00.12S</v>
      </c>
      <c r="B4949" s="195" t="s">
        <v>2428</v>
      </c>
      <c r="C4949" s="196">
        <v>0</v>
      </c>
      <c r="D4949" s="196">
        <v>0.12</v>
      </c>
      <c r="E4949" s="195" t="s">
        <v>595</v>
      </c>
      <c r="F4949" s="195" t="s">
        <v>438</v>
      </c>
    </row>
    <row r="4950" spans="1:6" x14ac:dyDescent="0.25">
      <c r="A4950" s="189" t="str">
        <f t="shared" si="77"/>
        <v>FR-MD 75FC00.02E</v>
      </c>
      <c r="B4950" s="195" t="s">
        <v>2429</v>
      </c>
      <c r="C4950" s="196">
        <v>0</v>
      </c>
      <c r="D4950" s="196">
        <v>0.02</v>
      </c>
      <c r="E4950" s="195" t="s">
        <v>598</v>
      </c>
      <c r="F4950" s="195" t="s">
        <v>19</v>
      </c>
    </row>
    <row r="4951" spans="1:6" x14ac:dyDescent="0.25">
      <c r="A4951" s="189" t="str">
        <f t="shared" si="77"/>
        <v>FR-MD 75FC00.02W</v>
      </c>
      <c r="B4951" s="195" t="s">
        <v>2429</v>
      </c>
      <c r="C4951" s="196">
        <v>0</v>
      </c>
      <c r="D4951" s="196">
        <v>0.02</v>
      </c>
      <c r="E4951" s="195" t="s">
        <v>593</v>
      </c>
      <c r="F4951" s="195" t="s">
        <v>432</v>
      </c>
    </row>
    <row r="4952" spans="1:6" x14ac:dyDescent="0.25">
      <c r="A4952" s="189" t="str">
        <f t="shared" si="77"/>
        <v>FR-MD 7603.21N</v>
      </c>
      <c r="B4952" s="195" t="s">
        <v>566</v>
      </c>
      <c r="C4952" s="196">
        <v>0</v>
      </c>
      <c r="D4952" s="196">
        <v>3.21</v>
      </c>
      <c r="E4952" s="195" t="s">
        <v>583</v>
      </c>
      <c r="F4952" s="195" t="s">
        <v>430</v>
      </c>
    </row>
    <row r="4953" spans="1:6" x14ac:dyDescent="0.25">
      <c r="A4953" s="189" t="str">
        <f t="shared" si="77"/>
        <v>FR-MD 7603.21S</v>
      </c>
      <c r="B4953" s="195" t="s">
        <v>566</v>
      </c>
      <c r="C4953" s="196">
        <v>0</v>
      </c>
      <c r="D4953" s="196">
        <v>3.21</v>
      </c>
      <c r="E4953" s="195" t="s">
        <v>583</v>
      </c>
      <c r="F4953" s="195" t="s">
        <v>438</v>
      </c>
    </row>
    <row r="4954" spans="1:6" x14ac:dyDescent="0.25">
      <c r="A4954" s="189" t="str">
        <f t="shared" si="77"/>
        <v>FR-MD 763.213.82N</v>
      </c>
      <c r="B4954" s="195" t="s">
        <v>566</v>
      </c>
      <c r="C4954" s="196">
        <v>3.21</v>
      </c>
      <c r="D4954" s="196">
        <v>3.82</v>
      </c>
      <c r="E4954" s="195" t="s">
        <v>583</v>
      </c>
      <c r="F4954" s="195" t="s">
        <v>430</v>
      </c>
    </row>
    <row r="4955" spans="1:6" x14ac:dyDescent="0.25">
      <c r="A4955" s="189" t="str">
        <f t="shared" si="77"/>
        <v>FR-MD 763.213.82S</v>
      </c>
      <c r="B4955" s="195" t="s">
        <v>566</v>
      </c>
      <c r="C4955" s="196">
        <v>3.21</v>
      </c>
      <c r="D4955" s="196">
        <v>3.82</v>
      </c>
      <c r="E4955" s="195" t="s">
        <v>583</v>
      </c>
      <c r="F4955" s="195" t="s">
        <v>438</v>
      </c>
    </row>
    <row r="4956" spans="1:6" x14ac:dyDescent="0.25">
      <c r="A4956" s="189" t="str">
        <f t="shared" si="77"/>
        <v>FR-MD 763.825.69N</v>
      </c>
      <c r="B4956" s="195" t="s">
        <v>566</v>
      </c>
      <c r="C4956" s="196">
        <v>3.82</v>
      </c>
      <c r="D4956" s="196">
        <v>5.69</v>
      </c>
      <c r="E4956" s="195" t="s">
        <v>583</v>
      </c>
      <c r="F4956" s="195" t="s">
        <v>430</v>
      </c>
    </row>
    <row r="4957" spans="1:6" x14ac:dyDescent="0.25">
      <c r="A4957" s="189" t="str">
        <f t="shared" si="77"/>
        <v>FR-MD 763.825.69S</v>
      </c>
      <c r="B4957" s="195" t="s">
        <v>566</v>
      </c>
      <c r="C4957" s="196">
        <v>3.82</v>
      </c>
      <c r="D4957" s="196">
        <v>5.69</v>
      </c>
      <c r="E4957" s="195" t="s">
        <v>583</v>
      </c>
      <c r="F4957" s="195" t="s">
        <v>438</v>
      </c>
    </row>
    <row r="4958" spans="1:6" x14ac:dyDescent="0.25">
      <c r="A4958" s="189" t="str">
        <f t="shared" si="77"/>
        <v>FR-MD 7701.63E</v>
      </c>
      <c r="B4958" s="195" t="s">
        <v>2430</v>
      </c>
      <c r="C4958" s="196">
        <v>0</v>
      </c>
      <c r="D4958" s="196">
        <v>1.63</v>
      </c>
      <c r="E4958" s="195" t="s">
        <v>583</v>
      </c>
      <c r="F4958" s="195" t="s">
        <v>19</v>
      </c>
    </row>
    <row r="4959" spans="1:6" x14ac:dyDescent="0.25">
      <c r="A4959" s="189" t="str">
        <f t="shared" si="77"/>
        <v>FR-MD 7701.63W</v>
      </c>
      <c r="B4959" s="195" t="s">
        <v>2430</v>
      </c>
      <c r="C4959" s="196">
        <v>0</v>
      </c>
      <c r="D4959" s="196">
        <v>1.63</v>
      </c>
      <c r="E4959" s="195" t="s">
        <v>583</v>
      </c>
      <c r="F4959" s="195" t="s">
        <v>432</v>
      </c>
    </row>
    <row r="4960" spans="1:6" x14ac:dyDescent="0.25">
      <c r="A4960" s="189" t="str">
        <f t="shared" si="77"/>
        <v>FR-MD 771.631.65E</v>
      </c>
      <c r="B4960" s="195" t="s">
        <v>2430</v>
      </c>
      <c r="C4960" s="196">
        <v>1.63</v>
      </c>
      <c r="D4960" s="196">
        <v>1.65</v>
      </c>
      <c r="E4960" s="195" t="s">
        <v>583</v>
      </c>
      <c r="F4960" s="195" t="s">
        <v>19</v>
      </c>
    </row>
    <row r="4961" spans="1:6" x14ac:dyDescent="0.25">
      <c r="A4961" s="189" t="str">
        <f t="shared" si="77"/>
        <v>FR-MD 771.631.65W</v>
      </c>
      <c r="B4961" s="195" t="s">
        <v>2430</v>
      </c>
      <c r="C4961" s="196">
        <v>1.63</v>
      </c>
      <c r="D4961" s="196">
        <v>1.65</v>
      </c>
      <c r="E4961" s="195" t="s">
        <v>583</v>
      </c>
      <c r="F4961" s="195" t="s">
        <v>432</v>
      </c>
    </row>
    <row r="4962" spans="1:6" x14ac:dyDescent="0.25">
      <c r="A4962" s="189" t="str">
        <f t="shared" si="77"/>
        <v>FR-MD 771.654.4E</v>
      </c>
      <c r="B4962" s="195" t="s">
        <v>2430</v>
      </c>
      <c r="C4962" s="196">
        <v>1.65</v>
      </c>
      <c r="D4962" s="196">
        <v>4.4000000000000004</v>
      </c>
      <c r="E4962" s="195" t="s">
        <v>583</v>
      </c>
      <c r="F4962" s="195" t="s">
        <v>19</v>
      </c>
    </row>
    <row r="4963" spans="1:6" x14ac:dyDescent="0.25">
      <c r="A4963" s="189" t="str">
        <f t="shared" si="77"/>
        <v>FR-MD 771.654.4W</v>
      </c>
      <c r="B4963" s="195" t="s">
        <v>2430</v>
      </c>
      <c r="C4963" s="196">
        <v>1.65</v>
      </c>
      <c r="D4963" s="196">
        <v>4.4000000000000004</v>
      </c>
      <c r="E4963" s="195" t="s">
        <v>583</v>
      </c>
      <c r="F4963" s="195" t="s">
        <v>432</v>
      </c>
    </row>
    <row r="4964" spans="1:6" x14ac:dyDescent="0.25">
      <c r="A4964" s="189" t="str">
        <f t="shared" si="77"/>
        <v>FR-MD 774.46.68E</v>
      </c>
      <c r="B4964" s="195" t="s">
        <v>2430</v>
      </c>
      <c r="C4964" s="196">
        <v>4.4000000000000004</v>
      </c>
      <c r="D4964" s="196">
        <v>6.68</v>
      </c>
      <c r="E4964" s="195" t="s">
        <v>583</v>
      </c>
      <c r="F4964" s="195" t="s">
        <v>19</v>
      </c>
    </row>
    <row r="4965" spans="1:6" x14ac:dyDescent="0.25">
      <c r="A4965" s="189" t="str">
        <f t="shared" si="77"/>
        <v>FR-MD 774.46.68W</v>
      </c>
      <c r="B4965" s="195" t="s">
        <v>2430</v>
      </c>
      <c r="C4965" s="196">
        <v>4.4000000000000004</v>
      </c>
      <c r="D4965" s="196">
        <v>6.68</v>
      </c>
      <c r="E4965" s="195" t="s">
        <v>583</v>
      </c>
      <c r="F4965" s="195" t="s">
        <v>432</v>
      </c>
    </row>
    <row r="4966" spans="1:6" x14ac:dyDescent="0.25">
      <c r="A4966" s="189" t="str">
        <f t="shared" si="77"/>
        <v>FR-MD 776.686.7E</v>
      </c>
      <c r="B4966" s="195" t="s">
        <v>2430</v>
      </c>
      <c r="C4966" s="196">
        <v>6.68</v>
      </c>
      <c r="D4966" s="196">
        <v>6.7</v>
      </c>
      <c r="E4966" s="195" t="s">
        <v>583</v>
      </c>
      <c r="F4966" s="195" t="s">
        <v>19</v>
      </c>
    </row>
    <row r="4967" spans="1:6" x14ac:dyDescent="0.25">
      <c r="A4967" s="189" t="str">
        <f t="shared" si="77"/>
        <v>FR-MD 776.686.7W</v>
      </c>
      <c r="B4967" s="195" t="s">
        <v>2430</v>
      </c>
      <c r="C4967" s="196">
        <v>6.68</v>
      </c>
      <c r="D4967" s="196">
        <v>6.7</v>
      </c>
      <c r="E4967" s="195" t="s">
        <v>583</v>
      </c>
      <c r="F4967" s="195" t="s">
        <v>432</v>
      </c>
    </row>
    <row r="4968" spans="1:6" x14ac:dyDescent="0.25">
      <c r="A4968" s="189" t="str">
        <f t="shared" si="77"/>
        <v>FR-MD 776.77.08E</v>
      </c>
      <c r="B4968" s="195" t="s">
        <v>2430</v>
      </c>
      <c r="C4968" s="196">
        <v>6.7</v>
      </c>
      <c r="D4968" s="196">
        <v>7.08</v>
      </c>
      <c r="E4968" s="195" t="s">
        <v>583</v>
      </c>
      <c r="F4968" s="195" t="s">
        <v>19</v>
      </c>
    </row>
    <row r="4969" spans="1:6" x14ac:dyDescent="0.25">
      <c r="A4969" s="189" t="str">
        <f t="shared" si="77"/>
        <v>FR-MD 776.77.08W</v>
      </c>
      <c r="B4969" s="195" t="s">
        <v>2430</v>
      </c>
      <c r="C4969" s="196">
        <v>6.7</v>
      </c>
      <c r="D4969" s="196">
        <v>7.08</v>
      </c>
      <c r="E4969" s="195" t="s">
        <v>583</v>
      </c>
      <c r="F4969" s="195" t="s">
        <v>432</v>
      </c>
    </row>
    <row r="4970" spans="1:6" x14ac:dyDescent="0.25">
      <c r="A4970" s="189" t="str">
        <f t="shared" si="77"/>
        <v>FR-MD 777.087.45E</v>
      </c>
      <c r="B4970" s="195" t="s">
        <v>2430</v>
      </c>
      <c r="C4970" s="196">
        <v>7.08</v>
      </c>
      <c r="D4970" s="196">
        <v>7.45</v>
      </c>
      <c r="E4970" s="195" t="s">
        <v>583</v>
      </c>
      <c r="F4970" s="195" t="s">
        <v>19</v>
      </c>
    </row>
    <row r="4971" spans="1:6" x14ac:dyDescent="0.25">
      <c r="A4971" s="189" t="str">
        <f t="shared" si="77"/>
        <v>FR-MD 777.087.45W</v>
      </c>
      <c r="B4971" s="195" t="s">
        <v>2430</v>
      </c>
      <c r="C4971" s="196">
        <v>7.08</v>
      </c>
      <c r="D4971" s="196">
        <v>7.45</v>
      </c>
      <c r="E4971" s="195" t="s">
        <v>583</v>
      </c>
      <c r="F4971" s="195" t="s">
        <v>432</v>
      </c>
    </row>
    <row r="4972" spans="1:6" x14ac:dyDescent="0.25">
      <c r="A4972" s="189" t="str">
        <f t="shared" si="77"/>
        <v>FR-MD 777.458.45E</v>
      </c>
      <c r="B4972" s="195" t="s">
        <v>2430</v>
      </c>
      <c r="C4972" s="196">
        <v>7.45</v>
      </c>
      <c r="D4972" s="196">
        <v>8.4499999999999993</v>
      </c>
      <c r="E4972" s="195" t="s">
        <v>583</v>
      </c>
      <c r="F4972" s="195" t="s">
        <v>19</v>
      </c>
    </row>
    <row r="4973" spans="1:6" x14ac:dyDescent="0.25">
      <c r="A4973" s="189" t="str">
        <f t="shared" si="77"/>
        <v>FR-MD 777.458.45W</v>
      </c>
      <c r="B4973" s="195" t="s">
        <v>2430</v>
      </c>
      <c r="C4973" s="196">
        <v>7.45</v>
      </c>
      <c r="D4973" s="196">
        <v>8.4499999999999993</v>
      </c>
      <c r="E4973" s="195" t="s">
        <v>583</v>
      </c>
      <c r="F4973" s="195" t="s">
        <v>432</v>
      </c>
    </row>
    <row r="4974" spans="1:6" x14ac:dyDescent="0.25">
      <c r="A4974" s="189" t="str">
        <f t="shared" si="77"/>
        <v>FR-MD 778.459.4E</v>
      </c>
      <c r="B4974" s="195" t="s">
        <v>2430</v>
      </c>
      <c r="C4974" s="196">
        <v>8.4499999999999993</v>
      </c>
      <c r="D4974" s="196">
        <v>9.4</v>
      </c>
      <c r="E4974" s="195" t="s">
        <v>583</v>
      </c>
      <c r="F4974" s="195" t="s">
        <v>19</v>
      </c>
    </row>
    <row r="4975" spans="1:6" x14ac:dyDescent="0.25">
      <c r="A4975" s="189" t="str">
        <f t="shared" si="77"/>
        <v>FR-MD 778.459.4W</v>
      </c>
      <c r="B4975" s="195" t="s">
        <v>2430</v>
      </c>
      <c r="C4975" s="196">
        <v>8.4499999999999993</v>
      </c>
      <c r="D4975" s="196">
        <v>9.4</v>
      </c>
      <c r="E4975" s="195" t="s">
        <v>583</v>
      </c>
      <c r="F4975" s="195" t="s">
        <v>432</v>
      </c>
    </row>
    <row r="4976" spans="1:6" x14ac:dyDescent="0.25">
      <c r="A4976" s="189" t="str">
        <f t="shared" si="77"/>
        <v>FR-MD 779.49.53E</v>
      </c>
      <c r="B4976" s="195" t="s">
        <v>2430</v>
      </c>
      <c r="C4976" s="196">
        <v>9.4</v>
      </c>
      <c r="D4976" s="196">
        <v>9.5299999999999994</v>
      </c>
      <c r="E4976" s="195" t="s">
        <v>583</v>
      </c>
      <c r="F4976" s="195" t="s">
        <v>19</v>
      </c>
    </row>
    <row r="4977" spans="1:6" x14ac:dyDescent="0.25">
      <c r="A4977" s="189" t="str">
        <f t="shared" si="77"/>
        <v>FR-MD 779.49.53W</v>
      </c>
      <c r="B4977" s="195" t="s">
        <v>2430</v>
      </c>
      <c r="C4977" s="196">
        <v>9.4</v>
      </c>
      <c r="D4977" s="196">
        <v>9.5299999999999994</v>
      </c>
      <c r="E4977" s="195" t="s">
        <v>583</v>
      </c>
      <c r="F4977" s="195" t="s">
        <v>432</v>
      </c>
    </row>
    <row r="4978" spans="1:6" x14ac:dyDescent="0.25">
      <c r="A4978" s="189" t="str">
        <f t="shared" si="77"/>
        <v>FR-MD 779.5311.25E</v>
      </c>
      <c r="B4978" s="195" t="s">
        <v>2430</v>
      </c>
      <c r="C4978" s="196">
        <v>9.5299999999999994</v>
      </c>
      <c r="D4978" s="196">
        <v>11.25</v>
      </c>
      <c r="E4978" s="195" t="s">
        <v>583</v>
      </c>
      <c r="F4978" s="195" t="s">
        <v>19</v>
      </c>
    </row>
    <row r="4979" spans="1:6" x14ac:dyDescent="0.25">
      <c r="A4979" s="189" t="str">
        <f t="shared" si="77"/>
        <v>FR-MD 779.5311.25W</v>
      </c>
      <c r="B4979" s="195" t="s">
        <v>2430</v>
      </c>
      <c r="C4979" s="196">
        <v>9.5299999999999994</v>
      </c>
      <c r="D4979" s="196">
        <v>11.25</v>
      </c>
      <c r="E4979" s="195" t="s">
        <v>583</v>
      </c>
      <c r="F4979" s="195" t="s">
        <v>432</v>
      </c>
    </row>
    <row r="4980" spans="1:6" x14ac:dyDescent="0.25">
      <c r="A4980" s="189" t="str">
        <f t="shared" si="77"/>
        <v>FR-MD 7711.2511.29E</v>
      </c>
      <c r="B4980" s="195" t="s">
        <v>2430</v>
      </c>
      <c r="C4980" s="196">
        <v>11.25</v>
      </c>
      <c r="D4980" s="196">
        <v>11.29</v>
      </c>
      <c r="E4980" s="195" t="s">
        <v>583</v>
      </c>
      <c r="F4980" s="195" t="s">
        <v>19</v>
      </c>
    </row>
    <row r="4981" spans="1:6" x14ac:dyDescent="0.25">
      <c r="A4981" s="189" t="str">
        <f t="shared" si="77"/>
        <v>FR-MD 7711.2511.29W</v>
      </c>
      <c r="B4981" s="195" t="s">
        <v>2430</v>
      </c>
      <c r="C4981" s="196">
        <v>11.25</v>
      </c>
      <c r="D4981" s="196">
        <v>11.29</v>
      </c>
      <c r="E4981" s="195" t="s">
        <v>583</v>
      </c>
      <c r="F4981" s="195" t="s">
        <v>432</v>
      </c>
    </row>
    <row r="4982" spans="1:6" x14ac:dyDescent="0.25">
      <c r="A4982" s="189" t="str">
        <f t="shared" si="77"/>
        <v>FR-MD 7711.2913E</v>
      </c>
      <c r="B4982" s="195" t="s">
        <v>2430</v>
      </c>
      <c r="C4982" s="196">
        <v>11.29</v>
      </c>
      <c r="D4982" s="196">
        <v>13</v>
      </c>
      <c r="E4982" s="195" t="s">
        <v>583</v>
      </c>
      <c r="F4982" s="195" t="s">
        <v>19</v>
      </c>
    </row>
    <row r="4983" spans="1:6" x14ac:dyDescent="0.25">
      <c r="A4983" s="189" t="str">
        <f t="shared" si="77"/>
        <v>FR-MD 7711.2913W</v>
      </c>
      <c r="B4983" s="195" t="s">
        <v>2430</v>
      </c>
      <c r="C4983" s="196">
        <v>11.29</v>
      </c>
      <c r="D4983" s="196">
        <v>13</v>
      </c>
      <c r="E4983" s="195" t="s">
        <v>583</v>
      </c>
      <c r="F4983" s="195" t="s">
        <v>432</v>
      </c>
    </row>
    <row r="4984" spans="1:6" x14ac:dyDescent="0.25">
      <c r="A4984" s="189" t="str">
        <f t="shared" si="77"/>
        <v>FR-MD 771315.79E</v>
      </c>
      <c r="B4984" s="195" t="s">
        <v>2430</v>
      </c>
      <c r="C4984" s="196">
        <v>13</v>
      </c>
      <c r="D4984" s="196">
        <v>15.79</v>
      </c>
      <c r="E4984" s="195" t="s">
        <v>583</v>
      </c>
      <c r="F4984" s="195" t="s">
        <v>19</v>
      </c>
    </row>
    <row r="4985" spans="1:6" x14ac:dyDescent="0.25">
      <c r="A4985" s="189" t="str">
        <f t="shared" si="77"/>
        <v>FR-MD 771315.79W</v>
      </c>
      <c r="B4985" s="195" t="s">
        <v>2430</v>
      </c>
      <c r="C4985" s="196">
        <v>13</v>
      </c>
      <c r="D4985" s="196">
        <v>15.79</v>
      </c>
      <c r="E4985" s="195" t="s">
        <v>583</v>
      </c>
      <c r="F4985" s="195" t="s">
        <v>432</v>
      </c>
    </row>
    <row r="4986" spans="1:6" x14ac:dyDescent="0.25">
      <c r="A4986" s="189" t="str">
        <f t="shared" si="77"/>
        <v>FR-MD 7900.85N</v>
      </c>
      <c r="B4986" s="195" t="s">
        <v>2431</v>
      </c>
      <c r="C4986" s="196">
        <v>0</v>
      </c>
      <c r="D4986" s="196">
        <v>0.85</v>
      </c>
      <c r="E4986" s="195" t="s">
        <v>583</v>
      </c>
      <c r="F4986" s="195" t="s">
        <v>430</v>
      </c>
    </row>
    <row r="4987" spans="1:6" x14ac:dyDescent="0.25">
      <c r="A4987" s="189" t="str">
        <f t="shared" si="77"/>
        <v>FR-MD 7900.85S</v>
      </c>
      <c r="B4987" s="195" t="s">
        <v>2431</v>
      </c>
      <c r="C4987" s="196">
        <v>0</v>
      </c>
      <c r="D4987" s="196">
        <v>0.85</v>
      </c>
      <c r="E4987" s="195" t="s">
        <v>583</v>
      </c>
      <c r="F4987" s="195" t="s">
        <v>438</v>
      </c>
    </row>
    <row r="4988" spans="1:6" x14ac:dyDescent="0.25">
      <c r="A4988" s="189" t="str">
        <f t="shared" si="77"/>
        <v>FR-MD 790.851.81N</v>
      </c>
      <c r="B4988" s="195" t="s">
        <v>2431</v>
      </c>
      <c r="C4988" s="196">
        <v>0.85</v>
      </c>
      <c r="D4988" s="196">
        <v>1.81</v>
      </c>
      <c r="E4988" s="195" t="s">
        <v>583</v>
      </c>
      <c r="F4988" s="195" t="s">
        <v>430</v>
      </c>
    </row>
    <row r="4989" spans="1:6" x14ac:dyDescent="0.25">
      <c r="A4989" s="189" t="str">
        <f t="shared" si="77"/>
        <v>FR-MD 790.851.81S</v>
      </c>
      <c r="B4989" s="195" t="s">
        <v>2431</v>
      </c>
      <c r="C4989" s="196">
        <v>0.85</v>
      </c>
      <c r="D4989" s="196">
        <v>1.81</v>
      </c>
      <c r="E4989" s="195" t="s">
        <v>583</v>
      </c>
      <c r="F4989" s="195" t="s">
        <v>438</v>
      </c>
    </row>
    <row r="4990" spans="1:6" x14ac:dyDescent="0.25">
      <c r="A4990" s="189" t="str">
        <f t="shared" si="77"/>
        <v>FR-MD 8001.34E</v>
      </c>
      <c r="B4990" s="195" t="s">
        <v>2432</v>
      </c>
      <c r="C4990" s="196">
        <v>0</v>
      </c>
      <c r="D4990" s="196">
        <v>1.34</v>
      </c>
      <c r="E4990" s="195" t="s">
        <v>583</v>
      </c>
      <c r="F4990" s="195" t="s">
        <v>19</v>
      </c>
    </row>
    <row r="4991" spans="1:6" x14ac:dyDescent="0.25">
      <c r="A4991" s="189" t="str">
        <f t="shared" si="77"/>
        <v>FR-MD 8001.34W</v>
      </c>
      <c r="B4991" s="195" t="s">
        <v>2432</v>
      </c>
      <c r="C4991" s="196">
        <v>0</v>
      </c>
      <c r="D4991" s="196">
        <v>1.34</v>
      </c>
      <c r="E4991" s="195" t="s">
        <v>583</v>
      </c>
      <c r="F4991" s="195" t="s">
        <v>432</v>
      </c>
    </row>
    <row r="4992" spans="1:6" x14ac:dyDescent="0.25">
      <c r="A4992" s="189" t="str">
        <f t="shared" si="77"/>
        <v>FR-MD 801.341.65E</v>
      </c>
      <c r="B4992" s="195" t="s">
        <v>2432</v>
      </c>
      <c r="C4992" s="196">
        <v>1.34</v>
      </c>
      <c r="D4992" s="196">
        <v>1.65</v>
      </c>
      <c r="E4992" s="195" t="s">
        <v>583</v>
      </c>
      <c r="F4992" s="195" t="s">
        <v>19</v>
      </c>
    </row>
    <row r="4993" spans="1:6" x14ac:dyDescent="0.25">
      <c r="A4993" s="189" t="str">
        <f t="shared" si="77"/>
        <v>FR-MD 801.341.65W</v>
      </c>
      <c r="B4993" s="195" t="s">
        <v>2432</v>
      </c>
      <c r="C4993" s="196">
        <v>1.34</v>
      </c>
      <c r="D4993" s="196">
        <v>1.65</v>
      </c>
      <c r="E4993" s="195" t="s">
        <v>583</v>
      </c>
      <c r="F4993" s="195" t="s">
        <v>432</v>
      </c>
    </row>
    <row r="4994" spans="1:6" x14ac:dyDescent="0.25">
      <c r="A4994" s="189" t="str">
        <f t="shared" si="77"/>
        <v>FR-MD 801.655E</v>
      </c>
      <c r="B4994" s="195" t="s">
        <v>2432</v>
      </c>
      <c r="C4994" s="196">
        <v>1.65</v>
      </c>
      <c r="D4994" s="196">
        <v>5</v>
      </c>
      <c r="E4994" s="195" t="s">
        <v>583</v>
      </c>
      <c r="F4994" s="195" t="s">
        <v>19</v>
      </c>
    </row>
    <row r="4995" spans="1:6" x14ac:dyDescent="0.25">
      <c r="A4995" s="189" t="str">
        <f t="shared" ref="A4995:A5058" si="78">B4995&amp;C4995&amp;D4995&amp;F4995</f>
        <v>FR-MD 801.655W</v>
      </c>
      <c r="B4995" s="195" t="s">
        <v>2432</v>
      </c>
      <c r="C4995" s="196">
        <v>1.65</v>
      </c>
      <c r="D4995" s="196">
        <v>5</v>
      </c>
      <c r="E4995" s="195" t="s">
        <v>583</v>
      </c>
      <c r="F4995" s="195" t="s">
        <v>432</v>
      </c>
    </row>
    <row r="4996" spans="1:6" x14ac:dyDescent="0.25">
      <c r="A4996" s="189" t="str">
        <f t="shared" si="78"/>
        <v>FR-MD 805.5110.16E</v>
      </c>
      <c r="B4996" s="195" t="s">
        <v>2432</v>
      </c>
      <c r="C4996" s="196">
        <v>5.51</v>
      </c>
      <c r="D4996" s="196">
        <v>10.16</v>
      </c>
      <c r="E4996" s="195" t="s">
        <v>583</v>
      </c>
      <c r="F4996" s="195" t="s">
        <v>19</v>
      </c>
    </row>
    <row r="4997" spans="1:6" x14ac:dyDescent="0.25">
      <c r="A4997" s="189" t="str">
        <f t="shared" si="78"/>
        <v>FR-MD 805.5110.16W</v>
      </c>
      <c r="B4997" s="195" t="s">
        <v>2432</v>
      </c>
      <c r="C4997" s="196">
        <v>5.51</v>
      </c>
      <c r="D4997" s="196">
        <v>10.16</v>
      </c>
      <c r="E4997" s="195" t="s">
        <v>583</v>
      </c>
      <c r="F4997" s="195" t="s">
        <v>432</v>
      </c>
    </row>
    <row r="4998" spans="1:6" x14ac:dyDescent="0.25">
      <c r="A4998" s="189" t="str">
        <f t="shared" si="78"/>
        <v>FR-MD 8010.1610.3E</v>
      </c>
      <c r="B4998" s="195" t="s">
        <v>2432</v>
      </c>
      <c r="C4998" s="196">
        <v>10.16</v>
      </c>
      <c r="D4998" s="196">
        <v>10.3</v>
      </c>
      <c r="E4998" s="195" t="s">
        <v>583</v>
      </c>
      <c r="F4998" s="195" t="s">
        <v>19</v>
      </c>
    </row>
    <row r="4999" spans="1:6" x14ac:dyDescent="0.25">
      <c r="A4999" s="189" t="str">
        <f t="shared" si="78"/>
        <v>FR-MD 8010.1610.3W</v>
      </c>
      <c r="B4999" s="195" t="s">
        <v>2432</v>
      </c>
      <c r="C4999" s="196">
        <v>10.16</v>
      </c>
      <c r="D4999" s="196">
        <v>10.3</v>
      </c>
      <c r="E4999" s="195" t="s">
        <v>583</v>
      </c>
      <c r="F4999" s="195" t="s">
        <v>432</v>
      </c>
    </row>
    <row r="5000" spans="1:6" x14ac:dyDescent="0.25">
      <c r="A5000" s="189" t="str">
        <f t="shared" si="78"/>
        <v>FR-MD 8010.311.7E</v>
      </c>
      <c r="B5000" s="195" t="s">
        <v>2432</v>
      </c>
      <c r="C5000" s="196">
        <v>10.3</v>
      </c>
      <c r="D5000" s="196">
        <v>11.7</v>
      </c>
      <c r="E5000" s="195" t="s">
        <v>583</v>
      </c>
      <c r="F5000" s="195" t="s">
        <v>19</v>
      </c>
    </row>
    <row r="5001" spans="1:6" x14ac:dyDescent="0.25">
      <c r="A5001" s="189" t="str">
        <f t="shared" si="78"/>
        <v>FR-MD 8010.311.7W</v>
      </c>
      <c r="B5001" s="195" t="s">
        <v>2432</v>
      </c>
      <c r="C5001" s="196">
        <v>10.3</v>
      </c>
      <c r="D5001" s="196">
        <v>11.7</v>
      </c>
      <c r="E5001" s="195" t="s">
        <v>583</v>
      </c>
      <c r="F5001" s="195" t="s">
        <v>432</v>
      </c>
    </row>
    <row r="5002" spans="1:6" x14ac:dyDescent="0.25">
      <c r="A5002" s="189" t="str">
        <f t="shared" si="78"/>
        <v>FR-MD 8011.713.36E</v>
      </c>
      <c r="B5002" s="195" t="s">
        <v>2432</v>
      </c>
      <c r="C5002" s="196">
        <v>11.7</v>
      </c>
      <c r="D5002" s="196">
        <v>13.36</v>
      </c>
      <c r="E5002" s="195" t="s">
        <v>583</v>
      </c>
      <c r="F5002" s="195" t="s">
        <v>19</v>
      </c>
    </row>
    <row r="5003" spans="1:6" x14ac:dyDescent="0.25">
      <c r="A5003" s="189" t="str">
        <f t="shared" si="78"/>
        <v>FR-MD 8011.713.36W</v>
      </c>
      <c r="B5003" s="195" t="s">
        <v>2432</v>
      </c>
      <c r="C5003" s="196">
        <v>11.7</v>
      </c>
      <c r="D5003" s="196">
        <v>13.36</v>
      </c>
      <c r="E5003" s="195" t="s">
        <v>583</v>
      </c>
      <c r="F5003" s="195" t="s">
        <v>432</v>
      </c>
    </row>
    <row r="5004" spans="1:6" x14ac:dyDescent="0.25">
      <c r="A5004" s="189" t="str">
        <f t="shared" si="78"/>
        <v>FR-MD 8013.3613.37E</v>
      </c>
      <c r="B5004" s="195" t="s">
        <v>2432</v>
      </c>
      <c r="C5004" s="196">
        <v>13.36</v>
      </c>
      <c r="D5004" s="196">
        <v>13.37</v>
      </c>
      <c r="E5004" s="195" t="s">
        <v>583</v>
      </c>
      <c r="F5004" s="195" t="s">
        <v>19</v>
      </c>
    </row>
    <row r="5005" spans="1:6" x14ac:dyDescent="0.25">
      <c r="A5005" s="189" t="str">
        <f t="shared" si="78"/>
        <v>FR-MD 8013.3613.37W</v>
      </c>
      <c r="B5005" s="195" t="s">
        <v>2432</v>
      </c>
      <c r="C5005" s="196">
        <v>13.36</v>
      </c>
      <c r="D5005" s="196">
        <v>13.37</v>
      </c>
      <c r="E5005" s="195" t="s">
        <v>583</v>
      </c>
      <c r="F5005" s="195" t="s">
        <v>432</v>
      </c>
    </row>
    <row r="5006" spans="1:6" x14ac:dyDescent="0.25">
      <c r="A5006" s="189" t="str">
        <f t="shared" si="78"/>
        <v>FR-MD 806A03.04N</v>
      </c>
      <c r="B5006" s="195" t="s">
        <v>2433</v>
      </c>
      <c r="C5006" s="196">
        <v>0</v>
      </c>
      <c r="D5006" s="196">
        <v>3.04</v>
      </c>
      <c r="E5006" s="195" t="s">
        <v>583</v>
      </c>
      <c r="F5006" s="195" t="s">
        <v>430</v>
      </c>
    </row>
    <row r="5007" spans="1:6" x14ac:dyDescent="0.25">
      <c r="A5007" s="189" t="str">
        <f t="shared" si="78"/>
        <v>FR-MD 806A03.04S</v>
      </c>
      <c r="B5007" s="195" t="s">
        <v>2433</v>
      </c>
      <c r="C5007" s="196">
        <v>0</v>
      </c>
      <c r="D5007" s="196">
        <v>3.04</v>
      </c>
      <c r="E5007" s="195" t="s">
        <v>583</v>
      </c>
      <c r="F5007" s="195" t="s">
        <v>438</v>
      </c>
    </row>
    <row r="5008" spans="1:6" x14ac:dyDescent="0.25">
      <c r="A5008" s="189" t="str">
        <f t="shared" si="78"/>
        <v>FR-MD 806I00.3N</v>
      </c>
      <c r="B5008" s="195" t="s">
        <v>2434</v>
      </c>
      <c r="C5008" s="196">
        <v>0</v>
      </c>
      <c r="D5008" s="196">
        <v>0.3</v>
      </c>
      <c r="E5008" s="195" t="s">
        <v>589</v>
      </c>
      <c r="F5008" s="195" t="s">
        <v>430</v>
      </c>
    </row>
    <row r="5009" spans="1:6" x14ac:dyDescent="0.25">
      <c r="A5009" s="189" t="str">
        <f t="shared" si="78"/>
        <v>FR-MD 806I00.3S</v>
      </c>
      <c r="B5009" s="195" t="s">
        <v>2434</v>
      </c>
      <c r="C5009" s="196">
        <v>0</v>
      </c>
      <c r="D5009" s="196">
        <v>0.3</v>
      </c>
      <c r="E5009" s="195" t="s">
        <v>595</v>
      </c>
      <c r="F5009" s="195" t="s">
        <v>438</v>
      </c>
    </row>
    <row r="5010" spans="1:6" x14ac:dyDescent="0.25">
      <c r="A5010" s="189" t="str">
        <f t="shared" si="78"/>
        <v>FR-MD 806I0.30.53N</v>
      </c>
      <c r="B5010" s="195" t="s">
        <v>2434</v>
      </c>
      <c r="C5010" s="196">
        <v>0.3</v>
      </c>
      <c r="D5010" s="196">
        <v>0.53</v>
      </c>
      <c r="E5010" s="195" t="s">
        <v>589</v>
      </c>
      <c r="F5010" s="195" t="s">
        <v>430</v>
      </c>
    </row>
    <row r="5011" spans="1:6" x14ac:dyDescent="0.25">
      <c r="A5011" s="189" t="str">
        <f t="shared" si="78"/>
        <v>FR-MD 806I0.30.53S</v>
      </c>
      <c r="B5011" s="195" t="s">
        <v>2434</v>
      </c>
      <c r="C5011" s="196">
        <v>0.3</v>
      </c>
      <c r="D5011" s="196">
        <v>0.53</v>
      </c>
      <c r="E5011" s="195" t="s">
        <v>595</v>
      </c>
      <c r="F5011" s="195" t="s">
        <v>438</v>
      </c>
    </row>
    <row r="5012" spans="1:6" x14ac:dyDescent="0.25">
      <c r="A5012" s="189" t="str">
        <f t="shared" si="78"/>
        <v>FR-MD 806N00.09S</v>
      </c>
      <c r="B5012" s="195" t="s">
        <v>2435</v>
      </c>
      <c r="C5012" s="196">
        <v>0</v>
      </c>
      <c r="D5012" s="196">
        <v>0.09</v>
      </c>
      <c r="E5012" s="195" t="s">
        <v>595</v>
      </c>
      <c r="F5012" s="195" t="s">
        <v>438</v>
      </c>
    </row>
    <row r="5013" spans="1:6" x14ac:dyDescent="0.25">
      <c r="A5013" s="189" t="str">
        <f t="shared" si="78"/>
        <v>FR-MD 806O00.04N</v>
      </c>
      <c r="B5013" s="195" t="s">
        <v>2436</v>
      </c>
      <c r="C5013" s="196">
        <v>0</v>
      </c>
      <c r="D5013" s="196">
        <v>0.04</v>
      </c>
      <c r="E5013" s="195" t="s">
        <v>589</v>
      </c>
      <c r="F5013" s="195" t="s">
        <v>430</v>
      </c>
    </row>
    <row r="5014" spans="1:6" x14ac:dyDescent="0.25">
      <c r="A5014" s="189" t="str">
        <f t="shared" si="78"/>
        <v>FR-MD 806O00.04S</v>
      </c>
      <c r="B5014" s="195" t="s">
        <v>2436</v>
      </c>
      <c r="C5014" s="196">
        <v>0</v>
      </c>
      <c r="D5014" s="196">
        <v>0.04</v>
      </c>
      <c r="E5014" s="195" t="s">
        <v>595</v>
      </c>
      <c r="F5014" s="195" t="s">
        <v>438</v>
      </c>
    </row>
    <row r="5015" spans="1:6" x14ac:dyDescent="0.25">
      <c r="A5015" s="189" t="str">
        <f t="shared" si="78"/>
        <v>FR-MD 806R01.01N</v>
      </c>
      <c r="B5015" s="195" t="s">
        <v>2437</v>
      </c>
      <c r="C5015" s="196">
        <v>0</v>
      </c>
      <c r="D5015" s="196">
        <v>1.01</v>
      </c>
      <c r="E5015" s="195" t="s">
        <v>583</v>
      </c>
      <c r="F5015" s="195" t="s">
        <v>430</v>
      </c>
    </row>
    <row r="5016" spans="1:6" x14ac:dyDescent="0.25">
      <c r="A5016" s="189" t="str">
        <f t="shared" si="78"/>
        <v>FR-MD 806R01.01S</v>
      </c>
      <c r="B5016" s="195" t="s">
        <v>2437</v>
      </c>
      <c r="C5016" s="196">
        <v>0</v>
      </c>
      <c r="D5016" s="196">
        <v>1.01</v>
      </c>
      <c r="E5016" s="195" t="s">
        <v>583</v>
      </c>
      <c r="F5016" s="195" t="s">
        <v>438</v>
      </c>
    </row>
    <row r="5017" spans="1:6" x14ac:dyDescent="0.25">
      <c r="A5017" s="189" t="str">
        <f t="shared" si="78"/>
        <v>FR-MD 806S00.14N</v>
      </c>
      <c r="B5017" s="195" t="s">
        <v>2438</v>
      </c>
      <c r="C5017" s="196">
        <v>0</v>
      </c>
      <c r="D5017" s="196">
        <v>0.14000000000000001</v>
      </c>
      <c r="E5017" s="195" t="s">
        <v>589</v>
      </c>
      <c r="F5017" s="195" t="s">
        <v>430</v>
      </c>
    </row>
    <row r="5018" spans="1:6" x14ac:dyDescent="0.25">
      <c r="A5018" s="189" t="str">
        <f t="shared" si="78"/>
        <v>FR-MD 806S00.14S</v>
      </c>
      <c r="B5018" s="195" t="s">
        <v>2438</v>
      </c>
      <c r="C5018" s="196">
        <v>0</v>
      </c>
      <c r="D5018" s="196">
        <v>0.14000000000000001</v>
      </c>
      <c r="E5018" s="195" t="s">
        <v>595</v>
      </c>
      <c r="F5018" s="195" t="s">
        <v>438</v>
      </c>
    </row>
    <row r="5019" spans="1:6" x14ac:dyDescent="0.25">
      <c r="A5019" s="189" t="str">
        <f t="shared" si="78"/>
        <v>FR-MD 81400.29N</v>
      </c>
      <c r="B5019" s="195" t="s">
        <v>2439</v>
      </c>
      <c r="C5019" s="196">
        <v>0</v>
      </c>
      <c r="D5019" s="196">
        <v>0.28999999999999998</v>
      </c>
      <c r="E5019" s="195" t="s">
        <v>589</v>
      </c>
      <c r="F5019" s="195" t="s">
        <v>430</v>
      </c>
    </row>
    <row r="5020" spans="1:6" x14ac:dyDescent="0.25">
      <c r="A5020" s="189" t="str">
        <f t="shared" si="78"/>
        <v>FR-MD 81400.29S</v>
      </c>
      <c r="B5020" s="195" t="s">
        <v>2439</v>
      </c>
      <c r="C5020" s="196">
        <v>0</v>
      </c>
      <c r="D5020" s="196">
        <v>0.28999999999999998</v>
      </c>
      <c r="E5020" s="195" t="s">
        <v>595</v>
      </c>
      <c r="F5020" s="195" t="s">
        <v>438</v>
      </c>
    </row>
    <row r="5021" spans="1:6" x14ac:dyDescent="0.25">
      <c r="A5021" s="189" t="str">
        <f t="shared" si="78"/>
        <v>FR-MD 8500.09N</v>
      </c>
      <c r="B5021" s="195" t="s">
        <v>567</v>
      </c>
      <c r="C5021" s="196">
        <v>0</v>
      </c>
      <c r="D5021" s="196">
        <v>0.09</v>
      </c>
      <c r="E5021" s="195" t="s">
        <v>583</v>
      </c>
      <c r="F5021" s="195" t="s">
        <v>430</v>
      </c>
    </row>
    <row r="5022" spans="1:6" x14ac:dyDescent="0.25">
      <c r="A5022" s="189" t="str">
        <f t="shared" si="78"/>
        <v>FR-MD 8500.09S</v>
      </c>
      <c r="B5022" s="195" t="s">
        <v>567</v>
      </c>
      <c r="C5022" s="196">
        <v>0</v>
      </c>
      <c r="D5022" s="196">
        <v>0.09</v>
      </c>
      <c r="E5022" s="195" t="s">
        <v>583</v>
      </c>
      <c r="F5022" s="195" t="s">
        <v>438</v>
      </c>
    </row>
    <row r="5023" spans="1:6" x14ac:dyDescent="0.25">
      <c r="A5023" s="189" t="str">
        <f t="shared" si="78"/>
        <v>FR-MD 850.093.75N</v>
      </c>
      <c r="B5023" s="195" t="s">
        <v>567</v>
      </c>
      <c r="C5023" s="196">
        <v>0.09</v>
      </c>
      <c r="D5023" s="196">
        <v>3.75</v>
      </c>
      <c r="E5023" s="195" t="s">
        <v>583</v>
      </c>
      <c r="F5023" s="195" t="s">
        <v>430</v>
      </c>
    </row>
    <row r="5024" spans="1:6" x14ac:dyDescent="0.25">
      <c r="A5024" s="189" t="str">
        <f t="shared" si="78"/>
        <v>FR-MD 850.093.75S</v>
      </c>
      <c r="B5024" s="195" t="s">
        <v>567</v>
      </c>
      <c r="C5024" s="196">
        <v>0.09</v>
      </c>
      <c r="D5024" s="196">
        <v>3.75</v>
      </c>
      <c r="E5024" s="195" t="s">
        <v>583</v>
      </c>
      <c r="F5024" s="195" t="s">
        <v>438</v>
      </c>
    </row>
    <row r="5025" spans="1:6" x14ac:dyDescent="0.25">
      <c r="A5025" s="189" t="str">
        <f t="shared" si="78"/>
        <v>FR-MD 853.754.57N</v>
      </c>
      <c r="B5025" s="195" t="s">
        <v>567</v>
      </c>
      <c r="C5025" s="196">
        <v>3.75</v>
      </c>
      <c r="D5025" s="196">
        <v>4.57</v>
      </c>
      <c r="E5025" s="195" t="s">
        <v>583</v>
      </c>
      <c r="F5025" s="195" t="s">
        <v>430</v>
      </c>
    </row>
    <row r="5026" spans="1:6" x14ac:dyDescent="0.25">
      <c r="A5026" s="189" t="str">
        <f t="shared" si="78"/>
        <v>FR-MD 853.754.57S</v>
      </c>
      <c r="B5026" s="195" t="s">
        <v>567</v>
      </c>
      <c r="C5026" s="196">
        <v>3.75</v>
      </c>
      <c r="D5026" s="196">
        <v>4.57</v>
      </c>
      <c r="E5026" s="195" t="s">
        <v>583</v>
      </c>
      <c r="F5026" s="195" t="s">
        <v>438</v>
      </c>
    </row>
    <row r="5027" spans="1:6" x14ac:dyDescent="0.25">
      <c r="A5027" s="189" t="str">
        <f t="shared" si="78"/>
        <v>FR-MD 854.575.37N</v>
      </c>
      <c r="B5027" s="195" t="s">
        <v>567</v>
      </c>
      <c r="C5027" s="196">
        <v>4.57</v>
      </c>
      <c r="D5027" s="196">
        <v>5.37</v>
      </c>
      <c r="E5027" s="195" t="s">
        <v>583</v>
      </c>
      <c r="F5027" s="195" t="s">
        <v>430</v>
      </c>
    </row>
    <row r="5028" spans="1:6" x14ac:dyDescent="0.25">
      <c r="A5028" s="189" t="str">
        <f t="shared" si="78"/>
        <v>FR-MD 854.575.37S</v>
      </c>
      <c r="B5028" s="195" t="s">
        <v>567</v>
      </c>
      <c r="C5028" s="196">
        <v>4.57</v>
      </c>
      <c r="D5028" s="196">
        <v>5.37</v>
      </c>
      <c r="E5028" s="195" t="s">
        <v>583</v>
      </c>
      <c r="F5028" s="195" t="s">
        <v>438</v>
      </c>
    </row>
    <row r="5029" spans="1:6" x14ac:dyDescent="0.25">
      <c r="A5029" s="189" t="str">
        <f t="shared" si="78"/>
        <v>FR-MD 855.376.8N</v>
      </c>
      <c r="B5029" s="195" t="s">
        <v>567</v>
      </c>
      <c r="C5029" s="196">
        <v>5.37</v>
      </c>
      <c r="D5029" s="196">
        <v>6.8</v>
      </c>
      <c r="E5029" s="195" t="s">
        <v>583</v>
      </c>
      <c r="F5029" s="195" t="s">
        <v>430</v>
      </c>
    </row>
    <row r="5030" spans="1:6" x14ac:dyDescent="0.25">
      <c r="A5030" s="189" t="str">
        <f t="shared" si="78"/>
        <v>FR-MD 855.376.8S</v>
      </c>
      <c r="B5030" s="195" t="s">
        <v>567</v>
      </c>
      <c r="C5030" s="196">
        <v>5.37</v>
      </c>
      <c r="D5030" s="196">
        <v>6.8</v>
      </c>
      <c r="E5030" s="195" t="s">
        <v>583</v>
      </c>
      <c r="F5030" s="195" t="s">
        <v>438</v>
      </c>
    </row>
    <row r="5031" spans="1:6" x14ac:dyDescent="0.25">
      <c r="A5031" s="189" t="str">
        <f t="shared" si="78"/>
        <v>FR-MD 856.87.83N</v>
      </c>
      <c r="B5031" s="195" t="s">
        <v>567</v>
      </c>
      <c r="C5031" s="196">
        <v>6.8</v>
      </c>
      <c r="D5031" s="196">
        <v>7.83</v>
      </c>
      <c r="E5031" s="195" t="s">
        <v>583</v>
      </c>
      <c r="F5031" s="195" t="s">
        <v>430</v>
      </c>
    </row>
    <row r="5032" spans="1:6" x14ac:dyDescent="0.25">
      <c r="A5032" s="189" t="str">
        <f t="shared" si="78"/>
        <v>FR-MD 856.87.83S</v>
      </c>
      <c r="B5032" s="195" t="s">
        <v>567</v>
      </c>
      <c r="C5032" s="196">
        <v>6.8</v>
      </c>
      <c r="D5032" s="196">
        <v>7.83</v>
      </c>
      <c r="E5032" s="195" t="s">
        <v>583</v>
      </c>
      <c r="F5032" s="195" t="s">
        <v>438</v>
      </c>
    </row>
    <row r="5033" spans="1:6" x14ac:dyDescent="0.25">
      <c r="A5033" s="189" t="str">
        <f t="shared" si="78"/>
        <v>FR-MD 858.48.5N</v>
      </c>
      <c r="B5033" s="195" t="s">
        <v>567</v>
      </c>
      <c r="C5033" s="196">
        <v>8.4</v>
      </c>
      <c r="D5033" s="196">
        <v>8.5</v>
      </c>
      <c r="E5033" s="195" t="s">
        <v>589</v>
      </c>
      <c r="F5033" s="195" t="s">
        <v>430</v>
      </c>
    </row>
    <row r="5034" spans="1:6" x14ac:dyDescent="0.25">
      <c r="A5034" s="189" t="str">
        <f t="shared" si="78"/>
        <v>FR-MD 858.59.2N</v>
      </c>
      <c r="B5034" s="195" t="s">
        <v>567</v>
      </c>
      <c r="C5034" s="196">
        <v>8.5</v>
      </c>
      <c r="D5034" s="196">
        <v>9.1999999999999993</v>
      </c>
      <c r="E5034" s="195" t="s">
        <v>589</v>
      </c>
      <c r="F5034" s="195" t="s">
        <v>430</v>
      </c>
    </row>
    <row r="5035" spans="1:6" x14ac:dyDescent="0.25">
      <c r="A5035" s="189" t="str">
        <f t="shared" si="78"/>
        <v>FR-MD 858.79.2S</v>
      </c>
      <c r="B5035" s="195" t="s">
        <v>567</v>
      </c>
      <c r="C5035" s="196">
        <v>8.6999999999999993</v>
      </c>
      <c r="D5035" s="196">
        <v>9.1999999999999993</v>
      </c>
      <c r="E5035" s="195" t="s">
        <v>595</v>
      </c>
      <c r="F5035" s="195" t="s">
        <v>438</v>
      </c>
    </row>
    <row r="5036" spans="1:6" x14ac:dyDescent="0.25">
      <c r="A5036" s="189" t="str">
        <f t="shared" si="78"/>
        <v>FR-MD 859.59.85N</v>
      </c>
      <c r="B5036" s="195" t="s">
        <v>567</v>
      </c>
      <c r="C5036" s="196">
        <v>9.5</v>
      </c>
      <c r="D5036" s="196">
        <v>9.85</v>
      </c>
      <c r="E5036" s="195" t="s">
        <v>589</v>
      </c>
      <c r="F5036" s="195" t="s">
        <v>430</v>
      </c>
    </row>
    <row r="5037" spans="1:6" x14ac:dyDescent="0.25">
      <c r="A5037" s="189" t="str">
        <f t="shared" si="78"/>
        <v>FR-MD 850D00.11E</v>
      </c>
      <c r="B5037" s="195" t="s">
        <v>2440</v>
      </c>
      <c r="C5037" s="196">
        <v>0</v>
      </c>
      <c r="D5037" s="196">
        <v>0.11</v>
      </c>
      <c r="E5037" s="195" t="s">
        <v>598</v>
      </c>
      <c r="F5037" s="195" t="s">
        <v>19</v>
      </c>
    </row>
    <row r="5038" spans="1:6" x14ac:dyDescent="0.25">
      <c r="A5038" s="189" t="str">
        <f t="shared" si="78"/>
        <v>FR-MD 850D00.11W</v>
      </c>
      <c r="B5038" s="195" t="s">
        <v>2440</v>
      </c>
      <c r="C5038" s="196">
        <v>0</v>
      </c>
      <c r="D5038" s="196">
        <v>0.11</v>
      </c>
      <c r="E5038" s="195" t="s">
        <v>593</v>
      </c>
      <c r="F5038" s="195" t="s">
        <v>432</v>
      </c>
    </row>
    <row r="5039" spans="1:6" x14ac:dyDescent="0.25">
      <c r="A5039" s="189" t="str">
        <f t="shared" si="78"/>
        <v>FR-MD 85B00.21E</v>
      </c>
      <c r="B5039" s="195" t="s">
        <v>2441</v>
      </c>
      <c r="C5039" s="196">
        <v>0</v>
      </c>
      <c r="D5039" s="196">
        <v>0.21</v>
      </c>
      <c r="E5039" s="195" t="s">
        <v>598</v>
      </c>
      <c r="F5039" s="195" t="s">
        <v>19</v>
      </c>
    </row>
    <row r="5040" spans="1:6" x14ac:dyDescent="0.25">
      <c r="A5040" s="189" t="str">
        <f t="shared" si="78"/>
        <v>FR-MD 85B00.21W</v>
      </c>
      <c r="B5040" s="195" t="s">
        <v>2441</v>
      </c>
      <c r="C5040" s="196">
        <v>0</v>
      </c>
      <c r="D5040" s="196">
        <v>0.21</v>
      </c>
      <c r="E5040" s="195" t="s">
        <v>593</v>
      </c>
      <c r="F5040" s="195" t="s">
        <v>432</v>
      </c>
    </row>
    <row r="5041" spans="1:6" x14ac:dyDescent="0.25">
      <c r="A5041" s="189" t="str">
        <f t="shared" si="78"/>
        <v>FR-MD 870G00.16E</v>
      </c>
      <c r="B5041" s="195" t="s">
        <v>2442</v>
      </c>
      <c r="C5041" s="196">
        <v>0</v>
      </c>
      <c r="D5041" s="196">
        <v>0.16</v>
      </c>
      <c r="E5041" s="195" t="s">
        <v>598</v>
      </c>
      <c r="F5041" s="195" t="s">
        <v>19</v>
      </c>
    </row>
    <row r="5042" spans="1:6" x14ac:dyDescent="0.25">
      <c r="A5042" s="189" t="str">
        <f t="shared" si="78"/>
        <v>FR-MD 870G00.2W</v>
      </c>
      <c r="B5042" s="195" t="s">
        <v>2442</v>
      </c>
      <c r="C5042" s="196">
        <v>0</v>
      </c>
      <c r="D5042" s="196">
        <v>0.2</v>
      </c>
      <c r="E5042" s="195" t="s">
        <v>593</v>
      </c>
      <c r="F5042" s="195" t="s">
        <v>432</v>
      </c>
    </row>
    <row r="5043" spans="1:6" x14ac:dyDescent="0.25">
      <c r="A5043" s="189" t="str">
        <f t="shared" si="78"/>
        <v>FR-MD 871F00.11E</v>
      </c>
      <c r="B5043" s="195" t="s">
        <v>2443</v>
      </c>
      <c r="C5043" s="196">
        <v>0</v>
      </c>
      <c r="D5043" s="196">
        <v>0.11</v>
      </c>
      <c r="E5043" s="195" t="s">
        <v>598</v>
      </c>
      <c r="F5043" s="195" t="s">
        <v>19</v>
      </c>
    </row>
    <row r="5044" spans="1:6" x14ac:dyDescent="0.25">
      <c r="A5044" s="189" t="str">
        <f t="shared" si="78"/>
        <v>FR-MD 871F00.11W</v>
      </c>
      <c r="B5044" s="195" t="s">
        <v>2443</v>
      </c>
      <c r="C5044" s="196">
        <v>0</v>
      </c>
      <c r="D5044" s="196">
        <v>0.11</v>
      </c>
      <c r="E5044" s="195" t="s">
        <v>593</v>
      </c>
      <c r="F5044" s="195" t="s">
        <v>432</v>
      </c>
    </row>
    <row r="5045" spans="1:6" x14ac:dyDescent="0.25">
      <c r="A5045" s="189" t="str">
        <f t="shared" si="78"/>
        <v>FR-MD 871G00.91N</v>
      </c>
      <c r="B5045" s="195" t="s">
        <v>2444</v>
      </c>
      <c r="C5045" s="196">
        <v>0</v>
      </c>
      <c r="D5045" s="196">
        <v>0.91</v>
      </c>
      <c r="E5045" s="195" t="s">
        <v>589</v>
      </c>
      <c r="F5045" s="195" t="s">
        <v>430</v>
      </c>
    </row>
    <row r="5046" spans="1:6" x14ac:dyDescent="0.25">
      <c r="A5046" s="189" t="str">
        <f t="shared" si="78"/>
        <v>FR-MD 871G00.91S</v>
      </c>
      <c r="B5046" s="195" t="s">
        <v>2444</v>
      </c>
      <c r="C5046" s="196">
        <v>0</v>
      </c>
      <c r="D5046" s="196">
        <v>0.91</v>
      </c>
      <c r="E5046" s="195" t="s">
        <v>595</v>
      </c>
      <c r="F5046" s="195" t="s">
        <v>438</v>
      </c>
    </row>
    <row r="5047" spans="1:6" x14ac:dyDescent="0.25">
      <c r="A5047" s="189" t="str">
        <f t="shared" si="78"/>
        <v>FR-MD 871H00.05N</v>
      </c>
      <c r="B5047" s="195" t="s">
        <v>2445</v>
      </c>
      <c r="C5047" s="196">
        <v>0</v>
      </c>
      <c r="D5047" s="196">
        <v>0.05</v>
      </c>
      <c r="E5047" s="195" t="s">
        <v>589</v>
      </c>
      <c r="F5047" s="195" t="s">
        <v>430</v>
      </c>
    </row>
    <row r="5048" spans="1:6" x14ac:dyDescent="0.25">
      <c r="A5048" s="189" t="str">
        <f t="shared" si="78"/>
        <v>FR-MD 871H00.05S</v>
      </c>
      <c r="B5048" s="195" t="s">
        <v>2445</v>
      </c>
      <c r="C5048" s="196">
        <v>0</v>
      </c>
      <c r="D5048" s="196">
        <v>0.05</v>
      </c>
      <c r="E5048" s="195" t="s">
        <v>595</v>
      </c>
      <c r="F5048" s="195" t="s">
        <v>438</v>
      </c>
    </row>
    <row r="5049" spans="1:6" x14ac:dyDescent="0.25">
      <c r="A5049" s="189" t="str">
        <f t="shared" si="78"/>
        <v>FR-MD 87200.33N</v>
      </c>
      <c r="B5049" s="195" t="s">
        <v>2446</v>
      </c>
      <c r="C5049" s="196">
        <v>0</v>
      </c>
      <c r="D5049" s="196">
        <v>0.33</v>
      </c>
      <c r="E5049" s="195" t="s">
        <v>589</v>
      </c>
      <c r="F5049" s="195" t="s">
        <v>430</v>
      </c>
    </row>
    <row r="5050" spans="1:6" x14ac:dyDescent="0.25">
      <c r="A5050" s="189" t="str">
        <f t="shared" si="78"/>
        <v>FR-MD 87200.33S</v>
      </c>
      <c r="B5050" s="195" t="s">
        <v>2446</v>
      </c>
      <c r="C5050" s="196">
        <v>0</v>
      </c>
      <c r="D5050" s="196">
        <v>0.33</v>
      </c>
      <c r="E5050" s="195" t="s">
        <v>595</v>
      </c>
      <c r="F5050" s="195" t="s">
        <v>438</v>
      </c>
    </row>
    <row r="5051" spans="1:6" x14ac:dyDescent="0.25">
      <c r="A5051" s="189" t="str">
        <f t="shared" si="78"/>
        <v>FR-MD 87300.37N</v>
      </c>
      <c r="B5051" s="195" t="s">
        <v>2447</v>
      </c>
      <c r="C5051" s="196">
        <v>0</v>
      </c>
      <c r="D5051" s="196">
        <v>0.37</v>
      </c>
      <c r="E5051" s="195" t="s">
        <v>589</v>
      </c>
      <c r="F5051" s="195" t="s">
        <v>430</v>
      </c>
    </row>
    <row r="5052" spans="1:6" x14ac:dyDescent="0.25">
      <c r="A5052" s="189" t="str">
        <f t="shared" si="78"/>
        <v>FR-MD 87300.37S</v>
      </c>
      <c r="B5052" s="195" t="s">
        <v>2447</v>
      </c>
      <c r="C5052" s="196">
        <v>0</v>
      </c>
      <c r="D5052" s="196">
        <v>0.37</v>
      </c>
      <c r="E5052" s="195" t="s">
        <v>595</v>
      </c>
      <c r="F5052" s="195" t="s">
        <v>438</v>
      </c>
    </row>
    <row r="5053" spans="1:6" x14ac:dyDescent="0.25">
      <c r="A5053" s="189" t="str">
        <f t="shared" si="78"/>
        <v>FR-MD 87400.56N</v>
      </c>
      <c r="B5053" s="195" t="s">
        <v>2448</v>
      </c>
      <c r="C5053" s="196">
        <v>0</v>
      </c>
      <c r="D5053" s="196">
        <v>0.56000000000000005</v>
      </c>
      <c r="E5053" s="195" t="s">
        <v>589</v>
      </c>
      <c r="F5053" s="195" t="s">
        <v>430</v>
      </c>
    </row>
    <row r="5054" spans="1:6" x14ac:dyDescent="0.25">
      <c r="A5054" s="189" t="str">
        <f t="shared" si="78"/>
        <v>FR-MD 87400.56S</v>
      </c>
      <c r="B5054" s="195" t="s">
        <v>2448</v>
      </c>
      <c r="C5054" s="196">
        <v>0</v>
      </c>
      <c r="D5054" s="196">
        <v>0.56000000000000005</v>
      </c>
      <c r="E5054" s="195" t="s">
        <v>595</v>
      </c>
      <c r="F5054" s="195" t="s">
        <v>438</v>
      </c>
    </row>
    <row r="5055" spans="1:6" x14ac:dyDescent="0.25">
      <c r="A5055" s="189" t="str">
        <f t="shared" si="78"/>
        <v>FR-MD 874B00.08N</v>
      </c>
      <c r="B5055" s="195" t="s">
        <v>2449</v>
      </c>
      <c r="C5055" s="196">
        <v>0</v>
      </c>
      <c r="D5055" s="196">
        <v>0.08</v>
      </c>
      <c r="E5055" s="195" t="s">
        <v>589</v>
      </c>
      <c r="F5055" s="195" t="s">
        <v>430</v>
      </c>
    </row>
    <row r="5056" spans="1:6" x14ac:dyDescent="0.25">
      <c r="A5056" s="189" t="str">
        <f t="shared" si="78"/>
        <v>FR-MD 874B00.08S</v>
      </c>
      <c r="B5056" s="195" t="s">
        <v>2449</v>
      </c>
      <c r="C5056" s="196">
        <v>0</v>
      </c>
      <c r="D5056" s="196">
        <v>0.08</v>
      </c>
      <c r="E5056" s="195" t="s">
        <v>595</v>
      </c>
      <c r="F5056" s="195" t="s">
        <v>438</v>
      </c>
    </row>
    <row r="5057" spans="1:6" x14ac:dyDescent="0.25">
      <c r="A5057" s="189" t="str">
        <f t="shared" si="78"/>
        <v>FR-MD 874D00.08N</v>
      </c>
      <c r="B5057" s="195" t="s">
        <v>2450</v>
      </c>
      <c r="C5057" s="196">
        <v>0</v>
      </c>
      <c r="D5057" s="196">
        <v>0.08</v>
      </c>
      <c r="E5057" s="195" t="s">
        <v>589</v>
      </c>
      <c r="F5057" s="195" t="s">
        <v>430</v>
      </c>
    </row>
    <row r="5058" spans="1:6" x14ac:dyDescent="0.25">
      <c r="A5058" s="189" t="str">
        <f t="shared" si="78"/>
        <v>FR-MD 874D00.08S</v>
      </c>
      <c r="B5058" s="195" t="s">
        <v>2450</v>
      </c>
      <c r="C5058" s="196">
        <v>0</v>
      </c>
      <c r="D5058" s="196">
        <v>0.08</v>
      </c>
      <c r="E5058" s="195" t="s">
        <v>595</v>
      </c>
      <c r="F5058" s="195" t="s">
        <v>438</v>
      </c>
    </row>
    <row r="5059" spans="1:6" x14ac:dyDescent="0.25">
      <c r="A5059" s="189" t="str">
        <f t="shared" ref="A5059:A5122" si="79">B5059&amp;C5059&amp;D5059&amp;F5059</f>
        <v>FR-MD 874E00.14N</v>
      </c>
      <c r="B5059" s="195" t="s">
        <v>2451</v>
      </c>
      <c r="C5059" s="196">
        <v>0</v>
      </c>
      <c r="D5059" s="196">
        <v>0.14000000000000001</v>
      </c>
      <c r="E5059" s="195" t="s">
        <v>589</v>
      </c>
      <c r="F5059" s="195" t="s">
        <v>430</v>
      </c>
    </row>
    <row r="5060" spans="1:6" x14ac:dyDescent="0.25">
      <c r="A5060" s="189" t="str">
        <f t="shared" si="79"/>
        <v>FR-MD 874E00.14S</v>
      </c>
      <c r="B5060" s="195" t="s">
        <v>2451</v>
      </c>
      <c r="C5060" s="196">
        <v>0</v>
      </c>
      <c r="D5060" s="196">
        <v>0.14000000000000001</v>
      </c>
      <c r="E5060" s="195" t="s">
        <v>595</v>
      </c>
      <c r="F5060" s="195" t="s">
        <v>438</v>
      </c>
    </row>
    <row r="5061" spans="1:6" x14ac:dyDescent="0.25">
      <c r="A5061" s="189" t="str">
        <f t="shared" si="79"/>
        <v>FR-MD 877B00.6E</v>
      </c>
      <c r="B5061" s="195" t="s">
        <v>2452</v>
      </c>
      <c r="C5061" s="196">
        <v>0</v>
      </c>
      <c r="D5061" s="196">
        <v>0.6</v>
      </c>
      <c r="E5061" s="195" t="s">
        <v>598</v>
      </c>
      <c r="F5061" s="195" t="s">
        <v>19</v>
      </c>
    </row>
    <row r="5062" spans="1:6" x14ac:dyDescent="0.25">
      <c r="A5062" s="189" t="str">
        <f t="shared" si="79"/>
        <v>FR-MD 877B00.6W</v>
      </c>
      <c r="B5062" s="195" t="s">
        <v>2452</v>
      </c>
      <c r="C5062" s="196">
        <v>0</v>
      </c>
      <c r="D5062" s="196">
        <v>0.6</v>
      </c>
      <c r="E5062" s="195" t="s">
        <v>593</v>
      </c>
      <c r="F5062" s="195" t="s">
        <v>432</v>
      </c>
    </row>
    <row r="5063" spans="1:6" x14ac:dyDescent="0.25">
      <c r="A5063" s="189" t="str">
        <f t="shared" si="79"/>
        <v>FR-MD 904H00.21E</v>
      </c>
      <c r="B5063" s="195" t="s">
        <v>2453</v>
      </c>
      <c r="C5063" s="196">
        <v>0</v>
      </c>
      <c r="D5063" s="196">
        <v>0.21</v>
      </c>
      <c r="E5063" s="195" t="s">
        <v>598</v>
      </c>
      <c r="F5063" s="195" t="s">
        <v>19</v>
      </c>
    </row>
    <row r="5064" spans="1:6" x14ac:dyDescent="0.25">
      <c r="A5064" s="189" t="str">
        <f t="shared" si="79"/>
        <v>FR-MD 904H00.21W</v>
      </c>
      <c r="B5064" s="195" t="s">
        <v>2453</v>
      </c>
      <c r="C5064" s="196">
        <v>0</v>
      </c>
      <c r="D5064" s="196">
        <v>0.21</v>
      </c>
      <c r="E5064" s="195" t="s">
        <v>593</v>
      </c>
      <c r="F5064" s="195" t="s">
        <v>432</v>
      </c>
    </row>
    <row r="5065" spans="1:6" x14ac:dyDescent="0.25">
      <c r="A5065" s="189" t="str">
        <f t="shared" si="79"/>
        <v>FR-MD 904I00.04E</v>
      </c>
      <c r="B5065" s="195" t="s">
        <v>2454</v>
      </c>
      <c r="C5065" s="196">
        <v>0</v>
      </c>
      <c r="D5065" s="196">
        <v>0.04</v>
      </c>
      <c r="E5065" s="195" t="s">
        <v>598</v>
      </c>
      <c r="F5065" s="195" t="s">
        <v>19</v>
      </c>
    </row>
    <row r="5066" spans="1:6" x14ac:dyDescent="0.25">
      <c r="A5066" s="189" t="str">
        <f t="shared" si="79"/>
        <v>FR-MD 904I00.04W</v>
      </c>
      <c r="B5066" s="195" t="s">
        <v>2454</v>
      </c>
      <c r="C5066" s="196">
        <v>0</v>
      </c>
      <c r="D5066" s="196">
        <v>0.04</v>
      </c>
      <c r="E5066" s="195" t="s">
        <v>593</v>
      </c>
      <c r="F5066" s="195" t="s">
        <v>432</v>
      </c>
    </row>
    <row r="5067" spans="1:6" x14ac:dyDescent="0.25">
      <c r="A5067" s="189" t="str">
        <f t="shared" si="79"/>
        <v>FR-MU 140000.81E</v>
      </c>
      <c r="B5067" s="195" t="s">
        <v>2455</v>
      </c>
      <c r="C5067" s="196">
        <v>0</v>
      </c>
      <c r="D5067" s="196">
        <v>0.81</v>
      </c>
      <c r="E5067" s="195" t="s">
        <v>598</v>
      </c>
      <c r="F5067" s="195" t="s">
        <v>19</v>
      </c>
    </row>
    <row r="5068" spans="1:6" x14ac:dyDescent="0.25">
      <c r="A5068" s="189" t="str">
        <f t="shared" si="79"/>
        <v>FR-MU 14010.811.63E</v>
      </c>
      <c r="B5068" s="195" t="s">
        <v>2456</v>
      </c>
      <c r="C5068" s="196">
        <v>0.81</v>
      </c>
      <c r="D5068" s="196">
        <v>1.63</v>
      </c>
      <c r="E5068" s="195" t="s">
        <v>583</v>
      </c>
      <c r="F5068" s="195" t="s">
        <v>19</v>
      </c>
    </row>
    <row r="5069" spans="1:6" x14ac:dyDescent="0.25">
      <c r="A5069" s="189" t="str">
        <f t="shared" si="79"/>
        <v>FR-MU 14010.811.63W</v>
      </c>
      <c r="B5069" s="195" t="s">
        <v>2456</v>
      </c>
      <c r="C5069" s="196">
        <v>0.81</v>
      </c>
      <c r="D5069" s="196">
        <v>1.63</v>
      </c>
      <c r="E5069" s="195" t="s">
        <v>583</v>
      </c>
      <c r="F5069" s="195" t="s">
        <v>432</v>
      </c>
    </row>
    <row r="5070" spans="1:6" x14ac:dyDescent="0.25">
      <c r="A5070" s="189" t="str">
        <f t="shared" si="79"/>
        <v>FR-MU 16255.576.35W</v>
      </c>
      <c r="B5070" s="195" t="s">
        <v>2457</v>
      </c>
      <c r="C5070" s="196">
        <v>5.57</v>
      </c>
      <c r="D5070" s="196">
        <v>6.35</v>
      </c>
      <c r="E5070" s="195" t="s">
        <v>593</v>
      </c>
      <c r="F5070" s="195" t="s">
        <v>432</v>
      </c>
    </row>
    <row r="5071" spans="1:6" x14ac:dyDescent="0.25">
      <c r="A5071" s="189" t="str">
        <f t="shared" si="79"/>
        <v>FR-MU 3000.030.1N</v>
      </c>
      <c r="B5071" s="195" t="s">
        <v>2458</v>
      </c>
      <c r="C5071" s="196">
        <v>0.03</v>
      </c>
      <c r="D5071" s="196">
        <v>0.1</v>
      </c>
      <c r="E5071" s="195" t="s">
        <v>589</v>
      </c>
      <c r="F5071" s="195" t="s">
        <v>430</v>
      </c>
    </row>
    <row r="5072" spans="1:6" x14ac:dyDescent="0.25">
      <c r="A5072" s="189" t="str">
        <f t="shared" si="79"/>
        <v>FR-MU 3000.030.1S</v>
      </c>
      <c r="B5072" s="195" t="s">
        <v>2458</v>
      </c>
      <c r="C5072" s="196">
        <v>0.03</v>
      </c>
      <c r="D5072" s="196">
        <v>0.1</v>
      </c>
      <c r="E5072" s="195" t="s">
        <v>595</v>
      </c>
      <c r="F5072" s="195" t="s">
        <v>438</v>
      </c>
    </row>
    <row r="5073" spans="1:6" x14ac:dyDescent="0.25">
      <c r="A5073" s="189" t="str">
        <f t="shared" si="79"/>
        <v>FR-MU 35000.39E</v>
      </c>
      <c r="B5073" s="195" t="s">
        <v>2459</v>
      </c>
      <c r="C5073" s="196">
        <v>0</v>
      </c>
      <c r="D5073" s="196">
        <v>0.39</v>
      </c>
      <c r="E5073" s="195" t="s">
        <v>583</v>
      </c>
      <c r="F5073" s="195" t="s">
        <v>19</v>
      </c>
    </row>
    <row r="5074" spans="1:6" x14ac:dyDescent="0.25">
      <c r="A5074" s="189" t="str">
        <f t="shared" si="79"/>
        <v>FR-MU 35000.39W</v>
      </c>
      <c r="B5074" s="195" t="s">
        <v>2459</v>
      </c>
      <c r="C5074" s="196">
        <v>0</v>
      </c>
      <c r="D5074" s="196">
        <v>0.39</v>
      </c>
      <c r="E5074" s="195" t="s">
        <v>583</v>
      </c>
      <c r="F5074" s="195" t="s">
        <v>432</v>
      </c>
    </row>
    <row r="5075" spans="1:6" x14ac:dyDescent="0.25">
      <c r="A5075" s="189" t="str">
        <f t="shared" si="79"/>
        <v>FR-MU 3500.390.46E</v>
      </c>
      <c r="B5075" s="195" t="s">
        <v>2459</v>
      </c>
      <c r="C5075" s="196">
        <v>0.39</v>
      </c>
      <c r="D5075" s="196">
        <v>0.46</v>
      </c>
      <c r="E5075" s="195" t="s">
        <v>598</v>
      </c>
      <c r="F5075" s="195" t="s">
        <v>19</v>
      </c>
    </row>
    <row r="5076" spans="1:6" x14ac:dyDescent="0.25">
      <c r="A5076" s="189" t="str">
        <f t="shared" si="79"/>
        <v>FR-MU 3500.390.46W</v>
      </c>
      <c r="B5076" s="195" t="s">
        <v>2459</v>
      </c>
      <c r="C5076" s="196">
        <v>0.39</v>
      </c>
      <c r="D5076" s="196">
        <v>0.46</v>
      </c>
      <c r="E5076" s="195" t="s">
        <v>593</v>
      </c>
      <c r="F5076" s="195" t="s">
        <v>432</v>
      </c>
    </row>
    <row r="5077" spans="1:6" x14ac:dyDescent="0.25">
      <c r="A5077" s="189" t="str">
        <f t="shared" si="79"/>
        <v>FR-MU 66000.22N</v>
      </c>
      <c r="B5077" s="195" t="s">
        <v>2460</v>
      </c>
      <c r="C5077" s="196">
        <v>0</v>
      </c>
      <c r="D5077" s="196">
        <v>0.22</v>
      </c>
      <c r="E5077" s="195" t="s">
        <v>583</v>
      </c>
      <c r="F5077" s="195" t="s">
        <v>430</v>
      </c>
    </row>
    <row r="5078" spans="1:6" x14ac:dyDescent="0.25">
      <c r="A5078" s="189" t="str">
        <f t="shared" si="79"/>
        <v>FR-MU 66000.22S</v>
      </c>
      <c r="B5078" s="195" t="s">
        <v>2460</v>
      </c>
      <c r="C5078" s="196">
        <v>0</v>
      </c>
      <c r="D5078" s="196">
        <v>0.22</v>
      </c>
      <c r="E5078" s="195" t="s">
        <v>583</v>
      </c>
      <c r="F5078" s="195" t="s">
        <v>438</v>
      </c>
    </row>
    <row r="5079" spans="1:6" x14ac:dyDescent="0.25">
      <c r="A5079" s="189" t="str">
        <f t="shared" si="79"/>
        <v>FR-MU 7610.160.77N</v>
      </c>
      <c r="B5079" s="195" t="s">
        <v>2461</v>
      </c>
      <c r="C5079" s="196">
        <v>0.16</v>
      </c>
      <c r="D5079" s="196">
        <v>0.77</v>
      </c>
      <c r="E5079" s="195" t="s">
        <v>583</v>
      </c>
      <c r="F5079" s="195" t="s">
        <v>430</v>
      </c>
    </row>
    <row r="5080" spans="1:6" x14ac:dyDescent="0.25">
      <c r="A5080" s="189" t="str">
        <f t="shared" si="79"/>
        <v>FR-MU 7610.160.77S</v>
      </c>
      <c r="B5080" s="195" t="s">
        <v>2461</v>
      </c>
      <c r="C5080" s="196">
        <v>0.16</v>
      </c>
      <c r="D5080" s="196">
        <v>0.77</v>
      </c>
      <c r="E5080" s="195" t="s">
        <v>583</v>
      </c>
      <c r="F5080" s="195" t="s">
        <v>438</v>
      </c>
    </row>
    <row r="5081" spans="1:6" x14ac:dyDescent="0.25">
      <c r="A5081" s="189" t="str">
        <f t="shared" si="79"/>
        <v>FR-MU 90710.731.21E</v>
      </c>
      <c r="B5081" s="195" t="s">
        <v>2462</v>
      </c>
      <c r="C5081" s="196">
        <v>0.73</v>
      </c>
      <c r="D5081" s="196">
        <v>1.21</v>
      </c>
      <c r="E5081" s="195" t="s">
        <v>583</v>
      </c>
      <c r="F5081" s="195" t="s">
        <v>19</v>
      </c>
    </row>
    <row r="5082" spans="1:6" x14ac:dyDescent="0.25">
      <c r="A5082" s="189" t="str">
        <f t="shared" si="79"/>
        <v>FR-MU 90710.731.21W</v>
      </c>
      <c r="B5082" s="195" t="s">
        <v>2462</v>
      </c>
      <c r="C5082" s="196">
        <v>0.73</v>
      </c>
      <c r="D5082" s="196">
        <v>1.21</v>
      </c>
      <c r="E5082" s="195" t="s">
        <v>583</v>
      </c>
      <c r="F5082" s="195" t="s">
        <v>432</v>
      </c>
    </row>
    <row r="5083" spans="1:6" x14ac:dyDescent="0.25">
      <c r="A5083" s="189" t="str">
        <f t="shared" si="79"/>
        <v>FR-US 1500N</v>
      </c>
      <c r="B5083" s="195" t="s">
        <v>568</v>
      </c>
      <c r="C5083" s="196">
        <v>0</v>
      </c>
      <c r="D5083" s="196">
        <v>0</v>
      </c>
      <c r="E5083" s="195" t="s">
        <v>589</v>
      </c>
      <c r="F5083" s="195" t="s">
        <v>430</v>
      </c>
    </row>
    <row r="5084" spans="1:6" x14ac:dyDescent="0.25">
      <c r="A5084" s="189" t="str">
        <f t="shared" si="79"/>
        <v>FR-US 1500.32N</v>
      </c>
      <c r="B5084" s="195" t="s">
        <v>568</v>
      </c>
      <c r="C5084" s="196">
        <v>0</v>
      </c>
      <c r="D5084" s="196">
        <v>0.32</v>
      </c>
      <c r="E5084" s="195" t="s">
        <v>583</v>
      </c>
      <c r="F5084" s="195" t="s">
        <v>430</v>
      </c>
    </row>
    <row r="5085" spans="1:6" x14ac:dyDescent="0.25">
      <c r="A5085" s="189" t="str">
        <f t="shared" si="79"/>
        <v>FR-US 1500.32S</v>
      </c>
      <c r="B5085" s="195" t="s">
        <v>568</v>
      </c>
      <c r="C5085" s="196">
        <v>0</v>
      </c>
      <c r="D5085" s="196">
        <v>0.32</v>
      </c>
      <c r="E5085" s="195" t="s">
        <v>583</v>
      </c>
      <c r="F5085" s="195" t="s">
        <v>438</v>
      </c>
    </row>
    <row r="5086" spans="1:6" x14ac:dyDescent="0.25">
      <c r="A5086" s="189" t="str">
        <f t="shared" si="79"/>
        <v>FR-US 150.320.32S</v>
      </c>
      <c r="B5086" s="195" t="s">
        <v>568</v>
      </c>
      <c r="C5086" s="196">
        <v>0.32</v>
      </c>
      <c r="D5086" s="196">
        <v>0.32</v>
      </c>
      <c r="E5086" s="195" t="s">
        <v>595</v>
      </c>
      <c r="F5086" s="195" t="s">
        <v>438</v>
      </c>
    </row>
    <row r="5087" spans="1:6" x14ac:dyDescent="0.25">
      <c r="A5087" s="189" t="str">
        <f t="shared" si="79"/>
        <v>FR-US 150.320.33N</v>
      </c>
      <c r="B5087" s="195" t="s">
        <v>568</v>
      </c>
      <c r="C5087" s="196">
        <v>0.32</v>
      </c>
      <c r="D5087" s="196">
        <v>0.33</v>
      </c>
      <c r="E5087" s="195" t="s">
        <v>589</v>
      </c>
      <c r="F5087" s="195" t="s">
        <v>430</v>
      </c>
    </row>
    <row r="5088" spans="1:6" x14ac:dyDescent="0.25">
      <c r="A5088" s="189" t="str">
        <f t="shared" si="79"/>
        <v>FR-US 150.321.32S</v>
      </c>
      <c r="B5088" s="195" t="s">
        <v>568</v>
      </c>
      <c r="C5088" s="196">
        <v>0.32</v>
      </c>
      <c r="D5088" s="196">
        <v>1.32</v>
      </c>
      <c r="E5088" s="195" t="s">
        <v>595</v>
      </c>
      <c r="F5088" s="195" t="s">
        <v>438</v>
      </c>
    </row>
    <row r="5089" spans="1:6" x14ac:dyDescent="0.25">
      <c r="A5089" s="189" t="str">
        <f t="shared" si="79"/>
        <v>FR-US 150.331.35N</v>
      </c>
      <c r="B5089" s="195" t="s">
        <v>568</v>
      </c>
      <c r="C5089" s="196">
        <v>0.33</v>
      </c>
      <c r="D5089" s="196">
        <v>1.35</v>
      </c>
      <c r="E5089" s="195" t="s">
        <v>589</v>
      </c>
      <c r="F5089" s="195" t="s">
        <v>430</v>
      </c>
    </row>
    <row r="5090" spans="1:6" x14ac:dyDescent="0.25">
      <c r="A5090" s="189" t="str">
        <f t="shared" si="79"/>
        <v>FR-US 151.324.52S</v>
      </c>
      <c r="B5090" s="195" t="s">
        <v>568</v>
      </c>
      <c r="C5090" s="196">
        <v>1.32</v>
      </c>
      <c r="D5090" s="196">
        <v>4.5199999999999996</v>
      </c>
      <c r="E5090" s="195" t="s">
        <v>595</v>
      </c>
      <c r="F5090" s="195" t="s">
        <v>438</v>
      </c>
    </row>
    <row r="5091" spans="1:6" x14ac:dyDescent="0.25">
      <c r="A5091" s="189" t="str">
        <f t="shared" si="79"/>
        <v>FR-US 151.354.52N</v>
      </c>
      <c r="B5091" s="195" t="s">
        <v>568</v>
      </c>
      <c r="C5091" s="196">
        <v>1.35</v>
      </c>
      <c r="D5091" s="196">
        <v>4.5199999999999996</v>
      </c>
      <c r="E5091" s="195" t="s">
        <v>589</v>
      </c>
      <c r="F5091" s="195" t="s">
        <v>430</v>
      </c>
    </row>
    <row r="5092" spans="1:6" x14ac:dyDescent="0.25">
      <c r="A5092" s="189" t="str">
        <f t="shared" si="79"/>
        <v>FR-US 154.525.15N</v>
      </c>
      <c r="B5092" s="195" t="s">
        <v>568</v>
      </c>
      <c r="C5092" s="196">
        <v>4.5199999999999996</v>
      </c>
      <c r="D5092" s="196">
        <v>5.15</v>
      </c>
      <c r="E5092" s="195" t="s">
        <v>583</v>
      </c>
      <c r="F5092" s="195" t="s">
        <v>430</v>
      </c>
    </row>
    <row r="5093" spans="1:6" x14ac:dyDescent="0.25">
      <c r="A5093" s="189" t="str">
        <f t="shared" si="79"/>
        <v>FR-US 154.525.15S</v>
      </c>
      <c r="B5093" s="195" t="s">
        <v>568</v>
      </c>
      <c r="C5093" s="196">
        <v>4.5199999999999996</v>
      </c>
      <c r="D5093" s="196">
        <v>5.15</v>
      </c>
      <c r="E5093" s="195" t="s">
        <v>583</v>
      </c>
      <c r="F5093" s="195" t="s">
        <v>438</v>
      </c>
    </row>
    <row r="5094" spans="1:6" x14ac:dyDescent="0.25">
      <c r="A5094" s="189" t="str">
        <f t="shared" si="79"/>
        <v>FR-US 155.155.35N</v>
      </c>
      <c r="B5094" s="195" t="s">
        <v>568</v>
      </c>
      <c r="C5094" s="196">
        <v>5.15</v>
      </c>
      <c r="D5094" s="196">
        <v>5.35</v>
      </c>
      <c r="E5094" s="195" t="s">
        <v>583</v>
      </c>
      <c r="F5094" s="195" t="s">
        <v>430</v>
      </c>
    </row>
    <row r="5095" spans="1:6" x14ac:dyDescent="0.25">
      <c r="A5095" s="189" t="str">
        <f t="shared" si="79"/>
        <v>FR-US 155.155.35S</v>
      </c>
      <c r="B5095" s="195" t="s">
        <v>568</v>
      </c>
      <c r="C5095" s="196">
        <v>5.15</v>
      </c>
      <c r="D5095" s="196">
        <v>5.35</v>
      </c>
      <c r="E5095" s="195" t="s">
        <v>583</v>
      </c>
      <c r="F5095" s="195" t="s">
        <v>438</v>
      </c>
    </row>
    <row r="5096" spans="1:6" x14ac:dyDescent="0.25">
      <c r="A5096" s="189" t="str">
        <f t="shared" si="79"/>
        <v>FR-US 155.356.56N</v>
      </c>
      <c r="B5096" s="195" t="s">
        <v>568</v>
      </c>
      <c r="C5096" s="196">
        <v>5.35</v>
      </c>
      <c r="D5096" s="196">
        <v>6.56</v>
      </c>
      <c r="E5096" s="195" t="s">
        <v>583</v>
      </c>
      <c r="F5096" s="195" t="s">
        <v>430</v>
      </c>
    </row>
    <row r="5097" spans="1:6" x14ac:dyDescent="0.25">
      <c r="A5097" s="189" t="str">
        <f t="shared" si="79"/>
        <v>FR-US 155.356.56S</v>
      </c>
      <c r="B5097" s="195" t="s">
        <v>568</v>
      </c>
      <c r="C5097" s="196">
        <v>5.35</v>
      </c>
      <c r="D5097" s="196">
        <v>6.56</v>
      </c>
      <c r="E5097" s="195" t="s">
        <v>583</v>
      </c>
      <c r="F5097" s="195" t="s">
        <v>438</v>
      </c>
    </row>
    <row r="5098" spans="1:6" x14ac:dyDescent="0.25">
      <c r="A5098" s="189" t="str">
        <f t="shared" si="79"/>
        <v>FR-US 1511.9312.63N</v>
      </c>
      <c r="B5098" s="195" t="s">
        <v>568</v>
      </c>
      <c r="C5098" s="196">
        <v>11.93</v>
      </c>
      <c r="D5098" s="196">
        <v>12.63</v>
      </c>
      <c r="E5098" s="195" t="s">
        <v>583</v>
      </c>
      <c r="F5098" s="195" t="s">
        <v>430</v>
      </c>
    </row>
    <row r="5099" spans="1:6" x14ac:dyDescent="0.25">
      <c r="A5099" s="189" t="str">
        <f t="shared" si="79"/>
        <v>FR-US 1511.9312.63S</v>
      </c>
      <c r="B5099" s="195" t="s">
        <v>568</v>
      </c>
      <c r="C5099" s="196">
        <v>11.93</v>
      </c>
      <c r="D5099" s="196">
        <v>12.63</v>
      </c>
      <c r="E5099" s="195" t="s">
        <v>583</v>
      </c>
      <c r="F5099" s="195" t="s">
        <v>438</v>
      </c>
    </row>
    <row r="5100" spans="1:6" x14ac:dyDescent="0.25">
      <c r="A5100" s="189" t="str">
        <f t="shared" si="79"/>
        <v>FR-US 15 RP10-1100.02S</v>
      </c>
      <c r="B5100" s="195" t="s">
        <v>2463</v>
      </c>
      <c r="C5100" s="196">
        <v>0</v>
      </c>
      <c r="D5100" s="196">
        <v>0.02</v>
      </c>
      <c r="E5100" s="195" t="s">
        <v>595</v>
      </c>
      <c r="F5100" s="195" t="s">
        <v>438</v>
      </c>
    </row>
    <row r="5101" spans="1:6" x14ac:dyDescent="0.25">
      <c r="A5101" s="189" t="str">
        <f t="shared" si="79"/>
        <v>FR-US 15 RP10-1200.28N</v>
      </c>
      <c r="B5101" s="195" t="s">
        <v>2464</v>
      </c>
      <c r="C5101" s="196">
        <v>0</v>
      </c>
      <c r="D5101" s="196">
        <v>0.28000000000000003</v>
      </c>
      <c r="E5101" s="195" t="s">
        <v>589</v>
      </c>
      <c r="F5101" s="195" t="s">
        <v>430</v>
      </c>
    </row>
    <row r="5102" spans="1:6" x14ac:dyDescent="0.25">
      <c r="A5102" s="189" t="str">
        <f t="shared" si="79"/>
        <v>FR-US 15 RP1-1100.21E</v>
      </c>
      <c r="B5102" s="195" t="s">
        <v>2465</v>
      </c>
      <c r="C5102" s="196">
        <v>0</v>
      </c>
      <c r="D5102" s="196">
        <v>0.21</v>
      </c>
      <c r="E5102" s="195" t="s">
        <v>598</v>
      </c>
      <c r="F5102" s="195" t="s">
        <v>19</v>
      </c>
    </row>
    <row r="5103" spans="1:6" x14ac:dyDescent="0.25">
      <c r="A5103" s="189" t="str">
        <f t="shared" si="79"/>
        <v>FR-US 15 RP11-1200.59S</v>
      </c>
      <c r="B5103" s="195" t="s">
        <v>2466</v>
      </c>
      <c r="C5103" s="196">
        <v>0</v>
      </c>
      <c r="D5103" s="196">
        <v>0.59</v>
      </c>
      <c r="E5103" s="195" t="s">
        <v>595</v>
      </c>
      <c r="F5103" s="195" t="s">
        <v>438</v>
      </c>
    </row>
    <row r="5104" spans="1:6" x14ac:dyDescent="0.25">
      <c r="A5104" s="189" t="str">
        <f t="shared" si="79"/>
        <v>FR-US 15 RP1-1200.06N</v>
      </c>
      <c r="B5104" s="195" t="s">
        <v>2467</v>
      </c>
      <c r="C5104" s="196">
        <v>0</v>
      </c>
      <c r="D5104" s="196">
        <v>0.06</v>
      </c>
      <c r="E5104" s="195" t="s">
        <v>589</v>
      </c>
      <c r="F5104" s="195" t="s">
        <v>430</v>
      </c>
    </row>
    <row r="5105" spans="1:6" x14ac:dyDescent="0.25">
      <c r="A5105" s="189" t="str">
        <f t="shared" si="79"/>
        <v>FR-US 15 RP1-1300.22N</v>
      </c>
      <c r="B5105" s="195" t="s">
        <v>2468</v>
      </c>
      <c r="C5105" s="196">
        <v>0</v>
      </c>
      <c r="D5105" s="196">
        <v>0.22</v>
      </c>
      <c r="E5105" s="195" t="s">
        <v>589</v>
      </c>
      <c r="F5105" s="195" t="s">
        <v>430</v>
      </c>
    </row>
    <row r="5106" spans="1:6" x14ac:dyDescent="0.25">
      <c r="A5106" s="189" t="str">
        <f t="shared" si="79"/>
        <v>FR-US 15 RP1-1400.03S</v>
      </c>
      <c r="B5106" s="195" t="s">
        <v>2469</v>
      </c>
      <c r="C5106" s="196">
        <v>0</v>
      </c>
      <c r="D5106" s="196">
        <v>0.03</v>
      </c>
      <c r="E5106" s="195" t="s">
        <v>595</v>
      </c>
      <c r="F5106" s="195" t="s">
        <v>438</v>
      </c>
    </row>
    <row r="5107" spans="1:6" x14ac:dyDescent="0.25">
      <c r="A5107" s="189" t="str">
        <f t="shared" si="79"/>
        <v>FR-US 15 RP1-1500.16N</v>
      </c>
      <c r="B5107" s="195" t="s">
        <v>2470</v>
      </c>
      <c r="C5107" s="196">
        <v>0</v>
      </c>
      <c r="D5107" s="196">
        <v>0.16</v>
      </c>
      <c r="E5107" s="195" t="s">
        <v>589</v>
      </c>
      <c r="F5107" s="195" t="s">
        <v>430</v>
      </c>
    </row>
    <row r="5108" spans="1:6" x14ac:dyDescent="0.25">
      <c r="A5108" s="189" t="str">
        <f t="shared" si="79"/>
        <v>FR-US 15 RP1-1600.02W</v>
      </c>
      <c r="B5108" s="195" t="s">
        <v>2471</v>
      </c>
      <c r="C5108" s="196">
        <v>0</v>
      </c>
      <c r="D5108" s="196">
        <v>0.02</v>
      </c>
      <c r="E5108" s="195" t="s">
        <v>593</v>
      </c>
      <c r="F5108" s="195" t="s">
        <v>432</v>
      </c>
    </row>
    <row r="5109" spans="1:6" x14ac:dyDescent="0.25">
      <c r="A5109" s="189" t="str">
        <f t="shared" si="79"/>
        <v>FR-US 15 RP1-2900.23N</v>
      </c>
      <c r="B5109" s="195" t="s">
        <v>2472</v>
      </c>
      <c r="C5109" s="196">
        <v>0</v>
      </c>
      <c r="D5109" s="196">
        <v>0.23</v>
      </c>
      <c r="E5109" s="195" t="s">
        <v>589</v>
      </c>
      <c r="F5109" s="195" t="s">
        <v>430</v>
      </c>
    </row>
    <row r="5110" spans="1:6" x14ac:dyDescent="0.25">
      <c r="A5110" s="189" t="str">
        <f t="shared" si="79"/>
        <v>FR-US 15 RP1-3000.04N</v>
      </c>
      <c r="B5110" s="195" t="s">
        <v>2473</v>
      </c>
      <c r="C5110" s="196">
        <v>0</v>
      </c>
      <c r="D5110" s="196">
        <v>0.04</v>
      </c>
      <c r="E5110" s="195" t="s">
        <v>589</v>
      </c>
      <c r="F5110" s="195" t="s">
        <v>430</v>
      </c>
    </row>
    <row r="5111" spans="1:6" x14ac:dyDescent="0.25">
      <c r="A5111" s="189" t="str">
        <f t="shared" si="79"/>
        <v>FR-US 15 RP1-900.01W</v>
      </c>
      <c r="B5111" s="195" t="s">
        <v>2474</v>
      </c>
      <c r="C5111" s="196">
        <v>0</v>
      </c>
      <c r="D5111" s="196">
        <v>0.01</v>
      </c>
      <c r="E5111" s="195" t="s">
        <v>593</v>
      </c>
      <c r="F5111" s="195" t="s">
        <v>432</v>
      </c>
    </row>
    <row r="5112" spans="1:6" x14ac:dyDescent="0.25">
      <c r="A5112" s="189" t="str">
        <f t="shared" si="79"/>
        <v>FR-US 15 RP2-1100.01W</v>
      </c>
      <c r="B5112" s="195" t="s">
        <v>2475</v>
      </c>
      <c r="C5112" s="196">
        <v>0</v>
      </c>
      <c r="D5112" s="196">
        <v>0.01</v>
      </c>
      <c r="E5112" s="195" t="s">
        <v>593</v>
      </c>
      <c r="F5112" s="195" t="s">
        <v>432</v>
      </c>
    </row>
    <row r="5113" spans="1:6" x14ac:dyDescent="0.25">
      <c r="A5113" s="189" t="str">
        <f t="shared" si="79"/>
        <v>FR-US 15 RP2-1200.18W</v>
      </c>
      <c r="B5113" s="195" t="s">
        <v>2476</v>
      </c>
      <c r="C5113" s="196">
        <v>0</v>
      </c>
      <c r="D5113" s="196">
        <v>0.18</v>
      </c>
      <c r="E5113" s="195" t="s">
        <v>593</v>
      </c>
      <c r="F5113" s="195" t="s">
        <v>432</v>
      </c>
    </row>
    <row r="5114" spans="1:6" x14ac:dyDescent="0.25">
      <c r="A5114" s="189" t="str">
        <f t="shared" si="79"/>
        <v>FR-US 15 RP2-1300.23W</v>
      </c>
      <c r="B5114" s="195" t="s">
        <v>2477</v>
      </c>
      <c r="C5114" s="196">
        <v>0</v>
      </c>
      <c r="D5114" s="196">
        <v>0.23</v>
      </c>
      <c r="E5114" s="195" t="s">
        <v>593</v>
      </c>
      <c r="F5114" s="195" t="s">
        <v>432</v>
      </c>
    </row>
    <row r="5115" spans="1:6" x14ac:dyDescent="0.25">
      <c r="A5115" s="189" t="str">
        <f t="shared" si="79"/>
        <v>FR-US 15 RP2-1400.01N</v>
      </c>
      <c r="B5115" s="195" t="s">
        <v>2478</v>
      </c>
      <c r="C5115" s="196">
        <v>0</v>
      </c>
      <c r="D5115" s="196">
        <v>0.01</v>
      </c>
      <c r="E5115" s="195" t="s">
        <v>589</v>
      </c>
      <c r="F5115" s="195" t="s">
        <v>430</v>
      </c>
    </row>
    <row r="5116" spans="1:6" x14ac:dyDescent="0.25">
      <c r="A5116" s="189" t="str">
        <f t="shared" si="79"/>
        <v>FR-US 15 RP2-1500.22W</v>
      </c>
      <c r="B5116" s="195" t="s">
        <v>2479</v>
      </c>
      <c r="C5116" s="196">
        <v>0</v>
      </c>
      <c r="D5116" s="196">
        <v>0.22</v>
      </c>
      <c r="E5116" s="195" t="s">
        <v>593</v>
      </c>
      <c r="F5116" s="195" t="s">
        <v>432</v>
      </c>
    </row>
    <row r="5117" spans="1:6" x14ac:dyDescent="0.25">
      <c r="A5117" s="189" t="str">
        <f t="shared" si="79"/>
        <v>FR-US 15 RP2-1600.01E</v>
      </c>
      <c r="B5117" s="195" t="s">
        <v>2480</v>
      </c>
      <c r="C5117" s="196">
        <v>0</v>
      </c>
      <c r="D5117" s="196">
        <v>0.01</v>
      </c>
      <c r="E5117" s="195" t="s">
        <v>598</v>
      </c>
      <c r="F5117" s="195" t="s">
        <v>19</v>
      </c>
    </row>
    <row r="5118" spans="1:6" x14ac:dyDescent="0.25">
      <c r="A5118" s="189" t="str">
        <f t="shared" si="79"/>
        <v>FR-US 15 RP2-1700.17N</v>
      </c>
      <c r="B5118" s="195" t="s">
        <v>2481</v>
      </c>
      <c r="C5118" s="196">
        <v>0</v>
      </c>
      <c r="D5118" s="196">
        <v>0.17</v>
      </c>
      <c r="E5118" s="195" t="s">
        <v>589</v>
      </c>
      <c r="F5118" s="195" t="s">
        <v>430</v>
      </c>
    </row>
    <row r="5119" spans="1:6" x14ac:dyDescent="0.25">
      <c r="A5119" s="189" t="str">
        <f t="shared" si="79"/>
        <v>FR-US 15 RP2-2800.37N</v>
      </c>
      <c r="B5119" s="195" t="s">
        <v>2482</v>
      </c>
      <c r="C5119" s="196">
        <v>0</v>
      </c>
      <c r="D5119" s="196">
        <v>0.37</v>
      </c>
      <c r="E5119" s="195" t="s">
        <v>589</v>
      </c>
      <c r="F5119" s="195" t="s">
        <v>430</v>
      </c>
    </row>
    <row r="5120" spans="1:6" x14ac:dyDescent="0.25">
      <c r="A5120" s="189" t="str">
        <f t="shared" si="79"/>
        <v>FR-US 15 RP2-2900.25W</v>
      </c>
      <c r="B5120" s="195" t="s">
        <v>2483</v>
      </c>
      <c r="C5120" s="196">
        <v>0</v>
      </c>
      <c r="D5120" s="196">
        <v>0.25</v>
      </c>
      <c r="E5120" s="195" t="s">
        <v>593</v>
      </c>
      <c r="F5120" s="195" t="s">
        <v>432</v>
      </c>
    </row>
    <row r="5121" spans="1:6" x14ac:dyDescent="0.25">
      <c r="A5121" s="189" t="str">
        <f t="shared" si="79"/>
        <v>FR-US 15 RP2-3000.39W</v>
      </c>
      <c r="B5121" s="195" t="s">
        <v>2484</v>
      </c>
      <c r="C5121" s="196">
        <v>0</v>
      </c>
      <c r="D5121" s="196">
        <v>0.39</v>
      </c>
      <c r="E5121" s="195" t="s">
        <v>593</v>
      </c>
      <c r="F5121" s="195" t="s">
        <v>432</v>
      </c>
    </row>
    <row r="5122" spans="1:6" x14ac:dyDescent="0.25">
      <c r="A5122" s="189" t="str">
        <f t="shared" si="79"/>
        <v>FR-US 15 RP2-900.19W</v>
      </c>
      <c r="B5122" s="195" t="s">
        <v>2485</v>
      </c>
      <c r="C5122" s="196">
        <v>0</v>
      </c>
      <c r="D5122" s="196">
        <v>0.19</v>
      </c>
      <c r="E5122" s="195" t="s">
        <v>593</v>
      </c>
      <c r="F5122" s="195" t="s">
        <v>432</v>
      </c>
    </row>
    <row r="5123" spans="1:6" x14ac:dyDescent="0.25">
      <c r="A5123" s="189" t="str">
        <f t="shared" ref="A5123:A5186" si="80">B5123&amp;C5123&amp;D5123&amp;F5123</f>
        <v>FR-US 15 RP3-1100.17S</v>
      </c>
      <c r="B5123" s="195" t="s">
        <v>2486</v>
      </c>
      <c r="C5123" s="196">
        <v>0</v>
      </c>
      <c r="D5123" s="196">
        <v>0.17</v>
      </c>
      <c r="E5123" s="195" t="s">
        <v>595</v>
      </c>
      <c r="F5123" s="195" t="s">
        <v>438</v>
      </c>
    </row>
    <row r="5124" spans="1:6" x14ac:dyDescent="0.25">
      <c r="A5124" s="189" t="str">
        <f t="shared" si="80"/>
        <v>FR-US 15 RP3-1200.06N</v>
      </c>
      <c r="B5124" s="195" t="s">
        <v>2487</v>
      </c>
      <c r="C5124" s="196">
        <v>0</v>
      </c>
      <c r="D5124" s="196">
        <v>0.06</v>
      </c>
      <c r="E5124" s="195" t="s">
        <v>589</v>
      </c>
      <c r="F5124" s="195" t="s">
        <v>430</v>
      </c>
    </row>
    <row r="5125" spans="1:6" x14ac:dyDescent="0.25">
      <c r="A5125" s="189" t="str">
        <f t="shared" si="80"/>
        <v>FR-US 15 RP3-1300.03N</v>
      </c>
      <c r="B5125" s="195" t="s">
        <v>2488</v>
      </c>
      <c r="C5125" s="196">
        <v>0</v>
      </c>
      <c r="D5125" s="196">
        <v>0.03</v>
      </c>
      <c r="E5125" s="195" t="s">
        <v>589</v>
      </c>
      <c r="F5125" s="195" t="s">
        <v>430</v>
      </c>
    </row>
    <row r="5126" spans="1:6" x14ac:dyDescent="0.25">
      <c r="A5126" s="189" t="str">
        <f t="shared" si="80"/>
        <v>FR-US 15 RP3-1400.12E</v>
      </c>
      <c r="B5126" s="195" t="s">
        <v>2489</v>
      </c>
      <c r="C5126" s="196">
        <v>0</v>
      </c>
      <c r="D5126" s="196">
        <v>0.12</v>
      </c>
      <c r="E5126" s="195" t="s">
        <v>598</v>
      </c>
      <c r="F5126" s="195" t="s">
        <v>19</v>
      </c>
    </row>
    <row r="5127" spans="1:6" x14ac:dyDescent="0.25">
      <c r="A5127" s="189" t="str">
        <f t="shared" si="80"/>
        <v>FR-US 15 RP3-1500.21E</v>
      </c>
      <c r="B5127" s="195" t="s">
        <v>2490</v>
      </c>
      <c r="C5127" s="196">
        <v>0</v>
      </c>
      <c r="D5127" s="196">
        <v>0.21</v>
      </c>
      <c r="E5127" s="195" t="s">
        <v>598</v>
      </c>
      <c r="F5127" s="195" t="s">
        <v>19</v>
      </c>
    </row>
    <row r="5128" spans="1:6" x14ac:dyDescent="0.25">
      <c r="A5128" s="189" t="str">
        <f t="shared" si="80"/>
        <v>FR-US 15 RP3-1600.19E</v>
      </c>
      <c r="B5128" s="195" t="s">
        <v>2491</v>
      </c>
      <c r="C5128" s="196">
        <v>0</v>
      </c>
      <c r="D5128" s="196">
        <v>0.19</v>
      </c>
      <c r="E5128" s="195" t="s">
        <v>598</v>
      </c>
      <c r="F5128" s="195" t="s">
        <v>19</v>
      </c>
    </row>
    <row r="5129" spans="1:6" x14ac:dyDescent="0.25">
      <c r="A5129" s="189" t="str">
        <f t="shared" si="80"/>
        <v>FR-US 15 RP3-2800.03N</v>
      </c>
      <c r="B5129" s="195" t="s">
        <v>2492</v>
      </c>
      <c r="C5129" s="196">
        <v>0</v>
      </c>
      <c r="D5129" s="196">
        <v>0.03</v>
      </c>
      <c r="E5129" s="195" t="s">
        <v>589</v>
      </c>
      <c r="F5129" s="195" t="s">
        <v>430</v>
      </c>
    </row>
    <row r="5130" spans="1:6" x14ac:dyDescent="0.25">
      <c r="A5130" s="189" t="str">
        <f t="shared" si="80"/>
        <v>FR-US 15 RP3-2900.02N</v>
      </c>
      <c r="B5130" s="195" t="s">
        <v>2493</v>
      </c>
      <c r="C5130" s="196">
        <v>0</v>
      </c>
      <c r="D5130" s="196">
        <v>0.02</v>
      </c>
      <c r="E5130" s="195" t="s">
        <v>589</v>
      </c>
      <c r="F5130" s="195" t="s">
        <v>430</v>
      </c>
    </row>
    <row r="5131" spans="1:6" x14ac:dyDescent="0.25">
      <c r="A5131" s="189" t="str">
        <f t="shared" si="80"/>
        <v>FR-US 15 RP3-3000.03N</v>
      </c>
      <c r="B5131" s="195" t="s">
        <v>2494</v>
      </c>
      <c r="C5131" s="196">
        <v>0</v>
      </c>
      <c r="D5131" s="196">
        <v>0.03</v>
      </c>
      <c r="E5131" s="195" t="s">
        <v>589</v>
      </c>
      <c r="F5131" s="195" t="s">
        <v>430</v>
      </c>
    </row>
    <row r="5132" spans="1:6" x14ac:dyDescent="0.25">
      <c r="A5132" s="189" t="str">
        <f t="shared" si="80"/>
        <v>FR-US 15 RP3-900.01E</v>
      </c>
      <c r="B5132" s="195" t="s">
        <v>2495</v>
      </c>
      <c r="C5132" s="196">
        <v>0</v>
      </c>
      <c r="D5132" s="196">
        <v>0.01</v>
      </c>
      <c r="E5132" s="195" t="s">
        <v>598</v>
      </c>
      <c r="F5132" s="195" t="s">
        <v>19</v>
      </c>
    </row>
    <row r="5133" spans="1:6" x14ac:dyDescent="0.25">
      <c r="A5133" s="189" t="str">
        <f t="shared" si="80"/>
        <v>FR-US 15 RP4-1100.01S</v>
      </c>
      <c r="B5133" s="195" t="s">
        <v>2496</v>
      </c>
      <c r="C5133" s="196">
        <v>0</v>
      </c>
      <c r="D5133" s="196">
        <v>0.01</v>
      </c>
      <c r="E5133" s="195" t="s">
        <v>595</v>
      </c>
      <c r="F5133" s="195" t="s">
        <v>438</v>
      </c>
    </row>
    <row r="5134" spans="1:6" x14ac:dyDescent="0.25">
      <c r="A5134" s="189" t="str">
        <f t="shared" si="80"/>
        <v>FR-US 15 RP4-1200.19N</v>
      </c>
      <c r="B5134" s="195" t="s">
        <v>2497</v>
      </c>
      <c r="C5134" s="196">
        <v>0</v>
      </c>
      <c r="D5134" s="196">
        <v>0.19</v>
      </c>
      <c r="E5134" s="195" t="s">
        <v>589</v>
      </c>
      <c r="F5134" s="195" t="s">
        <v>430</v>
      </c>
    </row>
    <row r="5135" spans="1:6" x14ac:dyDescent="0.25">
      <c r="A5135" s="189" t="str">
        <f t="shared" si="80"/>
        <v>FR-US 15 RP4-1300.22N</v>
      </c>
      <c r="B5135" s="195" t="s">
        <v>2498</v>
      </c>
      <c r="C5135" s="196">
        <v>0</v>
      </c>
      <c r="D5135" s="196">
        <v>0.22</v>
      </c>
      <c r="E5135" s="195" t="s">
        <v>589</v>
      </c>
      <c r="F5135" s="195" t="s">
        <v>430</v>
      </c>
    </row>
    <row r="5136" spans="1:6" x14ac:dyDescent="0.25">
      <c r="A5136" s="189" t="str">
        <f t="shared" si="80"/>
        <v>FR-US 15 RP4-1400.18E</v>
      </c>
      <c r="B5136" s="195" t="s">
        <v>2499</v>
      </c>
      <c r="C5136" s="196">
        <v>0</v>
      </c>
      <c r="D5136" s="196">
        <v>0.18</v>
      </c>
      <c r="E5136" s="195" t="s">
        <v>598</v>
      </c>
      <c r="F5136" s="195" t="s">
        <v>19</v>
      </c>
    </row>
    <row r="5137" spans="1:6" x14ac:dyDescent="0.25">
      <c r="A5137" s="189" t="str">
        <f t="shared" si="80"/>
        <v>FR-US 15 RP4-1500.27N</v>
      </c>
      <c r="B5137" s="195" t="s">
        <v>2500</v>
      </c>
      <c r="C5137" s="196">
        <v>0</v>
      </c>
      <c r="D5137" s="196">
        <v>0.27</v>
      </c>
      <c r="E5137" s="195" t="s">
        <v>589</v>
      </c>
      <c r="F5137" s="195" t="s">
        <v>430</v>
      </c>
    </row>
    <row r="5138" spans="1:6" x14ac:dyDescent="0.25">
      <c r="A5138" s="189" t="str">
        <f t="shared" si="80"/>
        <v>FR-US 15 RP4-1600.28N</v>
      </c>
      <c r="B5138" s="195" t="s">
        <v>2501</v>
      </c>
      <c r="C5138" s="196">
        <v>0</v>
      </c>
      <c r="D5138" s="196">
        <v>0.28000000000000003</v>
      </c>
      <c r="E5138" s="195" t="s">
        <v>589</v>
      </c>
      <c r="F5138" s="195" t="s">
        <v>430</v>
      </c>
    </row>
    <row r="5139" spans="1:6" x14ac:dyDescent="0.25">
      <c r="A5139" s="189" t="str">
        <f t="shared" si="80"/>
        <v>FR-US 15 RP4-2800.24E</v>
      </c>
      <c r="B5139" s="195" t="s">
        <v>2502</v>
      </c>
      <c r="C5139" s="196">
        <v>0</v>
      </c>
      <c r="D5139" s="196">
        <v>0.24</v>
      </c>
      <c r="E5139" s="195" t="s">
        <v>598</v>
      </c>
      <c r="F5139" s="195" t="s">
        <v>19</v>
      </c>
    </row>
    <row r="5140" spans="1:6" x14ac:dyDescent="0.25">
      <c r="A5140" s="189" t="str">
        <f t="shared" si="80"/>
        <v>FR-US 15 RP4-2900.02S</v>
      </c>
      <c r="B5140" s="195" t="s">
        <v>2503</v>
      </c>
      <c r="C5140" s="196">
        <v>0</v>
      </c>
      <c r="D5140" s="196">
        <v>0.02</v>
      </c>
      <c r="E5140" s="195" t="s">
        <v>595</v>
      </c>
      <c r="F5140" s="195" t="s">
        <v>438</v>
      </c>
    </row>
    <row r="5141" spans="1:6" x14ac:dyDescent="0.25">
      <c r="A5141" s="189" t="str">
        <f t="shared" si="80"/>
        <v>FR-US 15 RP4-3000.18N</v>
      </c>
      <c r="B5141" s="195" t="s">
        <v>2504</v>
      </c>
      <c r="C5141" s="196">
        <v>0</v>
      </c>
      <c r="D5141" s="196">
        <v>0.18</v>
      </c>
      <c r="E5141" s="195" t="s">
        <v>589</v>
      </c>
      <c r="F5141" s="195" t="s">
        <v>430</v>
      </c>
    </row>
    <row r="5142" spans="1:6" x14ac:dyDescent="0.25">
      <c r="A5142" s="189" t="str">
        <f t="shared" si="80"/>
        <v>FR-US 15 RP4-300.090.14S</v>
      </c>
      <c r="B5142" s="195" t="s">
        <v>2504</v>
      </c>
      <c r="C5142" s="196">
        <v>0.09</v>
      </c>
      <c r="D5142" s="196">
        <v>0.14000000000000001</v>
      </c>
      <c r="E5142" s="195" t="s">
        <v>595</v>
      </c>
      <c r="F5142" s="195" t="s">
        <v>438</v>
      </c>
    </row>
    <row r="5143" spans="1:6" x14ac:dyDescent="0.25">
      <c r="A5143" s="189" t="str">
        <f t="shared" si="80"/>
        <v>FR-US 15 RP4-900.21N</v>
      </c>
      <c r="B5143" s="195" t="s">
        <v>2505</v>
      </c>
      <c r="C5143" s="196">
        <v>0</v>
      </c>
      <c r="D5143" s="196">
        <v>0.21</v>
      </c>
      <c r="E5143" s="195" t="s">
        <v>589</v>
      </c>
      <c r="F5143" s="195" t="s">
        <v>430</v>
      </c>
    </row>
    <row r="5144" spans="1:6" x14ac:dyDescent="0.25">
      <c r="A5144" s="189" t="str">
        <f t="shared" si="80"/>
        <v>FR-US 15 RP5-1100.02W</v>
      </c>
      <c r="B5144" s="195" t="s">
        <v>2506</v>
      </c>
      <c r="C5144" s="196">
        <v>0</v>
      </c>
      <c r="D5144" s="196">
        <v>0.02</v>
      </c>
      <c r="E5144" s="195" t="s">
        <v>593</v>
      </c>
      <c r="F5144" s="195" t="s">
        <v>432</v>
      </c>
    </row>
    <row r="5145" spans="1:6" x14ac:dyDescent="0.25">
      <c r="A5145" s="189" t="str">
        <f t="shared" si="80"/>
        <v>FR-US 15 RP5-110.020.18W</v>
      </c>
      <c r="B5145" s="195" t="s">
        <v>2506</v>
      </c>
      <c r="C5145" s="196">
        <v>0.02</v>
      </c>
      <c r="D5145" s="196">
        <v>0.18</v>
      </c>
      <c r="E5145" s="195" t="s">
        <v>593</v>
      </c>
      <c r="F5145" s="195" t="s">
        <v>432</v>
      </c>
    </row>
    <row r="5146" spans="1:6" x14ac:dyDescent="0.25">
      <c r="A5146" s="189" t="str">
        <f t="shared" si="80"/>
        <v>FR-US 15 RP5-110.120.16E</v>
      </c>
      <c r="B5146" s="195" t="s">
        <v>2506</v>
      </c>
      <c r="C5146" s="196">
        <v>0.12</v>
      </c>
      <c r="D5146" s="196">
        <v>0.16</v>
      </c>
      <c r="E5146" s="195" t="s">
        <v>598</v>
      </c>
      <c r="F5146" s="195" t="s">
        <v>19</v>
      </c>
    </row>
    <row r="5147" spans="1:6" x14ac:dyDescent="0.25">
      <c r="A5147" s="189" t="str">
        <f t="shared" si="80"/>
        <v>FR-US 15 RP5-1200.04S</v>
      </c>
      <c r="B5147" s="195" t="s">
        <v>2507</v>
      </c>
      <c r="C5147" s="196">
        <v>0</v>
      </c>
      <c r="D5147" s="196">
        <v>0.04</v>
      </c>
      <c r="E5147" s="195" t="s">
        <v>595</v>
      </c>
      <c r="F5147" s="195" t="s">
        <v>438</v>
      </c>
    </row>
    <row r="5148" spans="1:6" x14ac:dyDescent="0.25">
      <c r="A5148" s="189" t="str">
        <f t="shared" si="80"/>
        <v>FR-US 15 RP5-1300.16S</v>
      </c>
      <c r="B5148" s="195" t="s">
        <v>2508</v>
      </c>
      <c r="C5148" s="196">
        <v>0</v>
      </c>
      <c r="D5148" s="196">
        <v>0.16</v>
      </c>
      <c r="E5148" s="195" t="s">
        <v>595</v>
      </c>
      <c r="F5148" s="195" t="s">
        <v>438</v>
      </c>
    </row>
    <row r="5149" spans="1:6" x14ac:dyDescent="0.25">
      <c r="A5149" s="189" t="str">
        <f t="shared" si="80"/>
        <v>FR-US 15 RP5-1400.01N</v>
      </c>
      <c r="B5149" s="195" t="s">
        <v>2509</v>
      </c>
      <c r="C5149" s="196">
        <v>0</v>
      </c>
      <c r="D5149" s="196">
        <v>0.01</v>
      </c>
      <c r="E5149" s="195" t="s">
        <v>589</v>
      </c>
      <c r="F5149" s="195" t="s">
        <v>430</v>
      </c>
    </row>
    <row r="5150" spans="1:6" x14ac:dyDescent="0.25">
      <c r="A5150" s="189" t="str">
        <f t="shared" si="80"/>
        <v>FR-US 15 RP5-1500.01E</v>
      </c>
      <c r="B5150" s="195" t="s">
        <v>2510</v>
      </c>
      <c r="C5150" s="196">
        <v>0</v>
      </c>
      <c r="D5150" s="196">
        <v>0.01</v>
      </c>
      <c r="E5150" s="195" t="s">
        <v>598</v>
      </c>
      <c r="F5150" s="195" t="s">
        <v>19</v>
      </c>
    </row>
    <row r="5151" spans="1:6" x14ac:dyDescent="0.25">
      <c r="A5151" s="189" t="str">
        <f t="shared" si="80"/>
        <v>FR-US 15 RP5-1600.02E</v>
      </c>
      <c r="B5151" s="195" t="s">
        <v>2511</v>
      </c>
      <c r="C5151" s="196">
        <v>0</v>
      </c>
      <c r="D5151" s="196">
        <v>0.02</v>
      </c>
      <c r="E5151" s="195" t="s">
        <v>598</v>
      </c>
      <c r="F5151" s="195" t="s">
        <v>19</v>
      </c>
    </row>
    <row r="5152" spans="1:6" x14ac:dyDescent="0.25">
      <c r="A5152" s="189" t="str">
        <f t="shared" si="80"/>
        <v>FR-US 15 RP5-2900.02E</v>
      </c>
      <c r="B5152" s="195" t="s">
        <v>2512</v>
      </c>
      <c r="C5152" s="196">
        <v>0</v>
      </c>
      <c r="D5152" s="196">
        <v>0.02</v>
      </c>
      <c r="E5152" s="195" t="s">
        <v>598</v>
      </c>
      <c r="F5152" s="195" t="s">
        <v>19</v>
      </c>
    </row>
    <row r="5153" spans="1:6" x14ac:dyDescent="0.25">
      <c r="A5153" s="189" t="str">
        <f t="shared" si="80"/>
        <v>FR-US 15 RP5-3000.03S</v>
      </c>
      <c r="B5153" s="195" t="s">
        <v>2513</v>
      </c>
      <c r="C5153" s="196">
        <v>0</v>
      </c>
      <c r="D5153" s="196">
        <v>0.03</v>
      </c>
      <c r="E5153" s="195" t="s">
        <v>595</v>
      </c>
      <c r="F5153" s="195" t="s">
        <v>438</v>
      </c>
    </row>
    <row r="5154" spans="1:6" x14ac:dyDescent="0.25">
      <c r="A5154" s="189" t="str">
        <f t="shared" si="80"/>
        <v>FR-US 15 RP5-900.01E</v>
      </c>
      <c r="B5154" s="195" t="s">
        <v>2514</v>
      </c>
      <c r="C5154" s="196">
        <v>0</v>
      </c>
      <c r="D5154" s="196">
        <v>0.01</v>
      </c>
      <c r="E5154" s="195" t="s">
        <v>598</v>
      </c>
      <c r="F5154" s="195" t="s">
        <v>19</v>
      </c>
    </row>
    <row r="5155" spans="1:6" x14ac:dyDescent="0.25">
      <c r="A5155" s="189" t="str">
        <f t="shared" si="80"/>
        <v>FR-US 15 RP6-1200.44S</v>
      </c>
      <c r="B5155" s="195" t="s">
        <v>2515</v>
      </c>
      <c r="C5155" s="196">
        <v>0</v>
      </c>
      <c r="D5155" s="196">
        <v>0.44</v>
      </c>
      <c r="E5155" s="195" t="s">
        <v>595</v>
      </c>
      <c r="F5155" s="195" t="s">
        <v>438</v>
      </c>
    </row>
    <row r="5156" spans="1:6" x14ac:dyDescent="0.25">
      <c r="A5156" s="189" t="str">
        <f t="shared" si="80"/>
        <v>FR-US 15 RP6-1300.22E</v>
      </c>
      <c r="B5156" s="195" t="s">
        <v>2516</v>
      </c>
      <c r="C5156" s="196">
        <v>0</v>
      </c>
      <c r="D5156" s="196">
        <v>0.22</v>
      </c>
      <c r="E5156" s="195" t="s">
        <v>598</v>
      </c>
      <c r="F5156" s="195" t="s">
        <v>19</v>
      </c>
    </row>
    <row r="5157" spans="1:6" x14ac:dyDescent="0.25">
      <c r="A5157" s="189" t="str">
        <f t="shared" si="80"/>
        <v>FR-US 15 RP6-1400.01S</v>
      </c>
      <c r="B5157" s="195" t="s">
        <v>2517</v>
      </c>
      <c r="C5157" s="196">
        <v>0</v>
      </c>
      <c r="D5157" s="196">
        <v>0.01</v>
      </c>
      <c r="E5157" s="195" t="s">
        <v>595</v>
      </c>
      <c r="F5157" s="195" t="s">
        <v>438</v>
      </c>
    </row>
    <row r="5158" spans="1:6" x14ac:dyDescent="0.25">
      <c r="A5158" s="189" t="str">
        <f t="shared" si="80"/>
        <v>FR-US 15 RP6-1500.02W</v>
      </c>
      <c r="B5158" s="195" t="s">
        <v>2518</v>
      </c>
      <c r="C5158" s="196">
        <v>0</v>
      </c>
      <c r="D5158" s="196">
        <v>0.02</v>
      </c>
      <c r="E5158" s="195" t="s">
        <v>593</v>
      </c>
      <c r="F5158" s="195" t="s">
        <v>432</v>
      </c>
    </row>
    <row r="5159" spans="1:6" x14ac:dyDescent="0.25">
      <c r="A5159" s="189" t="str">
        <f t="shared" si="80"/>
        <v>FR-US 15 RP6-1600.02W</v>
      </c>
      <c r="B5159" s="195" t="s">
        <v>2519</v>
      </c>
      <c r="C5159" s="196">
        <v>0</v>
      </c>
      <c r="D5159" s="196">
        <v>0.02</v>
      </c>
      <c r="E5159" s="195" t="s">
        <v>593</v>
      </c>
      <c r="F5159" s="195" t="s">
        <v>432</v>
      </c>
    </row>
    <row r="5160" spans="1:6" x14ac:dyDescent="0.25">
      <c r="A5160" s="189" t="str">
        <f t="shared" si="80"/>
        <v>FR-US 15 RP6-2800.3S</v>
      </c>
      <c r="B5160" s="195" t="s">
        <v>2520</v>
      </c>
      <c r="C5160" s="196">
        <v>0</v>
      </c>
      <c r="D5160" s="196">
        <v>0.3</v>
      </c>
      <c r="E5160" s="195" t="s">
        <v>595</v>
      </c>
      <c r="F5160" s="195" t="s">
        <v>438</v>
      </c>
    </row>
    <row r="5161" spans="1:6" x14ac:dyDescent="0.25">
      <c r="A5161" s="189" t="str">
        <f t="shared" si="80"/>
        <v>FR-US 15 RP6-2900.01S</v>
      </c>
      <c r="B5161" s="195" t="s">
        <v>2521</v>
      </c>
      <c r="C5161" s="196">
        <v>0</v>
      </c>
      <c r="D5161" s="196">
        <v>0.01</v>
      </c>
      <c r="E5161" s="195" t="s">
        <v>595</v>
      </c>
      <c r="F5161" s="195" t="s">
        <v>438</v>
      </c>
    </row>
    <row r="5162" spans="1:6" x14ac:dyDescent="0.25">
      <c r="A5162" s="189" t="str">
        <f t="shared" si="80"/>
        <v>FR-US 15 RP6-3000.27S</v>
      </c>
      <c r="B5162" s="195" t="s">
        <v>2522</v>
      </c>
      <c r="C5162" s="196">
        <v>0</v>
      </c>
      <c r="D5162" s="196">
        <v>0.27</v>
      </c>
      <c r="E5162" s="195" t="s">
        <v>595</v>
      </c>
      <c r="F5162" s="195" t="s">
        <v>438</v>
      </c>
    </row>
    <row r="5163" spans="1:6" x14ac:dyDescent="0.25">
      <c r="A5163" s="189" t="str">
        <f t="shared" si="80"/>
        <v>FR-US 15 RP6-900.15E</v>
      </c>
      <c r="B5163" s="195" t="s">
        <v>2523</v>
      </c>
      <c r="C5163" s="196">
        <v>0</v>
      </c>
      <c r="D5163" s="196">
        <v>0.15</v>
      </c>
      <c r="E5163" s="195" t="s">
        <v>598</v>
      </c>
      <c r="F5163" s="195" t="s">
        <v>19</v>
      </c>
    </row>
    <row r="5164" spans="1:6" x14ac:dyDescent="0.25">
      <c r="A5164" s="189" t="str">
        <f t="shared" si="80"/>
        <v>FR-US 15 RP7-1100.04W</v>
      </c>
      <c r="B5164" s="195" t="s">
        <v>2524</v>
      </c>
      <c r="C5164" s="196">
        <v>0</v>
      </c>
      <c r="D5164" s="196">
        <v>0.04</v>
      </c>
      <c r="E5164" s="195" t="s">
        <v>593</v>
      </c>
      <c r="F5164" s="195" t="s">
        <v>432</v>
      </c>
    </row>
    <row r="5165" spans="1:6" x14ac:dyDescent="0.25">
      <c r="A5165" s="189" t="str">
        <f t="shared" si="80"/>
        <v>FR-US 15 RP7-1200.11E</v>
      </c>
      <c r="B5165" s="195" t="s">
        <v>2525</v>
      </c>
      <c r="C5165" s="196">
        <v>0</v>
      </c>
      <c r="D5165" s="196">
        <v>0.11</v>
      </c>
      <c r="E5165" s="195" t="s">
        <v>598</v>
      </c>
      <c r="F5165" s="195" t="s">
        <v>19</v>
      </c>
    </row>
    <row r="5166" spans="1:6" x14ac:dyDescent="0.25">
      <c r="A5166" s="189" t="str">
        <f t="shared" si="80"/>
        <v>FR-US 15 RP7-1300.12W</v>
      </c>
      <c r="B5166" s="195" t="s">
        <v>2526</v>
      </c>
      <c r="C5166" s="196">
        <v>0</v>
      </c>
      <c r="D5166" s="196">
        <v>0.12</v>
      </c>
      <c r="E5166" s="195" t="s">
        <v>593</v>
      </c>
      <c r="F5166" s="195" t="s">
        <v>432</v>
      </c>
    </row>
    <row r="5167" spans="1:6" x14ac:dyDescent="0.25">
      <c r="A5167" s="189" t="str">
        <f t="shared" si="80"/>
        <v>FR-US 15 RP7-1400.13W</v>
      </c>
      <c r="B5167" s="195" t="s">
        <v>2527</v>
      </c>
      <c r="C5167" s="196">
        <v>0</v>
      </c>
      <c r="D5167" s="196">
        <v>0.13</v>
      </c>
      <c r="E5167" s="195" t="s">
        <v>593</v>
      </c>
      <c r="F5167" s="195" t="s">
        <v>432</v>
      </c>
    </row>
    <row r="5168" spans="1:6" x14ac:dyDescent="0.25">
      <c r="A5168" s="189" t="str">
        <f t="shared" si="80"/>
        <v>FR-US 15 RP7-1500.02W</v>
      </c>
      <c r="B5168" s="195" t="s">
        <v>2528</v>
      </c>
      <c r="C5168" s="196">
        <v>0</v>
      </c>
      <c r="D5168" s="196">
        <v>0.02</v>
      </c>
      <c r="E5168" s="195" t="s">
        <v>593</v>
      </c>
      <c r="F5168" s="195" t="s">
        <v>432</v>
      </c>
    </row>
    <row r="5169" spans="1:6" x14ac:dyDescent="0.25">
      <c r="A5169" s="189" t="str">
        <f t="shared" si="80"/>
        <v>FR-US 15 RP7-1600.18W</v>
      </c>
      <c r="B5169" s="195" t="s">
        <v>2529</v>
      </c>
      <c r="C5169" s="196">
        <v>0</v>
      </c>
      <c r="D5169" s="196">
        <v>0.18</v>
      </c>
      <c r="E5169" s="195" t="s">
        <v>593</v>
      </c>
      <c r="F5169" s="195" t="s">
        <v>432</v>
      </c>
    </row>
    <row r="5170" spans="1:6" x14ac:dyDescent="0.25">
      <c r="A5170" s="189" t="str">
        <f t="shared" si="80"/>
        <v>FR-US 15 RP7-2900.29S</v>
      </c>
      <c r="B5170" s="195" t="s">
        <v>2530</v>
      </c>
      <c r="C5170" s="196">
        <v>0</v>
      </c>
      <c r="D5170" s="196">
        <v>0.28999999999999998</v>
      </c>
      <c r="E5170" s="195" t="s">
        <v>595</v>
      </c>
      <c r="F5170" s="195" t="s">
        <v>438</v>
      </c>
    </row>
    <row r="5171" spans="1:6" x14ac:dyDescent="0.25">
      <c r="A5171" s="189" t="str">
        <f t="shared" si="80"/>
        <v>FR-US 15 RP7-3000.02S</v>
      </c>
      <c r="B5171" s="195" t="s">
        <v>2531</v>
      </c>
      <c r="C5171" s="196">
        <v>0</v>
      </c>
      <c r="D5171" s="196">
        <v>0.02</v>
      </c>
      <c r="E5171" s="195" t="s">
        <v>595</v>
      </c>
      <c r="F5171" s="195" t="s">
        <v>438</v>
      </c>
    </row>
    <row r="5172" spans="1:6" x14ac:dyDescent="0.25">
      <c r="A5172" s="189" t="str">
        <f t="shared" si="80"/>
        <v>FR-US 15 RP7-900.02W</v>
      </c>
      <c r="B5172" s="195" t="s">
        <v>2532</v>
      </c>
      <c r="C5172" s="196">
        <v>0</v>
      </c>
      <c r="D5172" s="196">
        <v>0.02</v>
      </c>
      <c r="E5172" s="195" t="s">
        <v>593</v>
      </c>
      <c r="F5172" s="195" t="s">
        <v>432</v>
      </c>
    </row>
    <row r="5173" spans="1:6" x14ac:dyDescent="0.25">
      <c r="A5173" s="189" t="str">
        <f t="shared" si="80"/>
        <v>FR-US 15 RP8-1100.02N</v>
      </c>
      <c r="B5173" s="195" t="s">
        <v>2533</v>
      </c>
      <c r="C5173" s="196">
        <v>0</v>
      </c>
      <c r="D5173" s="196">
        <v>0.02</v>
      </c>
      <c r="E5173" s="195" t="s">
        <v>589</v>
      </c>
      <c r="F5173" s="195" t="s">
        <v>430</v>
      </c>
    </row>
    <row r="5174" spans="1:6" x14ac:dyDescent="0.25">
      <c r="A5174" s="189" t="str">
        <f t="shared" si="80"/>
        <v>FR-US 15 RP8-1100.02S</v>
      </c>
      <c r="B5174" s="195" t="s">
        <v>2533</v>
      </c>
      <c r="C5174" s="196">
        <v>0</v>
      </c>
      <c r="D5174" s="196">
        <v>0.02</v>
      </c>
      <c r="E5174" s="195" t="s">
        <v>595</v>
      </c>
      <c r="F5174" s="195" t="s">
        <v>438</v>
      </c>
    </row>
    <row r="5175" spans="1:6" x14ac:dyDescent="0.25">
      <c r="A5175" s="189" t="str">
        <f t="shared" si="80"/>
        <v>FR-US 15 RP8-1200.15S</v>
      </c>
      <c r="B5175" s="195" t="s">
        <v>2534</v>
      </c>
      <c r="C5175" s="196">
        <v>0</v>
      </c>
      <c r="D5175" s="196">
        <v>0.15</v>
      </c>
      <c r="E5175" s="195" t="s">
        <v>595</v>
      </c>
      <c r="F5175" s="195" t="s">
        <v>438</v>
      </c>
    </row>
    <row r="5176" spans="1:6" x14ac:dyDescent="0.25">
      <c r="A5176" s="189" t="str">
        <f t="shared" si="80"/>
        <v>FR-US 15 RP8-120.150.22S</v>
      </c>
      <c r="B5176" s="195" t="s">
        <v>2534</v>
      </c>
      <c r="C5176" s="196">
        <v>0.15</v>
      </c>
      <c r="D5176" s="196">
        <v>0.22</v>
      </c>
      <c r="E5176" s="195" t="s">
        <v>595</v>
      </c>
      <c r="F5176" s="195" t="s">
        <v>438</v>
      </c>
    </row>
    <row r="5177" spans="1:6" x14ac:dyDescent="0.25">
      <c r="A5177" s="189" t="str">
        <f t="shared" si="80"/>
        <v>FR-US 15 RP8-1300.18S</v>
      </c>
      <c r="B5177" s="195" t="s">
        <v>2535</v>
      </c>
      <c r="C5177" s="196">
        <v>0</v>
      </c>
      <c r="D5177" s="196">
        <v>0.18</v>
      </c>
      <c r="E5177" s="195" t="s">
        <v>595</v>
      </c>
      <c r="F5177" s="195" t="s">
        <v>438</v>
      </c>
    </row>
    <row r="5178" spans="1:6" x14ac:dyDescent="0.25">
      <c r="A5178" s="189" t="str">
        <f t="shared" si="80"/>
        <v>FR-US 15 RP8-1400.21S</v>
      </c>
      <c r="B5178" s="195" t="s">
        <v>2536</v>
      </c>
      <c r="C5178" s="196">
        <v>0</v>
      </c>
      <c r="D5178" s="196">
        <v>0.21</v>
      </c>
      <c r="E5178" s="195" t="s">
        <v>595</v>
      </c>
      <c r="F5178" s="195" t="s">
        <v>438</v>
      </c>
    </row>
    <row r="5179" spans="1:6" x14ac:dyDescent="0.25">
      <c r="A5179" s="189" t="str">
        <f t="shared" si="80"/>
        <v>FR-US 15 RP8-1600.3S</v>
      </c>
      <c r="B5179" s="195" t="s">
        <v>2537</v>
      </c>
      <c r="C5179" s="196">
        <v>0</v>
      </c>
      <c r="D5179" s="196">
        <v>0.3</v>
      </c>
      <c r="E5179" s="195" t="s">
        <v>595</v>
      </c>
      <c r="F5179" s="195" t="s">
        <v>438</v>
      </c>
    </row>
    <row r="5180" spans="1:6" x14ac:dyDescent="0.25">
      <c r="A5180" s="189" t="str">
        <f t="shared" si="80"/>
        <v>FR-US 15 RP8-2800.14S</v>
      </c>
      <c r="B5180" s="195" t="s">
        <v>2538</v>
      </c>
      <c r="C5180" s="196">
        <v>0</v>
      </c>
      <c r="D5180" s="196">
        <v>0.14000000000000001</v>
      </c>
      <c r="E5180" s="195" t="s">
        <v>595</v>
      </c>
      <c r="F5180" s="195" t="s">
        <v>438</v>
      </c>
    </row>
    <row r="5181" spans="1:6" x14ac:dyDescent="0.25">
      <c r="A5181" s="189" t="str">
        <f t="shared" si="80"/>
        <v>FR-US 15 RP8-2900.25S</v>
      </c>
      <c r="B5181" s="195" t="s">
        <v>2539</v>
      </c>
      <c r="C5181" s="196">
        <v>0</v>
      </c>
      <c r="D5181" s="196">
        <v>0.25</v>
      </c>
      <c r="E5181" s="195" t="s">
        <v>595</v>
      </c>
      <c r="F5181" s="195" t="s">
        <v>438</v>
      </c>
    </row>
    <row r="5182" spans="1:6" x14ac:dyDescent="0.25">
      <c r="A5182" s="189" t="str">
        <f t="shared" si="80"/>
        <v>FR-US 15 RP8-3000.26S</v>
      </c>
      <c r="B5182" s="195" t="s">
        <v>2540</v>
      </c>
      <c r="C5182" s="196">
        <v>0</v>
      </c>
      <c r="D5182" s="196">
        <v>0.26</v>
      </c>
      <c r="E5182" s="195" t="s">
        <v>595</v>
      </c>
      <c r="F5182" s="195" t="s">
        <v>438</v>
      </c>
    </row>
    <row r="5183" spans="1:6" x14ac:dyDescent="0.25">
      <c r="A5183" s="189" t="str">
        <f t="shared" si="80"/>
        <v>FR-US 15 RP8-900.18S</v>
      </c>
      <c r="B5183" s="195" t="s">
        <v>2541</v>
      </c>
      <c r="C5183" s="196">
        <v>0</v>
      </c>
      <c r="D5183" s="196">
        <v>0.18</v>
      </c>
      <c r="E5183" s="195" t="s">
        <v>595</v>
      </c>
      <c r="F5183" s="195" t="s">
        <v>438</v>
      </c>
    </row>
    <row r="5184" spans="1:6" x14ac:dyDescent="0.25">
      <c r="A5184" s="189" t="str">
        <f t="shared" si="80"/>
        <v>FR-US 15 RP9-1100.08S</v>
      </c>
      <c r="B5184" s="195" t="s">
        <v>2542</v>
      </c>
      <c r="C5184" s="196">
        <v>0</v>
      </c>
      <c r="D5184" s="196">
        <v>0.08</v>
      </c>
      <c r="E5184" s="195" t="s">
        <v>595</v>
      </c>
      <c r="F5184" s="195" t="s">
        <v>438</v>
      </c>
    </row>
    <row r="5185" spans="1:6" x14ac:dyDescent="0.25">
      <c r="A5185" s="189" t="str">
        <f t="shared" si="80"/>
        <v>FR-US 15 RP9-110.080.43S</v>
      </c>
      <c r="B5185" s="195" t="s">
        <v>2542</v>
      </c>
      <c r="C5185" s="196">
        <v>0.08</v>
      </c>
      <c r="D5185" s="196">
        <v>0.43</v>
      </c>
      <c r="E5185" s="195" t="s">
        <v>595</v>
      </c>
      <c r="F5185" s="195" t="s">
        <v>438</v>
      </c>
    </row>
    <row r="5186" spans="1:6" x14ac:dyDescent="0.25">
      <c r="A5186" s="189" t="str">
        <f t="shared" si="80"/>
        <v>FR-US 15BU01S</v>
      </c>
      <c r="B5186" s="195" t="s">
        <v>2543</v>
      </c>
      <c r="C5186" s="196">
        <v>0</v>
      </c>
      <c r="D5186" s="196">
        <v>1</v>
      </c>
      <c r="E5186" s="195" t="s">
        <v>595</v>
      </c>
      <c r="F5186" s="195" t="s">
        <v>438</v>
      </c>
    </row>
    <row r="5187" spans="1:6" x14ac:dyDescent="0.25">
      <c r="A5187" s="189" t="str">
        <f t="shared" ref="A5187:A5250" si="81">B5187&amp;C5187&amp;D5187&amp;F5187</f>
        <v>FR-US 15BU0.041N</v>
      </c>
      <c r="B5187" s="195" t="s">
        <v>2543</v>
      </c>
      <c r="C5187" s="196">
        <v>0.04</v>
      </c>
      <c r="D5187" s="196">
        <v>1</v>
      </c>
      <c r="E5187" s="195" t="s">
        <v>589</v>
      </c>
      <c r="F5187" s="195" t="s">
        <v>430</v>
      </c>
    </row>
    <row r="5188" spans="1:6" x14ac:dyDescent="0.25">
      <c r="A5188" s="189" t="str">
        <f t="shared" si="81"/>
        <v>FR-US 15BU11.17N</v>
      </c>
      <c r="B5188" s="195" t="s">
        <v>2543</v>
      </c>
      <c r="C5188" s="196">
        <v>1</v>
      </c>
      <c r="D5188" s="196">
        <v>1.17</v>
      </c>
      <c r="E5188" s="195" t="s">
        <v>583</v>
      </c>
      <c r="F5188" s="195" t="s">
        <v>430</v>
      </c>
    </row>
    <row r="5189" spans="1:6" x14ac:dyDescent="0.25">
      <c r="A5189" s="189" t="str">
        <f t="shared" si="81"/>
        <v>FR-US 15BU11.17S</v>
      </c>
      <c r="B5189" s="195" t="s">
        <v>2543</v>
      </c>
      <c r="C5189" s="196">
        <v>1</v>
      </c>
      <c r="D5189" s="196">
        <v>1.17</v>
      </c>
      <c r="E5189" s="195" t="s">
        <v>583</v>
      </c>
      <c r="F5189" s="195" t="s">
        <v>438</v>
      </c>
    </row>
    <row r="5190" spans="1:6" x14ac:dyDescent="0.25">
      <c r="A5190" s="189" t="str">
        <f t="shared" si="81"/>
        <v>FR-US 15BU1.171.6N</v>
      </c>
      <c r="B5190" s="195" t="s">
        <v>2543</v>
      </c>
      <c r="C5190" s="196">
        <v>1.17</v>
      </c>
      <c r="D5190" s="196">
        <v>1.6</v>
      </c>
      <c r="E5190" s="195" t="s">
        <v>583</v>
      </c>
      <c r="F5190" s="195" t="s">
        <v>430</v>
      </c>
    </row>
    <row r="5191" spans="1:6" x14ac:dyDescent="0.25">
      <c r="A5191" s="189" t="str">
        <f t="shared" si="81"/>
        <v>FR-US 15BU1.171.6S</v>
      </c>
      <c r="B5191" s="195" t="s">
        <v>2543</v>
      </c>
      <c r="C5191" s="196">
        <v>1.17</v>
      </c>
      <c r="D5191" s="196">
        <v>1.6</v>
      </c>
      <c r="E5191" s="195" t="s">
        <v>583</v>
      </c>
      <c r="F5191" s="195" t="s">
        <v>438</v>
      </c>
    </row>
    <row r="5192" spans="1:6" x14ac:dyDescent="0.25">
      <c r="A5192" s="189" t="str">
        <f t="shared" si="81"/>
        <v>FR-US 15BU1.62.33N</v>
      </c>
      <c r="B5192" s="195" t="s">
        <v>2543</v>
      </c>
      <c r="C5192" s="196">
        <v>1.6</v>
      </c>
      <c r="D5192" s="196">
        <v>2.33</v>
      </c>
      <c r="E5192" s="195" t="s">
        <v>589</v>
      </c>
      <c r="F5192" s="195" t="s">
        <v>430</v>
      </c>
    </row>
    <row r="5193" spans="1:6" x14ac:dyDescent="0.25">
      <c r="A5193" s="189" t="str">
        <f t="shared" si="81"/>
        <v>FR-US 15BU1.62.34S</v>
      </c>
      <c r="B5193" s="195" t="s">
        <v>2543</v>
      </c>
      <c r="C5193" s="196">
        <v>1.6</v>
      </c>
      <c r="D5193" s="196">
        <v>2.34</v>
      </c>
      <c r="E5193" s="195" t="s">
        <v>595</v>
      </c>
      <c r="F5193" s="195" t="s">
        <v>438</v>
      </c>
    </row>
    <row r="5194" spans="1:6" x14ac:dyDescent="0.25">
      <c r="A5194" s="189" t="str">
        <f t="shared" si="81"/>
        <v>FR-US 15G00.14E</v>
      </c>
      <c r="B5194" s="195" t="s">
        <v>2544</v>
      </c>
      <c r="C5194" s="196">
        <v>0</v>
      </c>
      <c r="D5194" s="196">
        <v>0.14000000000000001</v>
      </c>
      <c r="E5194" s="195" t="s">
        <v>598</v>
      </c>
      <c r="F5194" s="195" t="s">
        <v>19</v>
      </c>
    </row>
    <row r="5195" spans="1:6" x14ac:dyDescent="0.25">
      <c r="A5195" s="189" t="str">
        <f t="shared" si="81"/>
        <v>FR-US 15G00.14W</v>
      </c>
      <c r="B5195" s="195" t="s">
        <v>2544</v>
      </c>
      <c r="C5195" s="196">
        <v>0</v>
      </c>
      <c r="D5195" s="196">
        <v>0.14000000000000001</v>
      </c>
      <c r="E5195" s="195" t="s">
        <v>593</v>
      </c>
      <c r="F5195" s="195" t="s">
        <v>432</v>
      </c>
    </row>
    <row r="5196" spans="1:6" x14ac:dyDescent="0.25">
      <c r="A5196" s="189" t="str">
        <f t="shared" si="81"/>
        <v>FR-US 340 RP1-400.02W</v>
      </c>
      <c r="B5196" s="195" t="s">
        <v>2545</v>
      </c>
      <c r="C5196" s="196">
        <v>0</v>
      </c>
      <c r="D5196" s="196">
        <v>0.02</v>
      </c>
      <c r="E5196" s="195" t="s">
        <v>593</v>
      </c>
      <c r="F5196" s="195" t="s">
        <v>432</v>
      </c>
    </row>
    <row r="5197" spans="1:6" x14ac:dyDescent="0.25">
      <c r="A5197" s="189" t="str">
        <f t="shared" si="81"/>
        <v>FR-US 340 RP1-800.02W</v>
      </c>
      <c r="B5197" s="195" t="s">
        <v>2546</v>
      </c>
      <c r="C5197" s="196">
        <v>0</v>
      </c>
      <c r="D5197" s="196">
        <v>0.02</v>
      </c>
      <c r="E5197" s="195" t="s">
        <v>593</v>
      </c>
      <c r="F5197" s="195" t="s">
        <v>432</v>
      </c>
    </row>
    <row r="5198" spans="1:6" x14ac:dyDescent="0.25">
      <c r="A5198" s="189" t="str">
        <f t="shared" si="81"/>
        <v>FR-US 340 RP2-200.21W</v>
      </c>
      <c r="B5198" s="195" t="s">
        <v>2547</v>
      </c>
      <c r="C5198" s="196">
        <v>0</v>
      </c>
      <c r="D5198" s="196">
        <v>0.21</v>
      </c>
      <c r="E5198" s="195" t="s">
        <v>593</v>
      </c>
      <c r="F5198" s="195" t="s">
        <v>432</v>
      </c>
    </row>
    <row r="5199" spans="1:6" x14ac:dyDescent="0.25">
      <c r="A5199" s="189" t="str">
        <f t="shared" si="81"/>
        <v>FR-US 340 RP2-400.23N</v>
      </c>
      <c r="B5199" s="195" t="s">
        <v>2548</v>
      </c>
      <c r="C5199" s="196">
        <v>0</v>
      </c>
      <c r="D5199" s="196">
        <v>0.23</v>
      </c>
      <c r="E5199" s="195" t="s">
        <v>589</v>
      </c>
      <c r="F5199" s="195" t="s">
        <v>430</v>
      </c>
    </row>
    <row r="5200" spans="1:6" x14ac:dyDescent="0.25">
      <c r="A5200" s="189" t="str">
        <f t="shared" si="81"/>
        <v>FR-US 340 RP2-800.15W</v>
      </c>
      <c r="B5200" s="195" t="s">
        <v>2549</v>
      </c>
      <c r="C5200" s="196">
        <v>0</v>
      </c>
      <c r="D5200" s="196">
        <v>0.15</v>
      </c>
      <c r="E5200" s="195" t="s">
        <v>593</v>
      </c>
      <c r="F5200" s="195" t="s">
        <v>432</v>
      </c>
    </row>
    <row r="5201" spans="1:6" x14ac:dyDescent="0.25">
      <c r="A5201" s="189" t="str">
        <f t="shared" si="81"/>
        <v>FR-US 340 RP3-200.03E</v>
      </c>
      <c r="B5201" s="195" t="s">
        <v>2550</v>
      </c>
      <c r="C5201" s="196">
        <v>0</v>
      </c>
      <c r="D5201" s="196">
        <v>0.03</v>
      </c>
      <c r="E5201" s="195" t="s">
        <v>598</v>
      </c>
      <c r="F5201" s="195" t="s">
        <v>19</v>
      </c>
    </row>
    <row r="5202" spans="1:6" x14ac:dyDescent="0.25">
      <c r="A5202" s="189" t="str">
        <f t="shared" si="81"/>
        <v>FR-US 340 RP3-400.04E</v>
      </c>
      <c r="B5202" s="195" t="s">
        <v>2551</v>
      </c>
      <c r="C5202" s="196">
        <v>0</v>
      </c>
      <c r="D5202" s="196">
        <v>0.04</v>
      </c>
      <c r="E5202" s="195" t="s">
        <v>598</v>
      </c>
      <c r="F5202" s="195" t="s">
        <v>19</v>
      </c>
    </row>
    <row r="5203" spans="1:6" x14ac:dyDescent="0.25">
      <c r="A5203" s="189" t="str">
        <f t="shared" si="81"/>
        <v>FR-US 340 RP3-800.01E</v>
      </c>
      <c r="B5203" s="195" t="s">
        <v>2552</v>
      </c>
      <c r="C5203" s="196">
        <v>0</v>
      </c>
      <c r="D5203" s="196">
        <v>0.01</v>
      </c>
      <c r="E5203" s="195" t="s">
        <v>598</v>
      </c>
      <c r="F5203" s="195" t="s">
        <v>19</v>
      </c>
    </row>
    <row r="5204" spans="1:6" x14ac:dyDescent="0.25">
      <c r="A5204" s="189" t="str">
        <f t="shared" si="81"/>
        <v>FR-US 340 RP4-200.18N</v>
      </c>
      <c r="B5204" s="195" t="s">
        <v>2553</v>
      </c>
      <c r="C5204" s="196">
        <v>0</v>
      </c>
      <c r="D5204" s="196">
        <v>0.18</v>
      </c>
      <c r="E5204" s="195" t="s">
        <v>589</v>
      </c>
      <c r="F5204" s="195" t="s">
        <v>430</v>
      </c>
    </row>
    <row r="5205" spans="1:6" x14ac:dyDescent="0.25">
      <c r="A5205" s="189" t="str">
        <f t="shared" si="81"/>
        <v>FR-US 340 RP4-400.23E</v>
      </c>
      <c r="B5205" s="195" t="s">
        <v>2554</v>
      </c>
      <c r="C5205" s="196">
        <v>0</v>
      </c>
      <c r="D5205" s="196">
        <v>0.23</v>
      </c>
      <c r="E5205" s="195" t="s">
        <v>598</v>
      </c>
      <c r="F5205" s="195" t="s">
        <v>19</v>
      </c>
    </row>
    <row r="5206" spans="1:6" x14ac:dyDescent="0.25">
      <c r="A5206" s="189" t="str">
        <f t="shared" si="81"/>
        <v>FR-US 340 RP4-800.17N</v>
      </c>
      <c r="B5206" s="195" t="s">
        <v>2555</v>
      </c>
      <c r="C5206" s="196">
        <v>0</v>
      </c>
      <c r="D5206" s="196">
        <v>0.17</v>
      </c>
      <c r="E5206" s="195" t="s">
        <v>589</v>
      </c>
      <c r="F5206" s="195" t="s">
        <v>430</v>
      </c>
    </row>
    <row r="5207" spans="1:6" x14ac:dyDescent="0.25">
      <c r="A5207" s="189" t="str">
        <f t="shared" si="81"/>
        <v>FR-US 340 RP5-200.03E</v>
      </c>
      <c r="B5207" s="195" t="s">
        <v>2556</v>
      </c>
      <c r="C5207" s="196">
        <v>0</v>
      </c>
      <c r="D5207" s="196">
        <v>0.03</v>
      </c>
      <c r="E5207" s="195" t="s">
        <v>598</v>
      </c>
      <c r="F5207" s="195" t="s">
        <v>19</v>
      </c>
    </row>
    <row r="5208" spans="1:6" x14ac:dyDescent="0.25">
      <c r="A5208" s="189" t="str">
        <f t="shared" si="81"/>
        <v>FR-US 340 RP5-400.01S</v>
      </c>
      <c r="B5208" s="195" t="s">
        <v>2557</v>
      </c>
      <c r="C5208" s="196">
        <v>0</v>
      </c>
      <c r="D5208" s="196">
        <v>0.01</v>
      </c>
      <c r="E5208" s="195" t="s">
        <v>595</v>
      </c>
      <c r="F5208" s="195" t="s">
        <v>438</v>
      </c>
    </row>
    <row r="5209" spans="1:6" x14ac:dyDescent="0.25">
      <c r="A5209" s="189" t="str">
        <f t="shared" si="81"/>
        <v>FR-US 340 RP5-800.01E</v>
      </c>
      <c r="B5209" s="195" t="s">
        <v>2558</v>
      </c>
      <c r="C5209" s="196">
        <v>0</v>
      </c>
      <c r="D5209" s="196">
        <v>0.01</v>
      </c>
      <c r="E5209" s="195" t="s">
        <v>598</v>
      </c>
      <c r="F5209" s="195" t="s">
        <v>19</v>
      </c>
    </row>
    <row r="5210" spans="1:6" x14ac:dyDescent="0.25">
      <c r="A5210" s="189" t="str">
        <f t="shared" si="81"/>
        <v>FR-US 340 RP6-200.12E</v>
      </c>
      <c r="B5210" s="195" t="s">
        <v>2559</v>
      </c>
      <c r="C5210" s="196">
        <v>0</v>
      </c>
      <c r="D5210" s="196">
        <v>0.12</v>
      </c>
      <c r="E5210" s="195" t="s">
        <v>598</v>
      </c>
      <c r="F5210" s="195" t="s">
        <v>19</v>
      </c>
    </row>
    <row r="5211" spans="1:6" x14ac:dyDescent="0.25">
      <c r="A5211" s="189" t="str">
        <f t="shared" si="81"/>
        <v>FR-US 340 RP6-400.19S</v>
      </c>
      <c r="B5211" s="195" t="s">
        <v>2560</v>
      </c>
      <c r="C5211" s="196">
        <v>0</v>
      </c>
      <c r="D5211" s="196">
        <v>0.19</v>
      </c>
      <c r="E5211" s="195" t="s">
        <v>595</v>
      </c>
      <c r="F5211" s="195" t="s">
        <v>438</v>
      </c>
    </row>
    <row r="5212" spans="1:6" x14ac:dyDescent="0.25">
      <c r="A5212" s="189" t="str">
        <f t="shared" si="81"/>
        <v>FR-US 340 RP6-800.16E</v>
      </c>
      <c r="B5212" s="195" t="s">
        <v>2561</v>
      </c>
      <c r="C5212" s="196">
        <v>0</v>
      </c>
      <c r="D5212" s="196">
        <v>0.16</v>
      </c>
      <c r="E5212" s="195" t="s">
        <v>598</v>
      </c>
      <c r="F5212" s="195" t="s">
        <v>19</v>
      </c>
    </row>
    <row r="5213" spans="1:6" x14ac:dyDescent="0.25">
      <c r="A5213" s="189" t="str">
        <f t="shared" si="81"/>
        <v>FR-US 340 RP7-200.01W</v>
      </c>
      <c r="B5213" s="195" t="s">
        <v>2562</v>
      </c>
      <c r="C5213" s="196">
        <v>0</v>
      </c>
      <c r="D5213" s="196">
        <v>0.01</v>
      </c>
      <c r="E5213" s="195" t="s">
        <v>593</v>
      </c>
      <c r="F5213" s="195" t="s">
        <v>432</v>
      </c>
    </row>
    <row r="5214" spans="1:6" x14ac:dyDescent="0.25">
      <c r="A5214" s="189" t="str">
        <f t="shared" si="81"/>
        <v>FR-US 340 RP7-400.02W</v>
      </c>
      <c r="B5214" s="195" t="s">
        <v>2563</v>
      </c>
      <c r="C5214" s="196">
        <v>0</v>
      </c>
      <c r="D5214" s="196">
        <v>0.02</v>
      </c>
      <c r="E5214" s="195" t="s">
        <v>593</v>
      </c>
      <c r="F5214" s="195" t="s">
        <v>432</v>
      </c>
    </row>
    <row r="5215" spans="1:6" x14ac:dyDescent="0.25">
      <c r="A5215" s="189" t="str">
        <f t="shared" si="81"/>
        <v>FR-US 340 RP7-800.02W</v>
      </c>
      <c r="B5215" s="195" t="s">
        <v>2564</v>
      </c>
      <c r="C5215" s="196">
        <v>0</v>
      </c>
      <c r="D5215" s="196">
        <v>0.02</v>
      </c>
      <c r="E5215" s="195" t="s">
        <v>593</v>
      </c>
      <c r="F5215" s="195" t="s">
        <v>432</v>
      </c>
    </row>
    <row r="5216" spans="1:6" x14ac:dyDescent="0.25">
      <c r="A5216" s="189" t="str">
        <f t="shared" si="81"/>
        <v>FR-US 340 RP8-200.13S</v>
      </c>
      <c r="B5216" s="195" t="s">
        <v>2565</v>
      </c>
      <c r="C5216" s="196">
        <v>0</v>
      </c>
      <c r="D5216" s="196">
        <v>0.13</v>
      </c>
      <c r="E5216" s="195" t="s">
        <v>595</v>
      </c>
      <c r="F5216" s="195" t="s">
        <v>438</v>
      </c>
    </row>
    <row r="5217" spans="1:6" x14ac:dyDescent="0.25">
      <c r="A5217" s="189" t="str">
        <f t="shared" si="81"/>
        <v>FR-US 340 RP8-400.17S</v>
      </c>
      <c r="B5217" s="195" t="s">
        <v>2566</v>
      </c>
      <c r="C5217" s="196">
        <v>0</v>
      </c>
      <c r="D5217" s="196">
        <v>0.17</v>
      </c>
      <c r="E5217" s="195" t="s">
        <v>595</v>
      </c>
      <c r="F5217" s="195" t="s">
        <v>438</v>
      </c>
    </row>
    <row r="5218" spans="1:6" x14ac:dyDescent="0.25">
      <c r="A5218" s="189" t="str">
        <f t="shared" si="81"/>
        <v>FR-US 340 RP8-800.19S</v>
      </c>
      <c r="B5218" s="195" t="s">
        <v>2567</v>
      </c>
      <c r="C5218" s="196">
        <v>0</v>
      </c>
      <c r="D5218" s="196">
        <v>0.19</v>
      </c>
      <c r="E5218" s="195" t="s">
        <v>595</v>
      </c>
      <c r="F5218" s="195" t="s">
        <v>438</v>
      </c>
    </row>
    <row r="5219" spans="1:6" x14ac:dyDescent="0.25">
      <c r="A5219" s="189" t="str">
        <f t="shared" si="81"/>
        <v>FR-US 4003E</v>
      </c>
      <c r="B5219" s="195" t="s">
        <v>569</v>
      </c>
      <c r="C5219" s="196">
        <v>0</v>
      </c>
      <c r="D5219" s="196">
        <v>3</v>
      </c>
      <c r="E5219" s="195" t="s">
        <v>583</v>
      </c>
      <c r="F5219" s="195" t="s">
        <v>19</v>
      </c>
    </row>
    <row r="5220" spans="1:6" x14ac:dyDescent="0.25">
      <c r="A5220" s="189" t="str">
        <f t="shared" si="81"/>
        <v>FR-US 4003W</v>
      </c>
      <c r="B5220" s="195" t="s">
        <v>569</v>
      </c>
      <c r="C5220" s="196">
        <v>0</v>
      </c>
      <c r="D5220" s="196">
        <v>3</v>
      </c>
      <c r="E5220" s="195" t="s">
        <v>583</v>
      </c>
      <c r="F5220" s="195" t="s">
        <v>432</v>
      </c>
    </row>
    <row r="5221" spans="1:6" x14ac:dyDescent="0.25">
      <c r="A5221" s="189" t="str">
        <f t="shared" si="81"/>
        <v>FR-US 4036.57E</v>
      </c>
      <c r="B5221" s="195" t="s">
        <v>569</v>
      </c>
      <c r="C5221" s="196">
        <v>3</v>
      </c>
      <c r="D5221" s="196">
        <v>6.57</v>
      </c>
      <c r="E5221" s="195" t="s">
        <v>583</v>
      </c>
      <c r="F5221" s="195" t="s">
        <v>19</v>
      </c>
    </row>
    <row r="5222" spans="1:6" x14ac:dyDescent="0.25">
      <c r="A5222" s="189" t="str">
        <f t="shared" si="81"/>
        <v>FR-US 4036.57W</v>
      </c>
      <c r="B5222" s="195" t="s">
        <v>569</v>
      </c>
      <c r="C5222" s="196">
        <v>3</v>
      </c>
      <c r="D5222" s="196">
        <v>6.57</v>
      </c>
      <c r="E5222" s="195" t="s">
        <v>583</v>
      </c>
      <c r="F5222" s="195" t="s">
        <v>432</v>
      </c>
    </row>
    <row r="5223" spans="1:6" x14ac:dyDescent="0.25">
      <c r="A5223" s="189" t="str">
        <f t="shared" si="81"/>
        <v>FR-US 406.577.45E</v>
      </c>
      <c r="B5223" s="195" t="s">
        <v>569</v>
      </c>
      <c r="C5223" s="196">
        <v>6.57</v>
      </c>
      <c r="D5223" s="196">
        <v>7.45</v>
      </c>
      <c r="E5223" s="195" t="s">
        <v>583</v>
      </c>
      <c r="F5223" s="195" t="s">
        <v>19</v>
      </c>
    </row>
    <row r="5224" spans="1:6" x14ac:dyDescent="0.25">
      <c r="A5224" s="189" t="str">
        <f t="shared" si="81"/>
        <v>FR-US 406.577.45W</v>
      </c>
      <c r="B5224" s="195" t="s">
        <v>569</v>
      </c>
      <c r="C5224" s="196">
        <v>6.57</v>
      </c>
      <c r="D5224" s="196">
        <v>7.45</v>
      </c>
      <c r="E5224" s="195" t="s">
        <v>583</v>
      </c>
      <c r="F5224" s="195" t="s">
        <v>432</v>
      </c>
    </row>
    <row r="5225" spans="1:6" x14ac:dyDescent="0.25">
      <c r="A5225" s="189" t="str">
        <f t="shared" si="81"/>
        <v>FR-US 407.458.05E</v>
      </c>
      <c r="B5225" s="195" t="s">
        <v>569</v>
      </c>
      <c r="C5225" s="196">
        <v>7.45</v>
      </c>
      <c r="D5225" s="196">
        <v>8.0500000000000007</v>
      </c>
      <c r="E5225" s="195" t="s">
        <v>583</v>
      </c>
      <c r="F5225" s="195" t="s">
        <v>19</v>
      </c>
    </row>
    <row r="5226" spans="1:6" x14ac:dyDescent="0.25">
      <c r="A5226" s="189" t="str">
        <f t="shared" si="81"/>
        <v>FR-US 407.458.05W</v>
      </c>
      <c r="B5226" s="195" t="s">
        <v>569</v>
      </c>
      <c r="C5226" s="196">
        <v>7.45</v>
      </c>
      <c r="D5226" s="196">
        <v>8.0500000000000007</v>
      </c>
      <c r="E5226" s="195" t="s">
        <v>583</v>
      </c>
      <c r="F5226" s="195" t="s">
        <v>432</v>
      </c>
    </row>
    <row r="5227" spans="1:6" x14ac:dyDescent="0.25">
      <c r="A5227" s="189" t="str">
        <f t="shared" si="81"/>
        <v>FR-US 408.0510.1E</v>
      </c>
      <c r="B5227" s="195" t="s">
        <v>569</v>
      </c>
      <c r="C5227" s="196">
        <v>8.0500000000000007</v>
      </c>
      <c r="D5227" s="196">
        <v>10.1</v>
      </c>
      <c r="E5227" s="195" t="s">
        <v>598</v>
      </c>
      <c r="F5227" s="195" t="s">
        <v>19</v>
      </c>
    </row>
    <row r="5228" spans="1:6" x14ac:dyDescent="0.25">
      <c r="A5228" s="189" t="str">
        <f t="shared" si="81"/>
        <v>FR-US 408.0510.4W</v>
      </c>
      <c r="B5228" s="195" t="s">
        <v>569</v>
      </c>
      <c r="C5228" s="196">
        <v>8.0500000000000007</v>
      </c>
      <c r="D5228" s="196">
        <v>10.4</v>
      </c>
      <c r="E5228" s="195" t="s">
        <v>593</v>
      </c>
      <c r="F5228" s="195" t="s">
        <v>432</v>
      </c>
    </row>
    <row r="5229" spans="1:6" x14ac:dyDescent="0.25">
      <c r="A5229" s="189" t="str">
        <f t="shared" si="81"/>
        <v>FR-US 40AL04.08E</v>
      </c>
      <c r="B5229" s="195" t="s">
        <v>2568</v>
      </c>
      <c r="C5229" s="196">
        <v>0</v>
      </c>
      <c r="D5229" s="196">
        <v>4.08</v>
      </c>
      <c r="E5229" s="195" t="s">
        <v>583</v>
      </c>
      <c r="F5229" s="195" t="s">
        <v>19</v>
      </c>
    </row>
    <row r="5230" spans="1:6" x14ac:dyDescent="0.25">
      <c r="A5230" s="189" t="str">
        <f t="shared" si="81"/>
        <v>FR-US 40AL04.08W</v>
      </c>
      <c r="B5230" s="195" t="s">
        <v>2568</v>
      </c>
      <c r="C5230" s="196">
        <v>0</v>
      </c>
      <c r="D5230" s="196">
        <v>4.08</v>
      </c>
      <c r="E5230" s="195" t="s">
        <v>583</v>
      </c>
      <c r="F5230" s="195" t="s">
        <v>432</v>
      </c>
    </row>
    <row r="5231" spans="1:6" x14ac:dyDescent="0.25">
      <c r="A5231" s="189" t="str">
        <f t="shared" si="81"/>
        <v>FR-US 40AL4.084.48E</v>
      </c>
      <c r="B5231" s="195" t="s">
        <v>2568</v>
      </c>
      <c r="C5231" s="196">
        <v>4.08</v>
      </c>
      <c r="D5231" s="196">
        <v>4.4800000000000004</v>
      </c>
      <c r="E5231" s="195" t="s">
        <v>583</v>
      </c>
      <c r="F5231" s="195" t="s">
        <v>19</v>
      </c>
    </row>
    <row r="5232" spans="1:6" x14ac:dyDescent="0.25">
      <c r="A5232" s="189" t="str">
        <f t="shared" si="81"/>
        <v>FR-US 40AL4.084.48W</v>
      </c>
      <c r="B5232" s="195" t="s">
        <v>2568</v>
      </c>
      <c r="C5232" s="196">
        <v>4.08</v>
      </c>
      <c r="D5232" s="196">
        <v>4.4800000000000004</v>
      </c>
      <c r="E5232" s="195" t="s">
        <v>583</v>
      </c>
      <c r="F5232" s="195" t="s">
        <v>432</v>
      </c>
    </row>
    <row r="5233" spans="1:6" x14ac:dyDescent="0.25">
      <c r="A5233" s="189" t="str">
        <f t="shared" si="81"/>
        <v>FR-US 40AL4.484.6E</v>
      </c>
      <c r="B5233" s="195" t="s">
        <v>2568</v>
      </c>
      <c r="C5233" s="196">
        <v>4.4800000000000004</v>
      </c>
      <c r="D5233" s="196">
        <v>4.5999999999999996</v>
      </c>
      <c r="E5233" s="195" t="s">
        <v>583</v>
      </c>
      <c r="F5233" s="195" t="s">
        <v>19</v>
      </c>
    </row>
    <row r="5234" spans="1:6" x14ac:dyDescent="0.25">
      <c r="A5234" s="189" t="str">
        <f t="shared" si="81"/>
        <v>FR-US 40AL4.484.6W</v>
      </c>
      <c r="B5234" s="195" t="s">
        <v>2568</v>
      </c>
      <c r="C5234" s="196">
        <v>4.4800000000000004</v>
      </c>
      <c r="D5234" s="196">
        <v>4.5999999999999996</v>
      </c>
      <c r="E5234" s="195" t="s">
        <v>583</v>
      </c>
      <c r="F5234" s="195" t="s">
        <v>432</v>
      </c>
    </row>
    <row r="5235" spans="1:6" x14ac:dyDescent="0.25">
      <c r="A5235" s="189" t="str">
        <f t="shared" si="81"/>
        <v>FR-US 40AL4.66.32E</v>
      </c>
      <c r="B5235" s="195" t="s">
        <v>2568</v>
      </c>
      <c r="C5235" s="196">
        <v>4.5999999999999996</v>
      </c>
      <c r="D5235" s="196">
        <v>6.32</v>
      </c>
      <c r="E5235" s="195" t="s">
        <v>583</v>
      </c>
      <c r="F5235" s="195" t="s">
        <v>19</v>
      </c>
    </row>
    <row r="5236" spans="1:6" x14ac:dyDescent="0.25">
      <c r="A5236" s="189" t="str">
        <f t="shared" si="81"/>
        <v>FR-US 40AL4.66.32W</v>
      </c>
      <c r="B5236" s="195" t="s">
        <v>2568</v>
      </c>
      <c r="C5236" s="196">
        <v>4.5999999999999996</v>
      </c>
      <c r="D5236" s="196">
        <v>6.32</v>
      </c>
      <c r="E5236" s="195" t="s">
        <v>583</v>
      </c>
      <c r="F5236" s="195" t="s">
        <v>432</v>
      </c>
    </row>
    <row r="5237" spans="1:6" x14ac:dyDescent="0.25">
      <c r="A5237" s="189" t="str">
        <f t="shared" si="81"/>
        <v>FR-US 40AL6.326.82E</v>
      </c>
      <c r="B5237" s="195" t="s">
        <v>2568</v>
      </c>
      <c r="C5237" s="196">
        <v>6.32</v>
      </c>
      <c r="D5237" s="196">
        <v>6.82</v>
      </c>
      <c r="E5237" s="195" t="s">
        <v>583</v>
      </c>
      <c r="F5237" s="195" t="s">
        <v>19</v>
      </c>
    </row>
    <row r="5238" spans="1:6" x14ac:dyDescent="0.25">
      <c r="A5238" s="189" t="str">
        <f t="shared" si="81"/>
        <v>FR-US 40AL6.326.82W</v>
      </c>
      <c r="B5238" s="195" t="s">
        <v>2568</v>
      </c>
      <c r="C5238" s="196">
        <v>6.32</v>
      </c>
      <c r="D5238" s="196">
        <v>6.82</v>
      </c>
      <c r="E5238" s="195" t="s">
        <v>583</v>
      </c>
      <c r="F5238" s="195" t="s">
        <v>432</v>
      </c>
    </row>
    <row r="5239" spans="1:6" x14ac:dyDescent="0.25">
      <c r="A5239" s="189" t="str">
        <f t="shared" si="81"/>
        <v>FR-US 40AL6.827.19E</v>
      </c>
      <c r="B5239" s="195" t="s">
        <v>2568</v>
      </c>
      <c r="C5239" s="196">
        <v>6.82</v>
      </c>
      <c r="D5239" s="196">
        <v>7.19</v>
      </c>
      <c r="E5239" s="195" t="s">
        <v>583</v>
      </c>
      <c r="F5239" s="195" t="s">
        <v>19</v>
      </c>
    </row>
    <row r="5240" spans="1:6" x14ac:dyDescent="0.25">
      <c r="A5240" s="189" t="str">
        <f t="shared" si="81"/>
        <v>FR-US 40AL6.827.19W</v>
      </c>
      <c r="B5240" s="195" t="s">
        <v>2568</v>
      </c>
      <c r="C5240" s="196">
        <v>6.82</v>
      </c>
      <c r="D5240" s="196">
        <v>7.19</v>
      </c>
      <c r="E5240" s="195" t="s">
        <v>583</v>
      </c>
      <c r="F5240" s="195" t="s">
        <v>432</v>
      </c>
    </row>
    <row r="5241" spans="1:6" x14ac:dyDescent="0.25">
      <c r="A5241" s="189" t="str">
        <f t="shared" si="81"/>
        <v>FR-US 40AL7.198.75E</v>
      </c>
      <c r="B5241" s="195" t="s">
        <v>2568</v>
      </c>
      <c r="C5241" s="196">
        <v>7.19</v>
      </c>
      <c r="D5241" s="196">
        <v>8.75</v>
      </c>
      <c r="E5241" s="195" t="s">
        <v>583</v>
      </c>
      <c r="F5241" s="195" t="s">
        <v>19</v>
      </c>
    </row>
    <row r="5242" spans="1:6" x14ac:dyDescent="0.25">
      <c r="A5242" s="189" t="str">
        <f t="shared" si="81"/>
        <v>FR-US 40AL7.198.75W</v>
      </c>
      <c r="B5242" s="195" t="s">
        <v>2568</v>
      </c>
      <c r="C5242" s="196">
        <v>7.19</v>
      </c>
      <c r="D5242" s="196">
        <v>8.75</v>
      </c>
      <c r="E5242" s="195" t="s">
        <v>583</v>
      </c>
      <c r="F5242" s="195" t="s">
        <v>432</v>
      </c>
    </row>
    <row r="5243" spans="1:6" x14ac:dyDescent="0.25">
      <c r="A5243" s="189" t="str">
        <f t="shared" si="81"/>
        <v>FR-US 40AL8.7510.27W</v>
      </c>
      <c r="B5243" s="195" t="s">
        <v>2568</v>
      </c>
      <c r="C5243" s="196">
        <v>8.75</v>
      </c>
      <c r="D5243" s="196">
        <v>10.27</v>
      </c>
      <c r="E5243" s="195" t="s">
        <v>593</v>
      </c>
      <c r="F5243" s="195" t="s">
        <v>432</v>
      </c>
    </row>
    <row r="5244" spans="1:6" x14ac:dyDescent="0.25">
      <c r="A5244" s="189" t="str">
        <f t="shared" si="81"/>
        <v>FR-US 40AL8.7510.33E</v>
      </c>
      <c r="B5244" s="195" t="s">
        <v>2568</v>
      </c>
      <c r="C5244" s="196">
        <v>8.75</v>
      </c>
      <c r="D5244" s="196">
        <v>10.33</v>
      </c>
      <c r="E5244" s="195" t="s">
        <v>598</v>
      </c>
      <c r="F5244" s="195" t="s">
        <v>19</v>
      </c>
    </row>
    <row r="5245" spans="1:6" x14ac:dyDescent="0.25">
      <c r="A5245" s="189" t="str">
        <f t="shared" si="81"/>
        <v>GA-IS 68 RP1-1400.34E</v>
      </c>
      <c r="B5245" s="195" t="s">
        <v>2569</v>
      </c>
      <c r="C5245" s="196">
        <v>0</v>
      </c>
      <c r="D5245" s="196">
        <v>0.34</v>
      </c>
      <c r="E5245" s="195" t="s">
        <v>598</v>
      </c>
      <c r="F5245" s="195" t="s">
        <v>19</v>
      </c>
    </row>
    <row r="5246" spans="1:6" x14ac:dyDescent="0.25">
      <c r="A5246" s="189" t="str">
        <f t="shared" si="81"/>
        <v>GA-IS 68 RP1-1900.03W</v>
      </c>
      <c r="B5246" s="195" t="s">
        <v>2570</v>
      </c>
      <c r="C5246" s="196">
        <v>0</v>
      </c>
      <c r="D5246" s="196">
        <v>0.03</v>
      </c>
      <c r="E5246" s="195" t="s">
        <v>593</v>
      </c>
      <c r="F5246" s="195" t="s">
        <v>432</v>
      </c>
    </row>
    <row r="5247" spans="1:6" x14ac:dyDescent="0.25">
      <c r="A5247" s="189" t="str">
        <f t="shared" si="81"/>
        <v>GA-IS 68 RP1-2200.05W</v>
      </c>
      <c r="B5247" s="195" t="s">
        <v>2571</v>
      </c>
      <c r="C5247" s="196">
        <v>0</v>
      </c>
      <c r="D5247" s="196">
        <v>0.05</v>
      </c>
      <c r="E5247" s="195" t="s">
        <v>593</v>
      </c>
      <c r="F5247" s="195" t="s">
        <v>432</v>
      </c>
    </row>
    <row r="5248" spans="1:6" x14ac:dyDescent="0.25">
      <c r="A5248" s="189" t="str">
        <f t="shared" si="81"/>
        <v>GA-IS 68 RP1-2900.17W</v>
      </c>
      <c r="B5248" s="195" t="s">
        <v>2572</v>
      </c>
      <c r="C5248" s="196">
        <v>0</v>
      </c>
      <c r="D5248" s="196">
        <v>0.17</v>
      </c>
      <c r="E5248" s="195" t="s">
        <v>593</v>
      </c>
      <c r="F5248" s="195" t="s">
        <v>432</v>
      </c>
    </row>
    <row r="5249" spans="1:6" x14ac:dyDescent="0.25">
      <c r="A5249" s="189" t="str">
        <f t="shared" si="81"/>
        <v>GA-IS 68 RP2-1400.65W</v>
      </c>
      <c r="B5249" s="195" t="s">
        <v>2573</v>
      </c>
      <c r="C5249" s="196">
        <v>0</v>
      </c>
      <c r="D5249" s="196">
        <v>0.65</v>
      </c>
      <c r="E5249" s="195" t="s">
        <v>593</v>
      </c>
      <c r="F5249" s="195" t="s">
        <v>432</v>
      </c>
    </row>
    <row r="5250" spans="1:6" x14ac:dyDescent="0.25">
      <c r="A5250" s="189" t="str">
        <f t="shared" si="81"/>
        <v>GA-IS 68 RP2-1900.28N</v>
      </c>
      <c r="B5250" s="195" t="s">
        <v>2574</v>
      </c>
      <c r="C5250" s="196">
        <v>0</v>
      </c>
      <c r="D5250" s="196">
        <v>0.28000000000000003</v>
      </c>
      <c r="E5250" s="195" t="s">
        <v>589</v>
      </c>
      <c r="F5250" s="195" t="s">
        <v>430</v>
      </c>
    </row>
    <row r="5251" spans="1:6" x14ac:dyDescent="0.25">
      <c r="A5251" s="189" t="str">
        <f t="shared" ref="A5251:A5314" si="82">B5251&amp;C5251&amp;D5251&amp;F5251</f>
        <v>GA-IS 68 RP2-2200.57N</v>
      </c>
      <c r="B5251" s="195" t="s">
        <v>2575</v>
      </c>
      <c r="C5251" s="196">
        <v>0</v>
      </c>
      <c r="D5251" s="196">
        <v>0.56999999999999995</v>
      </c>
      <c r="E5251" s="195" t="s">
        <v>589</v>
      </c>
      <c r="F5251" s="195" t="s">
        <v>430</v>
      </c>
    </row>
    <row r="5252" spans="1:6" x14ac:dyDescent="0.25">
      <c r="A5252" s="189" t="str">
        <f t="shared" si="82"/>
        <v>GA-IS 68 RP2-2400.32N</v>
      </c>
      <c r="B5252" s="195" t="s">
        <v>2576</v>
      </c>
      <c r="C5252" s="196">
        <v>0</v>
      </c>
      <c r="D5252" s="196">
        <v>0.32</v>
      </c>
      <c r="E5252" s="195" t="s">
        <v>589</v>
      </c>
      <c r="F5252" s="195" t="s">
        <v>430</v>
      </c>
    </row>
    <row r="5253" spans="1:6" x14ac:dyDescent="0.25">
      <c r="A5253" s="189" t="str">
        <f t="shared" si="82"/>
        <v>GA-IS 68 RP2-2900.31N</v>
      </c>
      <c r="B5253" s="195" t="s">
        <v>2577</v>
      </c>
      <c r="C5253" s="196">
        <v>0</v>
      </c>
      <c r="D5253" s="196">
        <v>0.31</v>
      </c>
      <c r="E5253" s="195" t="s">
        <v>589</v>
      </c>
      <c r="F5253" s="195" t="s">
        <v>430</v>
      </c>
    </row>
    <row r="5254" spans="1:6" x14ac:dyDescent="0.25">
      <c r="A5254" s="189" t="str">
        <f t="shared" si="82"/>
        <v>GA-IS 68 RP2-400.21N</v>
      </c>
      <c r="B5254" s="195" t="s">
        <v>2578</v>
      </c>
      <c r="C5254" s="196">
        <v>0</v>
      </c>
      <c r="D5254" s="196">
        <v>0.21</v>
      </c>
      <c r="E5254" s="195" t="s">
        <v>589</v>
      </c>
      <c r="F5254" s="195" t="s">
        <v>430</v>
      </c>
    </row>
    <row r="5255" spans="1:6" x14ac:dyDescent="0.25">
      <c r="A5255" s="189" t="str">
        <f t="shared" si="82"/>
        <v>GA-IS 68 RP3-1400.32E</v>
      </c>
      <c r="B5255" s="195" t="s">
        <v>2579</v>
      </c>
      <c r="C5255" s="196">
        <v>0</v>
      </c>
      <c r="D5255" s="196">
        <v>0.32</v>
      </c>
      <c r="E5255" s="195" t="s">
        <v>598</v>
      </c>
      <c r="F5255" s="195" t="s">
        <v>19</v>
      </c>
    </row>
    <row r="5256" spans="1:6" x14ac:dyDescent="0.25">
      <c r="A5256" s="189" t="str">
        <f t="shared" si="82"/>
        <v>GA-IS 68 RP3-1900.04E</v>
      </c>
      <c r="B5256" s="195" t="s">
        <v>2580</v>
      </c>
      <c r="C5256" s="196">
        <v>0</v>
      </c>
      <c r="D5256" s="196">
        <v>0.04</v>
      </c>
      <c r="E5256" s="195" t="s">
        <v>598</v>
      </c>
      <c r="F5256" s="195" t="s">
        <v>19</v>
      </c>
    </row>
    <row r="5257" spans="1:6" x14ac:dyDescent="0.25">
      <c r="A5257" s="189" t="str">
        <f t="shared" si="82"/>
        <v>GA-IS 68 RP3-2400.05E</v>
      </c>
      <c r="B5257" s="195" t="s">
        <v>2581</v>
      </c>
      <c r="C5257" s="196">
        <v>0</v>
      </c>
      <c r="D5257" s="196">
        <v>0.05</v>
      </c>
      <c r="E5257" s="195" t="s">
        <v>598</v>
      </c>
      <c r="F5257" s="195" t="s">
        <v>19</v>
      </c>
    </row>
    <row r="5258" spans="1:6" x14ac:dyDescent="0.25">
      <c r="A5258" s="189" t="str">
        <f t="shared" si="82"/>
        <v>GA-IS 68 RP3-400.03N</v>
      </c>
      <c r="B5258" s="195" t="s">
        <v>2582</v>
      </c>
      <c r="C5258" s="196">
        <v>0</v>
      </c>
      <c r="D5258" s="196">
        <v>0.03</v>
      </c>
      <c r="E5258" s="195" t="s">
        <v>589</v>
      </c>
      <c r="F5258" s="195" t="s">
        <v>430</v>
      </c>
    </row>
    <row r="5259" spans="1:6" x14ac:dyDescent="0.25">
      <c r="A5259" s="189" t="str">
        <f t="shared" si="82"/>
        <v>GA-IS 68 RP4-1400.52N</v>
      </c>
      <c r="B5259" s="195" t="s">
        <v>2583</v>
      </c>
      <c r="C5259" s="196">
        <v>0</v>
      </c>
      <c r="D5259" s="196">
        <v>0.52</v>
      </c>
      <c r="E5259" s="195" t="s">
        <v>589</v>
      </c>
      <c r="F5259" s="195" t="s">
        <v>430</v>
      </c>
    </row>
    <row r="5260" spans="1:6" x14ac:dyDescent="0.25">
      <c r="A5260" s="189" t="str">
        <f t="shared" si="82"/>
        <v>GA-IS 68 RP4-1900.32N</v>
      </c>
      <c r="B5260" s="195" t="s">
        <v>2584</v>
      </c>
      <c r="C5260" s="196">
        <v>0</v>
      </c>
      <c r="D5260" s="196">
        <v>0.32</v>
      </c>
      <c r="E5260" s="195" t="s">
        <v>589</v>
      </c>
      <c r="F5260" s="195" t="s">
        <v>430</v>
      </c>
    </row>
    <row r="5261" spans="1:6" x14ac:dyDescent="0.25">
      <c r="A5261" s="189" t="str">
        <f t="shared" si="82"/>
        <v>GA-IS 68 RP4-2200.41E</v>
      </c>
      <c r="B5261" s="195" t="s">
        <v>2585</v>
      </c>
      <c r="C5261" s="196">
        <v>0</v>
      </c>
      <c r="D5261" s="196">
        <v>0.41</v>
      </c>
      <c r="E5261" s="195" t="s">
        <v>598</v>
      </c>
      <c r="F5261" s="195" t="s">
        <v>19</v>
      </c>
    </row>
    <row r="5262" spans="1:6" x14ac:dyDescent="0.25">
      <c r="A5262" s="189" t="str">
        <f t="shared" si="82"/>
        <v>GA-IS 68 RP4-2400.43N</v>
      </c>
      <c r="B5262" s="195" t="s">
        <v>2586</v>
      </c>
      <c r="C5262" s="196">
        <v>0</v>
      </c>
      <c r="D5262" s="196">
        <v>0.43</v>
      </c>
      <c r="E5262" s="195" t="s">
        <v>589</v>
      </c>
      <c r="F5262" s="195" t="s">
        <v>430</v>
      </c>
    </row>
    <row r="5263" spans="1:6" x14ac:dyDescent="0.25">
      <c r="A5263" s="189" t="str">
        <f t="shared" si="82"/>
        <v>GA-IS 68 RP4-2900.36S</v>
      </c>
      <c r="B5263" s="195" t="s">
        <v>2587</v>
      </c>
      <c r="C5263" s="196">
        <v>0</v>
      </c>
      <c r="D5263" s="196">
        <v>0.36</v>
      </c>
      <c r="E5263" s="195" t="s">
        <v>595</v>
      </c>
      <c r="F5263" s="195" t="s">
        <v>438</v>
      </c>
    </row>
    <row r="5264" spans="1:6" x14ac:dyDescent="0.25">
      <c r="A5264" s="189" t="str">
        <f t="shared" si="82"/>
        <v>GA-IS 68 RP4-400.13E</v>
      </c>
      <c r="B5264" s="195" t="s">
        <v>2588</v>
      </c>
      <c r="C5264" s="196">
        <v>0</v>
      </c>
      <c r="D5264" s="196">
        <v>0.13</v>
      </c>
      <c r="E5264" s="195" t="s">
        <v>598</v>
      </c>
      <c r="F5264" s="195" t="s">
        <v>19</v>
      </c>
    </row>
    <row r="5265" spans="1:6" x14ac:dyDescent="0.25">
      <c r="A5265" s="189" t="str">
        <f t="shared" si="82"/>
        <v>GA-IS 68 RP5-1400.32W</v>
      </c>
      <c r="B5265" s="195" t="s">
        <v>2589</v>
      </c>
      <c r="C5265" s="196">
        <v>0</v>
      </c>
      <c r="D5265" s="196">
        <v>0.32</v>
      </c>
      <c r="E5265" s="195" t="s">
        <v>593</v>
      </c>
      <c r="F5265" s="195" t="s">
        <v>432</v>
      </c>
    </row>
    <row r="5266" spans="1:6" x14ac:dyDescent="0.25">
      <c r="A5266" s="189" t="str">
        <f t="shared" si="82"/>
        <v>GA-IS 68 RP5-1900.03E</v>
      </c>
      <c r="B5266" s="195" t="s">
        <v>2590</v>
      </c>
      <c r="C5266" s="196">
        <v>0</v>
      </c>
      <c r="D5266" s="196">
        <v>0.03</v>
      </c>
      <c r="E5266" s="195" t="s">
        <v>598</v>
      </c>
      <c r="F5266" s="195" t="s">
        <v>19</v>
      </c>
    </row>
    <row r="5267" spans="1:6" x14ac:dyDescent="0.25">
      <c r="A5267" s="189" t="str">
        <f t="shared" si="82"/>
        <v>GA-IS 68 RP5-2200.02E</v>
      </c>
      <c r="B5267" s="195" t="s">
        <v>2591</v>
      </c>
      <c r="C5267" s="196">
        <v>0</v>
      </c>
      <c r="D5267" s="196">
        <v>0.02</v>
      </c>
      <c r="E5267" s="195" t="s">
        <v>598</v>
      </c>
      <c r="F5267" s="195" t="s">
        <v>19</v>
      </c>
    </row>
    <row r="5268" spans="1:6" x14ac:dyDescent="0.25">
      <c r="A5268" s="189" t="str">
        <f t="shared" si="82"/>
        <v>GA-IS 68 RP5-2400.1E</v>
      </c>
      <c r="B5268" s="195" t="s">
        <v>2592</v>
      </c>
      <c r="C5268" s="196">
        <v>0</v>
      </c>
      <c r="D5268" s="196">
        <v>0.1</v>
      </c>
      <c r="E5268" s="195" t="s">
        <v>598</v>
      </c>
      <c r="F5268" s="195" t="s">
        <v>19</v>
      </c>
    </row>
    <row r="5269" spans="1:6" x14ac:dyDescent="0.25">
      <c r="A5269" s="189" t="str">
        <f t="shared" si="82"/>
        <v>GA-IS 68 RP6-1400.67S</v>
      </c>
      <c r="B5269" s="195" t="s">
        <v>2593</v>
      </c>
      <c r="C5269" s="196">
        <v>0</v>
      </c>
      <c r="D5269" s="196">
        <v>0.67</v>
      </c>
      <c r="E5269" s="195" t="s">
        <v>595</v>
      </c>
      <c r="F5269" s="195" t="s">
        <v>438</v>
      </c>
    </row>
    <row r="5270" spans="1:6" x14ac:dyDescent="0.25">
      <c r="A5270" s="189" t="str">
        <f t="shared" si="82"/>
        <v>GA-IS 68 RP6-1900.34S</v>
      </c>
      <c r="B5270" s="195" t="s">
        <v>2594</v>
      </c>
      <c r="C5270" s="196">
        <v>0</v>
      </c>
      <c r="D5270" s="196">
        <v>0.34</v>
      </c>
      <c r="E5270" s="195" t="s">
        <v>595</v>
      </c>
      <c r="F5270" s="195" t="s">
        <v>438</v>
      </c>
    </row>
    <row r="5271" spans="1:6" x14ac:dyDescent="0.25">
      <c r="A5271" s="189" t="str">
        <f t="shared" si="82"/>
        <v>GA-IS 68 RP6-2200.24E</v>
      </c>
      <c r="B5271" s="195" t="s">
        <v>2595</v>
      </c>
      <c r="C5271" s="196">
        <v>0</v>
      </c>
      <c r="D5271" s="196">
        <v>0.24</v>
      </c>
      <c r="E5271" s="195" t="s">
        <v>598</v>
      </c>
      <c r="F5271" s="195" t="s">
        <v>19</v>
      </c>
    </row>
    <row r="5272" spans="1:6" x14ac:dyDescent="0.25">
      <c r="A5272" s="189" t="str">
        <f t="shared" si="82"/>
        <v>GA-IS 68 RP6-2400.29S</v>
      </c>
      <c r="B5272" s="195" t="s">
        <v>2596</v>
      </c>
      <c r="C5272" s="196">
        <v>0</v>
      </c>
      <c r="D5272" s="196">
        <v>0.28999999999999998</v>
      </c>
      <c r="E5272" s="195" t="s">
        <v>595</v>
      </c>
      <c r="F5272" s="195" t="s">
        <v>438</v>
      </c>
    </row>
    <row r="5273" spans="1:6" x14ac:dyDescent="0.25">
      <c r="A5273" s="189" t="str">
        <f t="shared" si="82"/>
        <v>GA-IS 68 RP6-2900.37S</v>
      </c>
      <c r="B5273" s="195" t="s">
        <v>2597</v>
      </c>
      <c r="C5273" s="196">
        <v>0</v>
      </c>
      <c r="D5273" s="196">
        <v>0.37</v>
      </c>
      <c r="E5273" s="195" t="s">
        <v>595</v>
      </c>
      <c r="F5273" s="195" t="s">
        <v>438</v>
      </c>
    </row>
    <row r="5274" spans="1:6" x14ac:dyDescent="0.25">
      <c r="A5274" s="189" t="str">
        <f t="shared" si="82"/>
        <v>GA-IS 68 RP6-400.4E</v>
      </c>
      <c r="B5274" s="195" t="s">
        <v>2598</v>
      </c>
      <c r="C5274" s="196">
        <v>0</v>
      </c>
      <c r="D5274" s="196">
        <v>0.4</v>
      </c>
      <c r="E5274" s="195" t="s">
        <v>598</v>
      </c>
      <c r="F5274" s="195" t="s">
        <v>19</v>
      </c>
    </row>
    <row r="5275" spans="1:6" x14ac:dyDescent="0.25">
      <c r="A5275" s="189" t="str">
        <f t="shared" si="82"/>
        <v>GA-IS 68 RP7-1400.34N</v>
      </c>
      <c r="B5275" s="195" t="s">
        <v>2599</v>
      </c>
      <c r="C5275" s="196">
        <v>0</v>
      </c>
      <c r="D5275" s="196">
        <v>0.34</v>
      </c>
      <c r="E5275" s="195" t="s">
        <v>589</v>
      </c>
      <c r="F5275" s="195" t="s">
        <v>430</v>
      </c>
    </row>
    <row r="5276" spans="1:6" x14ac:dyDescent="0.25">
      <c r="A5276" s="189" t="str">
        <f t="shared" si="82"/>
        <v>GA-IS 68 RP7-1900.03W</v>
      </c>
      <c r="B5276" s="195" t="s">
        <v>2600</v>
      </c>
      <c r="C5276" s="196">
        <v>0</v>
      </c>
      <c r="D5276" s="196">
        <v>0.03</v>
      </c>
      <c r="E5276" s="195" t="s">
        <v>593</v>
      </c>
      <c r="F5276" s="195" t="s">
        <v>432</v>
      </c>
    </row>
    <row r="5277" spans="1:6" x14ac:dyDescent="0.25">
      <c r="A5277" s="189" t="str">
        <f t="shared" si="82"/>
        <v>GA-IS 68 RP7-2900.01N</v>
      </c>
      <c r="B5277" s="195" t="s">
        <v>2601</v>
      </c>
      <c r="C5277" s="196">
        <v>0</v>
      </c>
      <c r="D5277" s="196">
        <v>0.01</v>
      </c>
      <c r="E5277" s="195" t="s">
        <v>589</v>
      </c>
      <c r="F5277" s="195" t="s">
        <v>430</v>
      </c>
    </row>
    <row r="5278" spans="1:6" x14ac:dyDescent="0.25">
      <c r="A5278" s="189" t="str">
        <f t="shared" si="82"/>
        <v>GA-IS 68 RP8-1400.37S</v>
      </c>
      <c r="B5278" s="195" t="s">
        <v>2602</v>
      </c>
      <c r="C5278" s="196">
        <v>0</v>
      </c>
      <c r="D5278" s="196">
        <v>0.37</v>
      </c>
      <c r="E5278" s="195" t="s">
        <v>595</v>
      </c>
      <c r="F5278" s="195" t="s">
        <v>438</v>
      </c>
    </row>
    <row r="5279" spans="1:6" x14ac:dyDescent="0.25">
      <c r="A5279" s="189" t="str">
        <f t="shared" si="82"/>
        <v>GA-IS 68 RP8-1900.35S</v>
      </c>
      <c r="B5279" s="195" t="s">
        <v>2603</v>
      </c>
      <c r="C5279" s="196">
        <v>0</v>
      </c>
      <c r="D5279" s="196">
        <v>0.35</v>
      </c>
      <c r="E5279" s="195" t="s">
        <v>595</v>
      </c>
      <c r="F5279" s="195" t="s">
        <v>438</v>
      </c>
    </row>
    <row r="5280" spans="1:6" x14ac:dyDescent="0.25">
      <c r="A5280" s="189" t="str">
        <f t="shared" si="82"/>
        <v>GA-IS 68 RP8-2200.41S</v>
      </c>
      <c r="B5280" s="195" t="s">
        <v>2604</v>
      </c>
      <c r="C5280" s="196">
        <v>0</v>
      </c>
      <c r="D5280" s="196">
        <v>0.41</v>
      </c>
      <c r="E5280" s="195" t="s">
        <v>595</v>
      </c>
      <c r="F5280" s="195" t="s">
        <v>438</v>
      </c>
    </row>
    <row r="5281" spans="1:6" x14ac:dyDescent="0.25">
      <c r="A5281" s="189" t="str">
        <f t="shared" si="82"/>
        <v>GA-IS 68 RP8-2400.26W</v>
      </c>
      <c r="B5281" s="195" t="s">
        <v>2605</v>
      </c>
      <c r="C5281" s="196">
        <v>0</v>
      </c>
      <c r="D5281" s="196">
        <v>0.26</v>
      </c>
      <c r="E5281" s="195" t="s">
        <v>593</v>
      </c>
      <c r="F5281" s="195" t="s">
        <v>432</v>
      </c>
    </row>
    <row r="5282" spans="1:6" x14ac:dyDescent="0.25">
      <c r="A5282" s="189" t="str">
        <f t="shared" si="82"/>
        <v>GA-IS 68 RP8-2900.05W</v>
      </c>
      <c r="B5282" s="195" t="s">
        <v>2606</v>
      </c>
      <c r="C5282" s="196">
        <v>0</v>
      </c>
      <c r="D5282" s="196">
        <v>0.05</v>
      </c>
      <c r="E5282" s="195" t="s">
        <v>593</v>
      </c>
      <c r="F5282" s="195" t="s">
        <v>432</v>
      </c>
    </row>
    <row r="5283" spans="1:6" x14ac:dyDescent="0.25">
      <c r="A5283" s="189" t="str">
        <f t="shared" si="82"/>
        <v>GA-IS 68 RP8-400.47W</v>
      </c>
      <c r="B5283" s="195" t="s">
        <v>2607</v>
      </c>
      <c r="C5283" s="196">
        <v>0</v>
      </c>
      <c r="D5283" s="196">
        <v>0.47</v>
      </c>
      <c r="E5283" s="195" t="s">
        <v>593</v>
      </c>
      <c r="F5283" s="195" t="s">
        <v>432</v>
      </c>
    </row>
    <row r="5284" spans="1:6" x14ac:dyDescent="0.25">
      <c r="A5284" s="189" t="str">
        <f t="shared" si="82"/>
        <v>GA-MD 13501.7E</v>
      </c>
      <c r="B5284" s="195" t="s">
        <v>546</v>
      </c>
      <c r="C5284" s="196">
        <v>0</v>
      </c>
      <c r="D5284" s="196">
        <v>1.7</v>
      </c>
      <c r="E5284" s="195" t="s">
        <v>583</v>
      </c>
      <c r="F5284" s="195" t="s">
        <v>19</v>
      </c>
    </row>
    <row r="5285" spans="1:6" x14ac:dyDescent="0.25">
      <c r="A5285" s="189" t="str">
        <f t="shared" si="82"/>
        <v>GA-MD 13501.7W</v>
      </c>
      <c r="B5285" s="195" t="s">
        <v>546</v>
      </c>
      <c r="C5285" s="196">
        <v>0</v>
      </c>
      <c r="D5285" s="196">
        <v>1.7</v>
      </c>
      <c r="E5285" s="195" t="s">
        <v>583</v>
      </c>
      <c r="F5285" s="195" t="s">
        <v>432</v>
      </c>
    </row>
    <row r="5286" spans="1:6" x14ac:dyDescent="0.25">
      <c r="A5286" s="189" t="str">
        <f t="shared" si="82"/>
        <v>GA-MD 1351.74.2E</v>
      </c>
      <c r="B5286" s="195" t="s">
        <v>546</v>
      </c>
      <c r="C5286" s="196">
        <v>1.7</v>
      </c>
      <c r="D5286" s="196">
        <v>4.2</v>
      </c>
      <c r="E5286" s="195" t="s">
        <v>583</v>
      </c>
      <c r="F5286" s="195" t="s">
        <v>19</v>
      </c>
    </row>
    <row r="5287" spans="1:6" x14ac:dyDescent="0.25">
      <c r="A5287" s="189" t="str">
        <f t="shared" si="82"/>
        <v>GA-MD 1351.74.2W</v>
      </c>
      <c r="B5287" s="195" t="s">
        <v>546</v>
      </c>
      <c r="C5287" s="196">
        <v>1.7</v>
      </c>
      <c r="D5287" s="196">
        <v>4.2</v>
      </c>
      <c r="E5287" s="195" t="s">
        <v>583</v>
      </c>
      <c r="F5287" s="195" t="s">
        <v>432</v>
      </c>
    </row>
    <row r="5288" spans="1:6" x14ac:dyDescent="0.25">
      <c r="A5288" s="189" t="str">
        <f t="shared" si="82"/>
        <v>GA-MD 1354.24.4E</v>
      </c>
      <c r="B5288" s="195" t="s">
        <v>546</v>
      </c>
      <c r="C5288" s="196">
        <v>4.2</v>
      </c>
      <c r="D5288" s="196">
        <v>4.4000000000000004</v>
      </c>
      <c r="E5288" s="195" t="s">
        <v>583</v>
      </c>
      <c r="F5288" s="195" t="s">
        <v>19</v>
      </c>
    </row>
    <row r="5289" spans="1:6" x14ac:dyDescent="0.25">
      <c r="A5289" s="189" t="str">
        <f t="shared" si="82"/>
        <v>GA-MD 1354.24.4W</v>
      </c>
      <c r="B5289" s="195" t="s">
        <v>546</v>
      </c>
      <c r="C5289" s="196">
        <v>4.2</v>
      </c>
      <c r="D5289" s="196">
        <v>4.4000000000000004</v>
      </c>
      <c r="E5289" s="195" t="s">
        <v>583</v>
      </c>
      <c r="F5289" s="195" t="s">
        <v>432</v>
      </c>
    </row>
    <row r="5290" spans="1:6" x14ac:dyDescent="0.25">
      <c r="A5290" s="189" t="str">
        <f t="shared" si="82"/>
        <v>GA-MD 1354.44.65E</v>
      </c>
      <c r="B5290" s="195" t="s">
        <v>546</v>
      </c>
      <c r="C5290" s="196">
        <v>4.4000000000000004</v>
      </c>
      <c r="D5290" s="196">
        <v>4.6500000000000004</v>
      </c>
      <c r="E5290" s="195" t="s">
        <v>583</v>
      </c>
      <c r="F5290" s="195" t="s">
        <v>19</v>
      </c>
    </row>
    <row r="5291" spans="1:6" x14ac:dyDescent="0.25">
      <c r="A5291" s="189" t="str">
        <f t="shared" si="82"/>
        <v>GA-MD 1354.44.65W</v>
      </c>
      <c r="B5291" s="195" t="s">
        <v>546</v>
      </c>
      <c r="C5291" s="196">
        <v>4.4000000000000004</v>
      </c>
      <c r="D5291" s="196">
        <v>4.6500000000000004</v>
      </c>
      <c r="E5291" s="195" t="s">
        <v>583</v>
      </c>
      <c r="F5291" s="195" t="s">
        <v>432</v>
      </c>
    </row>
    <row r="5292" spans="1:6" x14ac:dyDescent="0.25">
      <c r="A5292" s="189" t="str">
        <f t="shared" si="82"/>
        <v>GA-MD 1354.654.77E</v>
      </c>
      <c r="B5292" s="195" t="s">
        <v>546</v>
      </c>
      <c r="C5292" s="196">
        <v>4.6500000000000004</v>
      </c>
      <c r="D5292" s="196">
        <v>4.7699999999999996</v>
      </c>
      <c r="E5292" s="195" t="s">
        <v>583</v>
      </c>
      <c r="F5292" s="195" t="s">
        <v>19</v>
      </c>
    </row>
    <row r="5293" spans="1:6" x14ac:dyDescent="0.25">
      <c r="A5293" s="189" t="str">
        <f t="shared" si="82"/>
        <v>GA-MD 1354.654.77W</v>
      </c>
      <c r="B5293" s="195" t="s">
        <v>546</v>
      </c>
      <c r="C5293" s="196">
        <v>4.6500000000000004</v>
      </c>
      <c r="D5293" s="196">
        <v>4.7699999999999996</v>
      </c>
      <c r="E5293" s="195" t="s">
        <v>583</v>
      </c>
      <c r="F5293" s="195" t="s">
        <v>432</v>
      </c>
    </row>
    <row r="5294" spans="1:6" x14ac:dyDescent="0.25">
      <c r="A5294" s="189" t="str">
        <f t="shared" si="82"/>
        <v>GA-MD 1354.777.38E</v>
      </c>
      <c r="B5294" s="195" t="s">
        <v>546</v>
      </c>
      <c r="C5294" s="196">
        <v>4.7699999999999996</v>
      </c>
      <c r="D5294" s="196">
        <v>7.38</v>
      </c>
      <c r="E5294" s="195" t="s">
        <v>583</v>
      </c>
      <c r="F5294" s="195" t="s">
        <v>19</v>
      </c>
    </row>
    <row r="5295" spans="1:6" x14ac:dyDescent="0.25">
      <c r="A5295" s="189" t="str">
        <f t="shared" si="82"/>
        <v>GA-MD 1354.777.38W</v>
      </c>
      <c r="B5295" s="195" t="s">
        <v>546</v>
      </c>
      <c r="C5295" s="196">
        <v>4.7699999999999996</v>
      </c>
      <c r="D5295" s="196">
        <v>7.38</v>
      </c>
      <c r="E5295" s="195" t="s">
        <v>583</v>
      </c>
      <c r="F5295" s="195" t="s">
        <v>432</v>
      </c>
    </row>
    <row r="5296" spans="1:6" x14ac:dyDescent="0.25">
      <c r="A5296" s="189" t="str">
        <f t="shared" si="82"/>
        <v>GA-MD 1357.3810.67E</v>
      </c>
      <c r="B5296" s="195" t="s">
        <v>546</v>
      </c>
      <c r="C5296" s="196">
        <v>7.38</v>
      </c>
      <c r="D5296" s="196">
        <v>10.67</v>
      </c>
      <c r="E5296" s="195" t="s">
        <v>598</v>
      </c>
      <c r="F5296" s="195" t="s">
        <v>19</v>
      </c>
    </row>
    <row r="5297" spans="1:6" x14ac:dyDescent="0.25">
      <c r="A5297" s="189" t="str">
        <f t="shared" si="82"/>
        <v>GA-MD 1357.3810.7W</v>
      </c>
      <c r="B5297" s="195" t="s">
        <v>546</v>
      </c>
      <c r="C5297" s="196">
        <v>7.38</v>
      </c>
      <c r="D5297" s="196">
        <v>10.7</v>
      </c>
      <c r="E5297" s="195" t="s">
        <v>593</v>
      </c>
      <c r="F5297" s="195" t="s">
        <v>432</v>
      </c>
    </row>
    <row r="5298" spans="1:6" x14ac:dyDescent="0.25">
      <c r="A5298" s="189" t="str">
        <f t="shared" si="82"/>
        <v>GA-MD 13510.6710.86E</v>
      </c>
      <c r="B5298" s="195" t="s">
        <v>546</v>
      </c>
      <c r="C5298" s="196">
        <v>10.67</v>
      </c>
      <c r="D5298" s="196">
        <v>10.86</v>
      </c>
      <c r="E5298" s="195" t="s">
        <v>598</v>
      </c>
      <c r="F5298" s="195" t="s">
        <v>19</v>
      </c>
    </row>
    <row r="5299" spans="1:6" x14ac:dyDescent="0.25">
      <c r="A5299" s="189" t="str">
        <f t="shared" si="82"/>
        <v>GA-MD 13510.712.45W</v>
      </c>
      <c r="B5299" s="195" t="s">
        <v>546</v>
      </c>
      <c r="C5299" s="196">
        <v>10.7</v>
      </c>
      <c r="D5299" s="196">
        <v>12.45</v>
      </c>
      <c r="E5299" s="195" t="s">
        <v>593</v>
      </c>
      <c r="F5299" s="195" t="s">
        <v>432</v>
      </c>
    </row>
    <row r="5300" spans="1:6" x14ac:dyDescent="0.25">
      <c r="A5300" s="189" t="str">
        <f t="shared" si="82"/>
        <v>GA-MD 13510.8612.45E</v>
      </c>
      <c r="B5300" s="195" t="s">
        <v>546</v>
      </c>
      <c r="C5300" s="196">
        <v>10.86</v>
      </c>
      <c r="D5300" s="196">
        <v>12.45</v>
      </c>
      <c r="E5300" s="195" t="s">
        <v>598</v>
      </c>
      <c r="F5300" s="195" t="s">
        <v>19</v>
      </c>
    </row>
    <row r="5301" spans="1:6" x14ac:dyDescent="0.25">
      <c r="A5301" s="189" t="str">
        <f t="shared" si="82"/>
        <v>GA-MD 13512.4516.43E</v>
      </c>
      <c r="B5301" s="195" t="s">
        <v>546</v>
      </c>
      <c r="C5301" s="196">
        <v>12.45</v>
      </c>
      <c r="D5301" s="196">
        <v>16.43</v>
      </c>
      <c r="E5301" s="195" t="s">
        <v>583</v>
      </c>
      <c r="F5301" s="195" t="s">
        <v>19</v>
      </c>
    </row>
    <row r="5302" spans="1:6" x14ac:dyDescent="0.25">
      <c r="A5302" s="189" t="str">
        <f t="shared" si="82"/>
        <v>GA-MD 13512.4516.43W</v>
      </c>
      <c r="B5302" s="195" t="s">
        <v>546</v>
      </c>
      <c r="C5302" s="196">
        <v>12.45</v>
      </c>
      <c r="D5302" s="196">
        <v>16.43</v>
      </c>
      <c r="E5302" s="195" t="s">
        <v>583</v>
      </c>
      <c r="F5302" s="195" t="s">
        <v>432</v>
      </c>
    </row>
    <row r="5303" spans="1:6" x14ac:dyDescent="0.25">
      <c r="A5303" s="189" t="str">
        <f t="shared" si="82"/>
        <v>GA-MD 13516.4321.02E</v>
      </c>
      <c r="B5303" s="195" t="s">
        <v>546</v>
      </c>
      <c r="C5303" s="196">
        <v>16.43</v>
      </c>
      <c r="D5303" s="196">
        <v>21.02</v>
      </c>
      <c r="E5303" s="195" t="s">
        <v>583</v>
      </c>
      <c r="F5303" s="195" t="s">
        <v>19</v>
      </c>
    </row>
    <row r="5304" spans="1:6" x14ac:dyDescent="0.25">
      <c r="A5304" s="189" t="str">
        <f t="shared" si="82"/>
        <v>GA-MD 13516.4321.02W</v>
      </c>
      <c r="B5304" s="195" t="s">
        <v>546</v>
      </c>
      <c r="C5304" s="196">
        <v>16.43</v>
      </c>
      <c r="D5304" s="196">
        <v>21.02</v>
      </c>
      <c r="E5304" s="195" t="s">
        <v>583</v>
      </c>
      <c r="F5304" s="195" t="s">
        <v>432</v>
      </c>
    </row>
    <row r="5305" spans="1:6" x14ac:dyDescent="0.25">
      <c r="A5305" s="189" t="str">
        <f t="shared" si="82"/>
        <v>GA-MD 13521.0221.87E</v>
      </c>
      <c r="B5305" s="195" t="s">
        <v>546</v>
      </c>
      <c r="C5305" s="196">
        <v>21.02</v>
      </c>
      <c r="D5305" s="196">
        <v>21.87</v>
      </c>
      <c r="E5305" s="195" t="s">
        <v>583</v>
      </c>
      <c r="F5305" s="195" t="s">
        <v>19</v>
      </c>
    </row>
    <row r="5306" spans="1:6" x14ac:dyDescent="0.25">
      <c r="A5306" s="189" t="str">
        <f t="shared" si="82"/>
        <v>GA-MD 13521.0221.87W</v>
      </c>
      <c r="B5306" s="195" t="s">
        <v>546</v>
      </c>
      <c r="C5306" s="196">
        <v>21.02</v>
      </c>
      <c r="D5306" s="196">
        <v>21.87</v>
      </c>
      <c r="E5306" s="195" t="s">
        <v>583</v>
      </c>
      <c r="F5306" s="195" t="s">
        <v>432</v>
      </c>
    </row>
    <row r="5307" spans="1:6" x14ac:dyDescent="0.25">
      <c r="A5307" s="189" t="str">
        <f t="shared" si="82"/>
        <v>GA-MD 135C00.03N</v>
      </c>
      <c r="B5307" s="195" t="s">
        <v>2608</v>
      </c>
      <c r="C5307" s="196">
        <v>0</v>
      </c>
      <c r="D5307" s="196">
        <v>0.03</v>
      </c>
      <c r="E5307" s="195" t="s">
        <v>589</v>
      </c>
      <c r="F5307" s="195" t="s">
        <v>430</v>
      </c>
    </row>
    <row r="5308" spans="1:6" x14ac:dyDescent="0.25">
      <c r="A5308" s="189" t="str">
        <f t="shared" si="82"/>
        <v>GA-MD 135C00.03S</v>
      </c>
      <c r="B5308" s="195" t="s">
        <v>2608</v>
      </c>
      <c r="C5308" s="196">
        <v>0</v>
      </c>
      <c r="D5308" s="196">
        <v>0.03</v>
      </c>
      <c r="E5308" s="195" t="s">
        <v>595</v>
      </c>
      <c r="F5308" s="195" t="s">
        <v>438</v>
      </c>
    </row>
    <row r="5309" spans="1:6" x14ac:dyDescent="0.25">
      <c r="A5309" s="189" t="str">
        <f t="shared" si="82"/>
        <v>GA-MD 21900.16N</v>
      </c>
      <c r="B5309" s="195" t="s">
        <v>2609</v>
      </c>
      <c r="C5309" s="196">
        <v>0</v>
      </c>
      <c r="D5309" s="196">
        <v>0.16</v>
      </c>
      <c r="E5309" s="195" t="s">
        <v>583</v>
      </c>
      <c r="F5309" s="195" t="s">
        <v>430</v>
      </c>
    </row>
    <row r="5310" spans="1:6" x14ac:dyDescent="0.25">
      <c r="A5310" s="189" t="str">
        <f t="shared" si="82"/>
        <v>GA-MD 21900.16S</v>
      </c>
      <c r="B5310" s="195" t="s">
        <v>2609</v>
      </c>
      <c r="C5310" s="196">
        <v>0</v>
      </c>
      <c r="D5310" s="196">
        <v>0.16</v>
      </c>
      <c r="E5310" s="195" t="s">
        <v>583</v>
      </c>
      <c r="F5310" s="195" t="s">
        <v>438</v>
      </c>
    </row>
    <row r="5311" spans="1:6" x14ac:dyDescent="0.25">
      <c r="A5311" s="189" t="str">
        <f t="shared" si="82"/>
        <v>GA-MD 2190.160.22N</v>
      </c>
      <c r="B5311" s="195" t="s">
        <v>2609</v>
      </c>
      <c r="C5311" s="196">
        <v>0.16</v>
      </c>
      <c r="D5311" s="196">
        <v>0.22</v>
      </c>
      <c r="E5311" s="195" t="s">
        <v>583</v>
      </c>
      <c r="F5311" s="195" t="s">
        <v>430</v>
      </c>
    </row>
    <row r="5312" spans="1:6" x14ac:dyDescent="0.25">
      <c r="A5312" s="189" t="str">
        <f t="shared" si="82"/>
        <v>GA-MD 2190.160.22S</v>
      </c>
      <c r="B5312" s="195" t="s">
        <v>2609</v>
      </c>
      <c r="C5312" s="196">
        <v>0.16</v>
      </c>
      <c r="D5312" s="196">
        <v>0.22</v>
      </c>
      <c r="E5312" s="195" t="s">
        <v>583</v>
      </c>
      <c r="F5312" s="195" t="s">
        <v>438</v>
      </c>
    </row>
    <row r="5313" spans="1:6" x14ac:dyDescent="0.25">
      <c r="A5313" s="189" t="str">
        <f t="shared" si="82"/>
        <v>GA-MD 3803.07N</v>
      </c>
      <c r="B5313" s="195" t="s">
        <v>2610</v>
      </c>
      <c r="C5313" s="196">
        <v>0</v>
      </c>
      <c r="D5313" s="196">
        <v>3.07</v>
      </c>
      <c r="E5313" s="195" t="s">
        <v>583</v>
      </c>
      <c r="F5313" s="195" t="s">
        <v>430</v>
      </c>
    </row>
    <row r="5314" spans="1:6" x14ac:dyDescent="0.25">
      <c r="A5314" s="189" t="str">
        <f t="shared" si="82"/>
        <v>GA-MD 3803.07S</v>
      </c>
      <c r="B5314" s="195" t="s">
        <v>2610</v>
      </c>
      <c r="C5314" s="196">
        <v>0</v>
      </c>
      <c r="D5314" s="196">
        <v>3.07</v>
      </c>
      <c r="E5314" s="195" t="s">
        <v>583</v>
      </c>
      <c r="F5314" s="195" t="s">
        <v>438</v>
      </c>
    </row>
    <row r="5315" spans="1:6" x14ac:dyDescent="0.25">
      <c r="A5315" s="189" t="str">
        <f t="shared" ref="A5315:A5378" si="83">B5315&amp;C5315&amp;D5315&amp;F5315</f>
        <v>GA-MD 383.075.4N</v>
      </c>
      <c r="B5315" s="195" t="s">
        <v>2610</v>
      </c>
      <c r="C5315" s="196">
        <v>3.07</v>
      </c>
      <c r="D5315" s="196">
        <v>5.4</v>
      </c>
      <c r="E5315" s="195" t="s">
        <v>583</v>
      </c>
      <c r="F5315" s="195" t="s">
        <v>430</v>
      </c>
    </row>
    <row r="5316" spans="1:6" x14ac:dyDescent="0.25">
      <c r="A5316" s="189" t="str">
        <f t="shared" si="83"/>
        <v>GA-MD 383.075.4S</v>
      </c>
      <c r="B5316" s="195" t="s">
        <v>2610</v>
      </c>
      <c r="C5316" s="196">
        <v>3.07</v>
      </c>
      <c r="D5316" s="196">
        <v>5.4</v>
      </c>
      <c r="E5316" s="195" t="s">
        <v>583</v>
      </c>
      <c r="F5316" s="195" t="s">
        <v>438</v>
      </c>
    </row>
    <row r="5317" spans="1:6" x14ac:dyDescent="0.25">
      <c r="A5317" s="189" t="str">
        <f t="shared" si="83"/>
        <v>GA-MD 385.45.67N</v>
      </c>
      <c r="B5317" s="195" t="s">
        <v>2610</v>
      </c>
      <c r="C5317" s="196">
        <v>5.4</v>
      </c>
      <c r="D5317" s="196">
        <v>5.67</v>
      </c>
      <c r="E5317" s="195" t="s">
        <v>583</v>
      </c>
      <c r="F5317" s="195" t="s">
        <v>430</v>
      </c>
    </row>
    <row r="5318" spans="1:6" x14ac:dyDescent="0.25">
      <c r="A5318" s="189" t="str">
        <f t="shared" si="83"/>
        <v>GA-MD 385.45.67S</v>
      </c>
      <c r="B5318" s="195" t="s">
        <v>2610</v>
      </c>
      <c r="C5318" s="196">
        <v>5.4</v>
      </c>
      <c r="D5318" s="196">
        <v>5.67</v>
      </c>
      <c r="E5318" s="195" t="s">
        <v>583</v>
      </c>
      <c r="F5318" s="195" t="s">
        <v>438</v>
      </c>
    </row>
    <row r="5319" spans="1:6" x14ac:dyDescent="0.25">
      <c r="A5319" s="189" t="str">
        <f t="shared" si="83"/>
        <v>GA-MD 38A00.01N</v>
      </c>
      <c r="B5319" s="195" t="s">
        <v>2611</v>
      </c>
      <c r="C5319" s="196">
        <v>0</v>
      </c>
      <c r="D5319" s="196">
        <v>0.01</v>
      </c>
      <c r="E5319" s="195" t="s">
        <v>589</v>
      </c>
      <c r="F5319" s="195" t="s">
        <v>430</v>
      </c>
    </row>
    <row r="5320" spans="1:6" x14ac:dyDescent="0.25">
      <c r="A5320" s="189" t="str">
        <f t="shared" si="83"/>
        <v>GA-MD 38B00.19S</v>
      </c>
      <c r="B5320" s="195" t="s">
        <v>2612</v>
      </c>
      <c r="C5320" s="196">
        <v>0</v>
      </c>
      <c r="D5320" s="196">
        <v>0.19</v>
      </c>
      <c r="E5320" s="195" t="s">
        <v>595</v>
      </c>
      <c r="F5320" s="195" t="s">
        <v>438</v>
      </c>
    </row>
    <row r="5321" spans="1:6" x14ac:dyDescent="0.25">
      <c r="A5321" s="189" t="str">
        <f t="shared" si="83"/>
        <v>GA-MD 3902.35E</v>
      </c>
      <c r="B5321" s="195" t="s">
        <v>2613</v>
      </c>
      <c r="C5321" s="196">
        <v>0</v>
      </c>
      <c r="D5321" s="196">
        <v>2.35</v>
      </c>
      <c r="E5321" s="195" t="s">
        <v>583</v>
      </c>
      <c r="F5321" s="195" t="s">
        <v>19</v>
      </c>
    </row>
    <row r="5322" spans="1:6" x14ac:dyDescent="0.25">
      <c r="A5322" s="189" t="str">
        <f t="shared" si="83"/>
        <v>GA-MD 3902.35W</v>
      </c>
      <c r="B5322" s="195" t="s">
        <v>2613</v>
      </c>
      <c r="C5322" s="196">
        <v>0</v>
      </c>
      <c r="D5322" s="196">
        <v>2.35</v>
      </c>
      <c r="E5322" s="195" t="s">
        <v>583</v>
      </c>
      <c r="F5322" s="195" t="s">
        <v>432</v>
      </c>
    </row>
    <row r="5323" spans="1:6" x14ac:dyDescent="0.25">
      <c r="A5323" s="189" t="str">
        <f t="shared" si="83"/>
        <v>GA-MD 392.356.22E</v>
      </c>
      <c r="B5323" s="195" t="s">
        <v>2613</v>
      </c>
      <c r="C5323" s="196">
        <v>2.35</v>
      </c>
      <c r="D5323" s="196">
        <v>6.22</v>
      </c>
      <c r="E5323" s="195" t="s">
        <v>583</v>
      </c>
      <c r="F5323" s="195" t="s">
        <v>19</v>
      </c>
    </row>
    <row r="5324" spans="1:6" x14ac:dyDescent="0.25">
      <c r="A5324" s="189" t="str">
        <f t="shared" si="83"/>
        <v>GA-MD 392.356.22W</v>
      </c>
      <c r="B5324" s="195" t="s">
        <v>2613</v>
      </c>
      <c r="C5324" s="196">
        <v>2.35</v>
      </c>
      <c r="D5324" s="196">
        <v>6.22</v>
      </c>
      <c r="E5324" s="195" t="s">
        <v>583</v>
      </c>
      <c r="F5324" s="195" t="s">
        <v>432</v>
      </c>
    </row>
    <row r="5325" spans="1:6" x14ac:dyDescent="0.25">
      <c r="A5325" s="189" t="str">
        <f t="shared" si="83"/>
        <v>GA-MD 39A00.01N</v>
      </c>
      <c r="B5325" s="195" t="s">
        <v>2614</v>
      </c>
      <c r="C5325" s="196">
        <v>0</v>
      </c>
      <c r="D5325" s="196">
        <v>0.01</v>
      </c>
      <c r="E5325" s="195" t="s">
        <v>589</v>
      </c>
      <c r="F5325" s="195" t="s">
        <v>430</v>
      </c>
    </row>
    <row r="5326" spans="1:6" x14ac:dyDescent="0.25">
      <c r="A5326" s="189" t="str">
        <f t="shared" si="83"/>
        <v>GA-MD 39A00.01S</v>
      </c>
      <c r="B5326" s="195" t="s">
        <v>2614</v>
      </c>
      <c r="C5326" s="196">
        <v>0</v>
      </c>
      <c r="D5326" s="196">
        <v>0.01</v>
      </c>
      <c r="E5326" s="195" t="s">
        <v>595</v>
      </c>
      <c r="F5326" s="195" t="s">
        <v>438</v>
      </c>
    </row>
    <row r="5327" spans="1:6" x14ac:dyDescent="0.25">
      <c r="A5327" s="189" t="str">
        <f t="shared" si="83"/>
        <v>GA-MD 4205.6N</v>
      </c>
      <c r="B5327" s="195" t="s">
        <v>2615</v>
      </c>
      <c r="C5327" s="196">
        <v>0</v>
      </c>
      <c r="D5327" s="196">
        <v>5.6</v>
      </c>
      <c r="E5327" s="195" t="s">
        <v>583</v>
      </c>
      <c r="F5327" s="195" t="s">
        <v>430</v>
      </c>
    </row>
    <row r="5328" spans="1:6" x14ac:dyDescent="0.25">
      <c r="A5328" s="189" t="str">
        <f t="shared" si="83"/>
        <v>GA-MD 4205.6S</v>
      </c>
      <c r="B5328" s="195" t="s">
        <v>2615</v>
      </c>
      <c r="C5328" s="196">
        <v>0</v>
      </c>
      <c r="D5328" s="196">
        <v>5.6</v>
      </c>
      <c r="E5328" s="195" t="s">
        <v>583</v>
      </c>
      <c r="F5328" s="195" t="s">
        <v>438</v>
      </c>
    </row>
    <row r="5329" spans="1:6" x14ac:dyDescent="0.25">
      <c r="A5329" s="189" t="str">
        <f t="shared" si="83"/>
        <v>GA-MD 425.66.3N</v>
      </c>
      <c r="B5329" s="195" t="s">
        <v>2615</v>
      </c>
      <c r="C5329" s="196">
        <v>5.6</v>
      </c>
      <c r="D5329" s="196">
        <v>6.3</v>
      </c>
      <c r="E5329" s="195" t="s">
        <v>583</v>
      </c>
      <c r="F5329" s="195" t="s">
        <v>430</v>
      </c>
    </row>
    <row r="5330" spans="1:6" x14ac:dyDescent="0.25">
      <c r="A5330" s="189" t="str">
        <f t="shared" si="83"/>
        <v>GA-MD 425.66.3S</v>
      </c>
      <c r="B5330" s="195" t="s">
        <v>2615</v>
      </c>
      <c r="C5330" s="196">
        <v>5.6</v>
      </c>
      <c r="D5330" s="196">
        <v>6.3</v>
      </c>
      <c r="E5330" s="195" t="s">
        <v>583</v>
      </c>
      <c r="F5330" s="195" t="s">
        <v>438</v>
      </c>
    </row>
    <row r="5331" spans="1:6" x14ac:dyDescent="0.25">
      <c r="A5331" s="189" t="str">
        <f t="shared" si="83"/>
        <v>GA-MD 426.37.67N</v>
      </c>
      <c r="B5331" s="195" t="s">
        <v>2615</v>
      </c>
      <c r="C5331" s="196">
        <v>6.3</v>
      </c>
      <c r="D5331" s="196">
        <v>7.67</v>
      </c>
      <c r="E5331" s="195" t="s">
        <v>583</v>
      </c>
      <c r="F5331" s="195" t="s">
        <v>430</v>
      </c>
    </row>
    <row r="5332" spans="1:6" x14ac:dyDescent="0.25">
      <c r="A5332" s="189" t="str">
        <f t="shared" si="83"/>
        <v>GA-MD 426.37.67S</v>
      </c>
      <c r="B5332" s="195" t="s">
        <v>2615</v>
      </c>
      <c r="C5332" s="196">
        <v>6.3</v>
      </c>
      <c r="D5332" s="196">
        <v>7.67</v>
      </c>
      <c r="E5332" s="195" t="s">
        <v>583</v>
      </c>
      <c r="F5332" s="195" t="s">
        <v>438</v>
      </c>
    </row>
    <row r="5333" spans="1:6" x14ac:dyDescent="0.25">
      <c r="A5333" s="189" t="str">
        <f t="shared" si="83"/>
        <v>GA-MD 427.6715.06N</v>
      </c>
      <c r="B5333" s="195" t="s">
        <v>2615</v>
      </c>
      <c r="C5333" s="196">
        <v>7.67</v>
      </c>
      <c r="D5333" s="196">
        <v>15.06</v>
      </c>
      <c r="E5333" s="195" t="s">
        <v>583</v>
      </c>
      <c r="F5333" s="195" t="s">
        <v>430</v>
      </c>
    </row>
    <row r="5334" spans="1:6" x14ac:dyDescent="0.25">
      <c r="A5334" s="189" t="str">
        <f t="shared" si="83"/>
        <v>GA-MD 427.6715.06S</v>
      </c>
      <c r="B5334" s="195" t="s">
        <v>2615</v>
      </c>
      <c r="C5334" s="196">
        <v>7.67</v>
      </c>
      <c r="D5334" s="196">
        <v>15.06</v>
      </c>
      <c r="E5334" s="195" t="s">
        <v>583</v>
      </c>
      <c r="F5334" s="195" t="s">
        <v>438</v>
      </c>
    </row>
    <row r="5335" spans="1:6" x14ac:dyDescent="0.25">
      <c r="A5335" s="189" t="str">
        <f t="shared" si="83"/>
        <v>GA-MD 42A00.02E</v>
      </c>
      <c r="B5335" s="195" t="s">
        <v>2616</v>
      </c>
      <c r="C5335" s="196">
        <v>0</v>
      </c>
      <c r="D5335" s="196">
        <v>0.02</v>
      </c>
      <c r="E5335" s="195" t="s">
        <v>598</v>
      </c>
      <c r="F5335" s="195" t="s">
        <v>19</v>
      </c>
    </row>
    <row r="5336" spans="1:6" x14ac:dyDescent="0.25">
      <c r="A5336" s="189" t="str">
        <f t="shared" si="83"/>
        <v>GA-MD 42A00.02W</v>
      </c>
      <c r="B5336" s="195" t="s">
        <v>2616</v>
      </c>
      <c r="C5336" s="196">
        <v>0</v>
      </c>
      <c r="D5336" s="196">
        <v>0.02</v>
      </c>
      <c r="E5336" s="195" t="s">
        <v>593</v>
      </c>
      <c r="F5336" s="195" t="s">
        <v>432</v>
      </c>
    </row>
    <row r="5337" spans="1:6" x14ac:dyDescent="0.25">
      <c r="A5337" s="189" t="str">
        <f t="shared" si="83"/>
        <v>GA-MD 49500.25N</v>
      </c>
      <c r="B5337" s="195" t="s">
        <v>2617</v>
      </c>
      <c r="C5337" s="196">
        <v>0</v>
      </c>
      <c r="D5337" s="196">
        <v>0.25</v>
      </c>
      <c r="E5337" s="195" t="s">
        <v>583</v>
      </c>
      <c r="F5337" s="195" t="s">
        <v>430</v>
      </c>
    </row>
    <row r="5338" spans="1:6" x14ac:dyDescent="0.25">
      <c r="A5338" s="189" t="str">
        <f t="shared" si="83"/>
        <v>GA-MD 49500.25S</v>
      </c>
      <c r="B5338" s="195" t="s">
        <v>2617</v>
      </c>
      <c r="C5338" s="196">
        <v>0</v>
      </c>
      <c r="D5338" s="196">
        <v>0.25</v>
      </c>
      <c r="E5338" s="195" t="s">
        <v>583</v>
      </c>
      <c r="F5338" s="195" t="s">
        <v>438</v>
      </c>
    </row>
    <row r="5339" spans="1:6" x14ac:dyDescent="0.25">
      <c r="A5339" s="189" t="str">
        <f t="shared" si="83"/>
        <v>GA-MD 4950.252.4N</v>
      </c>
      <c r="B5339" s="195" t="s">
        <v>2617</v>
      </c>
      <c r="C5339" s="196">
        <v>0.25</v>
      </c>
      <c r="D5339" s="196">
        <v>2.4</v>
      </c>
      <c r="E5339" s="195" t="s">
        <v>583</v>
      </c>
      <c r="F5339" s="195" t="s">
        <v>430</v>
      </c>
    </row>
    <row r="5340" spans="1:6" x14ac:dyDescent="0.25">
      <c r="A5340" s="189" t="str">
        <f t="shared" si="83"/>
        <v>GA-MD 4950.252.4S</v>
      </c>
      <c r="B5340" s="195" t="s">
        <v>2617</v>
      </c>
      <c r="C5340" s="196">
        <v>0.25</v>
      </c>
      <c r="D5340" s="196">
        <v>2.4</v>
      </c>
      <c r="E5340" s="195" t="s">
        <v>583</v>
      </c>
      <c r="F5340" s="195" t="s">
        <v>438</v>
      </c>
    </row>
    <row r="5341" spans="1:6" x14ac:dyDescent="0.25">
      <c r="A5341" s="189" t="str">
        <f t="shared" si="83"/>
        <v>GA-MD 4952.43.26N</v>
      </c>
      <c r="B5341" s="195" t="s">
        <v>2617</v>
      </c>
      <c r="C5341" s="196">
        <v>2.4</v>
      </c>
      <c r="D5341" s="196">
        <v>3.26</v>
      </c>
      <c r="E5341" s="195" t="s">
        <v>583</v>
      </c>
      <c r="F5341" s="195" t="s">
        <v>430</v>
      </c>
    </row>
    <row r="5342" spans="1:6" x14ac:dyDescent="0.25">
      <c r="A5342" s="189" t="str">
        <f t="shared" si="83"/>
        <v>GA-MD 4952.43.26S</v>
      </c>
      <c r="B5342" s="195" t="s">
        <v>2617</v>
      </c>
      <c r="C5342" s="196">
        <v>2.4</v>
      </c>
      <c r="D5342" s="196">
        <v>3.26</v>
      </c>
      <c r="E5342" s="195" t="s">
        <v>583</v>
      </c>
      <c r="F5342" s="195" t="s">
        <v>438</v>
      </c>
    </row>
    <row r="5343" spans="1:6" x14ac:dyDescent="0.25">
      <c r="A5343" s="189" t="str">
        <f t="shared" si="83"/>
        <v>GA-MD 4953.266.45N</v>
      </c>
      <c r="B5343" s="195" t="s">
        <v>2617</v>
      </c>
      <c r="C5343" s="196">
        <v>3.26</v>
      </c>
      <c r="D5343" s="196">
        <v>6.45</v>
      </c>
      <c r="E5343" s="195" t="s">
        <v>583</v>
      </c>
      <c r="F5343" s="195" t="s">
        <v>430</v>
      </c>
    </row>
    <row r="5344" spans="1:6" x14ac:dyDescent="0.25">
      <c r="A5344" s="189" t="str">
        <f t="shared" si="83"/>
        <v>GA-MD 4953.266.45S</v>
      </c>
      <c r="B5344" s="195" t="s">
        <v>2617</v>
      </c>
      <c r="C5344" s="196">
        <v>3.26</v>
      </c>
      <c r="D5344" s="196">
        <v>6.45</v>
      </c>
      <c r="E5344" s="195" t="s">
        <v>583</v>
      </c>
      <c r="F5344" s="195" t="s">
        <v>438</v>
      </c>
    </row>
    <row r="5345" spans="1:6" x14ac:dyDescent="0.25">
      <c r="A5345" s="189" t="str">
        <f t="shared" si="83"/>
        <v>GA-MD 4956.4510.76N</v>
      </c>
      <c r="B5345" s="195" t="s">
        <v>2617</v>
      </c>
      <c r="C5345" s="196">
        <v>6.45</v>
      </c>
      <c r="D5345" s="196">
        <v>10.76</v>
      </c>
      <c r="E5345" s="195" t="s">
        <v>583</v>
      </c>
      <c r="F5345" s="195" t="s">
        <v>430</v>
      </c>
    </row>
    <row r="5346" spans="1:6" x14ac:dyDescent="0.25">
      <c r="A5346" s="189" t="str">
        <f t="shared" si="83"/>
        <v>GA-MD 4956.4510.76S</v>
      </c>
      <c r="B5346" s="195" t="s">
        <v>2617</v>
      </c>
      <c r="C5346" s="196">
        <v>6.45</v>
      </c>
      <c r="D5346" s="196">
        <v>10.76</v>
      </c>
      <c r="E5346" s="195" t="s">
        <v>583</v>
      </c>
      <c r="F5346" s="195" t="s">
        <v>438</v>
      </c>
    </row>
    <row r="5347" spans="1:6" x14ac:dyDescent="0.25">
      <c r="A5347" s="189" t="str">
        <f t="shared" si="83"/>
        <v>GA-MD 49510.7618.6N</v>
      </c>
      <c r="B5347" s="195" t="s">
        <v>2617</v>
      </c>
      <c r="C5347" s="196">
        <v>10.76</v>
      </c>
      <c r="D5347" s="196">
        <v>18.600000000000001</v>
      </c>
      <c r="E5347" s="195" t="s">
        <v>583</v>
      </c>
      <c r="F5347" s="195" t="s">
        <v>430</v>
      </c>
    </row>
    <row r="5348" spans="1:6" x14ac:dyDescent="0.25">
      <c r="A5348" s="189" t="str">
        <f t="shared" si="83"/>
        <v>GA-MD 49510.7618.6S</v>
      </c>
      <c r="B5348" s="195" t="s">
        <v>2617</v>
      </c>
      <c r="C5348" s="196">
        <v>10.76</v>
      </c>
      <c r="D5348" s="196">
        <v>18.600000000000001</v>
      </c>
      <c r="E5348" s="195" t="s">
        <v>583</v>
      </c>
      <c r="F5348" s="195" t="s">
        <v>438</v>
      </c>
    </row>
    <row r="5349" spans="1:6" x14ac:dyDescent="0.25">
      <c r="A5349" s="189" t="str">
        <f t="shared" si="83"/>
        <v>GA-MD 49518.622.4N</v>
      </c>
      <c r="B5349" s="195" t="s">
        <v>2617</v>
      </c>
      <c r="C5349" s="196">
        <v>18.600000000000001</v>
      </c>
      <c r="D5349" s="196">
        <v>22.4</v>
      </c>
      <c r="E5349" s="195" t="s">
        <v>583</v>
      </c>
      <c r="F5349" s="195" t="s">
        <v>430</v>
      </c>
    </row>
    <row r="5350" spans="1:6" x14ac:dyDescent="0.25">
      <c r="A5350" s="189" t="str">
        <f t="shared" si="83"/>
        <v>GA-MD 49518.622.4S</v>
      </c>
      <c r="B5350" s="195" t="s">
        <v>2617</v>
      </c>
      <c r="C5350" s="196">
        <v>18.600000000000001</v>
      </c>
      <c r="D5350" s="196">
        <v>22.4</v>
      </c>
      <c r="E5350" s="195" t="s">
        <v>583</v>
      </c>
      <c r="F5350" s="195" t="s">
        <v>438</v>
      </c>
    </row>
    <row r="5351" spans="1:6" x14ac:dyDescent="0.25">
      <c r="A5351" s="189" t="str">
        <f t="shared" si="83"/>
        <v>GA-MD 49522.423.02S</v>
      </c>
      <c r="B5351" s="195" t="s">
        <v>2617</v>
      </c>
      <c r="C5351" s="196">
        <v>22.4</v>
      </c>
      <c r="D5351" s="196">
        <v>23.02</v>
      </c>
      <c r="E5351" s="195" t="s">
        <v>595</v>
      </c>
      <c r="F5351" s="195" t="s">
        <v>438</v>
      </c>
    </row>
    <row r="5352" spans="1:6" x14ac:dyDescent="0.25">
      <c r="A5352" s="189" t="str">
        <f t="shared" si="83"/>
        <v>GA-MD 49522.7423.02N</v>
      </c>
      <c r="B5352" s="195" t="s">
        <v>2617</v>
      </c>
      <c r="C5352" s="196">
        <v>22.74</v>
      </c>
      <c r="D5352" s="196">
        <v>23.02</v>
      </c>
      <c r="E5352" s="195" t="s">
        <v>589</v>
      </c>
      <c r="F5352" s="195" t="s">
        <v>430</v>
      </c>
    </row>
    <row r="5353" spans="1:6" x14ac:dyDescent="0.25">
      <c r="A5353" s="189" t="str">
        <f t="shared" si="83"/>
        <v>GA-MD 495A00.16E</v>
      </c>
      <c r="B5353" s="195" t="s">
        <v>2618</v>
      </c>
      <c r="C5353" s="196">
        <v>0</v>
      </c>
      <c r="D5353" s="196">
        <v>0.16</v>
      </c>
      <c r="E5353" s="195" t="s">
        <v>598</v>
      </c>
      <c r="F5353" s="195" t="s">
        <v>19</v>
      </c>
    </row>
    <row r="5354" spans="1:6" x14ac:dyDescent="0.25">
      <c r="A5354" s="189" t="str">
        <f t="shared" si="83"/>
        <v>GA-MD 495A00.16W</v>
      </c>
      <c r="B5354" s="195" t="s">
        <v>2618</v>
      </c>
      <c r="C5354" s="196">
        <v>0</v>
      </c>
      <c r="D5354" s="196">
        <v>0.16</v>
      </c>
      <c r="E5354" s="195" t="s">
        <v>593</v>
      </c>
      <c r="F5354" s="195" t="s">
        <v>432</v>
      </c>
    </row>
    <row r="5355" spans="1:6" x14ac:dyDescent="0.25">
      <c r="A5355" s="189" t="str">
        <f t="shared" si="83"/>
        <v>GA-MD 54600.09N</v>
      </c>
      <c r="B5355" s="195" t="s">
        <v>2619</v>
      </c>
      <c r="C5355" s="196">
        <v>0</v>
      </c>
      <c r="D5355" s="196">
        <v>0.09</v>
      </c>
      <c r="E5355" s="195" t="s">
        <v>583</v>
      </c>
      <c r="F5355" s="195" t="s">
        <v>430</v>
      </c>
    </row>
    <row r="5356" spans="1:6" x14ac:dyDescent="0.25">
      <c r="A5356" s="189" t="str">
        <f t="shared" si="83"/>
        <v>GA-MD 54600.09S</v>
      </c>
      <c r="B5356" s="195" t="s">
        <v>2619</v>
      </c>
      <c r="C5356" s="196">
        <v>0</v>
      </c>
      <c r="D5356" s="196">
        <v>0.09</v>
      </c>
      <c r="E5356" s="195" t="s">
        <v>583</v>
      </c>
      <c r="F5356" s="195" t="s">
        <v>438</v>
      </c>
    </row>
    <row r="5357" spans="1:6" x14ac:dyDescent="0.25">
      <c r="A5357" s="189" t="str">
        <f t="shared" si="83"/>
        <v>GA-MD 5460.090.69S</v>
      </c>
      <c r="B5357" s="195" t="s">
        <v>2619</v>
      </c>
      <c r="C5357" s="196">
        <v>0.09</v>
      </c>
      <c r="D5357" s="196">
        <v>0.69</v>
      </c>
      <c r="E5357" s="195" t="s">
        <v>595</v>
      </c>
      <c r="F5357" s="195" t="s">
        <v>438</v>
      </c>
    </row>
    <row r="5358" spans="1:6" x14ac:dyDescent="0.25">
      <c r="A5358" s="189" t="str">
        <f t="shared" si="83"/>
        <v>GA-MD 5460.090.8N</v>
      </c>
      <c r="B5358" s="195" t="s">
        <v>2619</v>
      </c>
      <c r="C5358" s="196">
        <v>0.09</v>
      </c>
      <c r="D5358" s="196">
        <v>0.8</v>
      </c>
      <c r="E5358" s="195" t="s">
        <v>589</v>
      </c>
      <c r="F5358" s="195" t="s">
        <v>430</v>
      </c>
    </row>
    <row r="5359" spans="1:6" x14ac:dyDescent="0.25">
      <c r="A5359" s="189" t="str">
        <f t="shared" si="83"/>
        <v>GA-MD 5460.690.8S</v>
      </c>
      <c r="B5359" s="195" t="s">
        <v>2619</v>
      </c>
      <c r="C5359" s="196">
        <v>0.69</v>
      </c>
      <c r="D5359" s="196">
        <v>0.8</v>
      </c>
      <c r="E5359" s="195" t="s">
        <v>595</v>
      </c>
      <c r="F5359" s="195" t="s">
        <v>438</v>
      </c>
    </row>
    <row r="5360" spans="1:6" x14ac:dyDescent="0.25">
      <c r="A5360" s="189" t="str">
        <f t="shared" si="83"/>
        <v>GA-MD 5460.83.41N</v>
      </c>
      <c r="B5360" s="195" t="s">
        <v>2619</v>
      </c>
      <c r="C5360" s="196">
        <v>0.8</v>
      </c>
      <c r="D5360" s="196">
        <v>3.41</v>
      </c>
      <c r="E5360" s="195" t="s">
        <v>583</v>
      </c>
      <c r="F5360" s="195" t="s">
        <v>430</v>
      </c>
    </row>
    <row r="5361" spans="1:6" x14ac:dyDescent="0.25">
      <c r="A5361" s="189" t="str">
        <f t="shared" si="83"/>
        <v>GA-MD 5460.83.41S</v>
      </c>
      <c r="B5361" s="195" t="s">
        <v>2619</v>
      </c>
      <c r="C5361" s="196">
        <v>0.8</v>
      </c>
      <c r="D5361" s="196">
        <v>3.41</v>
      </c>
      <c r="E5361" s="195" t="s">
        <v>583</v>
      </c>
      <c r="F5361" s="195" t="s">
        <v>438</v>
      </c>
    </row>
    <row r="5362" spans="1:6" x14ac:dyDescent="0.25">
      <c r="A5362" s="189" t="str">
        <f t="shared" si="83"/>
        <v>GA-MD 546F00.43N</v>
      </c>
      <c r="B5362" s="195" t="s">
        <v>2620</v>
      </c>
      <c r="C5362" s="196">
        <v>0</v>
      </c>
      <c r="D5362" s="196">
        <v>0.43</v>
      </c>
      <c r="E5362" s="195" t="s">
        <v>583</v>
      </c>
      <c r="F5362" s="195" t="s">
        <v>430</v>
      </c>
    </row>
    <row r="5363" spans="1:6" x14ac:dyDescent="0.25">
      <c r="A5363" s="189" t="str">
        <f t="shared" si="83"/>
        <v>GA-MD 546F00.43S</v>
      </c>
      <c r="B5363" s="195" t="s">
        <v>2620</v>
      </c>
      <c r="C5363" s="196">
        <v>0</v>
      </c>
      <c r="D5363" s="196">
        <v>0.43</v>
      </c>
      <c r="E5363" s="195" t="s">
        <v>583</v>
      </c>
      <c r="F5363" s="195" t="s">
        <v>438</v>
      </c>
    </row>
    <row r="5364" spans="1:6" x14ac:dyDescent="0.25">
      <c r="A5364" s="189" t="str">
        <f t="shared" si="83"/>
        <v>GA-MD 56000.1N</v>
      </c>
      <c r="B5364" s="195" t="s">
        <v>2621</v>
      </c>
      <c r="C5364" s="196">
        <v>0</v>
      </c>
      <c r="D5364" s="196">
        <v>0.1</v>
      </c>
      <c r="E5364" s="195" t="s">
        <v>583</v>
      </c>
      <c r="F5364" s="195" t="s">
        <v>430</v>
      </c>
    </row>
    <row r="5365" spans="1:6" x14ac:dyDescent="0.25">
      <c r="A5365" s="189" t="str">
        <f t="shared" si="83"/>
        <v>GA-MD 56000.1S</v>
      </c>
      <c r="B5365" s="195" t="s">
        <v>2621</v>
      </c>
      <c r="C5365" s="196">
        <v>0</v>
      </c>
      <c r="D5365" s="196">
        <v>0.1</v>
      </c>
      <c r="E5365" s="195" t="s">
        <v>583</v>
      </c>
      <c r="F5365" s="195" t="s">
        <v>438</v>
      </c>
    </row>
    <row r="5366" spans="1:6" x14ac:dyDescent="0.25">
      <c r="A5366" s="189" t="str">
        <f t="shared" si="83"/>
        <v>GA-MD 5600.10.26N</v>
      </c>
      <c r="B5366" s="195" t="s">
        <v>2621</v>
      </c>
      <c r="C5366" s="196">
        <v>0.1</v>
      </c>
      <c r="D5366" s="196">
        <v>0.26</v>
      </c>
      <c r="E5366" s="195" t="s">
        <v>583</v>
      </c>
      <c r="F5366" s="195" t="s">
        <v>430</v>
      </c>
    </row>
    <row r="5367" spans="1:6" x14ac:dyDescent="0.25">
      <c r="A5367" s="189" t="str">
        <f t="shared" si="83"/>
        <v>GA-MD 5600.10.26S</v>
      </c>
      <c r="B5367" s="195" t="s">
        <v>2621</v>
      </c>
      <c r="C5367" s="196">
        <v>0.1</v>
      </c>
      <c r="D5367" s="196">
        <v>0.26</v>
      </c>
      <c r="E5367" s="195" t="s">
        <v>583</v>
      </c>
      <c r="F5367" s="195" t="s">
        <v>438</v>
      </c>
    </row>
    <row r="5368" spans="1:6" x14ac:dyDescent="0.25">
      <c r="A5368" s="189" t="str">
        <f t="shared" si="83"/>
        <v>GA-MD 5600.261.49N</v>
      </c>
      <c r="B5368" s="195" t="s">
        <v>2621</v>
      </c>
      <c r="C5368" s="196">
        <v>0.26</v>
      </c>
      <c r="D5368" s="196">
        <v>1.49</v>
      </c>
      <c r="E5368" s="195" t="s">
        <v>583</v>
      </c>
      <c r="F5368" s="195" t="s">
        <v>430</v>
      </c>
    </row>
    <row r="5369" spans="1:6" x14ac:dyDescent="0.25">
      <c r="A5369" s="189" t="str">
        <f t="shared" si="83"/>
        <v>GA-MD 5600.261.49S</v>
      </c>
      <c r="B5369" s="195" t="s">
        <v>2621</v>
      </c>
      <c r="C5369" s="196">
        <v>0.26</v>
      </c>
      <c r="D5369" s="196">
        <v>1.49</v>
      </c>
      <c r="E5369" s="195" t="s">
        <v>583</v>
      </c>
      <c r="F5369" s="195" t="s">
        <v>438</v>
      </c>
    </row>
    <row r="5370" spans="1:6" x14ac:dyDescent="0.25">
      <c r="A5370" s="189" t="str">
        <f t="shared" si="83"/>
        <v>GA-MD 5601.491.71N</v>
      </c>
      <c r="B5370" s="195" t="s">
        <v>2621</v>
      </c>
      <c r="C5370" s="196">
        <v>1.49</v>
      </c>
      <c r="D5370" s="196">
        <v>1.71</v>
      </c>
      <c r="E5370" s="195" t="s">
        <v>583</v>
      </c>
      <c r="F5370" s="195" t="s">
        <v>430</v>
      </c>
    </row>
    <row r="5371" spans="1:6" x14ac:dyDescent="0.25">
      <c r="A5371" s="189" t="str">
        <f t="shared" si="83"/>
        <v>GA-MD 5601.491.71S</v>
      </c>
      <c r="B5371" s="195" t="s">
        <v>2621</v>
      </c>
      <c r="C5371" s="196">
        <v>1.49</v>
      </c>
      <c r="D5371" s="196">
        <v>1.71</v>
      </c>
      <c r="E5371" s="195" t="s">
        <v>583</v>
      </c>
      <c r="F5371" s="195" t="s">
        <v>438</v>
      </c>
    </row>
    <row r="5372" spans="1:6" x14ac:dyDescent="0.25">
      <c r="A5372" s="189" t="str">
        <f t="shared" si="83"/>
        <v>GA-MD 5601.713.06N</v>
      </c>
      <c r="B5372" s="195" t="s">
        <v>2621</v>
      </c>
      <c r="C5372" s="196">
        <v>1.71</v>
      </c>
      <c r="D5372" s="196">
        <v>3.06</v>
      </c>
      <c r="E5372" s="195" t="s">
        <v>583</v>
      </c>
      <c r="F5372" s="195" t="s">
        <v>430</v>
      </c>
    </row>
    <row r="5373" spans="1:6" x14ac:dyDescent="0.25">
      <c r="A5373" s="189" t="str">
        <f t="shared" si="83"/>
        <v>GA-MD 5601.713.06S</v>
      </c>
      <c r="B5373" s="195" t="s">
        <v>2621</v>
      </c>
      <c r="C5373" s="196">
        <v>1.71</v>
      </c>
      <c r="D5373" s="196">
        <v>3.06</v>
      </c>
      <c r="E5373" s="195" t="s">
        <v>583</v>
      </c>
      <c r="F5373" s="195" t="s">
        <v>438</v>
      </c>
    </row>
    <row r="5374" spans="1:6" x14ac:dyDescent="0.25">
      <c r="A5374" s="189" t="str">
        <f t="shared" si="83"/>
        <v>GA-MD 5603.067.02N</v>
      </c>
      <c r="B5374" s="195" t="s">
        <v>2621</v>
      </c>
      <c r="C5374" s="196">
        <v>3.06</v>
      </c>
      <c r="D5374" s="196">
        <v>7.02</v>
      </c>
      <c r="E5374" s="195" t="s">
        <v>583</v>
      </c>
      <c r="F5374" s="195" t="s">
        <v>430</v>
      </c>
    </row>
    <row r="5375" spans="1:6" x14ac:dyDescent="0.25">
      <c r="A5375" s="189" t="str">
        <f t="shared" si="83"/>
        <v>GA-MD 5603.067.02S</v>
      </c>
      <c r="B5375" s="195" t="s">
        <v>2621</v>
      </c>
      <c r="C5375" s="196">
        <v>3.06</v>
      </c>
      <c r="D5375" s="196">
        <v>7.02</v>
      </c>
      <c r="E5375" s="195" t="s">
        <v>583</v>
      </c>
      <c r="F5375" s="195" t="s">
        <v>438</v>
      </c>
    </row>
    <row r="5376" spans="1:6" x14ac:dyDescent="0.25">
      <c r="A5376" s="189" t="str">
        <f t="shared" si="83"/>
        <v>GA-MD 5607.029.14N</v>
      </c>
      <c r="B5376" s="195" t="s">
        <v>2621</v>
      </c>
      <c r="C5376" s="196">
        <v>7.02</v>
      </c>
      <c r="D5376" s="196">
        <v>9.14</v>
      </c>
      <c r="E5376" s="195" t="s">
        <v>583</v>
      </c>
      <c r="F5376" s="195" t="s">
        <v>430</v>
      </c>
    </row>
    <row r="5377" spans="1:6" x14ac:dyDescent="0.25">
      <c r="A5377" s="189" t="str">
        <f t="shared" si="83"/>
        <v>GA-MD 5607.029.14S</v>
      </c>
      <c r="B5377" s="195" t="s">
        <v>2621</v>
      </c>
      <c r="C5377" s="196">
        <v>7.02</v>
      </c>
      <c r="D5377" s="196">
        <v>9.14</v>
      </c>
      <c r="E5377" s="195" t="s">
        <v>583</v>
      </c>
      <c r="F5377" s="195" t="s">
        <v>438</v>
      </c>
    </row>
    <row r="5378" spans="1:6" x14ac:dyDescent="0.25">
      <c r="A5378" s="189" t="str">
        <f t="shared" si="83"/>
        <v>GA-MD 5609.149.32N</v>
      </c>
      <c r="B5378" s="195" t="s">
        <v>2621</v>
      </c>
      <c r="C5378" s="196">
        <v>9.14</v>
      </c>
      <c r="D5378" s="196">
        <v>9.32</v>
      </c>
      <c r="E5378" s="195" t="s">
        <v>583</v>
      </c>
      <c r="F5378" s="195" t="s">
        <v>430</v>
      </c>
    </row>
    <row r="5379" spans="1:6" x14ac:dyDescent="0.25">
      <c r="A5379" s="189" t="str">
        <f t="shared" ref="A5379:A5442" si="84">B5379&amp;C5379&amp;D5379&amp;F5379</f>
        <v>GA-MD 5609.149.32S</v>
      </c>
      <c r="B5379" s="195" t="s">
        <v>2621</v>
      </c>
      <c r="C5379" s="196">
        <v>9.14</v>
      </c>
      <c r="D5379" s="196">
        <v>9.32</v>
      </c>
      <c r="E5379" s="195" t="s">
        <v>583</v>
      </c>
      <c r="F5379" s="195" t="s">
        <v>438</v>
      </c>
    </row>
    <row r="5380" spans="1:6" x14ac:dyDescent="0.25">
      <c r="A5380" s="189" t="str">
        <f t="shared" si="84"/>
        <v>GA-MD 66901.69N</v>
      </c>
      <c r="B5380" s="195" t="s">
        <v>2622</v>
      </c>
      <c r="C5380" s="196">
        <v>0</v>
      </c>
      <c r="D5380" s="196">
        <v>1.69</v>
      </c>
      <c r="E5380" s="195" t="s">
        <v>583</v>
      </c>
      <c r="F5380" s="195" t="s">
        <v>430</v>
      </c>
    </row>
    <row r="5381" spans="1:6" x14ac:dyDescent="0.25">
      <c r="A5381" s="189" t="str">
        <f t="shared" si="84"/>
        <v>GA-MD 66901.69S</v>
      </c>
      <c r="B5381" s="195" t="s">
        <v>2622</v>
      </c>
      <c r="C5381" s="196">
        <v>0</v>
      </c>
      <c r="D5381" s="196">
        <v>1.69</v>
      </c>
      <c r="E5381" s="195" t="s">
        <v>583</v>
      </c>
      <c r="F5381" s="195" t="s">
        <v>438</v>
      </c>
    </row>
    <row r="5382" spans="1:6" x14ac:dyDescent="0.25">
      <c r="A5382" s="189" t="str">
        <f t="shared" si="84"/>
        <v>GA-MD 73300.05N</v>
      </c>
      <c r="B5382" s="195" t="s">
        <v>2623</v>
      </c>
      <c r="C5382" s="196">
        <v>0</v>
      </c>
      <c r="D5382" s="196">
        <v>0.05</v>
      </c>
      <c r="E5382" s="195" t="s">
        <v>589</v>
      </c>
      <c r="F5382" s="195" t="s">
        <v>430</v>
      </c>
    </row>
    <row r="5383" spans="1:6" x14ac:dyDescent="0.25">
      <c r="A5383" s="189" t="str">
        <f t="shared" si="84"/>
        <v>GA-MD 73300.05S</v>
      </c>
      <c r="B5383" s="195" t="s">
        <v>2623</v>
      </c>
      <c r="C5383" s="196">
        <v>0</v>
      </c>
      <c r="D5383" s="196">
        <v>0.05</v>
      </c>
      <c r="E5383" s="195" t="s">
        <v>595</v>
      </c>
      <c r="F5383" s="195" t="s">
        <v>438</v>
      </c>
    </row>
    <row r="5384" spans="1:6" x14ac:dyDescent="0.25">
      <c r="A5384" s="189" t="str">
        <f t="shared" si="84"/>
        <v>GA-MD 733A00.14E</v>
      </c>
      <c r="B5384" s="195" t="s">
        <v>2624</v>
      </c>
      <c r="C5384" s="196">
        <v>0</v>
      </c>
      <c r="D5384" s="196">
        <v>0.14000000000000001</v>
      </c>
      <c r="E5384" s="195" t="s">
        <v>583</v>
      </c>
      <c r="F5384" s="195" t="s">
        <v>19</v>
      </c>
    </row>
    <row r="5385" spans="1:6" x14ac:dyDescent="0.25">
      <c r="A5385" s="189" t="str">
        <f t="shared" si="84"/>
        <v>GA-MD 733A00.14W</v>
      </c>
      <c r="B5385" s="195" t="s">
        <v>2624</v>
      </c>
      <c r="C5385" s="196">
        <v>0</v>
      </c>
      <c r="D5385" s="196">
        <v>0.14000000000000001</v>
      </c>
      <c r="E5385" s="195" t="s">
        <v>583</v>
      </c>
      <c r="F5385" s="195" t="s">
        <v>432</v>
      </c>
    </row>
    <row r="5386" spans="1:6" x14ac:dyDescent="0.25">
      <c r="A5386" s="189" t="str">
        <f t="shared" si="84"/>
        <v>GA-MD 74200.31N</v>
      </c>
      <c r="B5386" s="195" t="s">
        <v>2625</v>
      </c>
      <c r="C5386" s="196">
        <v>0</v>
      </c>
      <c r="D5386" s="196">
        <v>0.31</v>
      </c>
      <c r="E5386" s="195" t="s">
        <v>589</v>
      </c>
      <c r="F5386" s="195" t="s">
        <v>430</v>
      </c>
    </row>
    <row r="5387" spans="1:6" x14ac:dyDescent="0.25">
      <c r="A5387" s="189" t="str">
        <f t="shared" si="84"/>
        <v>GA-MD 74200.31S</v>
      </c>
      <c r="B5387" s="195" t="s">
        <v>2625</v>
      </c>
      <c r="C5387" s="196">
        <v>0</v>
      </c>
      <c r="D5387" s="196">
        <v>0.31</v>
      </c>
      <c r="E5387" s="195" t="s">
        <v>595</v>
      </c>
      <c r="F5387" s="195" t="s">
        <v>438</v>
      </c>
    </row>
    <row r="5388" spans="1:6" x14ac:dyDescent="0.25">
      <c r="A5388" s="189" t="str">
        <f t="shared" si="84"/>
        <v>GA-MD 7420.310.72N</v>
      </c>
      <c r="B5388" s="195" t="s">
        <v>2625</v>
      </c>
      <c r="C5388" s="196">
        <v>0.31</v>
      </c>
      <c r="D5388" s="196">
        <v>0.72</v>
      </c>
      <c r="E5388" s="195" t="s">
        <v>589</v>
      </c>
      <c r="F5388" s="195" t="s">
        <v>430</v>
      </c>
    </row>
    <row r="5389" spans="1:6" x14ac:dyDescent="0.25">
      <c r="A5389" s="189" t="str">
        <f t="shared" si="84"/>
        <v>GA-MD 7420.310.72S</v>
      </c>
      <c r="B5389" s="195" t="s">
        <v>2625</v>
      </c>
      <c r="C5389" s="196">
        <v>0.31</v>
      </c>
      <c r="D5389" s="196">
        <v>0.72</v>
      </c>
      <c r="E5389" s="195" t="s">
        <v>595</v>
      </c>
      <c r="F5389" s="195" t="s">
        <v>438</v>
      </c>
    </row>
    <row r="5390" spans="1:6" x14ac:dyDescent="0.25">
      <c r="A5390" s="189" t="str">
        <f t="shared" si="84"/>
        <v>GA-MD 7420.720.93N</v>
      </c>
      <c r="B5390" s="195" t="s">
        <v>2625</v>
      </c>
      <c r="C5390" s="196">
        <v>0.72</v>
      </c>
      <c r="D5390" s="196">
        <v>0.93</v>
      </c>
      <c r="E5390" s="195" t="s">
        <v>589</v>
      </c>
      <c r="F5390" s="195" t="s">
        <v>430</v>
      </c>
    </row>
    <row r="5391" spans="1:6" x14ac:dyDescent="0.25">
      <c r="A5391" s="189" t="str">
        <f t="shared" si="84"/>
        <v>GA-MD 7420.720.93S</v>
      </c>
      <c r="B5391" s="195" t="s">
        <v>2625</v>
      </c>
      <c r="C5391" s="196">
        <v>0.72</v>
      </c>
      <c r="D5391" s="196">
        <v>0.93</v>
      </c>
      <c r="E5391" s="195" t="s">
        <v>595</v>
      </c>
      <c r="F5391" s="195" t="s">
        <v>438</v>
      </c>
    </row>
    <row r="5392" spans="1:6" x14ac:dyDescent="0.25">
      <c r="A5392" s="189" t="str">
        <f t="shared" si="84"/>
        <v>GA-MD 825B00.83E</v>
      </c>
      <c r="B5392" s="195" t="s">
        <v>2626</v>
      </c>
      <c r="C5392" s="196">
        <v>0</v>
      </c>
      <c r="D5392" s="196">
        <v>0.83</v>
      </c>
      <c r="E5392" s="195" t="s">
        <v>598</v>
      </c>
      <c r="F5392" s="195" t="s">
        <v>19</v>
      </c>
    </row>
    <row r="5393" spans="1:6" x14ac:dyDescent="0.25">
      <c r="A5393" s="189" t="str">
        <f t="shared" si="84"/>
        <v>GA-MD 825B0.020.83W</v>
      </c>
      <c r="B5393" s="195" t="s">
        <v>2626</v>
      </c>
      <c r="C5393" s="196">
        <v>0.02</v>
      </c>
      <c r="D5393" s="196">
        <v>0.83</v>
      </c>
      <c r="E5393" s="195" t="s">
        <v>593</v>
      </c>
      <c r="F5393" s="195" t="s">
        <v>432</v>
      </c>
    </row>
    <row r="5394" spans="1:6" x14ac:dyDescent="0.25">
      <c r="A5394" s="189" t="str">
        <f t="shared" si="84"/>
        <v>GA-MD 825B0.830.94E</v>
      </c>
      <c r="B5394" s="195" t="s">
        <v>2626</v>
      </c>
      <c r="C5394" s="196">
        <v>0.83</v>
      </c>
      <c r="D5394" s="196">
        <v>0.94</v>
      </c>
      <c r="E5394" s="195" t="s">
        <v>598</v>
      </c>
      <c r="F5394" s="195" t="s">
        <v>19</v>
      </c>
    </row>
    <row r="5395" spans="1:6" x14ac:dyDescent="0.25">
      <c r="A5395" s="189" t="str">
        <f t="shared" si="84"/>
        <v>GA-MD 825B0.830.94W</v>
      </c>
      <c r="B5395" s="195" t="s">
        <v>2626</v>
      </c>
      <c r="C5395" s="196">
        <v>0.83</v>
      </c>
      <c r="D5395" s="196">
        <v>0.94</v>
      </c>
      <c r="E5395" s="195" t="s">
        <v>593</v>
      </c>
      <c r="F5395" s="195" t="s">
        <v>432</v>
      </c>
    </row>
    <row r="5396" spans="1:6" x14ac:dyDescent="0.25">
      <c r="A5396" s="189" t="str">
        <f t="shared" si="84"/>
        <v>GA-MD 825C00.19N</v>
      </c>
      <c r="B5396" s="195" t="s">
        <v>2627</v>
      </c>
      <c r="C5396" s="196">
        <v>0</v>
      </c>
      <c r="D5396" s="196">
        <v>0.19</v>
      </c>
      <c r="E5396" s="195" t="s">
        <v>589</v>
      </c>
      <c r="F5396" s="195" t="s">
        <v>430</v>
      </c>
    </row>
    <row r="5397" spans="1:6" x14ac:dyDescent="0.25">
      <c r="A5397" s="189" t="str">
        <f t="shared" si="84"/>
        <v>GA-MD 825C00.19S</v>
      </c>
      <c r="B5397" s="195" t="s">
        <v>2627</v>
      </c>
      <c r="C5397" s="196">
        <v>0</v>
      </c>
      <c r="D5397" s="196">
        <v>0.19</v>
      </c>
      <c r="E5397" s="195" t="s">
        <v>595</v>
      </c>
      <c r="F5397" s="195" t="s">
        <v>438</v>
      </c>
    </row>
    <row r="5398" spans="1:6" x14ac:dyDescent="0.25">
      <c r="A5398" s="189" t="str">
        <f t="shared" si="84"/>
        <v>GA-MD 826A00.49N</v>
      </c>
      <c r="B5398" s="195" t="s">
        <v>2628</v>
      </c>
      <c r="C5398" s="196">
        <v>0</v>
      </c>
      <c r="D5398" s="196">
        <v>0.49</v>
      </c>
      <c r="E5398" s="195" t="s">
        <v>589</v>
      </c>
      <c r="F5398" s="195" t="s">
        <v>430</v>
      </c>
    </row>
    <row r="5399" spans="1:6" x14ac:dyDescent="0.25">
      <c r="A5399" s="189" t="str">
        <f t="shared" si="84"/>
        <v>GA-MD 826A00.49S</v>
      </c>
      <c r="B5399" s="195" t="s">
        <v>2628</v>
      </c>
      <c r="C5399" s="196">
        <v>0</v>
      </c>
      <c r="D5399" s="196">
        <v>0.49</v>
      </c>
      <c r="E5399" s="195" t="s">
        <v>595</v>
      </c>
      <c r="F5399" s="195" t="s">
        <v>438</v>
      </c>
    </row>
    <row r="5400" spans="1:6" x14ac:dyDescent="0.25">
      <c r="A5400" s="189" t="str">
        <f t="shared" si="84"/>
        <v>GA-MD 826A0.490.56N</v>
      </c>
      <c r="B5400" s="195" t="s">
        <v>2628</v>
      </c>
      <c r="C5400" s="196">
        <v>0.49</v>
      </c>
      <c r="D5400" s="196">
        <v>0.56000000000000005</v>
      </c>
      <c r="E5400" s="195" t="s">
        <v>589</v>
      </c>
      <c r="F5400" s="195" t="s">
        <v>430</v>
      </c>
    </row>
    <row r="5401" spans="1:6" x14ac:dyDescent="0.25">
      <c r="A5401" s="189" t="str">
        <f t="shared" si="84"/>
        <v>GA-MD 826A0.490.56S</v>
      </c>
      <c r="B5401" s="195" t="s">
        <v>2628</v>
      </c>
      <c r="C5401" s="196">
        <v>0.49</v>
      </c>
      <c r="D5401" s="196">
        <v>0.56000000000000005</v>
      </c>
      <c r="E5401" s="195" t="s">
        <v>595</v>
      </c>
      <c r="F5401" s="195" t="s">
        <v>438</v>
      </c>
    </row>
    <row r="5402" spans="1:6" x14ac:dyDescent="0.25">
      <c r="A5402" s="189" t="str">
        <f t="shared" si="84"/>
        <v>GA-MD 826B00.15N</v>
      </c>
      <c r="B5402" s="195" t="s">
        <v>2629</v>
      </c>
      <c r="C5402" s="196">
        <v>0</v>
      </c>
      <c r="D5402" s="196">
        <v>0.15</v>
      </c>
      <c r="E5402" s="195" t="s">
        <v>589</v>
      </c>
      <c r="F5402" s="195" t="s">
        <v>430</v>
      </c>
    </row>
    <row r="5403" spans="1:6" x14ac:dyDescent="0.25">
      <c r="A5403" s="189" t="str">
        <f t="shared" si="84"/>
        <v>GA-MD 826B00.15S</v>
      </c>
      <c r="B5403" s="195" t="s">
        <v>2629</v>
      </c>
      <c r="C5403" s="196">
        <v>0</v>
      </c>
      <c r="D5403" s="196">
        <v>0.15</v>
      </c>
      <c r="E5403" s="195" t="s">
        <v>595</v>
      </c>
      <c r="F5403" s="195" t="s">
        <v>438</v>
      </c>
    </row>
    <row r="5404" spans="1:6" x14ac:dyDescent="0.25">
      <c r="A5404" s="189" t="str">
        <f t="shared" si="84"/>
        <v>GA-MD 826C00.16N</v>
      </c>
      <c r="B5404" s="195" t="s">
        <v>2630</v>
      </c>
      <c r="C5404" s="196">
        <v>0</v>
      </c>
      <c r="D5404" s="196">
        <v>0.16</v>
      </c>
      <c r="E5404" s="195" t="s">
        <v>589</v>
      </c>
      <c r="F5404" s="195" t="s">
        <v>430</v>
      </c>
    </row>
    <row r="5405" spans="1:6" x14ac:dyDescent="0.25">
      <c r="A5405" s="189" t="str">
        <f t="shared" si="84"/>
        <v>GA-MD 826C00.16S</v>
      </c>
      <c r="B5405" s="195" t="s">
        <v>2630</v>
      </c>
      <c r="C5405" s="196">
        <v>0</v>
      </c>
      <c r="D5405" s="196">
        <v>0.16</v>
      </c>
      <c r="E5405" s="195" t="s">
        <v>595</v>
      </c>
      <c r="F5405" s="195" t="s">
        <v>438</v>
      </c>
    </row>
    <row r="5406" spans="1:6" x14ac:dyDescent="0.25">
      <c r="A5406" s="189" t="str">
        <f t="shared" si="84"/>
        <v>GA-MD 826D00.05N</v>
      </c>
      <c r="B5406" s="195" t="s">
        <v>2631</v>
      </c>
      <c r="C5406" s="196">
        <v>0</v>
      </c>
      <c r="D5406" s="196">
        <v>0.05</v>
      </c>
      <c r="E5406" s="195" t="s">
        <v>589</v>
      </c>
      <c r="F5406" s="195" t="s">
        <v>430</v>
      </c>
    </row>
    <row r="5407" spans="1:6" x14ac:dyDescent="0.25">
      <c r="A5407" s="189" t="str">
        <f t="shared" si="84"/>
        <v>GA-MD 826D00.05S</v>
      </c>
      <c r="B5407" s="195" t="s">
        <v>2631</v>
      </c>
      <c r="C5407" s="196">
        <v>0</v>
      </c>
      <c r="D5407" s="196">
        <v>0.05</v>
      </c>
      <c r="E5407" s="195" t="s">
        <v>595</v>
      </c>
      <c r="F5407" s="195" t="s">
        <v>438</v>
      </c>
    </row>
    <row r="5408" spans="1:6" x14ac:dyDescent="0.25">
      <c r="A5408" s="189" t="str">
        <f t="shared" si="84"/>
        <v>GA-MD 826E00.35N</v>
      </c>
      <c r="B5408" s="195" t="s">
        <v>2632</v>
      </c>
      <c r="C5408" s="196">
        <v>0</v>
      </c>
      <c r="D5408" s="196">
        <v>0.35</v>
      </c>
      <c r="E5408" s="195" t="s">
        <v>583</v>
      </c>
      <c r="F5408" s="195" t="s">
        <v>430</v>
      </c>
    </row>
    <row r="5409" spans="1:6" x14ac:dyDescent="0.25">
      <c r="A5409" s="189" t="str">
        <f t="shared" si="84"/>
        <v>GA-MD 826E00.35S</v>
      </c>
      <c r="B5409" s="195" t="s">
        <v>2632</v>
      </c>
      <c r="C5409" s="196">
        <v>0</v>
      </c>
      <c r="D5409" s="196">
        <v>0.35</v>
      </c>
      <c r="E5409" s="195" t="s">
        <v>583</v>
      </c>
      <c r="F5409" s="195" t="s">
        <v>438</v>
      </c>
    </row>
    <row r="5410" spans="1:6" x14ac:dyDescent="0.25">
      <c r="A5410" s="189" t="str">
        <f t="shared" si="84"/>
        <v>GA-MD 826G00.08N</v>
      </c>
      <c r="B5410" s="195" t="s">
        <v>2633</v>
      </c>
      <c r="C5410" s="196">
        <v>0</v>
      </c>
      <c r="D5410" s="196">
        <v>0.08</v>
      </c>
      <c r="E5410" s="195" t="s">
        <v>589</v>
      </c>
      <c r="F5410" s="195" t="s">
        <v>430</v>
      </c>
    </row>
    <row r="5411" spans="1:6" x14ac:dyDescent="0.25">
      <c r="A5411" s="189" t="str">
        <f t="shared" si="84"/>
        <v>GA-MD 826G00.08S</v>
      </c>
      <c r="B5411" s="195" t="s">
        <v>2633</v>
      </c>
      <c r="C5411" s="196">
        <v>0</v>
      </c>
      <c r="D5411" s="196">
        <v>0.08</v>
      </c>
      <c r="E5411" s="195" t="s">
        <v>595</v>
      </c>
      <c r="F5411" s="195" t="s">
        <v>438</v>
      </c>
    </row>
    <row r="5412" spans="1:6" x14ac:dyDescent="0.25">
      <c r="A5412" s="189" t="str">
        <f t="shared" si="84"/>
        <v>GA-MD 826H00.19N</v>
      </c>
      <c r="B5412" s="195" t="s">
        <v>2634</v>
      </c>
      <c r="C5412" s="196">
        <v>0</v>
      </c>
      <c r="D5412" s="196">
        <v>0.19</v>
      </c>
      <c r="E5412" s="195" t="s">
        <v>583</v>
      </c>
      <c r="F5412" s="195" t="s">
        <v>430</v>
      </c>
    </row>
    <row r="5413" spans="1:6" x14ac:dyDescent="0.25">
      <c r="A5413" s="189" t="str">
        <f t="shared" si="84"/>
        <v>GA-MD 826H00.19S</v>
      </c>
      <c r="B5413" s="195" t="s">
        <v>2634</v>
      </c>
      <c r="C5413" s="196">
        <v>0</v>
      </c>
      <c r="D5413" s="196">
        <v>0.19</v>
      </c>
      <c r="E5413" s="195" t="s">
        <v>583</v>
      </c>
      <c r="F5413" s="195" t="s">
        <v>438</v>
      </c>
    </row>
    <row r="5414" spans="1:6" x14ac:dyDescent="0.25">
      <c r="A5414" s="189" t="str">
        <f t="shared" si="84"/>
        <v>GA-MD 826J00.6N</v>
      </c>
      <c r="B5414" s="195" t="s">
        <v>2635</v>
      </c>
      <c r="C5414" s="196">
        <v>0</v>
      </c>
      <c r="D5414" s="196">
        <v>0.6</v>
      </c>
      <c r="E5414" s="195" t="s">
        <v>583</v>
      </c>
      <c r="F5414" s="195" t="s">
        <v>430</v>
      </c>
    </row>
    <row r="5415" spans="1:6" x14ac:dyDescent="0.25">
      <c r="A5415" s="189" t="str">
        <f t="shared" si="84"/>
        <v>GA-MD 826J00.6S</v>
      </c>
      <c r="B5415" s="195" t="s">
        <v>2635</v>
      </c>
      <c r="C5415" s="196">
        <v>0</v>
      </c>
      <c r="D5415" s="196">
        <v>0.6</v>
      </c>
      <c r="E5415" s="195" t="s">
        <v>583</v>
      </c>
      <c r="F5415" s="195" t="s">
        <v>438</v>
      </c>
    </row>
    <row r="5416" spans="1:6" x14ac:dyDescent="0.25">
      <c r="A5416" s="189" t="str">
        <f t="shared" si="84"/>
        <v>GA-MD 826K00.22E</v>
      </c>
      <c r="B5416" s="195" t="s">
        <v>2636</v>
      </c>
      <c r="C5416" s="196">
        <v>0</v>
      </c>
      <c r="D5416" s="196">
        <v>0.22</v>
      </c>
      <c r="E5416" s="195" t="s">
        <v>583</v>
      </c>
      <c r="F5416" s="195" t="s">
        <v>19</v>
      </c>
    </row>
    <row r="5417" spans="1:6" x14ac:dyDescent="0.25">
      <c r="A5417" s="189" t="str">
        <f t="shared" si="84"/>
        <v>GA-MD 826K00.22W</v>
      </c>
      <c r="B5417" s="195" t="s">
        <v>2636</v>
      </c>
      <c r="C5417" s="196">
        <v>0</v>
      </c>
      <c r="D5417" s="196">
        <v>0.22</v>
      </c>
      <c r="E5417" s="195" t="s">
        <v>583</v>
      </c>
      <c r="F5417" s="195" t="s">
        <v>432</v>
      </c>
    </row>
    <row r="5418" spans="1:6" x14ac:dyDescent="0.25">
      <c r="A5418" s="189" t="str">
        <f t="shared" si="84"/>
        <v>GA-MD 826L00.14E</v>
      </c>
      <c r="B5418" s="195" t="s">
        <v>2637</v>
      </c>
      <c r="C5418" s="196">
        <v>0</v>
      </c>
      <c r="D5418" s="196">
        <v>0.14000000000000001</v>
      </c>
      <c r="E5418" s="195" t="s">
        <v>583</v>
      </c>
      <c r="F5418" s="195" t="s">
        <v>19</v>
      </c>
    </row>
    <row r="5419" spans="1:6" x14ac:dyDescent="0.25">
      <c r="A5419" s="189" t="str">
        <f t="shared" si="84"/>
        <v>GA-MD 826L00.14W</v>
      </c>
      <c r="B5419" s="195" t="s">
        <v>2637</v>
      </c>
      <c r="C5419" s="196">
        <v>0</v>
      </c>
      <c r="D5419" s="196">
        <v>0.14000000000000001</v>
      </c>
      <c r="E5419" s="195" t="s">
        <v>583</v>
      </c>
      <c r="F5419" s="195" t="s">
        <v>432</v>
      </c>
    </row>
    <row r="5420" spans="1:6" x14ac:dyDescent="0.25">
      <c r="A5420" s="189" t="str">
        <f t="shared" si="84"/>
        <v>GA-MD 826M00.51E</v>
      </c>
      <c r="B5420" s="195" t="s">
        <v>2638</v>
      </c>
      <c r="C5420" s="196">
        <v>0</v>
      </c>
      <c r="D5420" s="196">
        <v>0.51</v>
      </c>
      <c r="E5420" s="195" t="s">
        <v>583</v>
      </c>
      <c r="F5420" s="195" t="s">
        <v>19</v>
      </c>
    </row>
    <row r="5421" spans="1:6" x14ac:dyDescent="0.25">
      <c r="A5421" s="189" t="str">
        <f t="shared" si="84"/>
        <v>GA-MD 826M00.51W</v>
      </c>
      <c r="B5421" s="195" t="s">
        <v>2638</v>
      </c>
      <c r="C5421" s="196">
        <v>0</v>
      </c>
      <c r="D5421" s="196">
        <v>0.51</v>
      </c>
      <c r="E5421" s="195" t="s">
        <v>583</v>
      </c>
      <c r="F5421" s="195" t="s">
        <v>432</v>
      </c>
    </row>
    <row r="5422" spans="1:6" x14ac:dyDescent="0.25">
      <c r="A5422" s="189" t="str">
        <f t="shared" si="84"/>
        <v>GA-MD 826N00.25N</v>
      </c>
      <c r="B5422" s="195" t="s">
        <v>2639</v>
      </c>
      <c r="C5422" s="196">
        <v>0</v>
      </c>
      <c r="D5422" s="196">
        <v>0.25</v>
      </c>
      <c r="E5422" s="195" t="s">
        <v>583</v>
      </c>
      <c r="F5422" s="195" t="s">
        <v>430</v>
      </c>
    </row>
    <row r="5423" spans="1:6" x14ac:dyDescent="0.25">
      <c r="A5423" s="189" t="str">
        <f t="shared" si="84"/>
        <v>GA-MD 826N00.25S</v>
      </c>
      <c r="B5423" s="195" t="s">
        <v>2639</v>
      </c>
      <c r="C5423" s="196">
        <v>0</v>
      </c>
      <c r="D5423" s="196">
        <v>0.25</v>
      </c>
      <c r="E5423" s="195" t="s">
        <v>583</v>
      </c>
      <c r="F5423" s="195" t="s">
        <v>438</v>
      </c>
    </row>
    <row r="5424" spans="1:6" x14ac:dyDescent="0.25">
      <c r="A5424" s="189" t="str">
        <f t="shared" si="84"/>
        <v>GA-MD 826P00.17N</v>
      </c>
      <c r="B5424" s="195" t="s">
        <v>2640</v>
      </c>
      <c r="C5424" s="196">
        <v>0</v>
      </c>
      <c r="D5424" s="196">
        <v>0.17</v>
      </c>
      <c r="E5424" s="195" t="s">
        <v>589</v>
      </c>
      <c r="F5424" s="195" t="s">
        <v>430</v>
      </c>
    </row>
    <row r="5425" spans="1:6" x14ac:dyDescent="0.25">
      <c r="A5425" s="189" t="str">
        <f t="shared" si="84"/>
        <v>GA-MD 826P00.17S</v>
      </c>
      <c r="B5425" s="195" t="s">
        <v>2640</v>
      </c>
      <c r="C5425" s="196">
        <v>0</v>
      </c>
      <c r="D5425" s="196">
        <v>0.17</v>
      </c>
      <c r="E5425" s="195" t="s">
        <v>595</v>
      </c>
      <c r="F5425" s="195" t="s">
        <v>438</v>
      </c>
    </row>
    <row r="5426" spans="1:6" x14ac:dyDescent="0.25">
      <c r="A5426" s="189" t="str">
        <f t="shared" si="84"/>
        <v>GA-MD 827A00.01N</v>
      </c>
      <c r="B5426" s="195" t="s">
        <v>2641</v>
      </c>
      <c r="C5426" s="196">
        <v>0</v>
      </c>
      <c r="D5426" s="196">
        <v>0.01</v>
      </c>
      <c r="E5426" s="195" t="s">
        <v>589</v>
      </c>
      <c r="F5426" s="195" t="s">
        <v>430</v>
      </c>
    </row>
    <row r="5427" spans="1:6" x14ac:dyDescent="0.25">
      <c r="A5427" s="189" t="str">
        <f t="shared" si="84"/>
        <v>GA-MD 827A00.01S</v>
      </c>
      <c r="B5427" s="195" t="s">
        <v>2641</v>
      </c>
      <c r="C5427" s="196">
        <v>0</v>
      </c>
      <c r="D5427" s="196">
        <v>0.01</v>
      </c>
      <c r="E5427" s="195" t="s">
        <v>595</v>
      </c>
      <c r="F5427" s="195" t="s">
        <v>438</v>
      </c>
    </row>
    <row r="5428" spans="1:6" x14ac:dyDescent="0.25">
      <c r="A5428" s="189" t="str">
        <f t="shared" si="84"/>
        <v>GA-MD 827C00.05N</v>
      </c>
      <c r="B5428" s="195" t="s">
        <v>2642</v>
      </c>
      <c r="C5428" s="196">
        <v>0</v>
      </c>
      <c r="D5428" s="196">
        <v>0.05</v>
      </c>
      <c r="E5428" s="195" t="s">
        <v>589</v>
      </c>
      <c r="F5428" s="195" t="s">
        <v>430</v>
      </c>
    </row>
    <row r="5429" spans="1:6" x14ac:dyDescent="0.25">
      <c r="A5429" s="189" t="str">
        <f t="shared" si="84"/>
        <v>GA-MD 827C00.05S</v>
      </c>
      <c r="B5429" s="195" t="s">
        <v>2642</v>
      </c>
      <c r="C5429" s="196">
        <v>0</v>
      </c>
      <c r="D5429" s="196">
        <v>0.05</v>
      </c>
      <c r="E5429" s="195" t="s">
        <v>595</v>
      </c>
      <c r="F5429" s="195" t="s">
        <v>438</v>
      </c>
    </row>
    <row r="5430" spans="1:6" x14ac:dyDescent="0.25">
      <c r="A5430" s="189" t="str">
        <f t="shared" si="84"/>
        <v>GA-MD 82800.13N</v>
      </c>
      <c r="B5430" s="195" t="s">
        <v>2643</v>
      </c>
      <c r="C5430" s="196">
        <v>0</v>
      </c>
      <c r="D5430" s="196">
        <v>0.13</v>
      </c>
      <c r="E5430" s="195" t="s">
        <v>589</v>
      </c>
      <c r="F5430" s="195" t="s">
        <v>430</v>
      </c>
    </row>
    <row r="5431" spans="1:6" x14ac:dyDescent="0.25">
      <c r="A5431" s="189" t="str">
        <f t="shared" si="84"/>
        <v>GA-MD 82800.13S</v>
      </c>
      <c r="B5431" s="195" t="s">
        <v>2643</v>
      </c>
      <c r="C5431" s="196">
        <v>0</v>
      </c>
      <c r="D5431" s="196">
        <v>0.13</v>
      </c>
      <c r="E5431" s="195" t="s">
        <v>595</v>
      </c>
      <c r="F5431" s="195" t="s">
        <v>438</v>
      </c>
    </row>
    <row r="5432" spans="1:6" x14ac:dyDescent="0.25">
      <c r="A5432" s="189" t="str">
        <f t="shared" si="84"/>
        <v>GA-MD 828A00.12E</v>
      </c>
      <c r="B5432" s="195" t="s">
        <v>2644</v>
      </c>
      <c r="C5432" s="196">
        <v>0</v>
      </c>
      <c r="D5432" s="196">
        <v>0.12</v>
      </c>
      <c r="E5432" s="195" t="s">
        <v>598</v>
      </c>
      <c r="F5432" s="195" t="s">
        <v>19</v>
      </c>
    </row>
    <row r="5433" spans="1:6" x14ac:dyDescent="0.25">
      <c r="A5433" s="189" t="str">
        <f t="shared" si="84"/>
        <v>GA-MD 828A00.12W</v>
      </c>
      <c r="B5433" s="195" t="s">
        <v>2644</v>
      </c>
      <c r="C5433" s="196">
        <v>0</v>
      </c>
      <c r="D5433" s="196">
        <v>0.12</v>
      </c>
      <c r="E5433" s="195" t="s">
        <v>593</v>
      </c>
      <c r="F5433" s="195" t="s">
        <v>432</v>
      </c>
    </row>
    <row r="5434" spans="1:6" x14ac:dyDescent="0.25">
      <c r="A5434" s="189" t="str">
        <f t="shared" si="84"/>
        <v>GA-MD 94600.2N</v>
      </c>
      <c r="B5434" s="195" t="s">
        <v>2645</v>
      </c>
      <c r="C5434" s="196">
        <v>0</v>
      </c>
      <c r="D5434" s="196">
        <v>0.2</v>
      </c>
      <c r="E5434" s="195" t="s">
        <v>583</v>
      </c>
      <c r="F5434" s="195" t="s">
        <v>430</v>
      </c>
    </row>
    <row r="5435" spans="1:6" x14ac:dyDescent="0.25">
      <c r="A5435" s="189" t="str">
        <f t="shared" si="84"/>
        <v>GA-MD 94600.2S</v>
      </c>
      <c r="B5435" s="195" t="s">
        <v>2645</v>
      </c>
      <c r="C5435" s="196">
        <v>0</v>
      </c>
      <c r="D5435" s="196">
        <v>0.2</v>
      </c>
      <c r="E5435" s="195" t="s">
        <v>583</v>
      </c>
      <c r="F5435" s="195" t="s">
        <v>438</v>
      </c>
    </row>
    <row r="5436" spans="1:6" x14ac:dyDescent="0.25">
      <c r="A5436" s="189" t="str">
        <f t="shared" si="84"/>
        <v>GA-MD 9460.20.61N</v>
      </c>
      <c r="B5436" s="195" t="s">
        <v>2645</v>
      </c>
      <c r="C5436" s="196">
        <v>0.2</v>
      </c>
      <c r="D5436" s="196">
        <v>0.61</v>
      </c>
      <c r="E5436" s="195" t="s">
        <v>583</v>
      </c>
      <c r="F5436" s="195" t="s">
        <v>430</v>
      </c>
    </row>
    <row r="5437" spans="1:6" x14ac:dyDescent="0.25">
      <c r="A5437" s="189" t="str">
        <f t="shared" si="84"/>
        <v>GA-MD 9460.20.61S</v>
      </c>
      <c r="B5437" s="195" t="s">
        <v>2645</v>
      </c>
      <c r="C5437" s="196">
        <v>0.2</v>
      </c>
      <c r="D5437" s="196">
        <v>0.61</v>
      </c>
      <c r="E5437" s="195" t="s">
        <v>583</v>
      </c>
      <c r="F5437" s="195" t="s">
        <v>438</v>
      </c>
    </row>
    <row r="5438" spans="1:6" x14ac:dyDescent="0.25">
      <c r="A5438" s="189" t="str">
        <f t="shared" si="84"/>
        <v>GA-MD 948B0.190.43N</v>
      </c>
      <c r="B5438" s="195" t="s">
        <v>2646</v>
      </c>
      <c r="C5438" s="196">
        <v>0.19</v>
      </c>
      <c r="D5438" s="196">
        <v>0.43</v>
      </c>
      <c r="E5438" s="195" t="s">
        <v>583</v>
      </c>
      <c r="F5438" s="195" t="s">
        <v>430</v>
      </c>
    </row>
    <row r="5439" spans="1:6" x14ac:dyDescent="0.25">
      <c r="A5439" s="189" t="str">
        <f t="shared" si="84"/>
        <v>GA-MD 948B0.190.43S</v>
      </c>
      <c r="B5439" s="195" t="s">
        <v>2646</v>
      </c>
      <c r="C5439" s="196">
        <v>0.19</v>
      </c>
      <c r="D5439" s="196">
        <v>0.43</v>
      </c>
      <c r="E5439" s="195" t="s">
        <v>583</v>
      </c>
      <c r="F5439" s="195" t="s">
        <v>438</v>
      </c>
    </row>
    <row r="5440" spans="1:6" x14ac:dyDescent="0.25">
      <c r="A5440" s="189" t="str">
        <f t="shared" si="84"/>
        <v>GA-MD 948H00.62E</v>
      </c>
      <c r="B5440" s="195" t="s">
        <v>2647</v>
      </c>
      <c r="C5440" s="196">
        <v>0</v>
      </c>
      <c r="D5440" s="196">
        <v>0.62</v>
      </c>
      <c r="E5440" s="195" t="s">
        <v>583</v>
      </c>
      <c r="F5440" s="195" t="s">
        <v>19</v>
      </c>
    </row>
    <row r="5441" spans="1:6" x14ac:dyDescent="0.25">
      <c r="A5441" s="189" t="str">
        <f t="shared" si="84"/>
        <v>GA-MD 948H00.62W</v>
      </c>
      <c r="B5441" s="195" t="s">
        <v>2647</v>
      </c>
      <c r="C5441" s="196">
        <v>0</v>
      </c>
      <c r="D5441" s="196">
        <v>0.62</v>
      </c>
      <c r="E5441" s="195" t="s">
        <v>583</v>
      </c>
      <c r="F5441" s="195" t="s">
        <v>432</v>
      </c>
    </row>
    <row r="5442" spans="1:6" x14ac:dyDescent="0.25">
      <c r="A5442" s="189" t="str">
        <f t="shared" si="84"/>
        <v>GA-MD 948K00.4E</v>
      </c>
      <c r="B5442" s="195" t="s">
        <v>2648</v>
      </c>
      <c r="C5442" s="196">
        <v>0</v>
      </c>
      <c r="D5442" s="196">
        <v>0.4</v>
      </c>
      <c r="E5442" s="195" t="s">
        <v>598</v>
      </c>
      <c r="F5442" s="195" t="s">
        <v>19</v>
      </c>
    </row>
    <row r="5443" spans="1:6" x14ac:dyDescent="0.25">
      <c r="A5443" s="189" t="str">
        <f t="shared" ref="A5443:A5506" si="85">B5443&amp;C5443&amp;D5443&amp;F5443</f>
        <v>GA-MD 948K00.4W</v>
      </c>
      <c r="B5443" s="195" t="s">
        <v>2648</v>
      </c>
      <c r="C5443" s="196">
        <v>0</v>
      </c>
      <c r="D5443" s="196">
        <v>0.4</v>
      </c>
      <c r="E5443" s="195" t="s">
        <v>593</v>
      </c>
      <c r="F5443" s="195" t="s">
        <v>432</v>
      </c>
    </row>
    <row r="5444" spans="1:6" x14ac:dyDescent="0.25">
      <c r="A5444" s="189" t="str">
        <f t="shared" si="85"/>
        <v>GA-US 21904.45N</v>
      </c>
      <c r="B5444" s="195" t="s">
        <v>547</v>
      </c>
      <c r="C5444" s="196">
        <v>0</v>
      </c>
      <c r="D5444" s="196">
        <v>4.45</v>
      </c>
      <c r="E5444" s="195" t="s">
        <v>583</v>
      </c>
      <c r="F5444" s="195" t="s">
        <v>430</v>
      </c>
    </row>
    <row r="5445" spans="1:6" x14ac:dyDescent="0.25">
      <c r="A5445" s="189" t="str">
        <f t="shared" si="85"/>
        <v>GA-US 21904.45S</v>
      </c>
      <c r="B5445" s="195" t="s">
        <v>547</v>
      </c>
      <c r="C5445" s="196">
        <v>0</v>
      </c>
      <c r="D5445" s="196">
        <v>4.45</v>
      </c>
      <c r="E5445" s="195" t="s">
        <v>583</v>
      </c>
      <c r="F5445" s="195" t="s">
        <v>438</v>
      </c>
    </row>
    <row r="5446" spans="1:6" x14ac:dyDescent="0.25">
      <c r="A5446" s="189" t="str">
        <f t="shared" si="85"/>
        <v>GA-US 2194.756.5N</v>
      </c>
      <c r="B5446" s="195" t="s">
        <v>547</v>
      </c>
      <c r="C5446" s="196">
        <v>4.75</v>
      </c>
      <c r="D5446" s="196">
        <v>6.5</v>
      </c>
      <c r="E5446" s="195" t="s">
        <v>583</v>
      </c>
      <c r="F5446" s="195" t="s">
        <v>430</v>
      </c>
    </row>
    <row r="5447" spans="1:6" x14ac:dyDescent="0.25">
      <c r="A5447" s="189" t="str">
        <f t="shared" si="85"/>
        <v>GA-US 2194.756.5S</v>
      </c>
      <c r="B5447" s="195" t="s">
        <v>547</v>
      </c>
      <c r="C5447" s="196">
        <v>4.75</v>
      </c>
      <c r="D5447" s="196">
        <v>6.5</v>
      </c>
      <c r="E5447" s="195" t="s">
        <v>583</v>
      </c>
      <c r="F5447" s="195" t="s">
        <v>438</v>
      </c>
    </row>
    <row r="5448" spans="1:6" x14ac:dyDescent="0.25">
      <c r="A5448" s="189" t="str">
        <f t="shared" si="85"/>
        <v>GA-US 2196.56.6N</v>
      </c>
      <c r="B5448" s="195" t="s">
        <v>547</v>
      </c>
      <c r="C5448" s="196">
        <v>6.5</v>
      </c>
      <c r="D5448" s="196">
        <v>6.6</v>
      </c>
      <c r="E5448" s="195" t="s">
        <v>583</v>
      </c>
      <c r="F5448" s="195" t="s">
        <v>430</v>
      </c>
    </row>
    <row r="5449" spans="1:6" x14ac:dyDescent="0.25">
      <c r="A5449" s="189" t="str">
        <f t="shared" si="85"/>
        <v>GA-US 2196.56.6S</v>
      </c>
      <c r="B5449" s="195" t="s">
        <v>547</v>
      </c>
      <c r="C5449" s="196">
        <v>6.5</v>
      </c>
      <c r="D5449" s="196">
        <v>6.6</v>
      </c>
      <c r="E5449" s="195" t="s">
        <v>583</v>
      </c>
      <c r="F5449" s="195" t="s">
        <v>438</v>
      </c>
    </row>
    <row r="5450" spans="1:6" x14ac:dyDescent="0.25">
      <c r="A5450" s="189" t="str">
        <f t="shared" si="85"/>
        <v>GA-US 2196.66.95N</v>
      </c>
      <c r="B5450" s="195" t="s">
        <v>547</v>
      </c>
      <c r="C5450" s="196">
        <v>6.6</v>
      </c>
      <c r="D5450" s="196">
        <v>6.95</v>
      </c>
      <c r="E5450" s="195" t="s">
        <v>583</v>
      </c>
      <c r="F5450" s="195" t="s">
        <v>430</v>
      </c>
    </row>
    <row r="5451" spans="1:6" x14ac:dyDescent="0.25">
      <c r="A5451" s="189" t="str">
        <f t="shared" si="85"/>
        <v>GA-US 2196.66.95S</v>
      </c>
      <c r="B5451" s="195" t="s">
        <v>547</v>
      </c>
      <c r="C5451" s="196">
        <v>6.6</v>
      </c>
      <c r="D5451" s="196">
        <v>6.95</v>
      </c>
      <c r="E5451" s="195" t="s">
        <v>583</v>
      </c>
      <c r="F5451" s="195" t="s">
        <v>438</v>
      </c>
    </row>
    <row r="5452" spans="1:6" x14ac:dyDescent="0.25">
      <c r="A5452" s="189" t="str">
        <f t="shared" si="85"/>
        <v>GA-US 2196.959.3N</v>
      </c>
      <c r="B5452" s="195" t="s">
        <v>547</v>
      </c>
      <c r="C5452" s="196">
        <v>6.95</v>
      </c>
      <c r="D5452" s="196">
        <v>9.3000000000000007</v>
      </c>
      <c r="E5452" s="195" t="s">
        <v>583</v>
      </c>
      <c r="F5452" s="195" t="s">
        <v>430</v>
      </c>
    </row>
    <row r="5453" spans="1:6" x14ac:dyDescent="0.25">
      <c r="A5453" s="189" t="str">
        <f t="shared" si="85"/>
        <v>GA-US 2196.959.3S</v>
      </c>
      <c r="B5453" s="195" t="s">
        <v>547</v>
      </c>
      <c r="C5453" s="196">
        <v>6.95</v>
      </c>
      <c r="D5453" s="196">
        <v>9.3000000000000007</v>
      </c>
      <c r="E5453" s="195" t="s">
        <v>583</v>
      </c>
      <c r="F5453" s="195" t="s">
        <v>438</v>
      </c>
    </row>
    <row r="5454" spans="1:6" x14ac:dyDescent="0.25">
      <c r="A5454" s="189" t="str">
        <f t="shared" si="85"/>
        <v>GA-US 2199.310.84N</v>
      </c>
      <c r="B5454" s="195" t="s">
        <v>547</v>
      </c>
      <c r="C5454" s="196">
        <v>9.3000000000000007</v>
      </c>
      <c r="D5454" s="196">
        <v>10.84</v>
      </c>
      <c r="E5454" s="195" t="s">
        <v>583</v>
      </c>
      <c r="F5454" s="195" t="s">
        <v>430</v>
      </c>
    </row>
    <row r="5455" spans="1:6" x14ac:dyDescent="0.25">
      <c r="A5455" s="189" t="str">
        <f t="shared" si="85"/>
        <v>GA-US 2199.310.84S</v>
      </c>
      <c r="B5455" s="195" t="s">
        <v>547</v>
      </c>
      <c r="C5455" s="196">
        <v>9.3000000000000007</v>
      </c>
      <c r="D5455" s="196">
        <v>10.84</v>
      </c>
      <c r="E5455" s="195" t="s">
        <v>583</v>
      </c>
      <c r="F5455" s="195" t="s">
        <v>438</v>
      </c>
    </row>
    <row r="5456" spans="1:6" x14ac:dyDescent="0.25">
      <c r="A5456" s="189" t="str">
        <f t="shared" si="85"/>
        <v>GA-US 21910.8410.93N</v>
      </c>
      <c r="B5456" s="195" t="s">
        <v>547</v>
      </c>
      <c r="C5456" s="196">
        <v>10.84</v>
      </c>
      <c r="D5456" s="196">
        <v>10.93</v>
      </c>
      <c r="E5456" s="195" t="s">
        <v>583</v>
      </c>
      <c r="F5456" s="195" t="s">
        <v>430</v>
      </c>
    </row>
    <row r="5457" spans="1:6" x14ac:dyDescent="0.25">
      <c r="A5457" s="189" t="str">
        <f t="shared" si="85"/>
        <v>GA-US 21910.8410.93S</v>
      </c>
      <c r="B5457" s="195" t="s">
        <v>547</v>
      </c>
      <c r="C5457" s="196">
        <v>10.84</v>
      </c>
      <c r="D5457" s="196">
        <v>10.93</v>
      </c>
      <c r="E5457" s="195" t="s">
        <v>583</v>
      </c>
      <c r="F5457" s="195" t="s">
        <v>438</v>
      </c>
    </row>
    <row r="5458" spans="1:6" x14ac:dyDescent="0.25">
      <c r="A5458" s="189" t="str">
        <f t="shared" si="85"/>
        <v>GA-US 21910.9311.47N</v>
      </c>
      <c r="B5458" s="195" t="s">
        <v>547</v>
      </c>
      <c r="C5458" s="196">
        <v>10.93</v>
      </c>
      <c r="D5458" s="196">
        <v>11.47</v>
      </c>
      <c r="E5458" s="195" t="s">
        <v>583</v>
      </c>
      <c r="F5458" s="195" t="s">
        <v>430</v>
      </c>
    </row>
    <row r="5459" spans="1:6" x14ac:dyDescent="0.25">
      <c r="A5459" s="189" t="str">
        <f t="shared" si="85"/>
        <v>GA-US 21910.9311.47S</v>
      </c>
      <c r="B5459" s="195" t="s">
        <v>547</v>
      </c>
      <c r="C5459" s="196">
        <v>10.93</v>
      </c>
      <c r="D5459" s="196">
        <v>11.47</v>
      </c>
      <c r="E5459" s="195" t="s">
        <v>583</v>
      </c>
      <c r="F5459" s="195" t="s">
        <v>438</v>
      </c>
    </row>
    <row r="5460" spans="1:6" x14ac:dyDescent="0.25">
      <c r="A5460" s="189" t="str">
        <f t="shared" si="85"/>
        <v>GA-US 21911.4711.5N</v>
      </c>
      <c r="B5460" s="195" t="s">
        <v>547</v>
      </c>
      <c r="C5460" s="196">
        <v>11.47</v>
      </c>
      <c r="D5460" s="196">
        <v>11.5</v>
      </c>
      <c r="E5460" s="195" t="s">
        <v>583</v>
      </c>
      <c r="F5460" s="195" t="s">
        <v>430</v>
      </c>
    </row>
    <row r="5461" spans="1:6" x14ac:dyDescent="0.25">
      <c r="A5461" s="189" t="str">
        <f t="shared" si="85"/>
        <v>GA-US 21911.4711.5S</v>
      </c>
      <c r="B5461" s="195" t="s">
        <v>547</v>
      </c>
      <c r="C5461" s="196">
        <v>11.47</v>
      </c>
      <c r="D5461" s="196">
        <v>11.5</v>
      </c>
      <c r="E5461" s="195" t="s">
        <v>583</v>
      </c>
      <c r="F5461" s="195" t="s">
        <v>438</v>
      </c>
    </row>
    <row r="5462" spans="1:6" x14ac:dyDescent="0.25">
      <c r="A5462" s="189" t="str">
        <f t="shared" si="85"/>
        <v>GA-US 21911.511.9N</v>
      </c>
      <c r="B5462" s="195" t="s">
        <v>547</v>
      </c>
      <c r="C5462" s="196">
        <v>11.5</v>
      </c>
      <c r="D5462" s="196">
        <v>11.9</v>
      </c>
      <c r="E5462" s="195" t="s">
        <v>583</v>
      </c>
      <c r="F5462" s="195" t="s">
        <v>430</v>
      </c>
    </row>
    <row r="5463" spans="1:6" x14ac:dyDescent="0.25">
      <c r="A5463" s="189" t="str">
        <f t="shared" si="85"/>
        <v>GA-US 21911.511.9S</v>
      </c>
      <c r="B5463" s="195" t="s">
        <v>547</v>
      </c>
      <c r="C5463" s="196">
        <v>11.5</v>
      </c>
      <c r="D5463" s="196">
        <v>11.9</v>
      </c>
      <c r="E5463" s="195" t="s">
        <v>583</v>
      </c>
      <c r="F5463" s="195" t="s">
        <v>438</v>
      </c>
    </row>
    <row r="5464" spans="1:6" x14ac:dyDescent="0.25">
      <c r="A5464" s="189" t="str">
        <f t="shared" si="85"/>
        <v>GA-US 21911.913.17N</v>
      </c>
      <c r="B5464" s="195" t="s">
        <v>547</v>
      </c>
      <c r="C5464" s="196">
        <v>11.9</v>
      </c>
      <c r="D5464" s="196">
        <v>13.17</v>
      </c>
      <c r="E5464" s="195" t="s">
        <v>583</v>
      </c>
      <c r="F5464" s="195" t="s">
        <v>430</v>
      </c>
    </row>
    <row r="5465" spans="1:6" x14ac:dyDescent="0.25">
      <c r="A5465" s="189" t="str">
        <f t="shared" si="85"/>
        <v>GA-US 21911.913.17S</v>
      </c>
      <c r="B5465" s="195" t="s">
        <v>547</v>
      </c>
      <c r="C5465" s="196">
        <v>11.9</v>
      </c>
      <c r="D5465" s="196">
        <v>13.17</v>
      </c>
      <c r="E5465" s="195" t="s">
        <v>583</v>
      </c>
      <c r="F5465" s="195" t="s">
        <v>438</v>
      </c>
    </row>
    <row r="5466" spans="1:6" x14ac:dyDescent="0.25">
      <c r="A5466" s="189" t="str">
        <f t="shared" si="85"/>
        <v>GA-US 21913.1713.51N</v>
      </c>
      <c r="B5466" s="195" t="s">
        <v>547</v>
      </c>
      <c r="C5466" s="196">
        <v>13.17</v>
      </c>
      <c r="D5466" s="196">
        <v>13.51</v>
      </c>
      <c r="E5466" s="195" t="s">
        <v>583</v>
      </c>
      <c r="F5466" s="195" t="s">
        <v>430</v>
      </c>
    </row>
    <row r="5467" spans="1:6" x14ac:dyDescent="0.25">
      <c r="A5467" s="189" t="str">
        <f t="shared" si="85"/>
        <v>GA-US 21913.1713.51S</v>
      </c>
      <c r="B5467" s="195" t="s">
        <v>547</v>
      </c>
      <c r="C5467" s="196">
        <v>13.17</v>
      </c>
      <c r="D5467" s="196">
        <v>13.51</v>
      </c>
      <c r="E5467" s="195" t="s">
        <v>583</v>
      </c>
      <c r="F5467" s="195" t="s">
        <v>438</v>
      </c>
    </row>
    <row r="5468" spans="1:6" x14ac:dyDescent="0.25">
      <c r="A5468" s="189" t="str">
        <f t="shared" si="85"/>
        <v>GA-US 21913.5116.84N</v>
      </c>
      <c r="B5468" s="195" t="s">
        <v>547</v>
      </c>
      <c r="C5468" s="196">
        <v>13.51</v>
      </c>
      <c r="D5468" s="196">
        <v>16.84</v>
      </c>
      <c r="E5468" s="195" t="s">
        <v>583</v>
      </c>
      <c r="F5468" s="195" t="s">
        <v>430</v>
      </c>
    </row>
    <row r="5469" spans="1:6" x14ac:dyDescent="0.25">
      <c r="A5469" s="189" t="str">
        <f t="shared" si="85"/>
        <v>GA-US 21913.5116.84S</v>
      </c>
      <c r="B5469" s="195" t="s">
        <v>547</v>
      </c>
      <c r="C5469" s="196">
        <v>13.51</v>
      </c>
      <c r="D5469" s="196">
        <v>16.84</v>
      </c>
      <c r="E5469" s="195" t="s">
        <v>583</v>
      </c>
      <c r="F5469" s="195" t="s">
        <v>438</v>
      </c>
    </row>
    <row r="5470" spans="1:6" x14ac:dyDescent="0.25">
      <c r="A5470" s="189" t="str">
        <f t="shared" si="85"/>
        <v>GA-US 21916.8421.7N</v>
      </c>
      <c r="B5470" s="195" t="s">
        <v>547</v>
      </c>
      <c r="C5470" s="196">
        <v>16.84</v>
      </c>
      <c r="D5470" s="196">
        <v>21.7</v>
      </c>
      <c r="E5470" s="195" t="s">
        <v>589</v>
      </c>
      <c r="F5470" s="195" t="s">
        <v>430</v>
      </c>
    </row>
    <row r="5471" spans="1:6" x14ac:dyDescent="0.25">
      <c r="A5471" s="189" t="str">
        <f t="shared" si="85"/>
        <v>GA-US 21916.8421.93S</v>
      </c>
      <c r="B5471" s="195" t="s">
        <v>547</v>
      </c>
      <c r="C5471" s="196">
        <v>16.84</v>
      </c>
      <c r="D5471" s="196">
        <v>21.93</v>
      </c>
      <c r="E5471" s="195" t="s">
        <v>595</v>
      </c>
      <c r="F5471" s="195" t="s">
        <v>438</v>
      </c>
    </row>
    <row r="5472" spans="1:6" x14ac:dyDescent="0.25">
      <c r="A5472" s="189" t="str">
        <f t="shared" si="85"/>
        <v>GA-US 21921.721.83N</v>
      </c>
      <c r="B5472" s="195" t="s">
        <v>547</v>
      </c>
      <c r="C5472" s="196">
        <v>21.7</v>
      </c>
      <c r="D5472" s="196">
        <v>21.83</v>
      </c>
      <c r="E5472" s="195" t="s">
        <v>589</v>
      </c>
      <c r="F5472" s="195" t="s">
        <v>430</v>
      </c>
    </row>
    <row r="5473" spans="1:6" x14ac:dyDescent="0.25">
      <c r="A5473" s="189" t="str">
        <f t="shared" si="85"/>
        <v>GA-US 21921.8321.93N</v>
      </c>
      <c r="B5473" s="195" t="s">
        <v>547</v>
      </c>
      <c r="C5473" s="196">
        <v>21.83</v>
      </c>
      <c r="D5473" s="196">
        <v>21.93</v>
      </c>
      <c r="E5473" s="195" t="s">
        <v>589</v>
      </c>
      <c r="F5473" s="195" t="s">
        <v>430</v>
      </c>
    </row>
    <row r="5474" spans="1:6" x14ac:dyDescent="0.25">
      <c r="A5474" s="189" t="str">
        <f t="shared" si="85"/>
        <v>GA-US 21921.9322.11S</v>
      </c>
      <c r="B5474" s="195" t="s">
        <v>547</v>
      </c>
      <c r="C5474" s="196">
        <v>21.93</v>
      </c>
      <c r="D5474" s="196">
        <v>22.11</v>
      </c>
      <c r="E5474" s="195" t="s">
        <v>595</v>
      </c>
      <c r="F5474" s="195" t="s">
        <v>438</v>
      </c>
    </row>
    <row r="5475" spans="1:6" x14ac:dyDescent="0.25">
      <c r="A5475" s="189" t="str">
        <f t="shared" si="85"/>
        <v>GA-US 21921.9324.5N</v>
      </c>
      <c r="B5475" s="195" t="s">
        <v>547</v>
      </c>
      <c r="C5475" s="196">
        <v>21.93</v>
      </c>
      <c r="D5475" s="196">
        <v>24.5</v>
      </c>
      <c r="E5475" s="195" t="s">
        <v>589</v>
      </c>
      <c r="F5475" s="195" t="s">
        <v>430</v>
      </c>
    </row>
    <row r="5476" spans="1:6" x14ac:dyDescent="0.25">
      <c r="A5476" s="189" t="str">
        <f t="shared" si="85"/>
        <v>GA-US 21922.1122.24S</v>
      </c>
      <c r="B5476" s="195" t="s">
        <v>547</v>
      </c>
      <c r="C5476" s="196">
        <v>22.11</v>
      </c>
      <c r="D5476" s="196">
        <v>22.24</v>
      </c>
      <c r="E5476" s="195" t="s">
        <v>595</v>
      </c>
      <c r="F5476" s="195" t="s">
        <v>438</v>
      </c>
    </row>
    <row r="5477" spans="1:6" x14ac:dyDescent="0.25">
      <c r="A5477" s="189" t="str">
        <f t="shared" si="85"/>
        <v>GA-US 21922.2424.5S</v>
      </c>
      <c r="B5477" s="195" t="s">
        <v>547</v>
      </c>
      <c r="C5477" s="196">
        <v>22.24</v>
      </c>
      <c r="D5477" s="196">
        <v>24.5</v>
      </c>
      <c r="E5477" s="195" t="s">
        <v>595</v>
      </c>
      <c r="F5477" s="195" t="s">
        <v>438</v>
      </c>
    </row>
    <row r="5478" spans="1:6" x14ac:dyDescent="0.25">
      <c r="A5478" s="189" t="str">
        <f t="shared" si="85"/>
        <v>GA-US 21924.525.62N</v>
      </c>
      <c r="B5478" s="195" t="s">
        <v>547</v>
      </c>
      <c r="C5478" s="196">
        <v>24.5</v>
      </c>
      <c r="D5478" s="196">
        <v>25.62</v>
      </c>
      <c r="E5478" s="195" t="s">
        <v>583</v>
      </c>
      <c r="F5478" s="195" t="s">
        <v>430</v>
      </c>
    </row>
    <row r="5479" spans="1:6" x14ac:dyDescent="0.25">
      <c r="A5479" s="189" t="str">
        <f t="shared" si="85"/>
        <v>GA-US 21924.525.62S</v>
      </c>
      <c r="B5479" s="195" t="s">
        <v>547</v>
      </c>
      <c r="C5479" s="196">
        <v>24.5</v>
      </c>
      <c r="D5479" s="196">
        <v>25.62</v>
      </c>
      <c r="E5479" s="195" t="s">
        <v>583</v>
      </c>
      <c r="F5479" s="195" t="s">
        <v>438</v>
      </c>
    </row>
    <row r="5480" spans="1:6" x14ac:dyDescent="0.25">
      <c r="A5480" s="189" t="str">
        <f t="shared" si="85"/>
        <v>GA-US 21925.6230.25N</v>
      </c>
      <c r="B5480" s="195" t="s">
        <v>547</v>
      </c>
      <c r="C5480" s="196">
        <v>25.62</v>
      </c>
      <c r="D5480" s="196">
        <v>30.25</v>
      </c>
      <c r="E5480" s="195" t="s">
        <v>583</v>
      </c>
      <c r="F5480" s="195" t="s">
        <v>430</v>
      </c>
    </row>
    <row r="5481" spans="1:6" x14ac:dyDescent="0.25">
      <c r="A5481" s="189" t="str">
        <f t="shared" si="85"/>
        <v>GA-US 21925.6230.25S</v>
      </c>
      <c r="B5481" s="195" t="s">
        <v>547</v>
      </c>
      <c r="C5481" s="196">
        <v>25.62</v>
      </c>
      <c r="D5481" s="196">
        <v>30.25</v>
      </c>
      <c r="E5481" s="195" t="s">
        <v>583</v>
      </c>
      <c r="F5481" s="195" t="s">
        <v>438</v>
      </c>
    </row>
    <row r="5482" spans="1:6" x14ac:dyDescent="0.25">
      <c r="A5482" s="189" t="str">
        <f t="shared" si="85"/>
        <v>GA-US 21930.2531.05N</v>
      </c>
      <c r="B5482" s="195" t="s">
        <v>547</v>
      </c>
      <c r="C5482" s="196">
        <v>30.25</v>
      </c>
      <c r="D5482" s="196">
        <v>31.05</v>
      </c>
      <c r="E5482" s="195" t="s">
        <v>583</v>
      </c>
      <c r="F5482" s="195" t="s">
        <v>430</v>
      </c>
    </row>
    <row r="5483" spans="1:6" x14ac:dyDescent="0.25">
      <c r="A5483" s="189" t="str">
        <f t="shared" si="85"/>
        <v>GA-US 21930.2531.05S</v>
      </c>
      <c r="B5483" s="195" t="s">
        <v>547</v>
      </c>
      <c r="C5483" s="196">
        <v>30.25</v>
      </c>
      <c r="D5483" s="196">
        <v>31.05</v>
      </c>
      <c r="E5483" s="195" t="s">
        <v>583</v>
      </c>
      <c r="F5483" s="195" t="s">
        <v>438</v>
      </c>
    </row>
    <row r="5484" spans="1:6" x14ac:dyDescent="0.25">
      <c r="A5484" s="189" t="str">
        <f t="shared" si="85"/>
        <v>GA-US 21931.0532.85N</v>
      </c>
      <c r="B5484" s="195" t="s">
        <v>547</v>
      </c>
      <c r="C5484" s="196">
        <v>31.05</v>
      </c>
      <c r="D5484" s="196">
        <v>32.85</v>
      </c>
      <c r="E5484" s="195" t="s">
        <v>583</v>
      </c>
      <c r="F5484" s="195" t="s">
        <v>430</v>
      </c>
    </row>
    <row r="5485" spans="1:6" x14ac:dyDescent="0.25">
      <c r="A5485" s="189" t="str">
        <f t="shared" si="85"/>
        <v>GA-US 21931.0532.85S</v>
      </c>
      <c r="B5485" s="195" t="s">
        <v>547</v>
      </c>
      <c r="C5485" s="196">
        <v>31.05</v>
      </c>
      <c r="D5485" s="196">
        <v>32.85</v>
      </c>
      <c r="E5485" s="195" t="s">
        <v>583</v>
      </c>
      <c r="F5485" s="195" t="s">
        <v>438</v>
      </c>
    </row>
    <row r="5486" spans="1:6" x14ac:dyDescent="0.25">
      <c r="A5486" s="189" t="str">
        <f t="shared" si="85"/>
        <v>GA-US 21932.8537.42N</v>
      </c>
      <c r="B5486" s="195" t="s">
        <v>547</v>
      </c>
      <c r="C5486" s="196">
        <v>32.85</v>
      </c>
      <c r="D5486" s="196">
        <v>37.42</v>
      </c>
      <c r="E5486" s="195" t="s">
        <v>583</v>
      </c>
      <c r="F5486" s="195" t="s">
        <v>430</v>
      </c>
    </row>
    <row r="5487" spans="1:6" x14ac:dyDescent="0.25">
      <c r="A5487" s="189" t="str">
        <f t="shared" si="85"/>
        <v>GA-US 21932.8537.42S</v>
      </c>
      <c r="B5487" s="195" t="s">
        <v>547</v>
      </c>
      <c r="C5487" s="196">
        <v>32.85</v>
      </c>
      <c r="D5487" s="196">
        <v>37.42</v>
      </c>
      <c r="E5487" s="195" t="s">
        <v>583</v>
      </c>
      <c r="F5487" s="195" t="s">
        <v>438</v>
      </c>
    </row>
    <row r="5488" spans="1:6" x14ac:dyDescent="0.25">
      <c r="A5488" s="189" t="str">
        <f t="shared" si="85"/>
        <v>GA-US 21937.4245.86N</v>
      </c>
      <c r="B5488" s="195" t="s">
        <v>547</v>
      </c>
      <c r="C5488" s="196">
        <v>37.42</v>
      </c>
      <c r="D5488" s="196">
        <v>45.86</v>
      </c>
      <c r="E5488" s="195" t="s">
        <v>583</v>
      </c>
      <c r="F5488" s="195" t="s">
        <v>430</v>
      </c>
    </row>
    <row r="5489" spans="1:6" x14ac:dyDescent="0.25">
      <c r="A5489" s="189" t="str">
        <f t="shared" si="85"/>
        <v>GA-US 21937.4245.86S</v>
      </c>
      <c r="B5489" s="195" t="s">
        <v>547</v>
      </c>
      <c r="C5489" s="196">
        <v>37.42</v>
      </c>
      <c r="D5489" s="196">
        <v>45.86</v>
      </c>
      <c r="E5489" s="195" t="s">
        <v>583</v>
      </c>
      <c r="F5489" s="195" t="s">
        <v>438</v>
      </c>
    </row>
    <row r="5490" spans="1:6" x14ac:dyDescent="0.25">
      <c r="A5490" s="189" t="str">
        <f t="shared" si="85"/>
        <v>GA-US 21945.8646.45N</v>
      </c>
      <c r="B5490" s="195" t="s">
        <v>547</v>
      </c>
      <c r="C5490" s="196">
        <v>45.86</v>
      </c>
      <c r="D5490" s="196">
        <v>46.45</v>
      </c>
      <c r="E5490" s="195" t="s">
        <v>583</v>
      </c>
      <c r="F5490" s="195" t="s">
        <v>430</v>
      </c>
    </row>
    <row r="5491" spans="1:6" x14ac:dyDescent="0.25">
      <c r="A5491" s="189" t="str">
        <f t="shared" si="85"/>
        <v>GA-US 21945.8646.45S</v>
      </c>
      <c r="B5491" s="195" t="s">
        <v>547</v>
      </c>
      <c r="C5491" s="196">
        <v>45.86</v>
      </c>
      <c r="D5491" s="196">
        <v>46.45</v>
      </c>
      <c r="E5491" s="195" t="s">
        <v>583</v>
      </c>
      <c r="F5491" s="195" t="s">
        <v>438</v>
      </c>
    </row>
    <row r="5492" spans="1:6" x14ac:dyDescent="0.25">
      <c r="A5492" s="189" t="str">
        <f t="shared" si="85"/>
        <v>GA-US 21946.4548.4N</v>
      </c>
      <c r="B5492" s="195" t="s">
        <v>547</v>
      </c>
      <c r="C5492" s="196">
        <v>46.45</v>
      </c>
      <c r="D5492" s="196">
        <v>48.4</v>
      </c>
      <c r="E5492" s="195" t="s">
        <v>583</v>
      </c>
      <c r="F5492" s="195" t="s">
        <v>430</v>
      </c>
    </row>
    <row r="5493" spans="1:6" x14ac:dyDescent="0.25">
      <c r="A5493" s="189" t="str">
        <f t="shared" si="85"/>
        <v>GA-US 21946.4548.4S</v>
      </c>
      <c r="B5493" s="195" t="s">
        <v>547</v>
      </c>
      <c r="C5493" s="196">
        <v>46.45</v>
      </c>
      <c r="D5493" s="196">
        <v>48.4</v>
      </c>
      <c r="E5493" s="195" t="s">
        <v>583</v>
      </c>
      <c r="F5493" s="195" t="s">
        <v>438</v>
      </c>
    </row>
    <row r="5494" spans="1:6" x14ac:dyDescent="0.25">
      <c r="A5494" s="189" t="str">
        <f t="shared" si="85"/>
        <v>GA-US 219A00.1E</v>
      </c>
      <c r="B5494" s="195" t="s">
        <v>2649</v>
      </c>
      <c r="C5494" s="196">
        <v>0</v>
      </c>
      <c r="D5494" s="196">
        <v>0.1</v>
      </c>
      <c r="E5494" s="195" t="s">
        <v>598</v>
      </c>
      <c r="F5494" s="195" t="s">
        <v>19</v>
      </c>
    </row>
    <row r="5495" spans="1:6" x14ac:dyDescent="0.25">
      <c r="A5495" s="189" t="str">
        <f t="shared" si="85"/>
        <v>GA-US 219A00.1W</v>
      </c>
      <c r="B5495" s="195" t="s">
        <v>2649</v>
      </c>
      <c r="C5495" s="196">
        <v>0</v>
      </c>
      <c r="D5495" s="196">
        <v>0.1</v>
      </c>
      <c r="E5495" s="195" t="s">
        <v>593</v>
      </c>
      <c r="F5495" s="195" t="s">
        <v>432</v>
      </c>
    </row>
    <row r="5496" spans="1:6" x14ac:dyDescent="0.25">
      <c r="A5496" s="189" t="str">
        <f t="shared" si="85"/>
        <v>GA-US 219B00.01E</v>
      </c>
      <c r="B5496" s="195" t="s">
        <v>2650</v>
      </c>
      <c r="C5496" s="196">
        <v>0</v>
      </c>
      <c r="D5496" s="196">
        <v>0.01</v>
      </c>
      <c r="E5496" s="195" t="s">
        <v>598</v>
      </c>
      <c r="F5496" s="195" t="s">
        <v>19</v>
      </c>
    </row>
    <row r="5497" spans="1:6" x14ac:dyDescent="0.25">
      <c r="A5497" s="189" t="str">
        <f t="shared" si="85"/>
        <v>GA-US 219B00.01W</v>
      </c>
      <c r="B5497" s="195" t="s">
        <v>2650</v>
      </c>
      <c r="C5497" s="196">
        <v>0</v>
      </c>
      <c r="D5497" s="196">
        <v>0.01</v>
      </c>
      <c r="E5497" s="195" t="s">
        <v>593</v>
      </c>
      <c r="F5497" s="195" t="s">
        <v>432</v>
      </c>
    </row>
    <row r="5498" spans="1:6" x14ac:dyDescent="0.25">
      <c r="A5498" s="189" t="str">
        <f t="shared" si="85"/>
        <v>GA-US 219C00.01E</v>
      </c>
      <c r="B5498" s="195" t="s">
        <v>2651</v>
      </c>
      <c r="C5498" s="196">
        <v>0</v>
      </c>
      <c r="D5498" s="196">
        <v>0.01</v>
      </c>
      <c r="E5498" s="195" t="s">
        <v>598</v>
      </c>
      <c r="F5498" s="195" t="s">
        <v>19</v>
      </c>
    </row>
    <row r="5499" spans="1:6" x14ac:dyDescent="0.25">
      <c r="A5499" s="189" t="str">
        <f t="shared" si="85"/>
        <v>GA-US 219C00.01W</v>
      </c>
      <c r="B5499" s="195" t="s">
        <v>2651</v>
      </c>
      <c r="C5499" s="196">
        <v>0</v>
      </c>
      <c r="D5499" s="196">
        <v>0.01</v>
      </c>
      <c r="E5499" s="195" t="s">
        <v>593</v>
      </c>
      <c r="F5499" s="195" t="s">
        <v>432</v>
      </c>
    </row>
    <row r="5500" spans="1:6" x14ac:dyDescent="0.25">
      <c r="A5500" s="189" t="str">
        <f t="shared" si="85"/>
        <v>GA-US 219D00.01N</v>
      </c>
      <c r="B5500" s="195" t="s">
        <v>2652</v>
      </c>
      <c r="C5500" s="196">
        <v>0</v>
      </c>
      <c r="D5500" s="196">
        <v>0.01</v>
      </c>
      <c r="E5500" s="195" t="s">
        <v>589</v>
      </c>
      <c r="F5500" s="195" t="s">
        <v>430</v>
      </c>
    </row>
    <row r="5501" spans="1:6" x14ac:dyDescent="0.25">
      <c r="A5501" s="189" t="str">
        <f t="shared" si="85"/>
        <v>GA-US 219D00.01S</v>
      </c>
      <c r="B5501" s="195" t="s">
        <v>2652</v>
      </c>
      <c r="C5501" s="196">
        <v>0</v>
      </c>
      <c r="D5501" s="196">
        <v>0.01</v>
      </c>
      <c r="E5501" s="195" t="s">
        <v>595</v>
      </c>
      <c r="F5501" s="195" t="s">
        <v>438</v>
      </c>
    </row>
    <row r="5502" spans="1:6" x14ac:dyDescent="0.25">
      <c r="A5502" s="189" t="str">
        <f t="shared" si="85"/>
        <v>GA-US 219E00.01N</v>
      </c>
      <c r="B5502" s="195" t="s">
        <v>2653</v>
      </c>
      <c r="C5502" s="196">
        <v>0</v>
      </c>
      <c r="D5502" s="196">
        <v>0.01</v>
      </c>
      <c r="E5502" s="195" t="s">
        <v>589</v>
      </c>
      <c r="F5502" s="195" t="s">
        <v>430</v>
      </c>
    </row>
    <row r="5503" spans="1:6" x14ac:dyDescent="0.25">
      <c r="A5503" s="189" t="str">
        <f t="shared" si="85"/>
        <v>GA-US 219E00.01S</v>
      </c>
      <c r="B5503" s="195" t="s">
        <v>2653</v>
      </c>
      <c r="C5503" s="196">
        <v>0</v>
      </c>
      <c r="D5503" s="196">
        <v>0.01</v>
      </c>
      <c r="E5503" s="195" t="s">
        <v>595</v>
      </c>
      <c r="F5503" s="195" t="s">
        <v>438</v>
      </c>
    </row>
    <row r="5504" spans="1:6" x14ac:dyDescent="0.25">
      <c r="A5504" s="189" t="str">
        <f t="shared" si="85"/>
        <v>GA-US 219F00.02N</v>
      </c>
      <c r="B5504" s="195" t="s">
        <v>2654</v>
      </c>
      <c r="C5504" s="196">
        <v>0</v>
      </c>
      <c r="D5504" s="196">
        <v>0.02</v>
      </c>
      <c r="E5504" s="195" t="s">
        <v>589</v>
      </c>
      <c r="F5504" s="195" t="s">
        <v>430</v>
      </c>
    </row>
    <row r="5505" spans="1:6" x14ac:dyDescent="0.25">
      <c r="A5505" s="189" t="str">
        <f t="shared" si="85"/>
        <v>GA-US 219F00.02S</v>
      </c>
      <c r="B5505" s="195" t="s">
        <v>2654</v>
      </c>
      <c r="C5505" s="196">
        <v>0</v>
      </c>
      <c r="D5505" s="196">
        <v>0.02</v>
      </c>
      <c r="E5505" s="195" t="s">
        <v>595</v>
      </c>
      <c r="F5505" s="195" t="s">
        <v>438</v>
      </c>
    </row>
    <row r="5506" spans="1:6" x14ac:dyDescent="0.25">
      <c r="A5506" s="189" t="str">
        <f t="shared" si="85"/>
        <v>GA-US 219G00.04N</v>
      </c>
      <c r="B5506" s="195" t="s">
        <v>2655</v>
      </c>
      <c r="C5506" s="196">
        <v>0</v>
      </c>
      <c r="D5506" s="196">
        <v>0.04</v>
      </c>
      <c r="E5506" s="195" t="s">
        <v>589</v>
      </c>
      <c r="F5506" s="195" t="s">
        <v>430</v>
      </c>
    </row>
    <row r="5507" spans="1:6" x14ac:dyDescent="0.25">
      <c r="A5507" s="189" t="str">
        <f t="shared" ref="A5507:A5570" si="86">B5507&amp;C5507&amp;D5507&amp;F5507</f>
        <v>GA-US 219G00.04S</v>
      </c>
      <c r="B5507" s="195" t="s">
        <v>2655</v>
      </c>
      <c r="C5507" s="196">
        <v>0</v>
      </c>
      <c r="D5507" s="196">
        <v>0.04</v>
      </c>
      <c r="E5507" s="195" t="s">
        <v>595</v>
      </c>
      <c r="F5507" s="195" t="s">
        <v>438</v>
      </c>
    </row>
    <row r="5508" spans="1:6" x14ac:dyDescent="0.25">
      <c r="A5508" s="189" t="str">
        <f t="shared" si="86"/>
        <v>GA-US 219J00.14N</v>
      </c>
      <c r="B5508" s="195" t="s">
        <v>2656</v>
      </c>
      <c r="C5508" s="196">
        <v>0</v>
      </c>
      <c r="D5508" s="196">
        <v>0.14000000000000001</v>
      </c>
      <c r="E5508" s="195" t="s">
        <v>583</v>
      </c>
      <c r="F5508" s="195" t="s">
        <v>430</v>
      </c>
    </row>
    <row r="5509" spans="1:6" x14ac:dyDescent="0.25">
      <c r="A5509" s="189" t="str">
        <f t="shared" si="86"/>
        <v>GA-US 219J00.14S</v>
      </c>
      <c r="B5509" s="195" t="s">
        <v>2656</v>
      </c>
      <c r="C5509" s="196">
        <v>0</v>
      </c>
      <c r="D5509" s="196">
        <v>0.14000000000000001</v>
      </c>
      <c r="E5509" s="195" t="s">
        <v>583</v>
      </c>
      <c r="F5509" s="195" t="s">
        <v>438</v>
      </c>
    </row>
    <row r="5510" spans="1:6" x14ac:dyDescent="0.25">
      <c r="A5510" s="189" t="str">
        <f t="shared" si="86"/>
        <v>GA-US 4003.72E</v>
      </c>
      <c r="B5510" s="195" t="s">
        <v>2657</v>
      </c>
      <c r="C5510" s="196">
        <v>0</v>
      </c>
      <c r="D5510" s="196">
        <v>3.72</v>
      </c>
      <c r="E5510" s="195" t="s">
        <v>583</v>
      </c>
      <c r="F5510" s="195" t="s">
        <v>19</v>
      </c>
    </row>
    <row r="5511" spans="1:6" x14ac:dyDescent="0.25">
      <c r="A5511" s="189" t="str">
        <f t="shared" si="86"/>
        <v>GA-US 4003.72W</v>
      </c>
      <c r="B5511" s="195" t="s">
        <v>2657</v>
      </c>
      <c r="C5511" s="196">
        <v>0</v>
      </c>
      <c r="D5511" s="196">
        <v>3.72</v>
      </c>
      <c r="E5511" s="195" t="s">
        <v>583</v>
      </c>
      <c r="F5511" s="195" t="s">
        <v>432</v>
      </c>
    </row>
    <row r="5512" spans="1:6" x14ac:dyDescent="0.25">
      <c r="A5512" s="189" t="str">
        <f t="shared" si="86"/>
        <v>GA-US 403.723.74E</v>
      </c>
      <c r="B5512" s="195" t="s">
        <v>2657</v>
      </c>
      <c r="C5512" s="196">
        <v>3.72</v>
      </c>
      <c r="D5512" s="196">
        <v>3.74</v>
      </c>
      <c r="E5512" s="195" t="s">
        <v>583</v>
      </c>
      <c r="F5512" s="195" t="s">
        <v>19</v>
      </c>
    </row>
    <row r="5513" spans="1:6" x14ac:dyDescent="0.25">
      <c r="A5513" s="189" t="str">
        <f t="shared" si="86"/>
        <v>GA-US 403.723.74W</v>
      </c>
      <c r="B5513" s="195" t="s">
        <v>2657</v>
      </c>
      <c r="C5513" s="196">
        <v>3.72</v>
      </c>
      <c r="D5513" s="196">
        <v>3.74</v>
      </c>
      <c r="E5513" s="195" t="s">
        <v>583</v>
      </c>
      <c r="F5513" s="195" t="s">
        <v>432</v>
      </c>
    </row>
    <row r="5514" spans="1:6" x14ac:dyDescent="0.25">
      <c r="A5514" s="189" t="str">
        <f t="shared" si="86"/>
        <v>GA-US 40AL05.22E</v>
      </c>
      <c r="B5514" s="195" t="s">
        <v>2658</v>
      </c>
      <c r="C5514" s="196">
        <v>0</v>
      </c>
      <c r="D5514" s="196">
        <v>5.22</v>
      </c>
      <c r="E5514" s="195" t="s">
        <v>583</v>
      </c>
      <c r="F5514" s="195" t="s">
        <v>19</v>
      </c>
    </row>
    <row r="5515" spans="1:6" x14ac:dyDescent="0.25">
      <c r="A5515" s="189" t="str">
        <f t="shared" si="86"/>
        <v>GA-US 40AL05.22W</v>
      </c>
      <c r="B5515" s="195" t="s">
        <v>2658</v>
      </c>
      <c r="C5515" s="196">
        <v>0</v>
      </c>
      <c r="D5515" s="196">
        <v>5.22</v>
      </c>
      <c r="E5515" s="195" t="s">
        <v>583</v>
      </c>
      <c r="F5515" s="195" t="s">
        <v>432</v>
      </c>
    </row>
    <row r="5516" spans="1:6" x14ac:dyDescent="0.25">
      <c r="A5516" s="189" t="str">
        <f t="shared" si="86"/>
        <v>GA-US 40AL5.226.09E</v>
      </c>
      <c r="B5516" s="195" t="s">
        <v>2658</v>
      </c>
      <c r="C5516" s="196">
        <v>5.22</v>
      </c>
      <c r="D5516" s="196">
        <v>6.09</v>
      </c>
      <c r="E5516" s="195" t="s">
        <v>583</v>
      </c>
      <c r="F5516" s="195" t="s">
        <v>19</v>
      </c>
    </row>
    <row r="5517" spans="1:6" x14ac:dyDescent="0.25">
      <c r="A5517" s="189" t="str">
        <f t="shared" si="86"/>
        <v>GA-US 40AL5.226.09W</v>
      </c>
      <c r="B5517" s="195" t="s">
        <v>2658</v>
      </c>
      <c r="C5517" s="196">
        <v>5.22</v>
      </c>
      <c r="D5517" s="196">
        <v>6.09</v>
      </c>
      <c r="E5517" s="195" t="s">
        <v>583</v>
      </c>
      <c r="F5517" s="195" t="s">
        <v>432</v>
      </c>
    </row>
    <row r="5518" spans="1:6" x14ac:dyDescent="0.25">
      <c r="A5518" s="189" t="str">
        <f t="shared" si="86"/>
        <v>GA-US 40AL6.0916.06E</v>
      </c>
      <c r="B5518" s="195" t="s">
        <v>2658</v>
      </c>
      <c r="C5518" s="196">
        <v>6.09</v>
      </c>
      <c r="D5518" s="196">
        <v>16.059999999999999</v>
      </c>
      <c r="E5518" s="195" t="s">
        <v>598</v>
      </c>
      <c r="F5518" s="195" t="s">
        <v>19</v>
      </c>
    </row>
    <row r="5519" spans="1:6" x14ac:dyDescent="0.25">
      <c r="A5519" s="189" t="str">
        <f t="shared" si="86"/>
        <v>GA-US 40AL6.0916.22W</v>
      </c>
      <c r="B5519" s="195" t="s">
        <v>2658</v>
      </c>
      <c r="C5519" s="196">
        <v>6.09</v>
      </c>
      <c r="D5519" s="196">
        <v>16.22</v>
      </c>
      <c r="E5519" s="195" t="s">
        <v>593</v>
      </c>
      <c r="F5519" s="195" t="s">
        <v>432</v>
      </c>
    </row>
    <row r="5520" spans="1:6" x14ac:dyDescent="0.25">
      <c r="A5520" s="189" t="str">
        <f t="shared" si="86"/>
        <v>GA-US 40AL16.0617.36E</v>
      </c>
      <c r="B5520" s="195" t="s">
        <v>2658</v>
      </c>
      <c r="C5520" s="196">
        <v>16.059999999999999</v>
      </c>
      <c r="D5520" s="196">
        <v>17.36</v>
      </c>
      <c r="E5520" s="195" t="s">
        <v>598</v>
      </c>
      <c r="F5520" s="195" t="s">
        <v>19</v>
      </c>
    </row>
    <row r="5521" spans="1:6" x14ac:dyDescent="0.25">
      <c r="A5521" s="189" t="str">
        <f t="shared" si="86"/>
        <v>GA-US 40AL16.2217.36W</v>
      </c>
      <c r="B5521" s="195" t="s">
        <v>2658</v>
      </c>
      <c r="C5521" s="196">
        <v>16.22</v>
      </c>
      <c r="D5521" s="196">
        <v>17.36</v>
      </c>
      <c r="E5521" s="195" t="s">
        <v>593</v>
      </c>
      <c r="F5521" s="195" t="s">
        <v>432</v>
      </c>
    </row>
    <row r="5522" spans="1:6" x14ac:dyDescent="0.25">
      <c r="A5522" s="189" t="str">
        <f t="shared" si="86"/>
        <v>GA-US 5002.08E</v>
      </c>
      <c r="B5522" s="195" t="s">
        <v>2659</v>
      </c>
      <c r="C5522" s="196">
        <v>0</v>
      </c>
      <c r="D5522" s="196">
        <v>2.08</v>
      </c>
      <c r="E5522" s="195" t="s">
        <v>583</v>
      </c>
      <c r="F5522" s="195" t="s">
        <v>19</v>
      </c>
    </row>
    <row r="5523" spans="1:6" x14ac:dyDescent="0.25">
      <c r="A5523" s="189" t="str">
        <f t="shared" si="86"/>
        <v>GA-US 5002.08W</v>
      </c>
      <c r="B5523" s="195" t="s">
        <v>2659</v>
      </c>
      <c r="C5523" s="196">
        <v>0</v>
      </c>
      <c r="D5523" s="196">
        <v>2.08</v>
      </c>
      <c r="E5523" s="195" t="s">
        <v>583</v>
      </c>
      <c r="F5523" s="195" t="s">
        <v>432</v>
      </c>
    </row>
    <row r="5524" spans="1:6" x14ac:dyDescent="0.25">
      <c r="A5524" s="189" t="str">
        <f t="shared" si="86"/>
        <v>GA-US 502.084.5E</v>
      </c>
      <c r="B5524" s="195" t="s">
        <v>2659</v>
      </c>
      <c r="C5524" s="196">
        <v>2.08</v>
      </c>
      <c r="D5524" s="196">
        <v>4.5</v>
      </c>
      <c r="E5524" s="195" t="s">
        <v>583</v>
      </c>
      <c r="F5524" s="195" t="s">
        <v>19</v>
      </c>
    </row>
    <row r="5525" spans="1:6" x14ac:dyDescent="0.25">
      <c r="A5525" s="189" t="str">
        <f t="shared" si="86"/>
        <v>GA-US 502.084.5W</v>
      </c>
      <c r="B5525" s="195" t="s">
        <v>2659</v>
      </c>
      <c r="C5525" s="196">
        <v>2.08</v>
      </c>
      <c r="D5525" s="196">
        <v>4.5</v>
      </c>
      <c r="E5525" s="195" t="s">
        <v>583</v>
      </c>
      <c r="F5525" s="195" t="s">
        <v>432</v>
      </c>
    </row>
    <row r="5526" spans="1:6" x14ac:dyDescent="0.25">
      <c r="A5526" s="189" t="str">
        <f t="shared" si="86"/>
        <v>GA-US 504.59E</v>
      </c>
      <c r="B5526" s="195" t="s">
        <v>2659</v>
      </c>
      <c r="C5526" s="196">
        <v>4.5</v>
      </c>
      <c r="D5526" s="196">
        <v>9</v>
      </c>
      <c r="E5526" s="195" t="s">
        <v>583</v>
      </c>
      <c r="F5526" s="195" t="s">
        <v>19</v>
      </c>
    </row>
    <row r="5527" spans="1:6" x14ac:dyDescent="0.25">
      <c r="A5527" s="189" t="str">
        <f t="shared" si="86"/>
        <v>GA-US 504.59W</v>
      </c>
      <c r="B5527" s="195" t="s">
        <v>2659</v>
      </c>
      <c r="C5527" s="196">
        <v>4.5</v>
      </c>
      <c r="D5527" s="196">
        <v>9</v>
      </c>
      <c r="E5527" s="195" t="s">
        <v>583</v>
      </c>
      <c r="F5527" s="195" t="s">
        <v>432</v>
      </c>
    </row>
    <row r="5528" spans="1:6" x14ac:dyDescent="0.25">
      <c r="A5528" s="189" t="str">
        <f t="shared" si="86"/>
        <v>GA-US 5099.17E</v>
      </c>
      <c r="B5528" s="195" t="s">
        <v>2659</v>
      </c>
      <c r="C5528" s="196">
        <v>9</v>
      </c>
      <c r="D5528" s="196">
        <v>9.17</v>
      </c>
      <c r="E5528" s="195" t="s">
        <v>583</v>
      </c>
      <c r="F5528" s="195" t="s">
        <v>19</v>
      </c>
    </row>
    <row r="5529" spans="1:6" x14ac:dyDescent="0.25">
      <c r="A5529" s="189" t="str">
        <f t="shared" si="86"/>
        <v>GA-US 5099.17W</v>
      </c>
      <c r="B5529" s="195" t="s">
        <v>2659</v>
      </c>
      <c r="C5529" s="196">
        <v>9</v>
      </c>
      <c r="D5529" s="196">
        <v>9.17</v>
      </c>
      <c r="E5529" s="195" t="s">
        <v>583</v>
      </c>
      <c r="F5529" s="195" t="s">
        <v>432</v>
      </c>
    </row>
    <row r="5530" spans="1:6" x14ac:dyDescent="0.25">
      <c r="A5530" s="189" t="str">
        <f t="shared" si="86"/>
        <v>HA-IS 95 RP10-7700.11N</v>
      </c>
      <c r="B5530" s="195" t="s">
        <v>2660</v>
      </c>
      <c r="C5530" s="196">
        <v>0</v>
      </c>
      <c r="D5530" s="196">
        <v>0.11</v>
      </c>
      <c r="E5530" s="195" t="s">
        <v>589</v>
      </c>
      <c r="F5530" s="195" t="s">
        <v>430</v>
      </c>
    </row>
    <row r="5531" spans="1:6" x14ac:dyDescent="0.25">
      <c r="A5531" s="189" t="str">
        <f t="shared" si="86"/>
        <v>HA-IS 95 RP10-8501.15N</v>
      </c>
      <c r="B5531" s="195" t="s">
        <v>2661</v>
      </c>
      <c r="C5531" s="196">
        <v>0</v>
      </c>
      <c r="D5531" s="196">
        <v>1.1499999999999999</v>
      </c>
      <c r="E5531" s="195" t="s">
        <v>589</v>
      </c>
      <c r="F5531" s="195" t="s">
        <v>430</v>
      </c>
    </row>
    <row r="5532" spans="1:6" x14ac:dyDescent="0.25">
      <c r="A5532" s="189" t="str">
        <f t="shared" si="86"/>
        <v>HA-IS 95 RP11-7700.55W</v>
      </c>
      <c r="B5532" s="195" t="s">
        <v>2662</v>
      </c>
      <c r="C5532" s="196">
        <v>0</v>
      </c>
      <c r="D5532" s="196">
        <v>0.55000000000000004</v>
      </c>
      <c r="E5532" s="195" t="s">
        <v>593</v>
      </c>
      <c r="F5532" s="195" t="s">
        <v>432</v>
      </c>
    </row>
    <row r="5533" spans="1:6" x14ac:dyDescent="0.25">
      <c r="A5533" s="189" t="str">
        <f t="shared" si="86"/>
        <v>HA-IS 95 RP11-8501.13S</v>
      </c>
      <c r="B5533" s="195" t="s">
        <v>2663</v>
      </c>
      <c r="C5533" s="196">
        <v>0</v>
      </c>
      <c r="D5533" s="196">
        <v>1.1299999999999999</v>
      </c>
      <c r="E5533" s="195" t="s">
        <v>595</v>
      </c>
      <c r="F5533" s="195" t="s">
        <v>438</v>
      </c>
    </row>
    <row r="5534" spans="1:6" x14ac:dyDescent="0.25">
      <c r="A5534" s="189" t="str">
        <f t="shared" si="86"/>
        <v>HA-IS 95 RP1-7400.35W</v>
      </c>
      <c r="B5534" s="195" t="s">
        <v>2664</v>
      </c>
      <c r="C5534" s="196">
        <v>0</v>
      </c>
      <c r="D5534" s="196">
        <v>0.35</v>
      </c>
      <c r="E5534" s="195" t="s">
        <v>593</v>
      </c>
      <c r="F5534" s="195" t="s">
        <v>432</v>
      </c>
    </row>
    <row r="5535" spans="1:6" x14ac:dyDescent="0.25">
      <c r="A5535" s="189" t="str">
        <f t="shared" si="86"/>
        <v>HA-IS 95 RP1-7700.22N</v>
      </c>
      <c r="B5535" s="195" t="s">
        <v>2665</v>
      </c>
      <c r="C5535" s="196">
        <v>0</v>
      </c>
      <c r="D5535" s="196">
        <v>0.22</v>
      </c>
      <c r="E5535" s="195" t="s">
        <v>589</v>
      </c>
      <c r="F5535" s="195" t="s">
        <v>430</v>
      </c>
    </row>
    <row r="5536" spans="1:6" x14ac:dyDescent="0.25">
      <c r="A5536" s="189" t="str">
        <f t="shared" si="86"/>
        <v>HA-IS 95 RP1-8000.46E</v>
      </c>
      <c r="B5536" s="195" t="s">
        <v>2666</v>
      </c>
      <c r="C5536" s="196">
        <v>0</v>
      </c>
      <c r="D5536" s="196">
        <v>0.46</v>
      </c>
      <c r="E5536" s="195" t="s">
        <v>598</v>
      </c>
      <c r="F5536" s="195" t="s">
        <v>19</v>
      </c>
    </row>
    <row r="5537" spans="1:6" x14ac:dyDescent="0.25">
      <c r="A5537" s="189" t="str">
        <f t="shared" si="86"/>
        <v>HA-IS 95 RP1-8500.24E</v>
      </c>
      <c r="B5537" s="195" t="s">
        <v>2667</v>
      </c>
      <c r="C5537" s="196">
        <v>0</v>
      </c>
      <c r="D5537" s="196">
        <v>0.24</v>
      </c>
      <c r="E5537" s="195" t="s">
        <v>598</v>
      </c>
      <c r="F5537" s="195" t="s">
        <v>19</v>
      </c>
    </row>
    <row r="5538" spans="1:6" x14ac:dyDescent="0.25">
      <c r="A5538" s="189" t="str">
        <f t="shared" si="86"/>
        <v>HA-IS 95 RP1-8900.09S</v>
      </c>
      <c r="B5538" s="195" t="s">
        <v>2668</v>
      </c>
      <c r="C5538" s="196">
        <v>0</v>
      </c>
      <c r="D5538" s="196">
        <v>0.09</v>
      </c>
      <c r="E5538" s="195" t="s">
        <v>595</v>
      </c>
      <c r="F5538" s="195" t="s">
        <v>438</v>
      </c>
    </row>
    <row r="5539" spans="1:6" x14ac:dyDescent="0.25">
      <c r="A5539" s="189" t="str">
        <f t="shared" si="86"/>
        <v>HA-IS 95 RP2-7400.27W</v>
      </c>
      <c r="B5539" s="195" t="s">
        <v>2669</v>
      </c>
      <c r="C5539" s="196">
        <v>0</v>
      </c>
      <c r="D5539" s="196">
        <v>0.27</v>
      </c>
      <c r="E5539" s="195" t="s">
        <v>593</v>
      </c>
      <c r="F5539" s="195" t="s">
        <v>432</v>
      </c>
    </row>
    <row r="5540" spans="1:6" x14ac:dyDescent="0.25">
      <c r="A5540" s="189" t="str">
        <f t="shared" si="86"/>
        <v>HA-IS 95 RP2-7700.43W</v>
      </c>
      <c r="B5540" s="195" t="s">
        <v>2670</v>
      </c>
      <c r="C5540" s="196">
        <v>0</v>
      </c>
      <c r="D5540" s="196">
        <v>0.43</v>
      </c>
      <c r="E5540" s="195" t="s">
        <v>593</v>
      </c>
      <c r="F5540" s="195" t="s">
        <v>432</v>
      </c>
    </row>
    <row r="5541" spans="1:6" x14ac:dyDescent="0.25">
      <c r="A5541" s="189" t="str">
        <f t="shared" si="86"/>
        <v>HA-IS 95 RP2-8000.08N</v>
      </c>
      <c r="B5541" s="195" t="s">
        <v>2671</v>
      </c>
      <c r="C5541" s="196">
        <v>0</v>
      </c>
      <c r="D5541" s="196">
        <v>0.08</v>
      </c>
      <c r="E5541" s="195" t="s">
        <v>589</v>
      </c>
      <c r="F5541" s="195" t="s">
        <v>430</v>
      </c>
    </row>
    <row r="5542" spans="1:6" x14ac:dyDescent="0.25">
      <c r="A5542" s="189" t="str">
        <f t="shared" si="86"/>
        <v>HA-IS 95 RP2-8500.4W</v>
      </c>
      <c r="B5542" s="195" t="s">
        <v>2672</v>
      </c>
      <c r="C5542" s="196">
        <v>0</v>
      </c>
      <c r="D5542" s="196">
        <v>0.4</v>
      </c>
      <c r="E5542" s="195" t="s">
        <v>593</v>
      </c>
      <c r="F5542" s="195" t="s">
        <v>432</v>
      </c>
    </row>
    <row r="5543" spans="1:6" x14ac:dyDescent="0.25">
      <c r="A5543" s="189" t="str">
        <f t="shared" si="86"/>
        <v>HA-IS 95 RP2-8900.58W</v>
      </c>
      <c r="B5543" s="195" t="s">
        <v>2673</v>
      </c>
      <c r="C5543" s="196">
        <v>0</v>
      </c>
      <c r="D5543" s="196">
        <v>0.57999999999999996</v>
      </c>
      <c r="E5543" s="195" t="s">
        <v>593</v>
      </c>
      <c r="F5543" s="195" t="s">
        <v>432</v>
      </c>
    </row>
    <row r="5544" spans="1:6" x14ac:dyDescent="0.25">
      <c r="A5544" s="189" t="str">
        <f t="shared" si="86"/>
        <v>HA-IS 95 RP3-7400.5E</v>
      </c>
      <c r="B5544" s="195" t="s">
        <v>2674</v>
      </c>
      <c r="C5544" s="196">
        <v>0</v>
      </c>
      <c r="D5544" s="196">
        <v>0.5</v>
      </c>
      <c r="E5544" s="195" t="s">
        <v>598</v>
      </c>
      <c r="F5544" s="195" t="s">
        <v>19</v>
      </c>
    </row>
    <row r="5545" spans="1:6" x14ac:dyDescent="0.25">
      <c r="A5545" s="189" t="str">
        <f t="shared" si="86"/>
        <v>HA-IS 95 RP3-7700.69E</v>
      </c>
      <c r="B5545" s="195" t="s">
        <v>2675</v>
      </c>
      <c r="C5545" s="196">
        <v>0</v>
      </c>
      <c r="D5545" s="196">
        <v>0.69</v>
      </c>
      <c r="E5545" s="195" t="s">
        <v>598</v>
      </c>
      <c r="F5545" s="195" t="s">
        <v>19</v>
      </c>
    </row>
    <row r="5546" spans="1:6" x14ac:dyDescent="0.25">
      <c r="A5546" s="189" t="str">
        <f t="shared" si="86"/>
        <v>HA-IS 95 RP3-8000.36E</v>
      </c>
      <c r="B5546" s="195" t="s">
        <v>2676</v>
      </c>
      <c r="C5546" s="196">
        <v>0</v>
      </c>
      <c r="D5546" s="196">
        <v>0.36</v>
      </c>
      <c r="E5546" s="195" t="s">
        <v>598</v>
      </c>
      <c r="F5546" s="195" t="s">
        <v>19</v>
      </c>
    </row>
    <row r="5547" spans="1:6" x14ac:dyDescent="0.25">
      <c r="A5547" s="189" t="str">
        <f t="shared" si="86"/>
        <v>HA-IS 95 RP3-8500.06N</v>
      </c>
      <c r="B5547" s="195" t="s">
        <v>2677</v>
      </c>
      <c r="C5547" s="196">
        <v>0</v>
      </c>
      <c r="D5547" s="196">
        <v>0.06</v>
      </c>
      <c r="E5547" s="195" t="s">
        <v>589</v>
      </c>
      <c r="F5547" s="195" t="s">
        <v>430</v>
      </c>
    </row>
    <row r="5548" spans="1:6" x14ac:dyDescent="0.25">
      <c r="A5548" s="189" t="str">
        <f t="shared" si="86"/>
        <v>HA-IS 95 RP3-8900.03N</v>
      </c>
      <c r="B5548" s="195" t="s">
        <v>2678</v>
      </c>
      <c r="C5548" s="196">
        <v>0</v>
      </c>
      <c r="D5548" s="196">
        <v>0.03</v>
      </c>
      <c r="E5548" s="195" t="s">
        <v>589</v>
      </c>
      <c r="F5548" s="195" t="s">
        <v>430</v>
      </c>
    </row>
    <row r="5549" spans="1:6" x14ac:dyDescent="0.25">
      <c r="A5549" s="189" t="str">
        <f t="shared" si="86"/>
        <v>HA-IS 95 RP4-7400.08N</v>
      </c>
      <c r="B5549" s="195" t="s">
        <v>2679</v>
      </c>
      <c r="C5549" s="196">
        <v>0</v>
      </c>
      <c r="D5549" s="196">
        <v>0.08</v>
      </c>
      <c r="E5549" s="195" t="s">
        <v>589</v>
      </c>
      <c r="F5549" s="195" t="s">
        <v>430</v>
      </c>
    </row>
    <row r="5550" spans="1:6" x14ac:dyDescent="0.25">
      <c r="A5550" s="189" t="str">
        <f t="shared" si="86"/>
        <v>HA-IS 95 RP4-7700.5N</v>
      </c>
      <c r="B5550" s="195" t="s">
        <v>2680</v>
      </c>
      <c r="C5550" s="196">
        <v>0</v>
      </c>
      <c r="D5550" s="196">
        <v>0.5</v>
      </c>
      <c r="E5550" s="195" t="s">
        <v>589</v>
      </c>
      <c r="F5550" s="195" t="s">
        <v>430</v>
      </c>
    </row>
    <row r="5551" spans="1:6" x14ac:dyDescent="0.25">
      <c r="A5551" s="189" t="str">
        <f t="shared" si="86"/>
        <v>HA-IS 95 RP4-8000.05E</v>
      </c>
      <c r="B5551" s="195" t="s">
        <v>2681</v>
      </c>
      <c r="C5551" s="196">
        <v>0</v>
      </c>
      <c r="D5551" s="196">
        <v>0.05</v>
      </c>
      <c r="E5551" s="195" t="s">
        <v>598</v>
      </c>
      <c r="F5551" s="195" t="s">
        <v>19</v>
      </c>
    </row>
    <row r="5552" spans="1:6" x14ac:dyDescent="0.25">
      <c r="A5552" s="189" t="str">
        <f t="shared" si="86"/>
        <v>HA-IS 95 RP4-8500.26N</v>
      </c>
      <c r="B5552" s="195" t="s">
        <v>2682</v>
      </c>
      <c r="C5552" s="196">
        <v>0</v>
      </c>
      <c r="D5552" s="196">
        <v>0.26</v>
      </c>
      <c r="E5552" s="195" t="s">
        <v>589</v>
      </c>
      <c r="F5552" s="195" t="s">
        <v>430</v>
      </c>
    </row>
    <row r="5553" spans="1:6" x14ac:dyDescent="0.25">
      <c r="A5553" s="189" t="str">
        <f t="shared" si="86"/>
        <v>HA-IS 95 RP4-8900.48W</v>
      </c>
      <c r="B5553" s="195" t="s">
        <v>2683</v>
      </c>
      <c r="C5553" s="196">
        <v>0</v>
      </c>
      <c r="D5553" s="196">
        <v>0.48</v>
      </c>
      <c r="E5553" s="195" t="s">
        <v>593</v>
      </c>
      <c r="F5553" s="195" t="s">
        <v>432</v>
      </c>
    </row>
    <row r="5554" spans="1:6" x14ac:dyDescent="0.25">
      <c r="A5554" s="189" t="str">
        <f t="shared" si="86"/>
        <v>HA-IS 95 RP5-7400.24E</v>
      </c>
      <c r="B5554" s="195" t="s">
        <v>2684</v>
      </c>
      <c r="C5554" s="196">
        <v>0</v>
      </c>
      <c r="D5554" s="196">
        <v>0.24</v>
      </c>
      <c r="E5554" s="195" t="s">
        <v>598</v>
      </c>
      <c r="F5554" s="195" t="s">
        <v>19</v>
      </c>
    </row>
    <row r="5555" spans="1:6" x14ac:dyDescent="0.25">
      <c r="A5555" s="189" t="str">
        <f t="shared" si="86"/>
        <v>HA-IS 95 RP5-7700.08E</v>
      </c>
      <c r="B5555" s="195" t="s">
        <v>2685</v>
      </c>
      <c r="C5555" s="196">
        <v>0</v>
      </c>
      <c r="D5555" s="196">
        <v>0.08</v>
      </c>
      <c r="E5555" s="195" t="s">
        <v>598</v>
      </c>
      <c r="F5555" s="195" t="s">
        <v>19</v>
      </c>
    </row>
    <row r="5556" spans="1:6" x14ac:dyDescent="0.25">
      <c r="A5556" s="189" t="str">
        <f t="shared" si="86"/>
        <v>HA-IS 95 RP5-8000.35S</v>
      </c>
      <c r="B5556" s="195" t="s">
        <v>2686</v>
      </c>
      <c r="C5556" s="196">
        <v>0</v>
      </c>
      <c r="D5556" s="196">
        <v>0.35</v>
      </c>
      <c r="E5556" s="195" t="s">
        <v>595</v>
      </c>
      <c r="F5556" s="195" t="s">
        <v>438</v>
      </c>
    </row>
    <row r="5557" spans="1:6" x14ac:dyDescent="0.25">
      <c r="A5557" s="189" t="str">
        <f t="shared" si="86"/>
        <v>HA-IS 95 RP5-8500.24N</v>
      </c>
      <c r="B5557" s="195" t="s">
        <v>2687</v>
      </c>
      <c r="C5557" s="196">
        <v>0</v>
      </c>
      <c r="D5557" s="196">
        <v>0.24</v>
      </c>
      <c r="E5557" s="195" t="s">
        <v>589</v>
      </c>
      <c r="F5557" s="195" t="s">
        <v>430</v>
      </c>
    </row>
    <row r="5558" spans="1:6" x14ac:dyDescent="0.25">
      <c r="A5558" s="189" t="str">
        <f t="shared" si="86"/>
        <v>HA-IS 95 RP5-8900.06N</v>
      </c>
      <c r="B5558" s="195" t="s">
        <v>2688</v>
      </c>
      <c r="C5558" s="196">
        <v>0</v>
      </c>
      <c r="D5558" s="196">
        <v>0.06</v>
      </c>
      <c r="E5558" s="195" t="s">
        <v>589</v>
      </c>
      <c r="F5558" s="195" t="s">
        <v>430</v>
      </c>
    </row>
    <row r="5559" spans="1:6" x14ac:dyDescent="0.25">
      <c r="A5559" s="189" t="str">
        <f t="shared" si="86"/>
        <v>HA-IS 95 RP6-7400.07E</v>
      </c>
      <c r="B5559" s="195" t="s">
        <v>2689</v>
      </c>
      <c r="C5559" s="196">
        <v>0</v>
      </c>
      <c r="D5559" s="196">
        <v>7.0000000000000007E-2</v>
      </c>
      <c r="E5559" s="195" t="s">
        <v>598</v>
      </c>
      <c r="F5559" s="195" t="s">
        <v>19</v>
      </c>
    </row>
    <row r="5560" spans="1:6" x14ac:dyDescent="0.25">
      <c r="A5560" s="189" t="str">
        <f t="shared" si="86"/>
        <v>HA-IS 95 RP6-7700.39E</v>
      </c>
      <c r="B5560" s="195" t="s">
        <v>2690</v>
      </c>
      <c r="C5560" s="196">
        <v>0</v>
      </c>
      <c r="D5560" s="196">
        <v>0.39</v>
      </c>
      <c r="E5560" s="195" t="s">
        <v>598</v>
      </c>
      <c r="F5560" s="195" t="s">
        <v>19</v>
      </c>
    </row>
    <row r="5561" spans="1:6" x14ac:dyDescent="0.25">
      <c r="A5561" s="189" t="str">
        <f t="shared" si="86"/>
        <v>HA-IS 95 RP6-8000.06S</v>
      </c>
      <c r="B5561" s="195" t="s">
        <v>2691</v>
      </c>
      <c r="C5561" s="196">
        <v>0</v>
      </c>
      <c r="D5561" s="196">
        <v>0.06</v>
      </c>
      <c r="E5561" s="195" t="s">
        <v>595</v>
      </c>
      <c r="F5561" s="195" t="s">
        <v>438</v>
      </c>
    </row>
    <row r="5562" spans="1:6" x14ac:dyDescent="0.25">
      <c r="A5562" s="189" t="str">
        <f t="shared" si="86"/>
        <v>HA-IS 95 RP6-8500.41E</v>
      </c>
      <c r="B5562" s="195" t="s">
        <v>2692</v>
      </c>
      <c r="C5562" s="196">
        <v>0</v>
      </c>
      <c r="D5562" s="196">
        <v>0.41</v>
      </c>
      <c r="E5562" s="195" t="s">
        <v>598</v>
      </c>
      <c r="F5562" s="195" t="s">
        <v>19</v>
      </c>
    </row>
    <row r="5563" spans="1:6" x14ac:dyDescent="0.25">
      <c r="A5563" s="189" t="str">
        <f t="shared" si="86"/>
        <v>HA-IS 95 RP6-850.260.31W</v>
      </c>
      <c r="B5563" s="195" t="s">
        <v>2692</v>
      </c>
      <c r="C5563" s="196">
        <v>0.26</v>
      </c>
      <c r="D5563" s="196">
        <v>0.31</v>
      </c>
      <c r="E5563" s="195" t="s">
        <v>593</v>
      </c>
      <c r="F5563" s="195" t="s">
        <v>432</v>
      </c>
    </row>
    <row r="5564" spans="1:6" x14ac:dyDescent="0.25">
      <c r="A5564" s="189" t="str">
        <f t="shared" si="86"/>
        <v>HA-IS 95 RP6-8900.38E</v>
      </c>
      <c r="B5564" s="195" t="s">
        <v>2693</v>
      </c>
      <c r="C5564" s="196">
        <v>0</v>
      </c>
      <c r="D5564" s="196">
        <v>0.38</v>
      </c>
      <c r="E5564" s="195" t="s">
        <v>598</v>
      </c>
      <c r="F5564" s="195" t="s">
        <v>19</v>
      </c>
    </row>
    <row r="5565" spans="1:6" x14ac:dyDescent="0.25">
      <c r="A5565" s="189" t="str">
        <f t="shared" si="86"/>
        <v>HA-IS 95 RP6-890.280.35W</v>
      </c>
      <c r="B5565" s="195" t="s">
        <v>2693</v>
      </c>
      <c r="C5565" s="196">
        <v>0.28000000000000003</v>
      </c>
      <c r="D5565" s="196">
        <v>0.35</v>
      </c>
      <c r="E5565" s="195" t="s">
        <v>593</v>
      </c>
      <c r="F5565" s="195" t="s">
        <v>432</v>
      </c>
    </row>
    <row r="5566" spans="1:6" x14ac:dyDescent="0.25">
      <c r="A5566" s="189" t="str">
        <f t="shared" si="86"/>
        <v>HA-IS 95 RP7-7400.02W</v>
      </c>
      <c r="B5566" s="195" t="s">
        <v>2694</v>
      </c>
      <c r="C5566" s="196">
        <v>0</v>
      </c>
      <c r="D5566" s="196">
        <v>0.02</v>
      </c>
      <c r="E5566" s="195" t="s">
        <v>593</v>
      </c>
      <c r="F5566" s="195" t="s">
        <v>432</v>
      </c>
    </row>
    <row r="5567" spans="1:6" x14ac:dyDescent="0.25">
      <c r="A5567" s="189" t="str">
        <f t="shared" si="86"/>
        <v>HA-IS 95 RP7-7700.25W</v>
      </c>
      <c r="B5567" s="195" t="s">
        <v>2695</v>
      </c>
      <c r="C5567" s="196">
        <v>0</v>
      </c>
      <c r="D5567" s="196">
        <v>0.25</v>
      </c>
      <c r="E5567" s="195" t="s">
        <v>593</v>
      </c>
      <c r="F5567" s="195" t="s">
        <v>432</v>
      </c>
    </row>
    <row r="5568" spans="1:6" x14ac:dyDescent="0.25">
      <c r="A5568" s="189" t="str">
        <f t="shared" si="86"/>
        <v>HA-IS 95 RP7-8000.31S</v>
      </c>
      <c r="B5568" s="195" t="s">
        <v>2696</v>
      </c>
      <c r="C5568" s="196">
        <v>0</v>
      </c>
      <c r="D5568" s="196">
        <v>0.31</v>
      </c>
      <c r="E5568" s="195" t="s">
        <v>595</v>
      </c>
      <c r="F5568" s="195" t="s">
        <v>438</v>
      </c>
    </row>
    <row r="5569" spans="1:6" x14ac:dyDescent="0.25">
      <c r="A5569" s="189" t="str">
        <f t="shared" si="86"/>
        <v>HA-IS 95 RP7-8900.07S</v>
      </c>
      <c r="B5569" s="195" t="s">
        <v>2697</v>
      </c>
      <c r="C5569" s="196">
        <v>0</v>
      </c>
      <c r="D5569" s="196">
        <v>7.0000000000000007E-2</v>
      </c>
      <c r="E5569" s="195" t="s">
        <v>595</v>
      </c>
      <c r="F5569" s="195" t="s">
        <v>438</v>
      </c>
    </row>
    <row r="5570" spans="1:6" x14ac:dyDescent="0.25">
      <c r="A5570" s="189" t="str">
        <f t="shared" si="86"/>
        <v>HA-IS 95 RP8-7400.04S</v>
      </c>
      <c r="B5570" s="195" t="s">
        <v>2698</v>
      </c>
      <c r="C5570" s="196">
        <v>0</v>
      </c>
      <c r="D5570" s="196">
        <v>0.04</v>
      </c>
      <c r="E5570" s="195" t="s">
        <v>595</v>
      </c>
      <c r="F5570" s="195" t="s">
        <v>438</v>
      </c>
    </row>
    <row r="5571" spans="1:6" x14ac:dyDescent="0.25">
      <c r="A5571" s="189" t="str">
        <f t="shared" ref="A5571:A5634" si="87">B5571&amp;C5571&amp;D5571&amp;F5571</f>
        <v>HA-IS 95 RP8-7700.47S</v>
      </c>
      <c r="B5571" s="195" t="s">
        <v>2699</v>
      </c>
      <c r="C5571" s="196">
        <v>0</v>
      </c>
      <c r="D5571" s="196">
        <v>0.47</v>
      </c>
      <c r="E5571" s="195" t="s">
        <v>595</v>
      </c>
      <c r="F5571" s="195" t="s">
        <v>438</v>
      </c>
    </row>
    <row r="5572" spans="1:6" x14ac:dyDescent="0.25">
      <c r="A5572" s="189" t="str">
        <f t="shared" si="87"/>
        <v>HA-IS 95 RP8-8000.05W</v>
      </c>
      <c r="B5572" s="195" t="s">
        <v>2700</v>
      </c>
      <c r="C5572" s="196">
        <v>0</v>
      </c>
      <c r="D5572" s="196">
        <v>0.05</v>
      </c>
      <c r="E5572" s="195" t="s">
        <v>593</v>
      </c>
      <c r="F5572" s="195" t="s">
        <v>432</v>
      </c>
    </row>
    <row r="5573" spans="1:6" x14ac:dyDescent="0.25">
      <c r="A5573" s="189" t="str">
        <f t="shared" si="87"/>
        <v>HA-IS 95 RP8-8500.33S</v>
      </c>
      <c r="B5573" s="195" t="s">
        <v>2701</v>
      </c>
      <c r="C5573" s="196">
        <v>0</v>
      </c>
      <c r="D5573" s="196">
        <v>0.33</v>
      </c>
      <c r="E5573" s="195" t="s">
        <v>595</v>
      </c>
      <c r="F5573" s="195" t="s">
        <v>438</v>
      </c>
    </row>
    <row r="5574" spans="1:6" x14ac:dyDescent="0.25">
      <c r="A5574" s="189" t="str">
        <f t="shared" si="87"/>
        <v>HA-IS 95 RP8-8900.55S</v>
      </c>
      <c r="B5574" s="195" t="s">
        <v>2702</v>
      </c>
      <c r="C5574" s="196">
        <v>0</v>
      </c>
      <c r="D5574" s="196">
        <v>0.55000000000000004</v>
      </c>
      <c r="E5574" s="195" t="s">
        <v>595</v>
      </c>
      <c r="F5574" s="195" t="s">
        <v>438</v>
      </c>
    </row>
    <row r="5575" spans="1:6" x14ac:dyDescent="0.25">
      <c r="A5575" s="189" t="str">
        <f t="shared" si="87"/>
        <v>HA-IS 95 RP9-7700.08E</v>
      </c>
      <c r="B5575" s="195" t="s">
        <v>2703</v>
      </c>
      <c r="C5575" s="196">
        <v>0</v>
      </c>
      <c r="D5575" s="196">
        <v>0.08</v>
      </c>
      <c r="E5575" s="195" t="s">
        <v>598</v>
      </c>
      <c r="F5575" s="195" t="s">
        <v>19</v>
      </c>
    </row>
    <row r="5576" spans="1:6" x14ac:dyDescent="0.25">
      <c r="A5576" s="189" t="str">
        <f t="shared" si="87"/>
        <v>HA-IS 95 RP9-8500.12E</v>
      </c>
      <c r="B5576" s="195" t="s">
        <v>2704</v>
      </c>
      <c r="C5576" s="196">
        <v>0</v>
      </c>
      <c r="D5576" s="196">
        <v>0.12</v>
      </c>
      <c r="E5576" s="195" t="s">
        <v>598</v>
      </c>
      <c r="F5576" s="195" t="s">
        <v>19</v>
      </c>
    </row>
    <row r="5577" spans="1:6" x14ac:dyDescent="0.25">
      <c r="A5577" s="189" t="str">
        <f t="shared" si="87"/>
        <v>HA-IS 95M00.86N</v>
      </c>
      <c r="B5577" s="195" t="s">
        <v>2705</v>
      </c>
      <c r="C5577" s="196">
        <v>0</v>
      </c>
      <c r="D5577" s="196">
        <v>0.86</v>
      </c>
      <c r="E5577" s="195" t="s">
        <v>589</v>
      </c>
      <c r="F5577" s="195" t="s">
        <v>430</v>
      </c>
    </row>
    <row r="5578" spans="1:6" x14ac:dyDescent="0.25">
      <c r="A5578" s="189" t="str">
        <f t="shared" si="87"/>
        <v>HA-IS 95N00.86S</v>
      </c>
      <c r="B5578" s="195" t="s">
        <v>2706</v>
      </c>
      <c r="C5578" s="196">
        <v>0</v>
      </c>
      <c r="D5578" s="196">
        <v>0.86</v>
      </c>
      <c r="E5578" s="195" t="s">
        <v>595</v>
      </c>
      <c r="F5578" s="195" t="s">
        <v>438</v>
      </c>
    </row>
    <row r="5579" spans="1:6" x14ac:dyDescent="0.25">
      <c r="A5579" s="189" t="str">
        <f t="shared" si="87"/>
        <v>HA-MD 13200.42E</v>
      </c>
      <c r="B5579" s="195" t="s">
        <v>2707</v>
      </c>
      <c r="C5579" s="196">
        <v>0</v>
      </c>
      <c r="D5579" s="196">
        <v>0.42</v>
      </c>
      <c r="E5579" s="195" t="s">
        <v>583</v>
      </c>
      <c r="F5579" s="195" t="s">
        <v>19</v>
      </c>
    </row>
    <row r="5580" spans="1:6" x14ac:dyDescent="0.25">
      <c r="A5580" s="189" t="str">
        <f t="shared" si="87"/>
        <v>HA-MD 13200.42W</v>
      </c>
      <c r="B5580" s="195" t="s">
        <v>2707</v>
      </c>
      <c r="C5580" s="196">
        <v>0</v>
      </c>
      <c r="D5580" s="196">
        <v>0.42</v>
      </c>
      <c r="E5580" s="195" t="s">
        <v>583</v>
      </c>
      <c r="F5580" s="195" t="s">
        <v>432</v>
      </c>
    </row>
    <row r="5581" spans="1:6" x14ac:dyDescent="0.25">
      <c r="A5581" s="189" t="str">
        <f t="shared" si="87"/>
        <v>HA-MD 1320.420.8E</v>
      </c>
      <c r="B5581" s="195" t="s">
        <v>2707</v>
      </c>
      <c r="C5581" s="196">
        <v>0.42</v>
      </c>
      <c r="D5581" s="196">
        <v>0.8</v>
      </c>
      <c r="E5581" s="195" t="s">
        <v>583</v>
      </c>
      <c r="F5581" s="195" t="s">
        <v>19</v>
      </c>
    </row>
    <row r="5582" spans="1:6" x14ac:dyDescent="0.25">
      <c r="A5582" s="189" t="str">
        <f t="shared" si="87"/>
        <v>HA-MD 1320.420.8W</v>
      </c>
      <c r="B5582" s="195" t="s">
        <v>2707</v>
      </c>
      <c r="C5582" s="196">
        <v>0.42</v>
      </c>
      <c r="D5582" s="196">
        <v>0.8</v>
      </c>
      <c r="E5582" s="195" t="s">
        <v>583</v>
      </c>
      <c r="F5582" s="195" t="s">
        <v>432</v>
      </c>
    </row>
    <row r="5583" spans="1:6" x14ac:dyDescent="0.25">
      <c r="A5583" s="189" t="str">
        <f t="shared" si="87"/>
        <v>HA-MD 1320.81.15E</v>
      </c>
      <c r="B5583" s="195" t="s">
        <v>2707</v>
      </c>
      <c r="C5583" s="196">
        <v>0.8</v>
      </c>
      <c r="D5583" s="196">
        <v>1.1499999999999999</v>
      </c>
      <c r="E5583" s="195" t="s">
        <v>583</v>
      </c>
      <c r="F5583" s="195" t="s">
        <v>19</v>
      </c>
    </row>
    <row r="5584" spans="1:6" x14ac:dyDescent="0.25">
      <c r="A5584" s="189" t="str">
        <f t="shared" si="87"/>
        <v>HA-MD 1320.81.15W</v>
      </c>
      <c r="B5584" s="195" t="s">
        <v>2707</v>
      </c>
      <c r="C5584" s="196">
        <v>0.8</v>
      </c>
      <c r="D5584" s="196">
        <v>1.1499999999999999</v>
      </c>
      <c r="E5584" s="195" t="s">
        <v>583</v>
      </c>
      <c r="F5584" s="195" t="s">
        <v>432</v>
      </c>
    </row>
    <row r="5585" spans="1:6" x14ac:dyDescent="0.25">
      <c r="A5585" s="189" t="str">
        <f t="shared" si="87"/>
        <v>HA-MD 1321.151.8E</v>
      </c>
      <c r="B5585" s="195" t="s">
        <v>2707</v>
      </c>
      <c r="C5585" s="196">
        <v>1.1499999999999999</v>
      </c>
      <c r="D5585" s="196">
        <v>1.8</v>
      </c>
      <c r="E5585" s="195" t="s">
        <v>583</v>
      </c>
      <c r="F5585" s="195" t="s">
        <v>19</v>
      </c>
    </row>
    <row r="5586" spans="1:6" x14ac:dyDescent="0.25">
      <c r="A5586" s="189" t="str">
        <f t="shared" si="87"/>
        <v>HA-MD 1321.151.8W</v>
      </c>
      <c r="B5586" s="195" t="s">
        <v>2707</v>
      </c>
      <c r="C5586" s="196">
        <v>1.1499999999999999</v>
      </c>
      <c r="D5586" s="196">
        <v>1.8</v>
      </c>
      <c r="E5586" s="195" t="s">
        <v>583</v>
      </c>
      <c r="F5586" s="195" t="s">
        <v>432</v>
      </c>
    </row>
    <row r="5587" spans="1:6" x14ac:dyDescent="0.25">
      <c r="A5587" s="189" t="str">
        <f t="shared" si="87"/>
        <v>HA-MD 1321.82.15E</v>
      </c>
      <c r="B5587" s="195" t="s">
        <v>2707</v>
      </c>
      <c r="C5587" s="196">
        <v>1.8</v>
      </c>
      <c r="D5587" s="196">
        <v>2.15</v>
      </c>
      <c r="E5587" s="195" t="s">
        <v>583</v>
      </c>
      <c r="F5587" s="195" t="s">
        <v>19</v>
      </c>
    </row>
    <row r="5588" spans="1:6" x14ac:dyDescent="0.25">
      <c r="A5588" s="189" t="str">
        <f t="shared" si="87"/>
        <v>HA-MD 1321.82.15W</v>
      </c>
      <c r="B5588" s="195" t="s">
        <v>2707</v>
      </c>
      <c r="C5588" s="196">
        <v>1.8</v>
      </c>
      <c r="D5588" s="196">
        <v>2.15</v>
      </c>
      <c r="E5588" s="195" t="s">
        <v>583</v>
      </c>
      <c r="F5588" s="195" t="s">
        <v>432</v>
      </c>
    </row>
    <row r="5589" spans="1:6" x14ac:dyDescent="0.25">
      <c r="A5589" s="189" t="str">
        <f t="shared" si="87"/>
        <v>HA-MD 132B01.43N</v>
      </c>
      <c r="B5589" s="195" t="s">
        <v>2708</v>
      </c>
      <c r="C5589" s="196">
        <v>0</v>
      </c>
      <c r="D5589" s="196">
        <v>1.43</v>
      </c>
      <c r="E5589" s="195" t="s">
        <v>583</v>
      </c>
      <c r="F5589" s="195" t="s">
        <v>430</v>
      </c>
    </row>
    <row r="5590" spans="1:6" x14ac:dyDescent="0.25">
      <c r="A5590" s="189" t="str">
        <f t="shared" si="87"/>
        <v>HA-MD 132B01.43S</v>
      </c>
      <c r="B5590" s="195" t="s">
        <v>2708</v>
      </c>
      <c r="C5590" s="196">
        <v>0</v>
      </c>
      <c r="D5590" s="196">
        <v>1.43</v>
      </c>
      <c r="E5590" s="195" t="s">
        <v>583</v>
      </c>
      <c r="F5590" s="195" t="s">
        <v>438</v>
      </c>
    </row>
    <row r="5591" spans="1:6" x14ac:dyDescent="0.25">
      <c r="A5591" s="189" t="str">
        <f t="shared" si="87"/>
        <v>HA-MD 132C00.14S</v>
      </c>
      <c r="B5591" s="195" t="s">
        <v>2709</v>
      </c>
      <c r="C5591" s="196">
        <v>0</v>
      </c>
      <c r="D5591" s="196">
        <v>0.14000000000000001</v>
      </c>
      <c r="E5591" s="195" t="s">
        <v>595</v>
      </c>
      <c r="F5591" s="195" t="s">
        <v>438</v>
      </c>
    </row>
    <row r="5592" spans="1:6" x14ac:dyDescent="0.25">
      <c r="A5592" s="189" t="str">
        <f t="shared" si="87"/>
        <v>HA-MD 13600.33N</v>
      </c>
      <c r="B5592" s="195" t="s">
        <v>481</v>
      </c>
      <c r="C5592" s="196">
        <v>0</v>
      </c>
      <c r="D5592" s="196">
        <v>0.33</v>
      </c>
      <c r="E5592" s="195" t="s">
        <v>583</v>
      </c>
      <c r="F5592" s="195" t="s">
        <v>430</v>
      </c>
    </row>
    <row r="5593" spans="1:6" x14ac:dyDescent="0.25">
      <c r="A5593" s="189" t="str">
        <f t="shared" si="87"/>
        <v>HA-MD 13600.33S</v>
      </c>
      <c r="B5593" s="195" t="s">
        <v>481</v>
      </c>
      <c r="C5593" s="196">
        <v>0</v>
      </c>
      <c r="D5593" s="196">
        <v>0.33</v>
      </c>
      <c r="E5593" s="195" t="s">
        <v>583</v>
      </c>
      <c r="F5593" s="195" t="s">
        <v>438</v>
      </c>
    </row>
    <row r="5594" spans="1:6" x14ac:dyDescent="0.25">
      <c r="A5594" s="189" t="str">
        <f t="shared" si="87"/>
        <v>HA-MD 1360.331.12N</v>
      </c>
      <c r="B5594" s="195" t="s">
        <v>481</v>
      </c>
      <c r="C5594" s="196">
        <v>0.33</v>
      </c>
      <c r="D5594" s="196">
        <v>1.1200000000000001</v>
      </c>
      <c r="E5594" s="195" t="s">
        <v>583</v>
      </c>
      <c r="F5594" s="195" t="s">
        <v>430</v>
      </c>
    </row>
    <row r="5595" spans="1:6" x14ac:dyDescent="0.25">
      <c r="A5595" s="189" t="str">
        <f t="shared" si="87"/>
        <v>HA-MD 1360.331.12S</v>
      </c>
      <c r="B5595" s="195" t="s">
        <v>481</v>
      </c>
      <c r="C5595" s="196">
        <v>0.33</v>
      </c>
      <c r="D5595" s="196">
        <v>1.1200000000000001</v>
      </c>
      <c r="E5595" s="195" t="s">
        <v>583</v>
      </c>
      <c r="F5595" s="195" t="s">
        <v>438</v>
      </c>
    </row>
    <row r="5596" spans="1:6" x14ac:dyDescent="0.25">
      <c r="A5596" s="189" t="str">
        <f t="shared" si="87"/>
        <v>HA-MD 1361.122.2N</v>
      </c>
      <c r="B5596" s="195" t="s">
        <v>481</v>
      </c>
      <c r="C5596" s="196">
        <v>1.1200000000000001</v>
      </c>
      <c r="D5596" s="196">
        <v>2.2000000000000002</v>
      </c>
      <c r="E5596" s="195" t="s">
        <v>583</v>
      </c>
      <c r="F5596" s="195" t="s">
        <v>430</v>
      </c>
    </row>
    <row r="5597" spans="1:6" x14ac:dyDescent="0.25">
      <c r="A5597" s="189" t="str">
        <f t="shared" si="87"/>
        <v>HA-MD 1361.122.2S</v>
      </c>
      <c r="B5597" s="195" t="s">
        <v>481</v>
      </c>
      <c r="C5597" s="196">
        <v>1.1200000000000001</v>
      </c>
      <c r="D5597" s="196">
        <v>2.2000000000000002</v>
      </c>
      <c r="E5597" s="195" t="s">
        <v>583</v>
      </c>
      <c r="F5597" s="195" t="s">
        <v>438</v>
      </c>
    </row>
    <row r="5598" spans="1:6" x14ac:dyDescent="0.25">
      <c r="A5598" s="189" t="str">
        <f t="shared" si="87"/>
        <v>HA-MD 1362.22.39N</v>
      </c>
      <c r="B5598" s="195" t="s">
        <v>481</v>
      </c>
      <c r="C5598" s="196">
        <v>2.2000000000000002</v>
      </c>
      <c r="D5598" s="196">
        <v>2.39</v>
      </c>
      <c r="E5598" s="195" t="s">
        <v>583</v>
      </c>
      <c r="F5598" s="195" t="s">
        <v>430</v>
      </c>
    </row>
    <row r="5599" spans="1:6" x14ac:dyDescent="0.25">
      <c r="A5599" s="189" t="str">
        <f t="shared" si="87"/>
        <v>HA-MD 1362.22.39S</v>
      </c>
      <c r="B5599" s="195" t="s">
        <v>481</v>
      </c>
      <c r="C5599" s="196">
        <v>2.2000000000000002</v>
      </c>
      <c r="D5599" s="196">
        <v>2.39</v>
      </c>
      <c r="E5599" s="195" t="s">
        <v>583</v>
      </c>
      <c r="F5599" s="195" t="s">
        <v>438</v>
      </c>
    </row>
    <row r="5600" spans="1:6" x14ac:dyDescent="0.25">
      <c r="A5600" s="189" t="str">
        <f t="shared" si="87"/>
        <v>HA-MD 1362.393.96N</v>
      </c>
      <c r="B5600" s="195" t="s">
        <v>481</v>
      </c>
      <c r="C5600" s="196">
        <v>2.39</v>
      </c>
      <c r="D5600" s="196">
        <v>3.96</v>
      </c>
      <c r="E5600" s="195" t="s">
        <v>583</v>
      </c>
      <c r="F5600" s="195" t="s">
        <v>430</v>
      </c>
    </row>
    <row r="5601" spans="1:6" x14ac:dyDescent="0.25">
      <c r="A5601" s="189" t="str">
        <f t="shared" si="87"/>
        <v>HA-MD 1362.393.96S</v>
      </c>
      <c r="B5601" s="195" t="s">
        <v>481</v>
      </c>
      <c r="C5601" s="196">
        <v>2.39</v>
      </c>
      <c r="D5601" s="196">
        <v>3.96</v>
      </c>
      <c r="E5601" s="195" t="s">
        <v>583</v>
      </c>
      <c r="F5601" s="195" t="s">
        <v>438</v>
      </c>
    </row>
    <row r="5602" spans="1:6" x14ac:dyDescent="0.25">
      <c r="A5602" s="189" t="str">
        <f t="shared" si="87"/>
        <v>HA-MD 1363.966.19N</v>
      </c>
      <c r="B5602" s="195" t="s">
        <v>481</v>
      </c>
      <c r="C5602" s="196">
        <v>3.96</v>
      </c>
      <c r="D5602" s="196">
        <v>6.19</v>
      </c>
      <c r="E5602" s="195" t="s">
        <v>583</v>
      </c>
      <c r="F5602" s="195" t="s">
        <v>430</v>
      </c>
    </row>
    <row r="5603" spans="1:6" x14ac:dyDescent="0.25">
      <c r="A5603" s="189" t="str">
        <f t="shared" si="87"/>
        <v>HA-MD 1363.966.19S</v>
      </c>
      <c r="B5603" s="195" t="s">
        <v>481</v>
      </c>
      <c r="C5603" s="196">
        <v>3.96</v>
      </c>
      <c r="D5603" s="196">
        <v>6.19</v>
      </c>
      <c r="E5603" s="195" t="s">
        <v>583</v>
      </c>
      <c r="F5603" s="195" t="s">
        <v>438</v>
      </c>
    </row>
    <row r="5604" spans="1:6" x14ac:dyDescent="0.25">
      <c r="A5604" s="189" t="str">
        <f t="shared" si="87"/>
        <v>HA-MD 1366.196.2N</v>
      </c>
      <c r="B5604" s="195" t="s">
        <v>481</v>
      </c>
      <c r="C5604" s="196">
        <v>6.19</v>
      </c>
      <c r="D5604" s="196">
        <v>6.2</v>
      </c>
      <c r="E5604" s="195" t="s">
        <v>583</v>
      </c>
      <c r="F5604" s="195" t="s">
        <v>430</v>
      </c>
    </row>
    <row r="5605" spans="1:6" x14ac:dyDescent="0.25">
      <c r="A5605" s="189" t="str">
        <f t="shared" si="87"/>
        <v>HA-MD 1366.196.2S</v>
      </c>
      <c r="B5605" s="195" t="s">
        <v>481</v>
      </c>
      <c r="C5605" s="196">
        <v>6.19</v>
      </c>
      <c r="D5605" s="196">
        <v>6.2</v>
      </c>
      <c r="E5605" s="195" t="s">
        <v>583</v>
      </c>
      <c r="F5605" s="195" t="s">
        <v>438</v>
      </c>
    </row>
    <row r="5606" spans="1:6" x14ac:dyDescent="0.25">
      <c r="A5606" s="189" t="str">
        <f t="shared" si="87"/>
        <v>HA-MD 1366.211.81N</v>
      </c>
      <c r="B5606" s="195" t="s">
        <v>481</v>
      </c>
      <c r="C5606" s="196">
        <v>6.2</v>
      </c>
      <c r="D5606" s="196">
        <v>11.81</v>
      </c>
      <c r="E5606" s="195" t="s">
        <v>583</v>
      </c>
      <c r="F5606" s="195" t="s">
        <v>430</v>
      </c>
    </row>
    <row r="5607" spans="1:6" x14ac:dyDescent="0.25">
      <c r="A5607" s="189" t="str">
        <f t="shared" si="87"/>
        <v>HA-MD 1366.211.81S</v>
      </c>
      <c r="B5607" s="195" t="s">
        <v>481</v>
      </c>
      <c r="C5607" s="196">
        <v>6.2</v>
      </c>
      <c r="D5607" s="196">
        <v>11.81</v>
      </c>
      <c r="E5607" s="195" t="s">
        <v>583</v>
      </c>
      <c r="F5607" s="195" t="s">
        <v>438</v>
      </c>
    </row>
    <row r="5608" spans="1:6" x14ac:dyDescent="0.25">
      <c r="A5608" s="189" t="str">
        <f t="shared" si="87"/>
        <v>HA-MD 13611.8112.8N</v>
      </c>
      <c r="B5608" s="195" t="s">
        <v>481</v>
      </c>
      <c r="C5608" s="196">
        <v>11.81</v>
      </c>
      <c r="D5608" s="196">
        <v>12.8</v>
      </c>
      <c r="E5608" s="195" t="s">
        <v>583</v>
      </c>
      <c r="F5608" s="195" t="s">
        <v>430</v>
      </c>
    </row>
    <row r="5609" spans="1:6" x14ac:dyDescent="0.25">
      <c r="A5609" s="189" t="str">
        <f t="shared" si="87"/>
        <v>HA-MD 13611.8112.8S</v>
      </c>
      <c r="B5609" s="195" t="s">
        <v>481</v>
      </c>
      <c r="C5609" s="196">
        <v>11.81</v>
      </c>
      <c r="D5609" s="196">
        <v>12.8</v>
      </c>
      <c r="E5609" s="195" t="s">
        <v>583</v>
      </c>
      <c r="F5609" s="195" t="s">
        <v>438</v>
      </c>
    </row>
    <row r="5610" spans="1:6" x14ac:dyDescent="0.25">
      <c r="A5610" s="189" t="str">
        <f t="shared" si="87"/>
        <v>HA-MD 13612.814.89N</v>
      </c>
      <c r="B5610" s="195" t="s">
        <v>481</v>
      </c>
      <c r="C5610" s="196">
        <v>12.8</v>
      </c>
      <c r="D5610" s="196">
        <v>14.89</v>
      </c>
      <c r="E5610" s="195" t="s">
        <v>583</v>
      </c>
      <c r="F5610" s="195" t="s">
        <v>430</v>
      </c>
    </row>
    <row r="5611" spans="1:6" x14ac:dyDescent="0.25">
      <c r="A5611" s="189" t="str">
        <f t="shared" si="87"/>
        <v>HA-MD 13612.814.89S</v>
      </c>
      <c r="B5611" s="195" t="s">
        <v>481</v>
      </c>
      <c r="C5611" s="196">
        <v>12.8</v>
      </c>
      <c r="D5611" s="196">
        <v>14.89</v>
      </c>
      <c r="E5611" s="195" t="s">
        <v>583</v>
      </c>
      <c r="F5611" s="195" t="s">
        <v>438</v>
      </c>
    </row>
    <row r="5612" spans="1:6" x14ac:dyDescent="0.25">
      <c r="A5612" s="189" t="str">
        <f t="shared" si="87"/>
        <v>HA-MD 13614.8915.08N</v>
      </c>
      <c r="B5612" s="195" t="s">
        <v>481</v>
      </c>
      <c r="C5612" s="196">
        <v>14.89</v>
      </c>
      <c r="D5612" s="196">
        <v>15.08</v>
      </c>
      <c r="E5612" s="195" t="s">
        <v>583</v>
      </c>
      <c r="F5612" s="195" t="s">
        <v>430</v>
      </c>
    </row>
    <row r="5613" spans="1:6" x14ac:dyDescent="0.25">
      <c r="A5613" s="189" t="str">
        <f t="shared" si="87"/>
        <v>HA-MD 13614.8915.08S</v>
      </c>
      <c r="B5613" s="195" t="s">
        <v>481</v>
      </c>
      <c r="C5613" s="196">
        <v>14.89</v>
      </c>
      <c r="D5613" s="196">
        <v>15.08</v>
      </c>
      <c r="E5613" s="195" t="s">
        <v>583</v>
      </c>
      <c r="F5613" s="195" t="s">
        <v>438</v>
      </c>
    </row>
    <row r="5614" spans="1:6" x14ac:dyDescent="0.25">
      <c r="A5614" s="189" t="str">
        <f t="shared" si="87"/>
        <v>HA-MD 13615.0817.25N</v>
      </c>
      <c r="B5614" s="195" t="s">
        <v>481</v>
      </c>
      <c r="C5614" s="196">
        <v>15.08</v>
      </c>
      <c r="D5614" s="196">
        <v>17.25</v>
      </c>
      <c r="E5614" s="195" t="s">
        <v>583</v>
      </c>
      <c r="F5614" s="195" t="s">
        <v>430</v>
      </c>
    </row>
    <row r="5615" spans="1:6" x14ac:dyDescent="0.25">
      <c r="A5615" s="189" t="str">
        <f t="shared" si="87"/>
        <v>HA-MD 13615.0817.25S</v>
      </c>
      <c r="B5615" s="195" t="s">
        <v>481</v>
      </c>
      <c r="C5615" s="196">
        <v>15.08</v>
      </c>
      <c r="D5615" s="196">
        <v>17.25</v>
      </c>
      <c r="E5615" s="195" t="s">
        <v>583</v>
      </c>
      <c r="F5615" s="195" t="s">
        <v>438</v>
      </c>
    </row>
    <row r="5616" spans="1:6" x14ac:dyDescent="0.25">
      <c r="A5616" s="189" t="str">
        <f t="shared" si="87"/>
        <v>HA-MD 13617.2518.06N</v>
      </c>
      <c r="B5616" s="195" t="s">
        <v>481</v>
      </c>
      <c r="C5616" s="196">
        <v>17.25</v>
      </c>
      <c r="D5616" s="196">
        <v>18.059999999999999</v>
      </c>
      <c r="E5616" s="195" t="s">
        <v>583</v>
      </c>
      <c r="F5616" s="195" t="s">
        <v>430</v>
      </c>
    </row>
    <row r="5617" spans="1:6" x14ac:dyDescent="0.25">
      <c r="A5617" s="189" t="str">
        <f t="shared" si="87"/>
        <v>HA-MD 13617.2518.06S</v>
      </c>
      <c r="B5617" s="195" t="s">
        <v>481</v>
      </c>
      <c r="C5617" s="196">
        <v>17.25</v>
      </c>
      <c r="D5617" s="196">
        <v>18.059999999999999</v>
      </c>
      <c r="E5617" s="195" t="s">
        <v>583</v>
      </c>
      <c r="F5617" s="195" t="s">
        <v>438</v>
      </c>
    </row>
    <row r="5618" spans="1:6" x14ac:dyDescent="0.25">
      <c r="A5618" s="189" t="str">
        <f t="shared" si="87"/>
        <v>HA-MD 13618.0618.89N</v>
      </c>
      <c r="B5618" s="195" t="s">
        <v>481</v>
      </c>
      <c r="C5618" s="196">
        <v>18.059999999999999</v>
      </c>
      <c r="D5618" s="196">
        <v>18.89</v>
      </c>
      <c r="E5618" s="195" t="s">
        <v>583</v>
      </c>
      <c r="F5618" s="195" t="s">
        <v>430</v>
      </c>
    </row>
    <row r="5619" spans="1:6" x14ac:dyDescent="0.25">
      <c r="A5619" s="189" t="str">
        <f t="shared" si="87"/>
        <v>HA-MD 13618.0618.89S</v>
      </c>
      <c r="B5619" s="195" t="s">
        <v>481</v>
      </c>
      <c r="C5619" s="196">
        <v>18.059999999999999</v>
      </c>
      <c r="D5619" s="196">
        <v>18.89</v>
      </c>
      <c r="E5619" s="195" t="s">
        <v>583</v>
      </c>
      <c r="F5619" s="195" t="s">
        <v>438</v>
      </c>
    </row>
    <row r="5620" spans="1:6" x14ac:dyDescent="0.25">
      <c r="A5620" s="189" t="str">
        <f t="shared" si="87"/>
        <v>HA-MD 13618.8919.09N</v>
      </c>
      <c r="B5620" s="195" t="s">
        <v>481</v>
      </c>
      <c r="C5620" s="196">
        <v>18.89</v>
      </c>
      <c r="D5620" s="196">
        <v>19.09</v>
      </c>
      <c r="E5620" s="195" t="s">
        <v>583</v>
      </c>
      <c r="F5620" s="195" t="s">
        <v>430</v>
      </c>
    </row>
    <row r="5621" spans="1:6" x14ac:dyDescent="0.25">
      <c r="A5621" s="189" t="str">
        <f t="shared" si="87"/>
        <v>HA-MD 13618.8919.09S</v>
      </c>
      <c r="B5621" s="195" t="s">
        <v>481</v>
      </c>
      <c r="C5621" s="196">
        <v>18.89</v>
      </c>
      <c r="D5621" s="196">
        <v>19.09</v>
      </c>
      <c r="E5621" s="195" t="s">
        <v>583</v>
      </c>
      <c r="F5621" s="195" t="s">
        <v>438</v>
      </c>
    </row>
    <row r="5622" spans="1:6" x14ac:dyDescent="0.25">
      <c r="A5622" s="189" t="str">
        <f t="shared" si="87"/>
        <v>HA-MD 13619.0919.16N</v>
      </c>
      <c r="B5622" s="195" t="s">
        <v>481</v>
      </c>
      <c r="C5622" s="196">
        <v>19.09</v>
      </c>
      <c r="D5622" s="196">
        <v>19.16</v>
      </c>
      <c r="E5622" s="195" t="s">
        <v>583</v>
      </c>
      <c r="F5622" s="195" t="s">
        <v>430</v>
      </c>
    </row>
    <row r="5623" spans="1:6" x14ac:dyDescent="0.25">
      <c r="A5623" s="189" t="str">
        <f t="shared" si="87"/>
        <v>HA-MD 13619.0919.16S</v>
      </c>
      <c r="B5623" s="195" t="s">
        <v>481</v>
      </c>
      <c r="C5623" s="196">
        <v>19.09</v>
      </c>
      <c r="D5623" s="196">
        <v>19.16</v>
      </c>
      <c r="E5623" s="195" t="s">
        <v>583</v>
      </c>
      <c r="F5623" s="195" t="s">
        <v>438</v>
      </c>
    </row>
    <row r="5624" spans="1:6" x14ac:dyDescent="0.25">
      <c r="A5624" s="189" t="str">
        <f t="shared" si="87"/>
        <v>HA-MD 13619.1621.64N</v>
      </c>
      <c r="B5624" s="195" t="s">
        <v>481</v>
      </c>
      <c r="C5624" s="196">
        <v>19.16</v>
      </c>
      <c r="D5624" s="196">
        <v>21.64</v>
      </c>
      <c r="E5624" s="195" t="s">
        <v>583</v>
      </c>
      <c r="F5624" s="195" t="s">
        <v>430</v>
      </c>
    </row>
    <row r="5625" spans="1:6" x14ac:dyDescent="0.25">
      <c r="A5625" s="189" t="str">
        <f t="shared" si="87"/>
        <v>HA-MD 13619.1621.64S</v>
      </c>
      <c r="B5625" s="195" t="s">
        <v>481</v>
      </c>
      <c r="C5625" s="196">
        <v>19.16</v>
      </c>
      <c r="D5625" s="196">
        <v>21.64</v>
      </c>
      <c r="E5625" s="195" t="s">
        <v>583</v>
      </c>
      <c r="F5625" s="195" t="s">
        <v>438</v>
      </c>
    </row>
    <row r="5626" spans="1:6" x14ac:dyDescent="0.25">
      <c r="A5626" s="189" t="str">
        <f t="shared" si="87"/>
        <v>HA-MD 13621.6423.75N</v>
      </c>
      <c r="B5626" s="195" t="s">
        <v>481</v>
      </c>
      <c r="C5626" s="196">
        <v>21.64</v>
      </c>
      <c r="D5626" s="196">
        <v>23.75</v>
      </c>
      <c r="E5626" s="195" t="s">
        <v>583</v>
      </c>
      <c r="F5626" s="195" t="s">
        <v>430</v>
      </c>
    </row>
    <row r="5627" spans="1:6" x14ac:dyDescent="0.25">
      <c r="A5627" s="189" t="str">
        <f t="shared" si="87"/>
        <v>HA-MD 13621.6423.75S</v>
      </c>
      <c r="B5627" s="195" t="s">
        <v>481</v>
      </c>
      <c r="C5627" s="196">
        <v>21.64</v>
      </c>
      <c r="D5627" s="196">
        <v>23.75</v>
      </c>
      <c r="E5627" s="195" t="s">
        <v>583</v>
      </c>
      <c r="F5627" s="195" t="s">
        <v>438</v>
      </c>
    </row>
    <row r="5628" spans="1:6" x14ac:dyDescent="0.25">
      <c r="A5628" s="189" t="str">
        <f t="shared" si="87"/>
        <v>HA-MD 13623.7525.59N</v>
      </c>
      <c r="B5628" s="195" t="s">
        <v>481</v>
      </c>
      <c r="C5628" s="196">
        <v>23.75</v>
      </c>
      <c r="D5628" s="196">
        <v>25.59</v>
      </c>
      <c r="E5628" s="195" t="s">
        <v>583</v>
      </c>
      <c r="F5628" s="195" t="s">
        <v>430</v>
      </c>
    </row>
    <row r="5629" spans="1:6" x14ac:dyDescent="0.25">
      <c r="A5629" s="189" t="str">
        <f t="shared" si="87"/>
        <v>HA-MD 13623.7525.59S</v>
      </c>
      <c r="B5629" s="195" t="s">
        <v>481</v>
      </c>
      <c r="C5629" s="196">
        <v>23.75</v>
      </c>
      <c r="D5629" s="196">
        <v>25.59</v>
      </c>
      <c r="E5629" s="195" t="s">
        <v>583</v>
      </c>
      <c r="F5629" s="195" t="s">
        <v>438</v>
      </c>
    </row>
    <row r="5630" spans="1:6" x14ac:dyDescent="0.25">
      <c r="A5630" s="189" t="str">
        <f t="shared" si="87"/>
        <v>HA-MD 13625.5926.43N</v>
      </c>
      <c r="B5630" s="195" t="s">
        <v>481</v>
      </c>
      <c r="C5630" s="196">
        <v>25.59</v>
      </c>
      <c r="D5630" s="196">
        <v>26.43</v>
      </c>
      <c r="E5630" s="195" t="s">
        <v>583</v>
      </c>
      <c r="F5630" s="195" t="s">
        <v>430</v>
      </c>
    </row>
    <row r="5631" spans="1:6" x14ac:dyDescent="0.25">
      <c r="A5631" s="189" t="str">
        <f t="shared" si="87"/>
        <v>HA-MD 13625.5926.43S</v>
      </c>
      <c r="B5631" s="195" t="s">
        <v>481</v>
      </c>
      <c r="C5631" s="196">
        <v>25.59</v>
      </c>
      <c r="D5631" s="196">
        <v>26.43</v>
      </c>
      <c r="E5631" s="195" t="s">
        <v>583</v>
      </c>
      <c r="F5631" s="195" t="s">
        <v>438</v>
      </c>
    </row>
    <row r="5632" spans="1:6" x14ac:dyDescent="0.25">
      <c r="A5632" s="189" t="str">
        <f t="shared" si="87"/>
        <v>HA-MD 13626.4330.04N</v>
      </c>
      <c r="B5632" s="195" t="s">
        <v>481</v>
      </c>
      <c r="C5632" s="196">
        <v>26.43</v>
      </c>
      <c r="D5632" s="196">
        <v>30.04</v>
      </c>
      <c r="E5632" s="195" t="s">
        <v>583</v>
      </c>
      <c r="F5632" s="195" t="s">
        <v>430</v>
      </c>
    </row>
    <row r="5633" spans="1:6" x14ac:dyDescent="0.25">
      <c r="A5633" s="189" t="str">
        <f t="shared" si="87"/>
        <v>HA-MD 13626.4330.04S</v>
      </c>
      <c r="B5633" s="195" t="s">
        <v>481</v>
      </c>
      <c r="C5633" s="196">
        <v>26.43</v>
      </c>
      <c r="D5633" s="196">
        <v>30.04</v>
      </c>
      <c r="E5633" s="195" t="s">
        <v>583</v>
      </c>
      <c r="F5633" s="195" t="s">
        <v>438</v>
      </c>
    </row>
    <row r="5634" spans="1:6" x14ac:dyDescent="0.25">
      <c r="A5634" s="189" t="str">
        <f t="shared" si="87"/>
        <v>HA-MD 13800.93E</v>
      </c>
      <c r="B5634" s="195" t="s">
        <v>482</v>
      </c>
      <c r="C5634" s="196">
        <v>0</v>
      </c>
      <c r="D5634" s="196">
        <v>0.93</v>
      </c>
      <c r="E5634" s="195" t="s">
        <v>583</v>
      </c>
      <c r="F5634" s="195" t="s">
        <v>19</v>
      </c>
    </row>
    <row r="5635" spans="1:6" x14ac:dyDescent="0.25">
      <c r="A5635" s="189" t="str">
        <f t="shared" ref="A5635:A5698" si="88">B5635&amp;C5635&amp;D5635&amp;F5635</f>
        <v>HA-MD 13800.93W</v>
      </c>
      <c r="B5635" s="195" t="s">
        <v>482</v>
      </c>
      <c r="C5635" s="196">
        <v>0</v>
      </c>
      <c r="D5635" s="196">
        <v>0.93</v>
      </c>
      <c r="E5635" s="195" t="s">
        <v>583</v>
      </c>
      <c r="F5635" s="195" t="s">
        <v>432</v>
      </c>
    </row>
    <row r="5636" spans="1:6" x14ac:dyDescent="0.25">
      <c r="A5636" s="189" t="str">
        <f t="shared" si="88"/>
        <v>HA-MD 14605.14N</v>
      </c>
      <c r="B5636" s="195" t="s">
        <v>483</v>
      </c>
      <c r="C5636" s="196">
        <v>0</v>
      </c>
      <c r="D5636" s="196">
        <v>5.14</v>
      </c>
      <c r="E5636" s="195" t="s">
        <v>583</v>
      </c>
      <c r="F5636" s="195" t="s">
        <v>430</v>
      </c>
    </row>
    <row r="5637" spans="1:6" x14ac:dyDescent="0.25">
      <c r="A5637" s="189" t="str">
        <f t="shared" si="88"/>
        <v>HA-MD 14605.14S</v>
      </c>
      <c r="B5637" s="195" t="s">
        <v>483</v>
      </c>
      <c r="C5637" s="196">
        <v>0</v>
      </c>
      <c r="D5637" s="196">
        <v>5.14</v>
      </c>
      <c r="E5637" s="195" t="s">
        <v>583</v>
      </c>
      <c r="F5637" s="195" t="s">
        <v>438</v>
      </c>
    </row>
    <row r="5638" spans="1:6" x14ac:dyDescent="0.25">
      <c r="A5638" s="189" t="str">
        <f t="shared" si="88"/>
        <v>HA-MD 14701.4N</v>
      </c>
      <c r="B5638" s="195" t="s">
        <v>2710</v>
      </c>
      <c r="C5638" s="196">
        <v>0</v>
      </c>
      <c r="D5638" s="196">
        <v>1.4</v>
      </c>
      <c r="E5638" s="195" t="s">
        <v>583</v>
      </c>
      <c r="F5638" s="195" t="s">
        <v>430</v>
      </c>
    </row>
    <row r="5639" spans="1:6" x14ac:dyDescent="0.25">
      <c r="A5639" s="189" t="str">
        <f t="shared" si="88"/>
        <v>HA-MD 14701.4S</v>
      </c>
      <c r="B5639" s="195" t="s">
        <v>2710</v>
      </c>
      <c r="C5639" s="196">
        <v>0</v>
      </c>
      <c r="D5639" s="196">
        <v>1.4</v>
      </c>
      <c r="E5639" s="195" t="s">
        <v>583</v>
      </c>
      <c r="F5639" s="195" t="s">
        <v>438</v>
      </c>
    </row>
    <row r="5640" spans="1:6" x14ac:dyDescent="0.25">
      <c r="A5640" s="189" t="str">
        <f t="shared" si="88"/>
        <v>HA-MD 1471.41.77N</v>
      </c>
      <c r="B5640" s="195" t="s">
        <v>2710</v>
      </c>
      <c r="C5640" s="196">
        <v>1.4</v>
      </c>
      <c r="D5640" s="196">
        <v>1.77</v>
      </c>
      <c r="E5640" s="195" t="s">
        <v>583</v>
      </c>
      <c r="F5640" s="195" t="s">
        <v>430</v>
      </c>
    </row>
    <row r="5641" spans="1:6" x14ac:dyDescent="0.25">
      <c r="A5641" s="189" t="str">
        <f t="shared" si="88"/>
        <v>HA-MD 1471.41.77S</v>
      </c>
      <c r="B5641" s="195" t="s">
        <v>2710</v>
      </c>
      <c r="C5641" s="196">
        <v>1.4</v>
      </c>
      <c r="D5641" s="196">
        <v>1.77</v>
      </c>
      <c r="E5641" s="195" t="s">
        <v>583</v>
      </c>
      <c r="F5641" s="195" t="s">
        <v>438</v>
      </c>
    </row>
    <row r="5642" spans="1:6" x14ac:dyDescent="0.25">
      <c r="A5642" s="189" t="str">
        <f t="shared" si="88"/>
        <v>HA-MD 1471.771.87N</v>
      </c>
      <c r="B5642" s="195" t="s">
        <v>2710</v>
      </c>
      <c r="C5642" s="196">
        <v>1.77</v>
      </c>
      <c r="D5642" s="196">
        <v>1.87</v>
      </c>
      <c r="E5642" s="195" t="s">
        <v>583</v>
      </c>
      <c r="F5642" s="195" t="s">
        <v>430</v>
      </c>
    </row>
    <row r="5643" spans="1:6" x14ac:dyDescent="0.25">
      <c r="A5643" s="189" t="str">
        <f t="shared" si="88"/>
        <v>HA-MD 1471.771.87S</v>
      </c>
      <c r="B5643" s="195" t="s">
        <v>2710</v>
      </c>
      <c r="C5643" s="196">
        <v>1.77</v>
      </c>
      <c r="D5643" s="196">
        <v>1.87</v>
      </c>
      <c r="E5643" s="195" t="s">
        <v>583</v>
      </c>
      <c r="F5643" s="195" t="s">
        <v>438</v>
      </c>
    </row>
    <row r="5644" spans="1:6" x14ac:dyDescent="0.25">
      <c r="A5644" s="189" t="str">
        <f t="shared" si="88"/>
        <v>HA-MD 1471.871.97N</v>
      </c>
      <c r="B5644" s="195" t="s">
        <v>2710</v>
      </c>
      <c r="C5644" s="196">
        <v>1.87</v>
      </c>
      <c r="D5644" s="196">
        <v>1.97</v>
      </c>
      <c r="E5644" s="195" t="s">
        <v>583</v>
      </c>
      <c r="F5644" s="195" t="s">
        <v>430</v>
      </c>
    </row>
    <row r="5645" spans="1:6" x14ac:dyDescent="0.25">
      <c r="A5645" s="189" t="str">
        <f t="shared" si="88"/>
        <v>HA-MD 1471.871.97S</v>
      </c>
      <c r="B5645" s="195" t="s">
        <v>2710</v>
      </c>
      <c r="C5645" s="196">
        <v>1.87</v>
      </c>
      <c r="D5645" s="196">
        <v>1.97</v>
      </c>
      <c r="E5645" s="195" t="s">
        <v>583</v>
      </c>
      <c r="F5645" s="195" t="s">
        <v>438</v>
      </c>
    </row>
    <row r="5646" spans="1:6" x14ac:dyDescent="0.25">
      <c r="A5646" s="189" t="str">
        <f t="shared" si="88"/>
        <v>HA-MD 1471.972.65N</v>
      </c>
      <c r="B5646" s="195" t="s">
        <v>2710</v>
      </c>
      <c r="C5646" s="196">
        <v>1.97</v>
      </c>
      <c r="D5646" s="196">
        <v>2.65</v>
      </c>
      <c r="E5646" s="195" t="s">
        <v>583</v>
      </c>
      <c r="F5646" s="195" t="s">
        <v>430</v>
      </c>
    </row>
    <row r="5647" spans="1:6" x14ac:dyDescent="0.25">
      <c r="A5647" s="189" t="str">
        <f t="shared" si="88"/>
        <v>HA-MD 1471.972.65S</v>
      </c>
      <c r="B5647" s="195" t="s">
        <v>2710</v>
      </c>
      <c r="C5647" s="196">
        <v>1.97</v>
      </c>
      <c r="D5647" s="196">
        <v>2.65</v>
      </c>
      <c r="E5647" s="195" t="s">
        <v>583</v>
      </c>
      <c r="F5647" s="195" t="s">
        <v>438</v>
      </c>
    </row>
    <row r="5648" spans="1:6" x14ac:dyDescent="0.25">
      <c r="A5648" s="189" t="str">
        <f t="shared" si="88"/>
        <v>HA-MD 1472.652.9N</v>
      </c>
      <c r="B5648" s="195" t="s">
        <v>2710</v>
      </c>
      <c r="C5648" s="196">
        <v>2.65</v>
      </c>
      <c r="D5648" s="196">
        <v>2.9</v>
      </c>
      <c r="E5648" s="195" t="s">
        <v>583</v>
      </c>
      <c r="F5648" s="195" t="s">
        <v>430</v>
      </c>
    </row>
    <row r="5649" spans="1:6" x14ac:dyDescent="0.25">
      <c r="A5649" s="189" t="str">
        <f t="shared" si="88"/>
        <v>HA-MD 1472.652.9S</v>
      </c>
      <c r="B5649" s="195" t="s">
        <v>2710</v>
      </c>
      <c r="C5649" s="196">
        <v>2.65</v>
      </c>
      <c r="D5649" s="196">
        <v>2.9</v>
      </c>
      <c r="E5649" s="195" t="s">
        <v>583</v>
      </c>
      <c r="F5649" s="195" t="s">
        <v>438</v>
      </c>
    </row>
    <row r="5650" spans="1:6" x14ac:dyDescent="0.25">
      <c r="A5650" s="189" t="str">
        <f t="shared" si="88"/>
        <v>HA-MD 1472.92.96N</v>
      </c>
      <c r="B5650" s="195" t="s">
        <v>2710</v>
      </c>
      <c r="C5650" s="196">
        <v>2.9</v>
      </c>
      <c r="D5650" s="196">
        <v>2.96</v>
      </c>
      <c r="E5650" s="195" t="s">
        <v>583</v>
      </c>
      <c r="F5650" s="195" t="s">
        <v>430</v>
      </c>
    </row>
    <row r="5651" spans="1:6" x14ac:dyDescent="0.25">
      <c r="A5651" s="189" t="str">
        <f t="shared" si="88"/>
        <v>HA-MD 1472.92.96S</v>
      </c>
      <c r="B5651" s="195" t="s">
        <v>2710</v>
      </c>
      <c r="C5651" s="196">
        <v>2.9</v>
      </c>
      <c r="D5651" s="196">
        <v>2.96</v>
      </c>
      <c r="E5651" s="195" t="s">
        <v>583</v>
      </c>
      <c r="F5651" s="195" t="s">
        <v>438</v>
      </c>
    </row>
    <row r="5652" spans="1:6" x14ac:dyDescent="0.25">
      <c r="A5652" s="189" t="str">
        <f t="shared" si="88"/>
        <v>HA-MD 15200.18N</v>
      </c>
      <c r="B5652" s="195" t="s">
        <v>484</v>
      </c>
      <c r="C5652" s="196">
        <v>0</v>
      </c>
      <c r="D5652" s="196">
        <v>0.18</v>
      </c>
      <c r="E5652" s="195" t="s">
        <v>583</v>
      </c>
      <c r="F5652" s="195" t="s">
        <v>430</v>
      </c>
    </row>
    <row r="5653" spans="1:6" x14ac:dyDescent="0.25">
      <c r="A5653" s="189" t="str">
        <f t="shared" si="88"/>
        <v>HA-MD 15200.18S</v>
      </c>
      <c r="B5653" s="195" t="s">
        <v>484</v>
      </c>
      <c r="C5653" s="196">
        <v>0</v>
      </c>
      <c r="D5653" s="196">
        <v>0.18</v>
      </c>
      <c r="E5653" s="195" t="s">
        <v>583</v>
      </c>
      <c r="F5653" s="195" t="s">
        <v>438</v>
      </c>
    </row>
    <row r="5654" spans="1:6" x14ac:dyDescent="0.25">
      <c r="A5654" s="189" t="str">
        <f t="shared" si="88"/>
        <v>HA-MD 1520.182.38N</v>
      </c>
      <c r="B5654" s="195" t="s">
        <v>484</v>
      </c>
      <c r="C5654" s="196">
        <v>0.18</v>
      </c>
      <c r="D5654" s="196">
        <v>2.38</v>
      </c>
      <c r="E5654" s="195" t="s">
        <v>583</v>
      </c>
      <c r="F5654" s="195" t="s">
        <v>430</v>
      </c>
    </row>
    <row r="5655" spans="1:6" x14ac:dyDescent="0.25">
      <c r="A5655" s="189" t="str">
        <f t="shared" si="88"/>
        <v>HA-MD 1520.182.38S</v>
      </c>
      <c r="B5655" s="195" t="s">
        <v>484</v>
      </c>
      <c r="C5655" s="196">
        <v>0.18</v>
      </c>
      <c r="D5655" s="196">
        <v>2.38</v>
      </c>
      <c r="E5655" s="195" t="s">
        <v>583</v>
      </c>
      <c r="F5655" s="195" t="s">
        <v>438</v>
      </c>
    </row>
    <row r="5656" spans="1:6" x14ac:dyDescent="0.25">
      <c r="A5656" s="189" t="str">
        <f t="shared" si="88"/>
        <v>HA-MD 1523.35.24N</v>
      </c>
      <c r="B5656" s="195" t="s">
        <v>484</v>
      </c>
      <c r="C5656" s="196">
        <v>3.3</v>
      </c>
      <c r="D5656" s="196">
        <v>5.24</v>
      </c>
      <c r="E5656" s="195" t="s">
        <v>583</v>
      </c>
      <c r="F5656" s="195" t="s">
        <v>430</v>
      </c>
    </row>
    <row r="5657" spans="1:6" x14ac:dyDescent="0.25">
      <c r="A5657" s="189" t="str">
        <f t="shared" si="88"/>
        <v>HA-MD 1523.35.24S</v>
      </c>
      <c r="B5657" s="195" t="s">
        <v>484</v>
      </c>
      <c r="C5657" s="196">
        <v>3.3</v>
      </c>
      <c r="D5657" s="196">
        <v>5.24</v>
      </c>
      <c r="E5657" s="195" t="s">
        <v>583</v>
      </c>
      <c r="F5657" s="195" t="s">
        <v>438</v>
      </c>
    </row>
    <row r="5658" spans="1:6" x14ac:dyDescent="0.25">
      <c r="A5658" s="189" t="str">
        <f t="shared" si="88"/>
        <v>HA-MD 1525.247.6N</v>
      </c>
      <c r="B5658" s="195" t="s">
        <v>484</v>
      </c>
      <c r="C5658" s="196">
        <v>5.24</v>
      </c>
      <c r="D5658" s="196">
        <v>7.6</v>
      </c>
      <c r="E5658" s="195" t="s">
        <v>589</v>
      </c>
      <c r="F5658" s="195" t="s">
        <v>430</v>
      </c>
    </row>
    <row r="5659" spans="1:6" x14ac:dyDescent="0.25">
      <c r="A5659" s="189" t="str">
        <f t="shared" si="88"/>
        <v>HA-MD 1525.247.68S</v>
      </c>
      <c r="B5659" s="195" t="s">
        <v>484</v>
      </c>
      <c r="C5659" s="196">
        <v>5.24</v>
      </c>
      <c r="D5659" s="196">
        <v>7.68</v>
      </c>
      <c r="E5659" s="195" t="s">
        <v>595</v>
      </c>
      <c r="F5659" s="195" t="s">
        <v>438</v>
      </c>
    </row>
    <row r="5660" spans="1:6" x14ac:dyDescent="0.25">
      <c r="A5660" s="189" t="str">
        <f t="shared" si="88"/>
        <v>HA-MD 1528.479.67N</v>
      </c>
      <c r="B5660" s="195" t="s">
        <v>484</v>
      </c>
      <c r="C5660" s="196">
        <v>8.4700000000000006</v>
      </c>
      <c r="D5660" s="196">
        <v>9.67</v>
      </c>
      <c r="E5660" s="195" t="s">
        <v>583</v>
      </c>
      <c r="F5660" s="195" t="s">
        <v>430</v>
      </c>
    </row>
    <row r="5661" spans="1:6" x14ac:dyDescent="0.25">
      <c r="A5661" s="189" t="str">
        <f t="shared" si="88"/>
        <v>HA-MD 1528.479.67S</v>
      </c>
      <c r="B5661" s="195" t="s">
        <v>484</v>
      </c>
      <c r="C5661" s="196">
        <v>8.4700000000000006</v>
      </c>
      <c r="D5661" s="196">
        <v>9.67</v>
      </c>
      <c r="E5661" s="195" t="s">
        <v>583</v>
      </c>
      <c r="F5661" s="195" t="s">
        <v>438</v>
      </c>
    </row>
    <row r="5662" spans="1:6" x14ac:dyDescent="0.25">
      <c r="A5662" s="189" t="str">
        <f t="shared" si="88"/>
        <v>HA-MD 1529.6710.8N</v>
      </c>
      <c r="B5662" s="195" t="s">
        <v>484</v>
      </c>
      <c r="C5662" s="196">
        <v>9.67</v>
      </c>
      <c r="D5662" s="196">
        <v>10.8</v>
      </c>
      <c r="E5662" s="195" t="s">
        <v>583</v>
      </c>
      <c r="F5662" s="195" t="s">
        <v>430</v>
      </c>
    </row>
    <row r="5663" spans="1:6" x14ac:dyDescent="0.25">
      <c r="A5663" s="189" t="str">
        <f t="shared" si="88"/>
        <v>HA-MD 1529.6710.8S</v>
      </c>
      <c r="B5663" s="195" t="s">
        <v>484</v>
      </c>
      <c r="C5663" s="196">
        <v>9.67</v>
      </c>
      <c r="D5663" s="196">
        <v>10.8</v>
      </c>
      <c r="E5663" s="195" t="s">
        <v>583</v>
      </c>
      <c r="F5663" s="195" t="s">
        <v>438</v>
      </c>
    </row>
    <row r="5664" spans="1:6" x14ac:dyDescent="0.25">
      <c r="A5664" s="189" t="str">
        <f t="shared" si="88"/>
        <v>HA-MD 15210.811.4N</v>
      </c>
      <c r="B5664" s="195" t="s">
        <v>484</v>
      </c>
      <c r="C5664" s="196">
        <v>10.8</v>
      </c>
      <c r="D5664" s="196">
        <v>11.4</v>
      </c>
      <c r="E5664" s="195" t="s">
        <v>583</v>
      </c>
      <c r="F5664" s="195" t="s">
        <v>430</v>
      </c>
    </row>
    <row r="5665" spans="1:6" x14ac:dyDescent="0.25">
      <c r="A5665" s="189" t="str">
        <f t="shared" si="88"/>
        <v>HA-MD 15210.811.4S</v>
      </c>
      <c r="B5665" s="195" t="s">
        <v>484</v>
      </c>
      <c r="C5665" s="196">
        <v>10.8</v>
      </c>
      <c r="D5665" s="196">
        <v>11.4</v>
      </c>
      <c r="E5665" s="195" t="s">
        <v>583</v>
      </c>
      <c r="F5665" s="195" t="s">
        <v>438</v>
      </c>
    </row>
    <row r="5666" spans="1:6" x14ac:dyDescent="0.25">
      <c r="A5666" s="189" t="str">
        <f t="shared" si="88"/>
        <v>HA-MD 15211.411.69N</v>
      </c>
      <c r="B5666" s="195" t="s">
        <v>484</v>
      </c>
      <c r="C5666" s="196">
        <v>11.4</v>
      </c>
      <c r="D5666" s="196">
        <v>11.69</v>
      </c>
      <c r="E5666" s="195" t="s">
        <v>583</v>
      </c>
      <c r="F5666" s="195" t="s">
        <v>430</v>
      </c>
    </row>
    <row r="5667" spans="1:6" x14ac:dyDescent="0.25">
      <c r="A5667" s="189" t="str">
        <f t="shared" si="88"/>
        <v>HA-MD 15211.411.69S</v>
      </c>
      <c r="B5667" s="195" t="s">
        <v>484</v>
      </c>
      <c r="C5667" s="196">
        <v>11.4</v>
      </c>
      <c r="D5667" s="196">
        <v>11.69</v>
      </c>
      <c r="E5667" s="195" t="s">
        <v>583</v>
      </c>
      <c r="F5667" s="195" t="s">
        <v>438</v>
      </c>
    </row>
    <row r="5668" spans="1:6" x14ac:dyDescent="0.25">
      <c r="A5668" s="189" t="str">
        <f t="shared" si="88"/>
        <v>HA-MD 15211.6913.35N</v>
      </c>
      <c r="B5668" s="195" t="s">
        <v>484</v>
      </c>
      <c r="C5668" s="196">
        <v>11.69</v>
      </c>
      <c r="D5668" s="196">
        <v>13.35</v>
      </c>
      <c r="E5668" s="195" t="s">
        <v>583</v>
      </c>
      <c r="F5668" s="195" t="s">
        <v>430</v>
      </c>
    </row>
    <row r="5669" spans="1:6" x14ac:dyDescent="0.25">
      <c r="A5669" s="189" t="str">
        <f t="shared" si="88"/>
        <v>HA-MD 15211.6913.35S</v>
      </c>
      <c r="B5669" s="195" t="s">
        <v>484</v>
      </c>
      <c r="C5669" s="196">
        <v>11.69</v>
      </c>
      <c r="D5669" s="196">
        <v>13.35</v>
      </c>
      <c r="E5669" s="195" t="s">
        <v>583</v>
      </c>
      <c r="F5669" s="195" t="s">
        <v>438</v>
      </c>
    </row>
    <row r="5670" spans="1:6" x14ac:dyDescent="0.25">
      <c r="A5670" s="189" t="str">
        <f t="shared" si="88"/>
        <v>HA-MD 15213.3514.88N</v>
      </c>
      <c r="B5670" s="195" t="s">
        <v>484</v>
      </c>
      <c r="C5670" s="196">
        <v>13.35</v>
      </c>
      <c r="D5670" s="196">
        <v>14.88</v>
      </c>
      <c r="E5670" s="195" t="s">
        <v>583</v>
      </c>
      <c r="F5670" s="195" t="s">
        <v>430</v>
      </c>
    </row>
    <row r="5671" spans="1:6" x14ac:dyDescent="0.25">
      <c r="A5671" s="189" t="str">
        <f t="shared" si="88"/>
        <v>HA-MD 15213.3514.88S</v>
      </c>
      <c r="B5671" s="195" t="s">
        <v>484</v>
      </c>
      <c r="C5671" s="196">
        <v>13.35</v>
      </c>
      <c r="D5671" s="196">
        <v>14.88</v>
      </c>
      <c r="E5671" s="195" t="s">
        <v>583</v>
      </c>
      <c r="F5671" s="195" t="s">
        <v>438</v>
      </c>
    </row>
    <row r="5672" spans="1:6" x14ac:dyDescent="0.25">
      <c r="A5672" s="189" t="str">
        <f t="shared" si="88"/>
        <v>HA-MD 15214.8815.32N</v>
      </c>
      <c r="B5672" s="195" t="s">
        <v>484</v>
      </c>
      <c r="C5672" s="196">
        <v>14.88</v>
      </c>
      <c r="D5672" s="196">
        <v>15.32</v>
      </c>
      <c r="E5672" s="195" t="s">
        <v>589</v>
      </c>
      <c r="F5672" s="195" t="s">
        <v>430</v>
      </c>
    </row>
    <row r="5673" spans="1:6" x14ac:dyDescent="0.25">
      <c r="A5673" s="189" t="str">
        <f t="shared" si="88"/>
        <v>HA-MD 15214.8817.34S</v>
      </c>
      <c r="B5673" s="195" t="s">
        <v>484</v>
      </c>
      <c r="C5673" s="196">
        <v>14.88</v>
      </c>
      <c r="D5673" s="196">
        <v>17.34</v>
      </c>
      <c r="E5673" s="195" t="s">
        <v>595</v>
      </c>
      <c r="F5673" s="195" t="s">
        <v>438</v>
      </c>
    </row>
    <row r="5674" spans="1:6" x14ac:dyDescent="0.25">
      <c r="A5674" s="189" t="str">
        <f t="shared" si="88"/>
        <v>HA-MD 15215.3217.34N</v>
      </c>
      <c r="B5674" s="195" t="s">
        <v>484</v>
      </c>
      <c r="C5674" s="196">
        <v>15.32</v>
      </c>
      <c r="D5674" s="196">
        <v>17.34</v>
      </c>
      <c r="E5674" s="195" t="s">
        <v>589</v>
      </c>
      <c r="F5674" s="195" t="s">
        <v>430</v>
      </c>
    </row>
    <row r="5675" spans="1:6" x14ac:dyDescent="0.25">
      <c r="A5675" s="189" t="str">
        <f t="shared" si="88"/>
        <v>HA-MD 152A00.09N</v>
      </c>
      <c r="B5675" s="195" t="s">
        <v>2711</v>
      </c>
      <c r="C5675" s="196">
        <v>0</v>
      </c>
      <c r="D5675" s="196">
        <v>0.09</v>
      </c>
      <c r="E5675" s="195" t="s">
        <v>589</v>
      </c>
      <c r="F5675" s="195" t="s">
        <v>430</v>
      </c>
    </row>
    <row r="5676" spans="1:6" x14ac:dyDescent="0.25">
      <c r="A5676" s="189" t="str">
        <f t="shared" si="88"/>
        <v>HA-MD 152A00.09S</v>
      </c>
      <c r="B5676" s="195" t="s">
        <v>2711</v>
      </c>
      <c r="C5676" s="196">
        <v>0</v>
      </c>
      <c r="D5676" s="196">
        <v>0.09</v>
      </c>
      <c r="E5676" s="195" t="s">
        <v>595</v>
      </c>
      <c r="F5676" s="195" t="s">
        <v>438</v>
      </c>
    </row>
    <row r="5677" spans="1:6" x14ac:dyDescent="0.25">
      <c r="A5677" s="189" t="str">
        <f t="shared" si="88"/>
        <v>HA-MD 152B00.22N</v>
      </c>
      <c r="B5677" s="195" t="s">
        <v>2712</v>
      </c>
      <c r="C5677" s="196">
        <v>0</v>
      </c>
      <c r="D5677" s="196">
        <v>0.22</v>
      </c>
      <c r="E5677" s="195" t="s">
        <v>583</v>
      </c>
      <c r="F5677" s="195" t="s">
        <v>430</v>
      </c>
    </row>
    <row r="5678" spans="1:6" x14ac:dyDescent="0.25">
      <c r="A5678" s="189" t="str">
        <f t="shared" si="88"/>
        <v>HA-MD 152B00.22S</v>
      </c>
      <c r="B5678" s="195" t="s">
        <v>2712</v>
      </c>
      <c r="C5678" s="196">
        <v>0</v>
      </c>
      <c r="D5678" s="196">
        <v>0.22</v>
      </c>
      <c r="E5678" s="195" t="s">
        <v>583</v>
      </c>
      <c r="F5678" s="195" t="s">
        <v>438</v>
      </c>
    </row>
    <row r="5679" spans="1:6" x14ac:dyDescent="0.25">
      <c r="A5679" s="189" t="str">
        <f t="shared" si="88"/>
        <v>HA-MD 15500.71E</v>
      </c>
      <c r="B5679" s="195" t="s">
        <v>485</v>
      </c>
      <c r="C5679" s="196">
        <v>0</v>
      </c>
      <c r="D5679" s="196">
        <v>0.71</v>
      </c>
      <c r="E5679" s="195" t="s">
        <v>583</v>
      </c>
      <c r="F5679" s="195" t="s">
        <v>19</v>
      </c>
    </row>
    <row r="5680" spans="1:6" x14ac:dyDescent="0.25">
      <c r="A5680" s="189" t="str">
        <f t="shared" si="88"/>
        <v>HA-MD 15500.71W</v>
      </c>
      <c r="B5680" s="195" t="s">
        <v>485</v>
      </c>
      <c r="C5680" s="196">
        <v>0</v>
      </c>
      <c r="D5680" s="196">
        <v>0.71</v>
      </c>
      <c r="E5680" s="195" t="s">
        <v>583</v>
      </c>
      <c r="F5680" s="195" t="s">
        <v>432</v>
      </c>
    </row>
    <row r="5681" spans="1:6" x14ac:dyDescent="0.25">
      <c r="A5681" s="189" t="str">
        <f t="shared" si="88"/>
        <v>HA-MD 1550.712.45E</v>
      </c>
      <c r="B5681" s="195" t="s">
        <v>485</v>
      </c>
      <c r="C5681" s="196">
        <v>0.71</v>
      </c>
      <c r="D5681" s="196">
        <v>2.4500000000000002</v>
      </c>
      <c r="E5681" s="195" t="s">
        <v>583</v>
      </c>
      <c r="F5681" s="195" t="s">
        <v>19</v>
      </c>
    </row>
    <row r="5682" spans="1:6" x14ac:dyDescent="0.25">
      <c r="A5682" s="189" t="str">
        <f t="shared" si="88"/>
        <v>HA-MD 1550.712.45W</v>
      </c>
      <c r="B5682" s="195" t="s">
        <v>485</v>
      </c>
      <c r="C5682" s="196">
        <v>0.71</v>
      </c>
      <c r="D5682" s="196">
        <v>2.4500000000000002</v>
      </c>
      <c r="E5682" s="195" t="s">
        <v>583</v>
      </c>
      <c r="F5682" s="195" t="s">
        <v>432</v>
      </c>
    </row>
    <row r="5683" spans="1:6" x14ac:dyDescent="0.25">
      <c r="A5683" s="189" t="str">
        <f t="shared" si="88"/>
        <v>HA-MD 1552.452.85E</v>
      </c>
      <c r="B5683" s="195" t="s">
        <v>485</v>
      </c>
      <c r="C5683" s="196">
        <v>2.4500000000000002</v>
      </c>
      <c r="D5683" s="196">
        <v>2.85</v>
      </c>
      <c r="E5683" s="195" t="s">
        <v>583</v>
      </c>
      <c r="F5683" s="195" t="s">
        <v>19</v>
      </c>
    </row>
    <row r="5684" spans="1:6" x14ac:dyDescent="0.25">
      <c r="A5684" s="189" t="str">
        <f t="shared" si="88"/>
        <v>HA-MD 1552.452.85W</v>
      </c>
      <c r="B5684" s="195" t="s">
        <v>485</v>
      </c>
      <c r="C5684" s="196">
        <v>2.4500000000000002</v>
      </c>
      <c r="D5684" s="196">
        <v>2.85</v>
      </c>
      <c r="E5684" s="195" t="s">
        <v>583</v>
      </c>
      <c r="F5684" s="195" t="s">
        <v>432</v>
      </c>
    </row>
    <row r="5685" spans="1:6" x14ac:dyDescent="0.25">
      <c r="A5685" s="189" t="str">
        <f t="shared" si="88"/>
        <v>HA-MD 1552.856.5E</v>
      </c>
      <c r="B5685" s="195" t="s">
        <v>485</v>
      </c>
      <c r="C5685" s="196">
        <v>2.85</v>
      </c>
      <c r="D5685" s="196">
        <v>6.5</v>
      </c>
      <c r="E5685" s="195" t="s">
        <v>583</v>
      </c>
      <c r="F5685" s="195" t="s">
        <v>19</v>
      </c>
    </row>
    <row r="5686" spans="1:6" x14ac:dyDescent="0.25">
      <c r="A5686" s="189" t="str">
        <f t="shared" si="88"/>
        <v>HA-MD 1552.856.5W</v>
      </c>
      <c r="B5686" s="195" t="s">
        <v>485</v>
      </c>
      <c r="C5686" s="196">
        <v>2.85</v>
      </c>
      <c r="D5686" s="196">
        <v>6.5</v>
      </c>
      <c r="E5686" s="195" t="s">
        <v>583</v>
      </c>
      <c r="F5686" s="195" t="s">
        <v>432</v>
      </c>
    </row>
    <row r="5687" spans="1:6" x14ac:dyDescent="0.25">
      <c r="A5687" s="189" t="str">
        <f t="shared" si="88"/>
        <v>HA-MD 1556.57.78E</v>
      </c>
      <c r="B5687" s="195" t="s">
        <v>485</v>
      </c>
      <c r="C5687" s="196">
        <v>6.5</v>
      </c>
      <c r="D5687" s="196">
        <v>7.78</v>
      </c>
      <c r="E5687" s="195" t="s">
        <v>583</v>
      </c>
      <c r="F5687" s="195" t="s">
        <v>19</v>
      </c>
    </row>
    <row r="5688" spans="1:6" x14ac:dyDescent="0.25">
      <c r="A5688" s="189" t="str">
        <f t="shared" si="88"/>
        <v>HA-MD 1556.57.78W</v>
      </c>
      <c r="B5688" s="195" t="s">
        <v>485</v>
      </c>
      <c r="C5688" s="196">
        <v>6.5</v>
      </c>
      <c r="D5688" s="196">
        <v>7.78</v>
      </c>
      <c r="E5688" s="195" t="s">
        <v>583</v>
      </c>
      <c r="F5688" s="195" t="s">
        <v>432</v>
      </c>
    </row>
    <row r="5689" spans="1:6" x14ac:dyDescent="0.25">
      <c r="A5689" s="189" t="str">
        <f t="shared" si="88"/>
        <v>HA-MD 1557.788.16E</v>
      </c>
      <c r="B5689" s="195" t="s">
        <v>485</v>
      </c>
      <c r="C5689" s="196">
        <v>7.78</v>
      </c>
      <c r="D5689" s="196">
        <v>8.16</v>
      </c>
      <c r="E5689" s="195" t="s">
        <v>583</v>
      </c>
      <c r="F5689" s="195" t="s">
        <v>19</v>
      </c>
    </row>
    <row r="5690" spans="1:6" x14ac:dyDescent="0.25">
      <c r="A5690" s="189" t="str">
        <f t="shared" si="88"/>
        <v>HA-MD 1557.788.16W</v>
      </c>
      <c r="B5690" s="195" t="s">
        <v>485</v>
      </c>
      <c r="C5690" s="196">
        <v>7.78</v>
      </c>
      <c r="D5690" s="196">
        <v>8.16</v>
      </c>
      <c r="E5690" s="195" t="s">
        <v>583</v>
      </c>
      <c r="F5690" s="195" t="s">
        <v>432</v>
      </c>
    </row>
    <row r="5691" spans="1:6" x14ac:dyDescent="0.25">
      <c r="A5691" s="189" t="str">
        <f t="shared" si="88"/>
        <v>HA-MD 1558.169.06E</v>
      </c>
      <c r="B5691" s="195" t="s">
        <v>485</v>
      </c>
      <c r="C5691" s="196">
        <v>8.16</v>
      </c>
      <c r="D5691" s="196">
        <v>9.06</v>
      </c>
      <c r="E5691" s="195" t="s">
        <v>583</v>
      </c>
      <c r="F5691" s="195" t="s">
        <v>19</v>
      </c>
    </row>
    <row r="5692" spans="1:6" x14ac:dyDescent="0.25">
      <c r="A5692" s="189" t="str">
        <f t="shared" si="88"/>
        <v>HA-MD 1558.169.06W</v>
      </c>
      <c r="B5692" s="195" t="s">
        <v>485</v>
      </c>
      <c r="C5692" s="196">
        <v>8.16</v>
      </c>
      <c r="D5692" s="196">
        <v>9.06</v>
      </c>
      <c r="E5692" s="195" t="s">
        <v>583</v>
      </c>
      <c r="F5692" s="195" t="s">
        <v>432</v>
      </c>
    </row>
    <row r="5693" spans="1:6" x14ac:dyDescent="0.25">
      <c r="A5693" s="189" t="str">
        <f t="shared" si="88"/>
        <v>HA-MD 1559.069.06E</v>
      </c>
      <c r="B5693" s="195" t="s">
        <v>485</v>
      </c>
      <c r="C5693" s="196">
        <v>9.06</v>
      </c>
      <c r="D5693" s="196">
        <v>9.06</v>
      </c>
      <c r="E5693" s="195" t="s">
        <v>583</v>
      </c>
      <c r="F5693" s="195" t="s">
        <v>19</v>
      </c>
    </row>
    <row r="5694" spans="1:6" x14ac:dyDescent="0.25">
      <c r="A5694" s="189" t="str">
        <f t="shared" si="88"/>
        <v>HA-MD 1559.069.06W</v>
      </c>
      <c r="B5694" s="195" t="s">
        <v>485</v>
      </c>
      <c r="C5694" s="196">
        <v>9.06</v>
      </c>
      <c r="D5694" s="196">
        <v>9.06</v>
      </c>
      <c r="E5694" s="195" t="s">
        <v>583</v>
      </c>
      <c r="F5694" s="195" t="s">
        <v>432</v>
      </c>
    </row>
    <row r="5695" spans="1:6" x14ac:dyDescent="0.25">
      <c r="A5695" s="189" t="str">
        <f t="shared" si="88"/>
        <v>HA-MD 155A00.03W</v>
      </c>
      <c r="B5695" s="195" t="s">
        <v>2713</v>
      </c>
      <c r="C5695" s="196">
        <v>0</v>
      </c>
      <c r="D5695" s="196">
        <v>0.03</v>
      </c>
      <c r="E5695" s="195" t="s">
        <v>593</v>
      </c>
      <c r="F5695" s="195" t="s">
        <v>432</v>
      </c>
    </row>
    <row r="5696" spans="1:6" x14ac:dyDescent="0.25">
      <c r="A5696" s="189" t="str">
        <f t="shared" si="88"/>
        <v>HA-MD 155A00.11E</v>
      </c>
      <c r="B5696" s="195" t="s">
        <v>2713</v>
      </c>
      <c r="C5696" s="196">
        <v>0</v>
      </c>
      <c r="D5696" s="196">
        <v>0.11</v>
      </c>
      <c r="E5696" s="195" t="s">
        <v>598</v>
      </c>
      <c r="F5696" s="195" t="s">
        <v>19</v>
      </c>
    </row>
    <row r="5697" spans="1:6" x14ac:dyDescent="0.25">
      <c r="A5697" s="189" t="str">
        <f t="shared" si="88"/>
        <v>HA-MD 15602.52E</v>
      </c>
      <c r="B5697" s="195" t="s">
        <v>2714</v>
      </c>
      <c r="C5697" s="196">
        <v>0</v>
      </c>
      <c r="D5697" s="196">
        <v>2.52</v>
      </c>
      <c r="E5697" s="195" t="s">
        <v>583</v>
      </c>
      <c r="F5697" s="195" t="s">
        <v>19</v>
      </c>
    </row>
    <row r="5698" spans="1:6" x14ac:dyDescent="0.25">
      <c r="A5698" s="189" t="str">
        <f t="shared" si="88"/>
        <v>HA-MD 15602.52W</v>
      </c>
      <c r="B5698" s="195" t="s">
        <v>2714</v>
      </c>
      <c r="C5698" s="196">
        <v>0</v>
      </c>
      <c r="D5698" s="196">
        <v>2.52</v>
      </c>
      <c r="E5698" s="195" t="s">
        <v>583</v>
      </c>
      <c r="F5698" s="195" t="s">
        <v>432</v>
      </c>
    </row>
    <row r="5699" spans="1:6" x14ac:dyDescent="0.25">
      <c r="A5699" s="189" t="str">
        <f t="shared" ref="A5699:A5762" si="89">B5699&amp;C5699&amp;D5699&amp;F5699</f>
        <v>HA-MD 1562.522.61E</v>
      </c>
      <c r="B5699" s="195" t="s">
        <v>2714</v>
      </c>
      <c r="C5699" s="196">
        <v>2.52</v>
      </c>
      <c r="D5699" s="196">
        <v>2.61</v>
      </c>
      <c r="E5699" s="195" t="s">
        <v>583</v>
      </c>
      <c r="F5699" s="195" t="s">
        <v>19</v>
      </c>
    </row>
    <row r="5700" spans="1:6" x14ac:dyDescent="0.25">
      <c r="A5700" s="189" t="str">
        <f t="shared" si="89"/>
        <v>HA-MD 1562.522.61W</v>
      </c>
      <c r="B5700" s="195" t="s">
        <v>2714</v>
      </c>
      <c r="C5700" s="196">
        <v>2.52</v>
      </c>
      <c r="D5700" s="196">
        <v>2.61</v>
      </c>
      <c r="E5700" s="195" t="s">
        <v>583</v>
      </c>
      <c r="F5700" s="195" t="s">
        <v>432</v>
      </c>
    </row>
    <row r="5701" spans="1:6" x14ac:dyDescent="0.25">
      <c r="A5701" s="189" t="str">
        <f t="shared" si="89"/>
        <v>HA-MD 1562.613.91E</v>
      </c>
      <c r="B5701" s="195" t="s">
        <v>2714</v>
      </c>
      <c r="C5701" s="196">
        <v>2.61</v>
      </c>
      <c r="D5701" s="196">
        <v>3.91</v>
      </c>
      <c r="E5701" s="195" t="s">
        <v>583</v>
      </c>
      <c r="F5701" s="195" t="s">
        <v>19</v>
      </c>
    </row>
    <row r="5702" spans="1:6" x14ac:dyDescent="0.25">
      <c r="A5702" s="189" t="str">
        <f t="shared" si="89"/>
        <v>HA-MD 1562.613.91W</v>
      </c>
      <c r="B5702" s="195" t="s">
        <v>2714</v>
      </c>
      <c r="C5702" s="196">
        <v>2.61</v>
      </c>
      <c r="D5702" s="196">
        <v>3.91</v>
      </c>
      <c r="E5702" s="195" t="s">
        <v>583</v>
      </c>
      <c r="F5702" s="195" t="s">
        <v>432</v>
      </c>
    </row>
    <row r="5703" spans="1:6" x14ac:dyDescent="0.25">
      <c r="A5703" s="189" t="str">
        <f t="shared" si="89"/>
        <v>HA-MD 1563.913.92E</v>
      </c>
      <c r="B5703" s="195" t="s">
        <v>2714</v>
      </c>
      <c r="C5703" s="196">
        <v>3.91</v>
      </c>
      <c r="D5703" s="196">
        <v>3.92</v>
      </c>
      <c r="E5703" s="195" t="s">
        <v>583</v>
      </c>
      <c r="F5703" s="195" t="s">
        <v>19</v>
      </c>
    </row>
    <row r="5704" spans="1:6" x14ac:dyDescent="0.25">
      <c r="A5704" s="189" t="str">
        <f t="shared" si="89"/>
        <v>HA-MD 1563.913.92W</v>
      </c>
      <c r="B5704" s="195" t="s">
        <v>2714</v>
      </c>
      <c r="C5704" s="196">
        <v>3.91</v>
      </c>
      <c r="D5704" s="196">
        <v>3.92</v>
      </c>
      <c r="E5704" s="195" t="s">
        <v>583</v>
      </c>
      <c r="F5704" s="195" t="s">
        <v>432</v>
      </c>
    </row>
    <row r="5705" spans="1:6" x14ac:dyDescent="0.25">
      <c r="A5705" s="189" t="str">
        <f t="shared" si="89"/>
        <v>HA-MD 156A00.04N</v>
      </c>
      <c r="B5705" s="195" t="s">
        <v>2715</v>
      </c>
      <c r="C5705" s="196">
        <v>0</v>
      </c>
      <c r="D5705" s="196">
        <v>0.04</v>
      </c>
      <c r="E5705" s="195" t="s">
        <v>589</v>
      </c>
      <c r="F5705" s="195" t="s">
        <v>430</v>
      </c>
    </row>
    <row r="5706" spans="1:6" x14ac:dyDescent="0.25">
      <c r="A5706" s="189" t="str">
        <f t="shared" si="89"/>
        <v>HA-MD 156A00.04S</v>
      </c>
      <c r="B5706" s="195" t="s">
        <v>2715</v>
      </c>
      <c r="C5706" s="196">
        <v>0</v>
      </c>
      <c r="D5706" s="196">
        <v>0.04</v>
      </c>
      <c r="E5706" s="195" t="s">
        <v>595</v>
      </c>
      <c r="F5706" s="195" t="s">
        <v>438</v>
      </c>
    </row>
    <row r="5707" spans="1:6" x14ac:dyDescent="0.25">
      <c r="A5707" s="189" t="str">
        <f t="shared" si="89"/>
        <v>HA-MD 15900.55N</v>
      </c>
      <c r="B5707" s="195" t="s">
        <v>2716</v>
      </c>
      <c r="C5707" s="196">
        <v>0</v>
      </c>
      <c r="D5707" s="196">
        <v>0.55000000000000004</v>
      </c>
      <c r="E5707" s="195" t="s">
        <v>583</v>
      </c>
      <c r="F5707" s="195" t="s">
        <v>430</v>
      </c>
    </row>
    <row r="5708" spans="1:6" x14ac:dyDescent="0.25">
      <c r="A5708" s="189" t="str">
        <f t="shared" si="89"/>
        <v>HA-MD 15900.55S</v>
      </c>
      <c r="B5708" s="195" t="s">
        <v>2716</v>
      </c>
      <c r="C5708" s="196">
        <v>0</v>
      </c>
      <c r="D5708" s="196">
        <v>0.55000000000000004</v>
      </c>
      <c r="E5708" s="195" t="s">
        <v>583</v>
      </c>
      <c r="F5708" s="195" t="s">
        <v>438</v>
      </c>
    </row>
    <row r="5709" spans="1:6" x14ac:dyDescent="0.25">
      <c r="A5709" s="189" t="str">
        <f t="shared" si="89"/>
        <v>HA-MD 1590.551.96N</v>
      </c>
      <c r="B5709" s="195" t="s">
        <v>2716</v>
      </c>
      <c r="C5709" s="196">
        <v>0.55000000000000004</v>
      </c>
      <c r="D5709" s="196">
        <v>1.96</v>
      </c>
      <c r="E5709" s="195" t="s">
        <v>583</v>
      </c>
      <c r="F5709" s="195" t="s">
        <v>430</v>
      </c>
    </row>
    <row r="5710" spans="1:6" x14ac:dyDescent="0.25">
      <c r="A5710" s="189" t="str">
        <f t="shared" si="89"/>
        <v>HA-MD 1590.551.96S</v>
      </c>
      <c r="B5710" s="195" t="s">
        <v>2716</v>
      </c>
      <c r="C5710" s="196">
        <v>0.55000000000000004</v>
      </c>
      <c r="D5710" s="196">
        <v>1.96</v>
      </c>
      <c r="E5710" s="195" t="s">
        <v>583</v>
      </c>
      <c r="F5710" s="195" t="s">
        <v>438</v>
      </c>
    </row>
    <row r="5711" spans="1:6" x14ac:dyDescent="0.25">
      <c r="A5711" s="189" t="str">
        <f t="shared" si="89"/>
        <v>HA-MD 1591.962.7N</v>
      </c>
      <c r="B5711" s="195" t="s">
        <v>2716</v>
      </c>
      <c r="C5711" s="196">
        <v>1.96</v>
      </c>
      <c r="D5711" s="196">
        <v>2.7</v>
      </c>
      <c r="E5711" s="195" t="s">
        <v>583</v>
      </c>
      <c r="F5711" s="195" t="s">
        <v>430</v>
      </c>
    </row>
    <row r="5712" spans="1:6" x14ac:dyDescent="0.25">
      <c r="A5712" s="189" t="str">
        <f t="shared" si="89"/>
        <v>HA-MD 1591.962.7S</v>
      </c>
      <c r="B5712" s="195" t="s">
        <v>2716</v>
      </c>
      <c r="C5712" s="196">
        <v>1.96</v>
      </c>
      <c r="D5712" s="196">
        <v>2.7</v>
      </c>
      <c r="E5712" s="195" t="s">
        <v>583</v>
      </c>
      <c r="F5712" s="195" t="s">
        <v>438</v>
      </c>
    </row>
    <row r="5713" spans="1:6" x14ac:dyDescent="0.25">
      <c r="A5713" s="189" t="str">
        <f t="shared" si="89"/>
        <v>HA-MD 1592.74.48N</v>
      </c>
      <c r="B5713" s="195" t="s">
        <v>2716</v>
      </c>
      <c r="C5713" s="196">
        <v>2.7</v>
      </c>
      <c r="D5713" s="196">
        <v>4.4800000000000004</v>
      </c>
      <c r="E5713" s="195" t="s">
        <v>583</v>
      </c>
      <c r="F5713" s="195" t="s">
        <v>430</v>
      </c>
    </row>
    <row r="5714" spans="1:6" x14ac:dyDescent="0.25">
      <c r="A5714" s="189" t="str">
        <f t="shared" si="89"/>
        <v>HA-MD 1592.74.48S</v>
      </c>
      <c r="B5714" s="195" t="s">
        <v>2716</v>
      </c>
      <c r="C5714" s="196">
        <v>2.7</v>
      </c>
      <c r="D5714" s="196">
        <v>4.4800000000000004</v>
      </c>
      <c r="E5714" s="195" t="s">
        <v>583</v>
      </c>
      <c r="F5714" s="195" t="s">
        <v>438</v>
      </c>
    </row>
    <row r="5715" spans="1:6" x14ac:dyDescent="0.25">
      <c r="A5715" s="189" t="str">
        <f t="shared" si="89"/>
        <v>HA-MD 1594.484.53N</v>
      </c>
      <c r="B5715" s="195" t="s">
        <v>2716</v>
      </c>
      <c r="C5715" s="196">
        <v>4.4800000000000004</v>
      </c>
      <c r="D5715" s="196">
        <v>4.53</v>
      </c>
      <c r="E5715" s="195" t="s">
        <v>583</v>
      </c>
      <c r="F5715" s="195" t="s">
        <v>430</v>
      </c>
    </row>
    <row r="5716" spans="1:6" x14ac:dyDescent="0.25">
      <c r="A5716" s="189" t="str">
        <f t="shared" si="89"/>
        <v>HA-MD 1594.484.53S</v>
      </c>
      <c r="B5716" s="195" t="s">
        <v>2716</v>
      </c>
      <c r="C5716" s="196">
        <v>4.4800000000000004</v>
      </c>
      <c r="D5716" s="196">
        <v>4.53</v>
      </c>
      <c r="E5716" s="195" t="s">
        <v>583</v>
      </c>
      <c r="F5716" s="195" t="s">
        <v>438</v>
      </c>
    </row>
    <row r="5717" spans="1:6" x14ac:dyDescent="0.25">
      <c r="A5717" s="189" t="str">
        <f t="shared" si="89"/>
        <v>HA-MD 1594.534.73N</v>
      </c>
      <c r="B5717" s="195" t="s">
        <v>2716</v>
      </c>
      <c r="C5717" s="196">
        <v>4.53</v>
      </c>
      <c r="D5717" s="196">
        <v>4.7300000000000004</v>
      </c>
      <c r="E5717" s="195" t="s">
        <v>583</v>
      </c>
      <c r="F5717" s="195" t="s">
        <v>430</v>
      </c>
    </row>
    <row r="5718" spans="1:6" x14ac:dyDescent="0.25">
      <c r="A5718" s="189" t="str">
        <f t="shared" si="89"/>
        <v>HA-MD 1594.534.73S</v>
      </c>
      <c r="B5718" s="195" t="s">
        <v>2716</v>
      </c>
      <c r="C5718" s="196">
        <v>4.53</v>
      </c>
      <c r="D5718" s="196">
        <v>4.7300000000000004</v>
      </c>
      <c r="E5718" s="195" t="s">
        <v>583</v>
      </c>
      <c r="F5718" s="195" t="s">
        <v>438</v>
      </c>
    </row>
    <row r="5719" spans="1:6" x14ac:dyDescent="0.25">
      <c r="A5719" s="189" t="str">
        <f t="shared" si="89"/>
        <v>HA-MD 159A00.05N</v>
      </c>
      <c r="B5719" s="195" t="s">
        <v>2717</v>
      </c>
      <c r="C5719" s="196">
        <v>0</v>
      </c>
      <c r="D5719" s="196">
        <v>0.05</v>
      </c>
      <c r="E5719" s="195" t="s">
        <v>589</v>
      </c>
      <c r="F5719" s="195" t="s">
        <v>430</v>
      </c>
    </row>
    <row r="5720" spans="1:6" x14ac:dyDescent="0.25">
      <c r="A5720" s="189" t="str">
        <f t="shared" si="89"/>
        <v>HA-MD 159A00.05S</v>
      </c>
      <c r="B5720" s="195" t="s">
        <v>2717</v>
      </c>
      <c r="C5720" s="196">
        <v>0</v>
      </c>
      <c r="D5720" s="196">
        <v>0.05</v>
      </c>
      <c r="E5720" s="195" t="s">
        <v>595</v>
      </c>
      <c r="F5720" s="195" t="s">
        <v>438</v>
      </c>
    </row>
    <row r="5721" spans="1:6" x14ac:dyDescent="0.25">
      <c r="A5721" s="189" t="str">
        <f t="shared" si="89"/>
        <v>HA-MD 16102.2N</v>
      </c>
      <c r="B5721" s="195" t="s">
        <v>2718</v>
      </c>
      <c r="C5721" s="196">
        <v>0</v>
      </c>
      <c r="D5721" s="196">
        <v>2.2000000000000002</v>
      </c>
      <c r="E5721" s="195" t="s">
        <v>583</v>
      </c>
      <c r="F5721" s="195" t="s">
        <v>430</v>
      </c>
    </row>
    <row r="5722" spans="1:6" x14ac:dyDescent="0.25">
      <c r="A5722" s="189" t="str">
        <f t="shared" si="89"/>
        <v>HA-MD 16102.2S</v>
      </c>
      <c r="B5722" s="195" t="s">
        <v>2718</v>
      </c>
      <c r="C5722" s="196">
        <v>0</v>
      </c>
      <c r="D5722" s="196">
        <v>2.2000000000000002</v>
      </c>
      <c r="E5722" s="195" t="s">
        <v>583</v>
      </c>
      <c r="F5722" s="195" t="s">
        <v>438</v>
      </c>
    </row>
    <row r="5723" spans="1:6" x14ac:dyDescent="0.25">
      <c r="A5723" s="189" t="str">
        <f t="shared" si="89"/>
        <v>HA-MD 1612.22.85N</v>
      </c>
      <c r="B5723" s="195" t="s">
        <v>2718</v>
      </c>
      <c r="C5723" s="196">
        <v>2.2000000000000002</v>
      </c>
      <c r="D5723" s="196">
        <v>2.85</v>
      </c>
      <c r="E5723" s="195" t="s">
        <v>583</v>
      </c>
      <c r="F5723" s="195" t="s">
        <v>430</v>
      </c>
    </row>
    <row r="5724" spans="1:6" x14ac:dyDescent="0.25">
      <c r="A5724" s="189" t="str">
        <f t="shared" si="89"/>
        <v>HA-MD 1612.22.85S</v>
      </c>
      <c r="B5724" s="195" t="s">
        <v>2718</v>
      </c>
      <c r="C5724" s="196">
        <v>2.2000000000000002</v>
      </c>
      <c r="D5724" s="196">
        <v>2.85</v>
      </c>
      <c r="E5724" s="195" t="s">
        <v>583</v>
      </c>
      <c r="F5724" s="195" t="s">
        <v>438</v>
      </c>
    </row>
    <row r="5725" spans="1:6" x14ac:dyDescent="0.25">
      <c r="A5725" s="189" t="str">
        <f t="shared" si="89"/>
        <v>HA-MD 1612.853.25N</v>
      </c>
      <c r="B5725" s="195" t="s">
        <v>2718</v>
      </c>
      <c r="C5725" s="196">
        <v>2.85</v>
      </c>
      <c r="D5725" s="196">
        <v>3.25</v>
      </c>
      <c r="E5725" s="195" t="s">
        <v>583</v>
      </c>
      <c r="F5725" s="195" t="s">
        <v>430</v>
      </c>
    </row>
    <row r="5726" spans="1:6" x14ac:dyDescent="0.25">
      <c r="A5726" s="189" t="str">
        <f t="shared" si="89"/>
        <v>HA-MD 1612.853.25S</v>
      </c>
      <c r="B5726" s="195" t="s">
        <v>2718</v>
      </c>
      <c r="C5726" s="196">
        <v>2.85</v>
      </c>
      <c r="D5726" s="196">
        <v>3.25</v>
      </c>
      <c r="E5726" s="195" t="s">
        <v>583</v>
      </c>
      <c r="F5726" s="195" t="s">
        <v>438</v>
      </c>
    </row>
    <row r="5727" spans="1:6" x14ac:dyDescent="0.25">
      <c r="A5727" s="189" t="str">
        <f t="shared" si="89"/>
        <v>HA-MD 1613.253.95N</v>
      </c>
      <c r="B5727" s="195" t="s">
        <v>2718</v>
      </c>
      <c r="C5727" s="196">
        <v>3.25</v>
      </c>
      <c r="D5727" s="196">
        <v>3.95</v>
      </c>
      <c r="E5727" s="195" t="s">
        <v>583</v>
      </c>
      <c r="F5727" s="195" t="s">
        <v>430</v>
      </c>
    </row>
    <row r="5728" spans="1:6" x14ac:dyDescent="0.25">
      <c r="A5728" s="189" t="str">
        <f t="shared" si="89"/>
        <v>HA-MD 1613.253.95S</v>
      </c>
      <c r="B5728" s="195" t="s">
        <v>2718</v>
      </c>
      <c r="C5728" s="196">
        <v>3.25</v>
      </c>
      <c r="D5728" s="196">
        <v>3.95</v>
      </c>
      <c r="E5728" s="195" t="s">
        <v>583</v>
      </c>
      <c r="F5728" s="195" t="s">
        <v>438</v>
      </c>
    </row>
    <row r="5729" spans="1:6" x14ac:dyDescent="0.25">
      <c r="A5729" s="189" t="str">
        <f t="shared" si="89"/>
        <v>HA-MD 1613.954.35N</v>
      </c>
      <c r="B5729" s="195" t="s">
        <v>2718</v>
      </c>
      <c r="C5729" s="196">
        <v>3.95</v>
      </c>
      <c r="D5729" s="196">
        <v>4.3499999999999996</v>
      </c>
      <c r="E5729" s="195" t="s">
        <v>583</v>
      </c>
      <c r="F5729" s="195" t="s">
        <v>430</v>
      </c>
    </row>
    <row r="5730" spans="1:6" x14ac:dyDescent="0.25">
      <c r="A5730" s="189" t="str">
        <f t="shared" si="89"/>
        <v>HA-MD 1613.954.35S</v>
      </c>
      <c r="B5730" s="195" t="s">
        <v>2718</v>
      </c>
      <c r="C5730" s="196">
        <v>3.95</v>
      </c>
      <c r="D5730" s="196">
        <v>4.3499999999999996</v>
      </c>
      <c r="E5730" s="195" t="s">
        <v>583</v>
      </c>
      <c r="F5730" s="195" t="s">
        <v>438</v>
      </c>
    </row>
    <row r="5731" spans="1:6" x14ac:dyDescent="0.25">
      <c r="A5731" s="189" t="str">
        <f t="shared" si="89"/>
        <v>HA-MD 1614.355.38N</v>
      </c>
      <c r="B5731" s="195" t="s">
        <v>2718</v>
      </c>
      <c r="C5731" s="196">
        <v>4.3499999999999996</v>
      </c>
      <c r="D5731" s="196">
        <v>5.38</v>
      </c>
      <c r="E5731" s="195" t="s">
        <v>583</v>
      </c>
      <c r="F5731" s="195" t="s">
        <v>430</v>
      </c>
    </row>
    <row r="5732" spans="1:6" x14ac:dyDescent="0.25">
      <c r="A5732" s="189" t="str">
        <f t="shared" si="89"/>
        <v>HA-MD 1614.355.38S</v>
      </c>
      <c r="B5732" s="195" t="s">
        <v>2718</v>
      </c>
      <c r="C5732" s="196">
        <v>4.3499999999999996</v>
      </c>
      <c r="D5732" s="196">
        <v>5.38</v>
      </c>
      <c r="E5732" s="195" t="s">
        <v>583</v>
      </c>
      <c r="F5732" s="195" t="s">
        <v>438</v>
      </c>
    </row>
    <row r="5733" spans="1:6" x14ac:dyDescent="0.25">
      <c r="A5733" s="189" t="str">
        <f t="shared" si="89"/>
        <v>HA-MD 16502.19N</v>
      </c>
      <c r="B5733" s="195" t="s">
        <v>486</v>
      </c>
      <c r="C5733" s="196">
        <v>0</v>
      </c>
      <c r="D5733" s="196">
        <v>2.19</v>
      </c>
      <c r="E5733" s="195" t="s">
        <v>583</v>
      </c>
      <c r="F5733" s="195" t="s">
        <v>430</v>
      </c>
    </row>
    <row r="5734" spans="1:6" x14ac:dyDescent="0.25">
      <c r="A5734" s="189" t="str">
        <f t="shared" si="89"/>
        <v>HA-MD 16502.19S</v>
      </c>
      <c r="B5734" s="195" t="s">
        <v>486</v>
      </c>
      <c r="C5734" s="196">
        <v>0</v>
      </c>
      <c r="D5734" s="196">
        <v>2.19</v>
      </c>
      <c r="E5734" s="195" t="s">
        <v>583</v>
      </c>
      <c r="F5734" s="195" t="s">
        <v>438</v>
      </c>
    </row>
    <row r="5735" spans="1:6" x14ac:dyDescent="0.25">
      <c r="A5735" s="189" t="str">
        <f t="shared" si="89"/>
        <v>HA-MD 1652.193.15N</v>
      </c>
      <c r="B5735" s="195" t="s">
        <v>486</v>
      </c>
      <c r="C5735" s="196">
        <v>2.19</v>
      </c>
      <c r="D5735" s="196">
        <v>3.15</v>
      </c>
      <c r="E5735" s="195" t="s">
        <v>583</v>
      </c>
      <c r="F5735" s="195" t="s">
        <v>430</v>
      </c>
    </row>
    <row r="5736" spans="1:6" x14ac:dyDescent="0.25">
      <c r="A5736" s="189" t="str">
        <f t="shared" si="89"/>
        <v>HA-MD 1652.193.15S</v>
      </c>
      <c r="B5736" s="195" t="s">
        <v>486</v>
      </c>
      <c r="C5736" s="196">
        <v>2.19</v>
      </c>
      <c r="D5736" s="196">
        <v>3.15</v>
      </c>
      <c r="E5736" s="195" t="s">
        <v>583</v>
      </c>
      <c r="F5736" s="195" t="s">
        <v>438</v>
      </c>
    </row>
    <row r="5737" spans="1:6" x14ac:dyDescent="0.25">
      <c r="A5737" s="189" t="str">
        <f t="shared" si="89"/>
        <v>HA-MD 1653.153.25N</v>
      </c>
      <c r="B5737" s="195" t="s">
        <v>486</v>
      </c>
      <c r="C5737" s="196">
        <v>3.15</v>
      </c>
      <c r="D5737" s="196">
        <v>3.25</v>
      </c>
      <c r="E5737" s="195" t="s">
        <v>583</v>
      </c>
      <c r="F5737" s="195" t="s">
        <v>430</v>
      </c>
    </row>
    <row r="5738" spans="1:6" x14ac:dyDescent="0.25">
      <c r="A5738" s="189" t="str">
        <f t="shared" si="89"/>
        <v>HA-MD 1653.153.25S</v>
      </c>
      <c r="B5738" s="195" t="s">
        <v>486</v>
      </c>
      <c r="C5738" s="196">
        <v>3.15</v>
      </c>
      <c r="D5738" s="196">
        <v>3.25</v>
      </c>
      <c r="E5738" s="195" t="s">
        <v>583</v>
      </c>
      <c r="F5738" s="195" t="s">
        <v>438</v>
      </c>
    </row>
    <row r="5739" spans="1:6" x14ac:dyDescent="0.25">
      <c r="A5739" s="189" t="str">
        <f t="shared" si="89"/>
        <v>HA-MD 1653.254.65N</v>
      </c>
      <c r="B5739" s="195" t="s">
        <v>486</v>
      </c>
      <c r="C5739" s="196">
        <v>3.25</v>
      </c>
      <c r="D5739" s="196">
        <v>4.6500000000000004</v>
      </c>
      <c r="E5739" s="195" t="s">
        <v>583</v>
      </c>
      <c r="F5739" s="195" t="s">
        <v>430</v>
      </c>
    </row>
    <row r="5740" spans="1:6" x14ac:dyDescent="0.25">
      <c r="A5740" s="189" t="str">
        <f t="shared" si="89"/>
        <v>HA-MD 1653.254.65S</v>
      </c>
      <c r="B5740" s="195" t="s">
        <v>486</v>
      </c>
      <c r="C5740" s="196">
        <v>3.25</v>
      </c>
      <c r="D5740" s="196">
        <v>4.6500000000000004</v>
      </c>
      <c r="E5740" s="195" t="s">
        <v>583</v>
      </c>
      <c r="F5740" s="195" t="s">
        <v>438</v>
      </c>
    </row>
    <row r="5741" spans="1:6" x14ac:dyDescent="0.25">
      <c r="A5741" s="189" t="str">
        <f t="shared" si="89"/>
        <v>HA-MD 1654.655.52N</v>
      </c>
      <c r="B5741" s="195" t="s">
        <v>486</v>
      </c>
      <c r="C5741" s="196">
        <v>4.6500000000000004</v>
      </c>
      <c r="D5741" s="196">
        <v>5.52</v>
      </c>
      <c r="E5741" s="195" t="s">
        <v>583</v>
      </c>
      <c r="F5741" s="195" t="s">
        <v>430</v>
      </c>
    </row>
    <row r="5742" spans="1:6" x14ac:dyDescent="0.25">
      <c r="A5742" s="189" t="str">
        <f t="shared" si="89"/>
        <v>HA-MD 1654.655.52S</v>
      </c>
      <c r="B5742" s="195" t="s">
        <v>486</v>
      </c>
      <c r="C5742" s="196">
        <v>4.6500000000000004</v>
      </c>
      <c r="D5742" s="196">
        <v>5.52</v>
      </c>
      <c r="E5742" s="195" t="s">
        <v>583</v>
      </c>
      <c r="F5742" s="195" t="s">
        <v>438</v>
      </c>
    </row>
    <row r="5743" spans="1:6" x14ac:dyDescent="0.25">
      <c r="A5743" s="189" t="str">
        <f t="shared" si="89"/>
        <v>HA-MD 1655.526.8N</v>
      </c>
      <c r="B5743" s="195" t="s">
        <v>486</v>
      </c>
      <c r="C5743" s="196">
        <v>5.52</v>
      </c>
      <c r="D5743" s="196">
        <v>6.8</v>
      </c>
      <c r="E5743" s="195" t="s">
        <v>583</v>
      </c>
      <c r="F5743" s="195" t="s">
        <v>430</v>
      </c>
    </row>
    <row r="5744" spans="1:6" x14ac:dyDescent="0.25">
      <c r="A5744" s="189" t="str">
        <f t="shared" si="89"/>
        <v>HA-MD 1655.526.8S</v>
      </c>
      <c r="B5744" s="195" t="s">
        <v>486</v>
      </c>
      <c r="C5744" s="196">
        <v>5.52</v>
      </c>
      <c r="D5744" s="196">
        <v>6.8</v>
      </c>
      <c r="E5744" s="195" t="s">
        <v>583</v>
      </c>
      <c r="F5744" s="195" t="s">
        <v>438</v>
      </c>
    </row>
    <row r="5745" spans="1:6" x14ac:dyDescent="0.25">
      <c r="A5745" s="189" t="str">
        <f t="shared" si="89"/>
        <v>HA-MD 1656.87.1N</v>
      </c>
      <c r="B5745" s="195" t="s">
        <v>486</v>
      </c>
      <c r="C5745" s="196">
        <v>6.8</v>
      </c>
      <c r="D5745" s="196">
        <v>7.1</v>
      </c>
      <c r="E5745" s="195" t="s">
        <v>583</v>
      </c>
      <c r="F5745" s="195" t="s">
        <v>430</v>
      </c>
    </row>
    <row r="5746" spans="1:6" x14ac:dyDescent="0.25">
      <c r="A5746" s="189" t="str">
        <f t="shared" si="89"/>
        <v>HA-MD 1656.87.1S</v>
      </c>
      <c r="B5746" s="195" t="s">
        <v>486</v>
      </c>
      <c r="C5746" s="196">
        <v>6.8</v>
      </c>
      <c r="D5746" s="196">
        <v>7.1</v>
      </c>
      <c r="E5746" s="195" t="s">
        <v>583</v>
      </c>
      <c r="F5746" s="195" t="s">
        <v>438</v>
      </c>
    </row>
    <row r="5747" spans="1:6" x14ac:dyDescent="0.25">
      <c r="A5747" s="189" t="str">
        <f t="shared" si="89"/>
        <v>HA-MD 1657.17.4N</v>
      </c>
      <c r="B5747" s="195" t="s">
        <v>486</v>
      </c>
      <c r="C5747" s="196">
        <v>7.1</v>
      </c>
      <c r="D5747" s="196">
        <v>7.4</v>
      </c>
      <c r="E5747" s="195" t="s">
        <v>583</v>
      </c>
      <c r="F5747" s="195" t="s">
        <v>430</v>
      </c>
    </row>
    <row r="5748" spans="1:6" x14ac:dyDescent="0.25">
      <c r="A5748" s="189" t="str">
        <f t="shared" si="89"/>
        <v>HA-MD 1657.17.4S</v>
      </c>
      <c r="B5748" s="195" t="s">
        <v>486</v>
      </c>
      <c r="C5748" s="196">
        <v>7.1</v>
      </c>
      <c r="D5748" s="196">
        <v>7.4</v>
      </c>
      <c r="E5748" s="195" t="s">
        <v>583</v>
      </c>
      <c r="F5748" s="195" t="s">
        <v>438</v>
      </c>
    </row>
    <row r="5749" spans="1:6" x14ac:dyDescent="0.25">
      <c r="A5749" s="189" t="str">
        <f t="shared" si="89"/>
        <v>HA-MD 1657.49.8N</v>
      </c>
      <c r="B5749" s="195" t="s">
        <v>486</v>
      </c>
      <c r="C5749" s="196">
        <v>7.4</v>
      </c>
      <c r="D5749" s="196">
        <v>9.8000000000000007</v>
      </c>
      <c r="E5749" s="195" t="s">
        <v>583</v>
      </c>
      <c r="F5749" s="195" t="s">
        <v>430</v>
      </c>
    </row>
    <row r="5750" spans="1:6" x14ac:dyDescent="0.25">
      <c r="A5750" s="189" t="str">
        <f t="shared" si="89"/>
        <v>HA-MD 1657.49.8S</v>
      </c>
      <c r="B5750" s="195" t="s">
        <v>486</v>
      </c>
      <c r="C5750" s="196">
        <v>7.4</v>
      </c>
      <c r="D5750" s="196">
        <v>9.8000000000000007</v>
      </c>
      <c r="E5750" s="195" t="s">
        <v>583</v>
      </c>
      <c r="F5750" s="195" t="s">
        <v>438</v>
      </c>
    </row>
    <row r="5751" spans="1:6" x14ac:dyDescent="0.25">
      <c r="A5751" s="189" t="str">
        <f t="shared" si="89"/>
        <v>HA-MD 1659.810.75N</v>
      </c>
      <c r="B5751" s="195" t="s">
        <v>486</v>
      </c>
      <c r="C5751" s="196">
        <v>9.8000000000000007</v>
      </c>
      <c r="D5751" s="196">
        <v>10.75</v>
      </c>
      <c r="E5751" s="195" t="s">
        <v>583</v>
      </c>
      <c r="F5751" s="195" t="s">
        <v>430</v>
      </c>
    </row>
    <row r="5752" spans="1:6" x14ac:dyDescent="0.25">
      <c r="A5752" s="189" t="str">
        <f t="shared" si="89"/>
        <v>HA-MD 1659.810.75S</v>
      </c>
      <c r="B5752" s="195" t="s">
        <v>486</v>
      </c>
      <c r="C5752" s="196">
        <v>9.8000000000000007</v>
      </c>
      <c r="D5752" s="196">
        <v>10.75</v>
      </c>
      <c r="E5752" s="195" t="s">
        <v>583</v>
      </c>
      <c r="F5752" s="195" t="s">
        <v>438</v>
      </c>
    </row>
    <row r="5753" spans="1:6" x14ac:dyDescent="0.25">
      <c r="A5753" s="189" t="str">
        <f t="shared" si="89"/>
        <v>HA-MD 16510.7511.35N</v>
      </c>
      <c r="B5753" s="195" t="s">
        <v>486</v>
      </c>
      <c r="C5753" s="196">
        <v>10.75</v>
      </c>
      <c r="D5753" s="196">
        <v>11.35</v>
      </c>
      <c r="E5753" s="195" t="s">
        <v>583</v>
      </c>
      <c r="F5753" s="195" t="s">
        <v>430</v>
      </c>
    </row>
    <row r="5754" spans="1:6" x14ac:dyDescent="0.25">
      <c r="A5754" s="189" t="str">
        <f t="shared" si="89"/>
        <v>HA-MD 16510.7511.35S</v>
      </c>
      <c r="B5754" s="195" t="s">
        <v>486</v>
      </c>
      <c r="C5754" s="196">
        <v>10.75</v>
      </c>
      <c r="D5754" s="196">
        <v>11.35</v>
      </c>
      <c r="E5754" s="195" t="s">
        <v>583</v>
      </c>
      <c r="F5754" s="195" t="s">
        <v>438</v>
      </c>
    </row>
    <row r="5755" spans="1:6" x14ac:dyDescent="0.25">
      <c r="A5755" s="189" t="str">
        <f t="shared" si="89"/>
        <v>HA-MD 16511.3513.5N</v>
      </c>
      <c r="B5755" s="195" t="s">
        <v>486</v>
      </c>
      <c r="C5755" s="196">
        <v>11.35</v>
      </c>
      <c r="D5755" s="196">
        <v>13.5</v>
      </c>
      <c r="E5755" s="195" t="s">
        <v>583</v>
      </c>
      <c r="F5755" s="195" t="s">
        <v>430</v>
      </c>
    </row>
    <row r="5756" spans="1:6" x14ac:dyDescent="0.25">
      <c r="A5756" s="189" t="str">
        <f t="shared" si="89"/>
        <v>HA-MD 16511.3513.5S</v>
      </c>
      <c r="B5756" s="195" t="s">
        <v>486</v>
      </c>
      <c r="C5756" s="196">
        <v>11.35</v>
      </c>
      <c r="D5756" s="196">
        <v>13.5</v>
      </c>
      <c r="E5756" s="195" t="s">
        <v>583</v>
      </c>
      <c r="F5756" s="195" t="s">
        <v>438</v>
      </c>
    </row>
    <row r="5757" spans="1:6" x14ac:dyDescent="0.25">
      <c r="A5757" s="189" t="str">
        <f t="shared" si="89"/>
        <v>HA-MD 16513.513.73N</v>
      </c>
      <c r="B5757" s="195" t="s">
        <v>486</v>
      </c>
      <c r="C5757" s="196">
        <v>13.5</v>
      </c>
      <c r="D5757" s="196">
        <v>13.73</v>
      </c>
      <c r="E5757" s="195" t="s">
        <v>583</v>
      </c>
      <c r="F5757" s="195" t="s">
        <v>430</v>
      </c>
    </row>
    <row r="5758" spans="1:6" x14ac:dyDescent="0.25">
      <c r="A5758" s="189" t="str">
        <f t="shared" si="89"/>
        <v>HA-MD 16513.513.73S</v>
      </c>
      <c r="B5758" s="195" t="s">
        <v>486</v>
      </c>
      <c r="C5758" s="196">
        <v>13.5</v>
      </c>
      <c r="D5758" s="196">
        <v>13.73</v>
      </c>
      <c r="E5758" s="195" t="s">
        <v>583</v>
      </c>
      <c r="F5758" s="195" t="s">
        <v>438</v>
      </c>
    </row>
    <row r="5759" spans="1:6" x14ac:dyDescent="0.25">
      <c r="A5759" s="189" t="str">
        <f t="shared" si="89"/>
        <v>HA-MD 16513.7314N</v>
      </c>
      <c r="B5759" s="195" t="s">
        <v>486</v>
      </c>
      <c r="C5759" s="196">
        <v>13.73</v>
      </c>
      <c r="D5759" s="196">
        <v>14</v>
      </c>
      <c r="E5759" s="195" t="s">
        <v>583</v>
      </c>
      <c r="F5759" s="195" t="s">
        <v>430</v>
      </c>
    </row>
    <row r="5760" spans="1:6" x14ac:dyDescent="0.25">
      <c r="A5760" s="189" t="str">
        <f t="shared" si="89"/>
        <v>HA-MD 16513.7314S</v>
      </c>
      <c r="B5760" s="195" t="s">
        <v>486</v>
      </c>
      <c r="C5760" s="196">
        <v>13.73</v>
      </c>
      <c r="D5760" s="196">
        <v>14</v>
      </c>
      <c r="E5760" s="195" t="s">
        <v>583</v>
      </c>
      <c r="F5760" s="195" t="s">
        <v>438</v>
      </c>
    </row>
    <row r="5761" spans="1:6" x14ac:dyDescent="0.25">
      <c r="A5761" s="189" t="str">
        <f t="shared" si="89"/>
        <v>HA-MD 1651414.6N</v>
      </c>
      <c r="B5761" s="195" t="s">
        <v>486</v>
      </c>
      <c r="C5761" s="196">
        <v>14</v>
      </c>
      <c r="D5761" s="196">
        <v>14.6</v>
      </c>
      <c r="E5761" s="195" t="s">
        <v>583</v>
      </c>
      <c r="F5761" s="195" t="s">
        <v>430</v>
      </c>
    </row>
    <row r="5762" spans="1:6" x14ac:dyDescent="0.25">
      <c r="A5762" s="189" t="str">
        <f t="shared" si="89"/>
        <v>HA-MD 1651414.6S</v>
      </c>
      <c r="B5762" s="195" t="s">
        <v>486</v>
      </c>
      <c r="C5762" s="196">
        <v>14</v>
      </c>
      <c r="D5762" s="196">
        <v>14.6</v>
      </c>
      <c r="E5762" s="195" t="s">
        <v>583</v>
      </c>
      <c r="F5762" s="195" t="s">
        <v>438</v>
      </c>
    </row>
    <row r="5763" spans="1:6" x14ac:dyDescent="0.25">
      <c r="A5763" s="189" t="str">
        <f t="shared" ref="A5763:A5826" si="90">B5763&amp;C5763&amp;D5763&amp;F5763</f>
        <v>HA-MD 16514.614.75N</v>
      </c>
      <c r="B5763" s="195" t="s">
        <v>486</v>
      </c>
      <c r="C5763" s="196">
        <v>14.6</v>
      </c>
      <c r="D5763" s="196">
        <v>14.75</v>
      </c>
      <c r="E5763" s="195" t="s">
        <v>583</v>
      </c>
      <c r="F5763" s="195" t="s">
        <v>430</v>
      </c>
    </row>
    <row r="5764" spans="1:6" x14ac:dyDescent="0.25">
      <c r="A5764" s="189" t="str">
        <f t="shared" si="90"/>
        <v>HA-MD 16514.614.75S</v>
      </c>
      <c r="B5764" s="195" t="s">
        <v>486</v>
      </c>
      <c r="C5764" s="196">
        <v>14.6</v>
      </c>
      <c r="D5764" s="196">
        <v>14.75</v>
      </c>
      <c r="E5764" s="195" t="s">
        <v>583</v>
      </c>
      <c r="F5764" s="195" t="s">
        <v>438</v>
      </c>
    </row>
    <row r="5765" spans="1:6" x14ac:dyDescent="0.25">
      <c r="A5765" s="189" t="str">
        <f t="shared" si="90"/>
        <v>HA-MD 16514.7515.75N</v>
      </c>
      <c r="B5765" s="195" t="s">
        <v>486</v>
      </c>
      <c r="C5765" s="196">
        <v>14.75</v>
      </c>
      <c r="D5765" s="196">
        <v>15.75</v>
      </c>
      <c r="E5765" s="195" t="s">
        <v>583</v>
      </c>
      <c r="F5765" s="195" t="s">
        <v>430</v>
      </c>
    </row>
    <row r="5766" spans="1:6" x14ac:dyDescent="0.25">
      <c r="A5766" s="189" t="str">
        <f t="shared" si="90"/>
        <v>HA-MD 16514.7515.75S</v>
      </c>
      <c r="B5766" s="195" t="s">
        <v>486</v>
      </c>
      <c r="C5766" s="196">
        <v>14.75</v>
      </c>
      <c r="D5766" s="196">
        <v>15.75</v>
      </c>
      <c r="E5766" s="195" t="s">
        <v>583</v>
      </c>
      <c r="F5766" s="195" t="s">
        <v>438</v>
      </c>
    </row>
    <row r="5767" spans="1:6" x14ac:dyDescent="0.25">
      <c r="A5767" s="189" t="str">
        <f t="shared" si="90"/>
        <v>HA-MD 16515.7515.8N</v>
      </c>
      <c r="B5767" s="195" t="s">
        <v>486</v>
      </c>
      <c r="C5767" s="196">
        <v>15.75</v>
      </c>
      <c r="D5767" s="196">
        <v>15.8</v>
      </c>
      <c r="E5767" s="195" t="s">
        <v>583</v>
      </c>
      <c r="F5767" s="195" t="s">
        <v>430</v>
      </c>
    </row>
    <row r="5768" spans="1:6" x14ac:dyDescent="0.25">
      <c r="A5768" s="189" t="str">
        <f t="shared" si="90"/>
        <v>HA-MD 16515.7515.8S</v>
      </c>
      <c r="B5768" s="195" t="s">
        <v>486</v>
      </c>
      <c r="C5768" s="196">
        <v>15.75</v>
      </c>
      <c r="D5768" s="196">
        <v>15.8</v>
      </c>
      <c r="E5768" s="195" t="s">
        <v>583</v>
      </c>
      <c r="F5768" s="195" t="s">
        <v>438</v>
      </c>
    </row>
    <row r="5769" spans="1:6" x14ac:dyDescent="0.25">
      <c r="A5769" s="189" t="str">
        <f t="shared" si="90"/>
        <v>HA-MD 16515.818.98N</v>
      </c>
      <c r="B5769" s="195" t="s">
        <v>486</v>
      </c>
      <c r="C5769" s="196">
        <v>15.8</v>
      </c>
      <c r="D5769" s="196">
        <v>18.98</v>
      </c>
      <c r="E5769" s="195" t="s">
        <v>583</v>
      </c>
      <c r="F5769" s="195" t="s">
        <v>430</v>
      </c>
    </row>
    <row r="5770" spans="1:6" x14ac:dyDescent="0.25">
      <c r="A5770" s="189" t="str">
        <f t="shared" si="90"/>
        <v>HA-MD 16515.818.98S</v>
      </c>
      <c r="B5770" s="195" t="s">
        <v>486</v>
      </c>
      <c r="C5770" s="196">
        <v>15.8</v>
      </c>
      <c r="D5770" s="196">
        <v>18.98</v>
      </c>
      <c r="E5770" s="195" t="s">
        <v>583</v>
      </c>
      <c r="F5770" s="195" t="s">
        <v>438</v>
      </c>
    </row>
    <row r="5771" spans="1:6" x14ac:dyDescent="0.25">
      <c r="A5771" s="189" t="str">
        <f t="shared" si="90"/>
        <v>HA-MD 220.30.38W</v>
      </c>
      <c r="B5771" s="195" t="s">
        <v>487</v>
      </c>
      <c r="C5771" s="196">
        <v>0.3</v>
      </c>
      <c r="D5771" s="196">
        <v>0.38</v>
      </c>
      <c r="E5771" s="195" t="s">
        <v>593</v>
      </c>
      <c r="F5771" s="195" t="s">
        <v>432</v>
      </c>
    </row>
    <row r="5772" spans="1:6" x14ac:dyDescent="0.25">
      <c r="A5772" s="189" t="str">
        <f t="shared" si="90"/>
        <v>HA-MD 221.92.59E</v>
      </c>
      <c r="B5772" s="195" t="s">
        <v>487</v>
      </c>
      <c r="C5772" s="196">
        <v>1.9</v>
      </c>
      <c r="D5772" s="196">
        <v>2.59</v>
      </c>
      <c r="E5772" s="195" t="s">
        <v>598</v>
      </c>
      <c r="F5772" s="195" t="s">
        <v>19</v>
      </c>
    </row>
    <row r="5773" spans="1:6" x14ac:dyDescent="0.25">
      <c r="A5773" s="189" t="str">
        <f t="shared" si="90"/>
        <v>HA-MD 221.93.46W</v>
      </c>
      <c r="B5773" s="195" t="s">
        <v>487</v>
      </c>
      <c r="C5773" s="196">
        <v>1.9</v>
      </c>
      <c r="D5773" s="196">
        <v>3.46</v>
      </c>
      <c r="E5773" s="195" t="s">
        <v>593</v>
      </c>
      <c r="F5773" s="195" t="s">
        <v>432</v>
      </c>
    </row>
    <row r="5774" spans="1:6" x14ac:dyDescent="0.25">
      <c r="A5774" s="189" t="str">
        <f t="shared" si="90"/>
        <v>HA-MD 222.593.46E</v>
      </c>
      <c r="B5774" s="195" t="s">
        <v>487</v>
      </c>
      <c r="C5774" s="196">
        <v>2.59</v>
      </c>
      <c r="D5774" s="196">
        <v>3.46</v>
      </c>
      <c r="E5774" s="195" t="s">
        <v>598</v>
      </c>
      <c r="F5774" s="195" t="s">
        <v>19</v>
      </c>
    </row>
    <row r="5775" spans="1:6" x14ac:dyDescent="0.25">
      <c r="A5775" s="189" t="str">
        <f t="shared" si="90"/>
        <v>HA-MD 223.463.59E</v>
      </c>
      <c r="B5775" s="195" t="s">
        <v>487</v>
      </c>
      <c r="C5775" s="196">
        <v>3.46</v>
      </c>
      <c r="D5775" s="196">
        <v>3.59</v>
      </c>
      <c r="E5775" s="195" t="s">
        <v>583</v>
      </c>
      <c r="F5775" s="195" t="s">
        <v>19</v>
      </c>
    </row>
    <row r="5776" spans="1:6" x14ac:dyDescent="0.25">
      <c r="A5776" s="189" t="str">
        <f t="shared" si="90"/>
        <v>HA-MD 223.463.59W</v>
      </c>
      <c r="B5776" s="195" t="s">
        <v>487</v>
      </c>
      <c r="C5776" s="196">
        <v>3.46</v>
      </c>
      <c r="D5776" s="196">
        <v>3.59</v>
      </c>
      <c r="E5776" s="195" t="s">
        <v>583</v>
      </c>
      <c r="F5776" s="195" t="s">
        <v>432</v>
      </c>
    </row>
    <row r="5777" spans="1:6" x14ac:dyDescent="0.25">
      <c r="A5777" s="189" t="str">
        <f t="shared" si="90"/>
        <v>HA-MD 223.594.81E</v>
      </c>
      <c r="B5777" s="195" t="s">
        <v>487</v>
      </c>
      <c r="C5777" s="196">
        <v>3.59</v>
      </c>
      <c r="D5777" s="196">
        <v>4.8099999999999996</v>
      </c>
      <c r="E5777" s="195" t="s">
        <v>583</v>
      </c>
      <c r="F5777" s="195" t="s">
        <v>19</v>
      </c>
    </row>
    <row r="5778" spans="1:6" x14ac:dyDescent="0.25">
      <c r="A5778" s="189" t="str">
        <f t="shared" si="90"/>
        <v>HA-MD 223.594.81W</v>
      </c>
      <c r="B5778" s="195" t="s">
        <v>487</v>
      </c>
      <c r="C5778" s="196">
        <v>3.59</v>
      </c>
      <c r="D5778" s="196">
        <v>4.8099999999999996</v>
      </c>
      <c r="E5778" s="195" t="s">
        <v>583</v>
      </c>
      <c r="F5778" s="195" t="s">
        <v>432</v>
      </c>
    </row>
    <row r="5779" spans="1:6" x14ac:dyDescent="0.25">
      <c r="A5779" s="189" t="str">
        <f t="shared" si="90"/>
        <v>HA-MD 224.815.5E</v>
      </c>
      <c r="B5779" s="195" t="s">
        <v>487</v>
      </c>
      <c r="C5779" s="196">
        <v>4.8099999999999996</v>
      </c>
      <c r="D5779" s="196">
        <v>5.5</v>
      </c>
      <c r="E5779" s="195" t="s">
        <v>583</v>
      </c>
      <c r="F5779" s="195" t="s">
        <v>19</v>
      </c>
    </row>
    <row r="5780" spans="1:6" x14ac:dyDescent="0.25">
      <c r="A5780" s="189" t="str">
        <f t="shared" si="90"/>
        <v>HA-MD 224.815.5W</v>
      </c>
      <c r="B5780" s="195" t="s">
        <v>487</v>
      </c>
      <c r="C5780" s="196">
        <v>4.8099999999999996</v>
      </c>
      <c r="D5780" s="196">
        <v>5.5</v>
      </c>
      <c r="E5780" s="195" t="s">
        <v>583</v>
      </c>
      <c r="F5780" s="195" t="s">
        <v>432</v>
      </c>
    </row>
    <row r="5781" spans="1:6" x14ac:dyDescent="0.25">
      <c r="A5781" s="189" t="str">
        <f t="shared" si="90"/>
        <v>HA-MD 225.55.6E</v>
      </c>
      <c r="B5781" s="195" t="s">
        <v>487</v>
      </c>
      <c r="C5781" s="196">
        <v>5.5</v>
      </c>
      <c r="D5781" s="196">
        <v>5.6</v>
      </c>
      <c r="E5781" s="195" t="s">
        <v>598</v>
      </c>
      <c r="F5781" s="195" t="s">
        <v>19</v>
      </c>
    </row>
    <row r="5782" spans="1:6" x14ac:dyDescent="0.25">
      <c r="A5782" s="189" t="str">
        <f t="shared" si="90"/>
        <v>HA-MD 225.59.25W</v>
      </c>
      <c r="B5782" s="195" t="s">
        <v>487</v>
      </c>
      <c r="C5782" s="196">
        <v>5.5</v>
      </c>
      <c r="D5782" s="196">
        <v>9.25</v>
      </c>
      <c r="E5782" s="195" t="s">
        <v>593</v>
      </c>
      <c r="F5782" s="195" t="s">
        <v>432</v>
      </c>
    </row>
    <row r="5783" spans="1:6" x14ac:dyDescent="0.25">
      <c r="A5783" s="189" t="str">
        <f t="shared" si="90"/>
        <v>HA-MD 225.69.25E</v>
      </c>
      <c r="B5783" s="195" t="s">
        <v>487</v>
      </c>
      <c r="C5783" s="196">
        <v>5.6</v>
      </c>
      <c r="D5783" s="196">
        <v>9.25</v>
      </c>
      <c r="E5783" s="195" t="s">
        <v>598</v>
      </c>
      <c r="F5783" s="195" t="s">
        <v>19</v>
      </c>
    </row>
    <row r="5784" spans="1:6" x14ac:dyDescent="0.25">
      <c r="A5784" s="189" t="str">
        <f t="shared" si="90"/>
        <v>HA-MD 22A00.13E</v>
      </c>
      <c r="B5784" s="195" t="s">
        <v>2719</v>
      </c>
      <c r="C5784" s="196">
        <v>0</v>
      </c>
      <c r="D5784" s="196">
        <v>0.13</v>
      </c>
      <c r="E5784" s="195" t="s">
        <v>598</v>
      </c>
      <c r="F5784" s="195" t="s">
        <v>19</v>
      </c>
    </row>
    <row r="5785" spans="1:6" x14ac:dyDescent="0.25">
      <c r="A5785" s="189" t="str">
        <f t="shared" si="90"/>
        <v>HA-MD 22A00.13W</v>
      </c>
      <c r="B5785" s="195" t="s">
        <v>2719</v>
      </c>
      <c r="C5785" s="196">
        <v>0</v>
      </c>
      <c r="D5785" s="196">
        <v>0.13</v>
      </c>
      <c r="E5785" s="195" t="s">
        <v>593</v>
      </c>
      <c r="F5785" s="195" t="s">
        <v>432</v>
      </c>
    </row>
    <row r="5786" spans="1:6" x14ac:dyDescent="0.25">
      <c r="A5786" s="189" t="str">
        <f t="shared" si="90"/>
        <v>HA-MD 22B00.02N</v>
      </c>
      <c r="B5786" s="195" t="s">
        <v>2720</v>
      </c>
      <c r="C5786" s="196">
        <v>0</v>
      </c>
      <c r="D5786" s="196">
        <v>0.02</v>
      </c>
      <c r="E5786" s="195" t="s">
        <v>589</v>
      </c>
      <c r="F5786" s="195" t="s">
        <v>430</v>
      </c>
    </row>
    <row r="5787" spans="1:6" x14ac:dyDescent="0.25">
      <c r="A5787" s="189" t="str">
        <f t="shared" si="90"/>
        <v>HA-MD 22B00.02S</v>
      </c>
      <c r="B5787" s="195" t="s">
        <v>2720</v>
      </c>
      <c r="C5787" s="196">
        <v>0</v>
      </c>
      <c r="D5787" s="196">
        <v>0.02</v>
      </c>
      <c r="E5787" s="195" t="s">
        <v>595</v>
      </c>
      <c r="F5787" s="195" t="s">
        <v>438</v>
      </c>
    </row>
    <row r="5788" spans="1:6" x14ac:dyDescent="0.25">
      <c r="A5788" s="189" t="str">
        <f t="shared" si="90"/>
        <v>HA-MD 2300.55E</v>
      </c>
      <c r="B5788" s="195" t="s">
        <v>488</v>
      </c>
      <c r="C5788" s="196">
        <v>0</v>
      </c>
      <c r="D5788" s="196">
        <v>0.55000000000000004</v>
      </c>
      <c r="E5788" s="195" t="s">
        <v>583</v>
      </c>
      <c r="F5788" s="195" t="s">
        <v>19</v>
      </c>
    </row>
    <row r="5789" spans="1:6" x14ac:dyDescent="0.25">
      <c r="A5789" s="189" t="str">
        <f t="shared" si="90"/>
        <v>HA-MD 2300.55W</v>
      </c>
      <c r="B5789" s="195" t="s">
        <v>488</v>
      </c>
      <c r="C5789" s="196">
        <v>0</v>
      </c>
      <c r="D5789" s="196">
        <v>0.55000000000000004</v>
      </c>
      <c r="E5789" s="195" t="s">
        <v>583</v>
      </c>
      <c r="F5789" s="195" t="s">
        <v>432</v>
      </c>
    </row>
    <row r="5790" spans="1:6" x14ac:dyDescent="0.25">
      <c r="A5790" s="189" t="str">
        <f t="shared" si="90"/>
        <v>HA-MD 230.554E</v>
      </c>
      <c r="B5790" s="195" t="s">
        <v>488</v>
      </c>
      <c r="C5790" s="196">
        <v>0.55000000000000004</v>
      </c>
      <c r="D5790" s="196">
        <v>4</v>
      </c>
      <c r="E5790" s="195" t="s">
        <v>583</v>
      </c>
      <c r="F5790" s="195" t="s">
        <v>19</v>
      </c>
    </row>
    <row r="5791" spans="1:6" x14ac:dyDescent="0.25">
      <c r="A5791" s="189" t="str">
        <f t="shared" si="90"/>
        <v>HA-MD 230.554W</v>
      </c>
      <c r="B5791" s="195" t="s">
        <v>488</v>
      </c>
      <c r="C5791" s="196">
        <v>0.55000000000000004</v>
      </c>
      <c r="D5791" s="196">
        <v>4</v>
      </c>
      <c r="E5791" s="195" t="s">
        <v>583</v>
      </c>
      <c r="F5791" s="195" t="s">
        <v>432</v>
      </c>
    </row>
    <row r="5792" spans="1:6" x14ac:dyDescent="0.25">
      <c r="A5792" s="189" t="str">
        <f t="shared" si="90"/>
        <v>HA-MD 2345.76E</v>
      </c>
      <c r="B5792" s="195" t="s">
        <v>488</v>
      </c>
      <c r="C5792" s="196">
        <v>4</v>
      </c>
      <c r="D5792" s="196">
        <v>5.76</v>
      </c>
      <c r="E5792" s="195" t="s">
        <v>583</v>
      </c>
      <c r="F5792" s="195" t="s">
        <v>19</v>
      </c>
    </row>
    <row r="5793" spans="1:6" x14ac:dyDescent="0.25">
      <c r="A5793" s="189" t="str">
        <f t="shared" si="90"/>
        <v>HA-MD 2345.76W</v>
      </c>
      <c r="B5793" s="195" t="s">
        <v>488</v>
      </c>
      <c r="C5793" s="196">
        <v>4</v>
      </c>
      <c r="D5793" s="196">
        <v>5.76</v>
      </c>
      <c r="E5793" s="195" t="s">
        <v>583</v>
      </c>
      <c r="F5793" s="195" t="s">
        <v>432</v>
      </c>
    </row>
    <row r="5794" spans="1:6" x14ac:dyDescent="0.25">
      <c r="A5794" s="189" t="str">
        <f t="shared" si="90"/>
        <v>HA-MD 235.765.78E</v>
      </c>
      <c r="B5794" s="195" t="s">
        <v>488</v>
      </c>
      <c r="C5794" s="196">
        <v>5.76</v>
      </c>
      <c r="D5794" s="196">
        <v>5.78</v>
      </c>
      <c r="E5794" s="195" t="s">
        <v>583</v>
      </c>
      <c r="F5794" s="195" t="s">
        <v>19</v>
      </c>
    </row>
    <row r="5795" spans="1:6" x14ac:dyDescent="0.25">
      <c r="A5795" s="189" t="str">
        <f t="shared" si="90"/>
        <v>HA-MD 235.765.78W</v>
      </c>
      <c r="B5795" s="195" t="s">
        <v>488</v>
      </c>
      <c r="C5795" s="196">
        <v>5.76</v>
      </c>
      <c r="D5795" s="196">
        <v>5.78</v>
      </c>
      <c r="E5795" s="195" t="s">
        <v>583</v>
      </c>
      <c r="F5795" s="195" t="s">
        <v>432</v>
      </c>
    </row>
    <row r="5796" spans="1:6" x14ac:dyDescent="0.25">
      <c r="A5796" s="189" t="str">
        <f t="shared" si="90"/>
        <v>HA-MD 235.786.79W</v>
      </c>
      <c r="B5796" s="195" t="s">
        <v>488</v>
      </c>
      <c r="C5796" s="196">
        <v>5.78</v>
      </c>
      <c r="D5796" s="196">
        <v>6.79</v>
      </c>
      <c r="E5796" s="195" t="s">
        <v>593</v>
      </c>
      <c r="F5796" s="195" t="s">
        <v>432</v>
      </c>
    </row>
    <row r="5797" spans="1:6" x14ac:dyDescent="0.25">
      <c r="A5797" s="189" t="str">
        <f t="shared" si="90"/>
        <v>HA-MD 235.786.81E</v>
      </c>
      <c r="B5797" s="195" t="s">
        <v>488</v>
      </c>
      <c r="C5797" s="196">
        <v>5.78</v>
      </c>
      <c r="D5797" s="196">
        <v>6.81</v>
      </c>
      <c r="E5797" s="195" t="s">
        <v>598</v>
      </c>
      <c r="F5797" s="195" t="s">
        <v>19</v>
      </c>
    </row>
    <row r="5798" spans="1:6" x14ac:dyDescent="0.25">
      <c r="A5798" s="189" t="str">
        <f t="shared" si="90"/>
        <v>HA-MD 236.796.81W</v>
      </c>
      <c r="B5798" s="195" t="s">
        <v>488</v>
      </c>
      <c r="C5798" s="196">
        <v>6.79</v>
      </c>
      <c r="D5798" s="196">
        <v>6.81</v>
      </c>
      <c r="E5798" s="195" t="s">
        <v>593</v>
      </c>
      <c r="F5798" s="195" t="s">
        <v>432</v>
      </c>
    </row>
    <row r="5799" spans="1:6" x14ac:dyDescent="0.25">
      <c r="A5799" s="189" t="str">
        <f t="shared" si="90"/>
        <v>HA-MD 236.818.09E</v>
      </c>
      <c r="B5799" s="195" t="s">
        <v>488</v>
      </c>
      <c r="C5799" s="196">
        <v>6.81</v>
      </c>
      <c r="D5799" s="196">
        <v>8.09</v>
      </c>
      <c r="E5799" s="195" t="s">
        <v>583</v>
      </c>
      <c r="F5799" s="195" t="s">
        <v>19</v>
      </c>
    </row>
    <row r="5800" spans="1:6" x14ac:dyDescent="0.25">
      <c r="A5800" s="189" t="str">
        <f t="shared" si="90"/>
        <v>HA-MD 236.818.09W</v>
      </c>
      <c r="B5800" s="195" t="s">
        <v>488</v>
      </c>
      <c r="C5800" s="196">
        <v>6.81</v>
      </c>
      <c r="D5800" s="196">
        <v>8.09</v>
      </c>
      <c r="E5800" s="195" t="s">
        <v>583</v>
      </c>
      <c r="F5800" s="195" t="s">
        <v>432</v>
      </c>
    </row>
    <row r="5801" spans="1:6" x14ac:dyDescent="0.25">
      <c r="A5801" s="189" t="str">
        <f t="shared" si="90"/>
        <v>HA-MD 238.098.74E</v>
      </c>
      <c r="B5801" s="195" t="s">
        <v>488</v>
      </c>
      <c r="C5801" s="196">
        <v>8.09</v>
      </c>
      <c r="D5801" s="196">
        <v>8.74</v>
      </c>
      <c r="E5801" s="195" t="s">
        <v>583</v>
      </c>
      <c r="F5801" s="195" t="s">
        <v>19</v>
      </c>
    </row>
    <row r="5802" spans="1:6" x14ac:dyDescent="0.25">
      <c r="A5802" s="189" t="str">
        <f t="shared" si="90"/>
        <v>HA-MD 238.098.74W</v>
      </c>
      <c r="B5802" s="195" t="s">
        <v>488</v>
      </c>
      <c r="C5802" s="196">
        <v>8.09</v>
      </c>
      <c r="D5802" s="196">
        <v>8.74</v>
      </c>
      <c r="E5802" s="195" t="s">
        <v>583</v>
      </c>
      <c r="F5802" s="195" t="s">
        <v>432</v>
      </c>
    </row>
    <row r="5803" spans="1:6" x14ac:dyDescent="0.25">
      <c r="A5803" s="189" t="str">
        <f t="shared" si="90"/>
        <v>HA-MD 238.7410.4E</v>
      </c>
      <c r="B5803" s="195" t="s">
        <v>488</v>
      </c>
      <c r="C5803" s="196">
        <v>8.74</v>
      </c>
      <c r="D5803" s="196">
        <v>10.4</v>
      </c>
      <c r="E5803" s="195" t="s">
        <v>583</v>
      </c>
      <c r="F5803" s="195" t="s">
        <v>19</v>
      </c>
    </row>
    <row r="5804" spans="1:6" x14ac:dyDescent="0.25">
      <c r="A5804" s="189" t="str">
        <f t="shared" si="90"/>
        <v>HA-MD 238.7410.4W</v>
      </c>
      <c r="B5804" s="195" t="s">
        <v>488</v>
      </c>
      <c r="C5804" s="196">
        <v>8.74</v>
      </c>
      <c r="D5804" s="196">
        <v>10.4</v>
      </c>
      <c r="E5804" s="195" t="s">
        <v>583</v>
      </c>
      <c r="F5804" s="195" t="s">
        <v>432</v>
      </c>
    </row>
    <row r="5805" spans="1:6" x14ac:dyDescent="0.25">
      <c r="A5805" s="189" t="str">
        <f t="shared" si="90"/>
        <v>HA-MD 2310.412.66E</v>
      </c>
      <c r="B5805" s="195" t="s">
        <v>488</v>
      </c>
      <c r="C5805" s="196">
        <v>10.4</v>
      </c>
      <c r="D5805" s="196">
        <v>12.66</v>
      </c>
      <c r="E5805" s="195" t="s">
        <v>583</v>
      </c>
      <c r="F5805" s="195" t="s">
        <v>19</v>
      </c>
    </row>
    <row r="5806" spans="1:6" x14ac:dyDescent="0.25">
      <c r="A5806" s="189" t="str">
        <f t="shared" si="90"/>
        <v>HA-MD 2310.412.66W</v>
      </c>
      <c r="B5806" s="195" t="s">
        <v>488</v>
      </c>
      <c r="C5806" s="196">
        <v>10.4</v>
      </c>
      <c r="D5806" s="196">
        <v>12.66</v>
      </c>
      <c r="E5806" s="195" t="s">
        <v>583</v>
      </c>
      <c r="F5806" s="195" t="s">
        <v>432</v>
      </c>
    </row>
    <row r="5807" spans="1:6" x14ac:dyDescent="0.25">
      <c r="A5807" s="189" t="str">
        <f t="shared" si="90"/>
        <v>HA-MD 2312.6613.85E</v>
      </c>
      <c r="B5807" s="195" t="s">
        <v>488</v>
      </c>
      <c r="C5807" s="196">
        <v>12.66</v>
      </c>
      <c r="D5807" s="196">
        <v>13.85</v>
      </c>
      <c r="E5807" s="195" t="s">
        <v>583</v>
      </c>
      <c r="F5807" s="195" t="s">
        <v>19</v>
      </c>
    </row>
    <row r="5808" spans="1:6" x14ac:dyDescent="0.25">
      <c r="A5808" s="189" t="str">
        <f t="shared" si="90"/>
        <v>HA-MD 2312.6613.85W</v>
      </c>
      <c r="B5808" s="195" t="s">
        <v>488</v>
      </c>
      <c r="C5808" s="196">
        <v>12.66</v>
      </c>
      <c r="D5808" s="196">
        <v>13.85</v>
      </c>
      <c r="E5808" s="195" t="s">
        <v>583</v>
      </c>
      <c r="F5808" s="195" t="s">
        <v>432</v>
      </c>
    </row>
    <row r="5809" spans="1:6" x14ac:dyDescent="0.25">
      <c r="A5809" s="189" t="str">
        <f t="shared" si="90"/>
        <v>HA-MD 2313.8516.4E</v>
      </c>
      <c r="B5809" s="195" t="s">
        <v>488</v>
      </c>
      <c r="C5809" s="196">
        <v>13.85</v>
      </c>
      <c r="D5809" s="196">
        <v>16.399999999999999</v>
      </c>
      <c r="E5809" s="195" t="s">
        <v>583</v>
      </c>
      <c r="F5809" s="195" t="s">
        <v>19</v>
      </c>
    </row>
    <row r="5810" spans="1:6" x14ac:dyDescent="0.25">
      <c r="A5810" s="189" t="str">
        <f t="shared" si="90"/>
        <v>HA-MD 2313.8516.4W</v>
      </c>
      <c r="B5810" s="195" t="s">
        <v>488</v>
      </c>
      <c r="C5810" s="196">
        <v>13.85</v>
      </c>
      <c r="D5810" s="196">
        <v>16.399999999999999</v>
      </c>
      <c r="E5810" s="195" t="s">
        <v>583</v>
      </c>
      <c r="F5810" s="195" t="s">
        <v>432</v>
      </c>
    </row>
    <row r="5811" spans="1:6" x14ac:dyDescent="0.25">
      <c r="A5811" s="189" t="str">
        <f t="shared" si="90"/>
        <v>HA-MD 2316.416.65E</v>
      </c>
      <c r="B5811" s="195" t="s">
        <v>488</v>
      </c>
      <c r="C5811" s="196">
        <v>16.399999999999999</v>
      </c>
      <c r="D5811" s="196">
        <v>16.649999999999999</v>
      </c>
      <c r="E5811" s="195" t="s">
        <v>583</v>
      </c>
      <c r="F5811" s="195" t="s">
        <v>19</v>
      </c>
    </row>
    <row r="5812" spans="1:6" x14ac:dyDescent="0.25">
      <c r="A5812" s="189" t="str">
        <f t="shared" si="90"/>
        <v>HA-MD 2316.416.65W</v>
      </c>
      <c r="B5812" s="195" t="s">
        <v>488</v>
      </c>
      <c r="C5812" s="196">
        <v>16.399999999999999</v>
      </c>
      <c r="D5812" s="196">
        <v>16.649999999999999</v>
      </c>
      <c r="E5812" s="195" t="s">
        <v>583</v>
      </c>
      <c r="F5812" s="195" t="s">
        <v>432</v>
      </c>
    </row>
    <row r="5813" spans="1:6" x14ac:dyDescent="0.25">
      <c r="A5813" s="189" t="str">
        <f t="shared" si="90"/>
        <v>HA-MD 2316.6517.7E</v>
      </c>
      <c r="B5813" s="195" t="s">
        <v>488</v>
      </c>
      <c r="C5813" s="196">
        <v>16.649999999999999</v>
      </c>
      <c r="D5813" s="196">
        <v>17.7</v>
      </c>
      <c r="E5813" s="195" t="s">
        <v>583</v>
      </c>
      <c r="F5813" s="195" t="s">
        <v>19</v>
      </c>
    </row>
    <row r="5814" spans="1:6" x14ac:dyDescent="0.25">
      <c r="A5814" s="189" t="str">
        <f t="shared" si="90"/>
        <v>HA-MD 2316.6517.7W</v>
      </c>
      <c r="B5814" s="195" t="s">
        <v>488</v>
      </c>
      <c r="C5814" s="196">
        <v>16.649999999999999</v>
      </c>
      <c r="D5814" s="196">
        <v>17.7</v>
      </c>
      <c r="E5814" s="195" t="s">
        <v>583</v>
      </c>
      <c r="F5814" s="195" t="s">
        <v>432</v>
      </c>
    </row>
    <row r="5815" spans="1:6" x14ac:dyDescent="0.25">
      <c r="A5815" s="189" t="str">
        <f t="shared" si="90"/>
        <v>HA-MD 2317.718.97E</v>
      </c>
      <c r="B5815" s="195" t="s">
        <v>488</v>
      </c>
      <c r="C5815" s="196">
        <v>17.7</v>
      </c>
      <c r="D5815" s="196">
        <v>18.97</v>
      </c>
      <c r="E5815" s="195" t="s">
        <v>583</v>
      </c>
      <c r="F5815" s="195" t="s">
        <v>19</v>
      </c>
    </row>
    <row r="5816" spans="1:6" x14ac:dyDescent="0.25">
      <c r="A5816" s="189" t="str">
        <f t="shared" si="90"/>
        <v>HA-MD 2317.718.97W</v>
      </c>
      <c r="B5816" s="195" t="s">
        <v>488</v>
      </c>
      <c r="C5816" s="196">
        <v>17.7</v>
      </c>
      <c r="D5816" s="196">
        <v>18.97</v>
      </c>
      <c r="E5816" s="195" t="s">
        <v>583</v>
      </c>
      <c r="F5816" s="195" t="s">
        <v>432</v>
      </c>
    </row>
    <row r="5817" spans="1:6" x14ac:dyDescent="0.25">
      <c r="A5817" s="189" t="str">
        <f t="shared" si="90"/>
        <v>HA-MD 2318.9720.58E</v>
      </c>
      <c r="B5817" s="195" t="s">
        <v>488</v>
      </c>
      <c r="C5817" s="196">
        <v>18.97</v>
      </c>
      <c r="D5817" s="196">
        <v>20.58</v>
      </c>
      <c r="E5817" s="195" t="s">
        <v>583</v>
      </c>
      <c r="F5817" s="195" t="s">
        <v>19</v>
      </c>
    </row>
    <row r="5818" spans="1:6" x14ac:dyDescent="0.25">
      <c r="A5818" s="189" t="str">
        <f t="shared" si="90"/>
        <v>HA-MD 2318.9720.58W</v>
      </c>
      <c r="B5818" s="195" t="s">
        <v>488</v>
      </c>
      <c r="C5818" s="196">
        <v>18.97</v>
      </c>
      <c r="D5818" s="196">
        <v>20.58</v>
      </c>
      <c r="E5818" s="195" t="s">
        <v>583</v>
      </c>
      <c r="F5818" s="195" t="s">
        <v>432</v>
      </c>
    </row>
    <row r="5819" spans="1:6" x14ac:dyDescent="0.25">
      <c r="A5819" s="189" t="str">
        <f t="shared" si="90"/>
        <v>HA-MD 2401.45N</v>
      </c>
      <c r="B5819" s="195" t="s">
        <v>2721</v>
      </c>
      <c r="C5819" s="196">
        <v>0</v>
      </c>
      <c r="D5819" s="196">
        <v>1.45</v>
      </c>
      <c r="E5819" s="195" t="s">
        <v>583</v>
      </c>
      <c r="F5819" s="195" t="s">
        <v>430</v>
      </c>
    </row>
    <row r="5820" spans="1:6" x14ac:dyDescent="0.25">
      <c r="A5820" s="189" t="str">
        <f t="shared" si="90"/>
        <v>HA-MD 2401.45S</v>
      </c>
      <c r="B5820" s="195" t="s">
        <v>2721</v>
      </c>
      <c r="C5820" s="196">
        <v>0</v>
      </c>
      <c r="D5820" s="196">
        <v>1.45</v>
      </c>
      <c r="E5820" s="195" t="s">
        <v>583</v>
      </c>
      <c r="F5820" s="195" t="s">
        <v>438</v>
      </c>
    </row>
    <row r="5821" spans="1:6" x14ac:dyDescent="0.25">
      <c r="A5821" s="189" t="str">
        <f t="shared" si="90"/>
        <v>HA-MD 2410.0111.55N</v>
      </c>
      <c r="B5821" s="195" t="s">
        <v>2721</v>
      </c>
      <c r="C5821" s="196">
        <v>10.01</v>
      </c>
      <c r="D5821" s="196">
        <v>11.55</v>
      </c>
      <c r="E5821" s="195" t="s">
        <v>583</v>
      </c>
      <c r="F5821" s="195" t="s">
        <v>430</v>
      </c>
    </row>
    <row r="5822" spans="1:6" x14ac:dyDescent="0.25">
      <c r="A5822" s="189" t="str">
        <f t="shared" si="90"/>
        <v>HA-MD 2410.0111.55S</v>
      </c>
      <c r="B5822" s="195" t="s">
        <v>2721</v>
      </c>
      <c r="C5822" s="196">
        <v>10.01</v>
      </c>
      <c r="D5822" s="196">
        <v>11.55</v>
      </c>
      <c r="E5822" s="195" t="s">
        <v>583</v>
      </c>
      <c r="F5822" s="195" t="s">
        <v>438</v>
      </c>
    </row>
    <row r="5823" spans="1:6" x14ac:dyDescent="0.25">
      <c r="A5823" s="189" t="str">
        <f t="shared" si="90"/>
        <v>HA-MD 2411.5512.87N</v>
      </c>
      <c r="B5823" s="195" t="s">
        <v>2721</v>
      </c>
      <c r="C5823" s="196">
        <v>11.55</v>
      </c>
      <c r="D5823" s="196">
        <v>12.87</v>
      </c>
      <c r="E5823" s="195" t="s">
        <v>583</v>
      </c>
      <c r="F5823" s="195" t="s">
        <v>430</v>
      </c>
    </row>
    <row r="5824" spans="1:6" x14ac:dyDescent="0.25">
      <c r="A5824" s="189" t="str">
        <f t="shared" si="90"/>
        <v>HA-MD 2411.5512.87S</v>
      </c>
      <c r="B5824" s="195" t="s">
        <v>2721</v>
      </c>
      <c r="C5824" s="196">
        <v>11.55</v>
      </c>
      <c r="D5824" s="196">
        <v>12.87</v>
      </c>
      <c r="E5824" s="195" t="s">
        <v>583</v>
      </c>
      <c r="F5824" s="195" t="s">
        <v>438</v>
      </c>
    </row>
    <row r="5825" spans="1:6" x14ac:dyDescent="0.25">
      <c r="A5825" s="189" t="str">
        <f t="shared" si="90"/>
        <v>HA-MD 2412.8713.35N</v>
      </c>
      <c r="B5825" s="195" t="s">
        <v>2721</v>
      </c>
      <c r="C5825" s="196">
        <v>12.87</v>
      </c>
      <c r="D5825" s="196">
        <v>13.35</v>
      </c>
      <c r="E5825" s="195" t="s">
        <v>583</v>
      </c>
      <c r="F5825" s="195" t="s">
        <v>430</v>
      </c>
    </row>
    <row r="5826" spans="1:6" x14ac:dyDescent="0.25">
      <c r="A5826" s="189" t="str">
        <f t="shared" si="90"/>
        <v>HA-MD 2412.8713.35S</v>
      </c>
      <c r="B5826" s="195" t="s">
        <v>2721</v>
      </c>
      <c r="C5826" s="196">
        <v>12.87</v>
      </c>
      <c r="D5826" s="196">
        <v>13.35</v>
      </c>
      <c r="E5826" s="195" t="s">
        <v>583</v>
      </c>
      <c r="F5826" s="195" t="s">
        <v>438</v>
      </c>
    </row>
    <row r="5827" spans="1:6" x14ac:dyDescent="0.25">
      <c r="A5827" s="189" t="str">
        <f t="shared" ref="A5827:A5890" si="91">B5827&amp;C5827&amp;D5827&amp;F5827</f>
        <v>HA-MD 2413.3513.95N</v>
      </c>
      <c r="B5827" s="195" t="s">
        <v>2721</v>
      </c>
      <c r="C5827" s="196">
        <v>13.35</v>
      </c>
      <c r="D5827" s="196">
        <v>13.95</v>
      </c>
      <c r="E5827" s="195" t="s">
        <v>583</v>
      </c>
      <c r="F5827" s="195" t="s">
        <v>430</v>
      </c>
    </row>
    <row r="5828" spans="1:6" x14ac:dyDescent="0.25">
      <c r="A5828" s="189" t="str">
        <f t="shared" si="91"/>
        <v>HA-MD 2413.3513.95S</v>
      </c>
      <c r="B5828" s="195" t="s">
        <v>2721</v>
      </c>
      <c r="C5828" s="196">
        <v>13.35</v>
      </c>
      <c r="D5828" s="196">
        <v>13.95</v>
      </c>
      <c r="E5828" s="195" t="s">
        <v>583</v>
      </c>
      <c r="F5828" s="195" t="s">
        <v>438</v>
      </c>
    </row>
    <row r="5829" spans="1:6" x14ac:dyDescent="0.25">
      <c r="A5829" s="189" t="str">
        <f t="shared" si="91"/>
        <v>HA-MD 2413.9513.98N</v>
      </c>
      <c r="B5829" s="195" t="s">
        <v>2721</v>
      </c>
      <c r="C5829" s="196">
        <v>13.95</v>
      </c>
      <c r="D5829" s="196">
        <v>13.98</v>
      </c>
      <c r="E5829" s="195" t="s">
        <v>583</v>
      </c>
      <c r="F5829" s="195" t="s">
        <v>430</v>
      </c>
    </row>
    <row r="5830" spans="1:6" x14ac:dyDescent="0.25">
      <c r="A5830" s="189" t="str">
        <f t="shared" si="91"/>
        <v>HA-MD 2413.9513.98S</v>
      </c>
      <c r="B5830" s="195" t="s">
        <v>2721</v>
      </c>
      <c r="C5830" s="196">
        <v>13.95</v>
      </c>
      <c r="D5830" s="196">
        <v>13.98</v>
      </c>
      <c r="E5830" s="195" t="s">
        <v>583</v>
      </c>
      <c r="F5830" s="195" t="s">
        <v>438</v>
      </c>
    </row>
    <row r="5831" spans="1:6" x14ac:dyDescent="0.25">
      <c r="A5831" s="189" t="str">
        <f t="shared" si="91"/>
        <v>HA-MD 2413.9815.05N</v>
      </c>
      <c r="B5831" s="195" t="s">
        <v>2721</v>
      </c>
      <c r="C5831" s="196">
        <v>13.98</v>
      </c>
      <c r="D5831" s="196">
        <v>15.05</v>
      </c>
      <c r="E5831" s="195" t="s">
        <v>583</v>
      </c>
      <c r="F5831" s="195" t="s">
        <v>430</v>
      </c>
    </row>
    <row r="5832" spans="1:6" x14ac:dyDescent="0.25">
      <c r="A5832" s="189" t="str">
        <f t="shared" si="91"/>
        <v>HA-MD 2413.9815.05S</v>
      </c>
      <c r="B5832" s="195" t="s">
        <v>2721</v>
      </c>
      <c r="C5832" s="196">
        <v>13.98</v>
      </c>
      <c r="D5832" s="196">
        <v>15.05</v>
      </c>
      <c r="E5832" s="195" t="s">
        <v>583</v>
      </c>
      <c r="F5832" s="195" t="s">
        <v>438</v>
      </c>
    </row>
    <row r="5833" spans="1:6" x14ac:dyDescent="0.25">
      <c r="A5833" s="189" t="str">
        <f t="shared" si="91"/>
        <v>HA-MD 2415.0516.44N</v>
      </c>
      <c r="B5833" s="195" t="s">
        <v>2721</v>
      </c>
      <c r="C5833" s="196">
        <v>15.05</v>
      </c>
      <c r="D5833" s="196">
        <v>16.440000000000001</v>
      </c>
      <c r="E5833" s="195" t="s">
        <v>583</v>
      </c>
      <c r="F5833" s="195" t="s">
        <v>430</v>
      </c>
    </row>
    <row r="5834" spans="1:6" x14ac:dyDescent="0.25">
      <c r="A5834" s="189" t="str">
        <f t="shared" si="91"/>
        <v>HA-MD 2415.0516.44S</v>
      </c>
      <c r="B5834" s="195" t="s">
        <v>2721</v>
      </c>
      <c r="C5834" s="196">
        <v>15.05</v>
      </c>
      <c r="D5834" s="196">
        <v>16.440000000000001</v>
      </c>
      <c r="E5834" s="195" t="s">
        <v>583</v>
      </c>
      <c r="F5834" s="195" t="s">
        <v>438</v>
      </c>
    </row>
    <row r="5835" spans="1:6" x14ac:dyDescent="0.25">
      <c r="A5835" s="189" t="str">
        <f t="shared" si="91"/>
        <v>HA-MD 2416.4418.85N</v>
      </c>
      <c r="B5835" s="195" t="s">
        <v>2721</v>
      </c>
      <c r="C5835" s="196">
        <v>16.440000000000001</v>
      </c>
      <c r="D5835" s="196">
        <v>18.850000000000001</v>
      </c>
      <c r="E5835" s="195" t="s">
        <v>583</v>
      </c>
      <c r="F5835" s="195" t="s">
        <v>430</v>
      </c>
    </row>
    <row r="5836" spans="1:6" x14ac:dyDescent="0.25">
      <c r="A5836" s="189" t="str">
        <f t="shared" si="91"/>
        <v>HA-MD 2416.4418.85S</v>
      </c>
      <c r="B5836" s="195" t="s">
        <v>2721</v>
      </c>
      <c r="C5836" s="196">
        <v>16.440000000000001</v>
      </c>
      <c r="D5836" s="196">
        <v>18.850000000000001</v>
      </c>
      <c r="E5836" s="195" t="s">
        <v>583</v>
      </c>
      <c r="F5836" s="195" t="s">
        <v>438</v>
      </c>
    </row>
    <row r="5837" spans="1:6" x14ac:dyDescent="0.25">
      <c r="A5837" s="189" t="str">
        <f t="shared" si="91"/>
        <v>HA-MD 2418.8518.87N</v>
      </c>
      <c r="B5837" s="195" t="s">
        <v>2721</v>
      </c>
      <c r="C5837" s="196">
        <v>18.850000000000001</v>
      </c>
      <c r="D5837" s="196">
        <v>18.87</v>
      </c>
      <c r="E5837" s="195" t="s">
        <v>583</v>
      </c>
      <c r="F5837" s="195" t="s">
        <v>430</v>
      </c>
    </row>
    <row r="5838" spans="1:6" x14ac:dyDescent="0.25">
      <c r="A5838" s="189" t="str">
        <f t="shared" si="91"/>
        <v>HA-MD 2418.8518.87S</v>
      </c>
      <c r="B5838" s="195" t="s">
        <v>2721</v>
      </c>
      <c r="C5838" s="196">
        <v>18.850000000000001</v>
      </c>
      <c r="D5838" s="196">
        <v>18.87</v>
      </c>
      <c r="E5838" s="195" t="s">
        <v>583</v>
      </c>
      <c r="F5838" s="195" t="s">
        <v>438</v>
      </c>
    </row>
    <row r="5839" spans="1:6" x14ac:dyDescent="0.25">
      <c r="A5839" s="189" t="str">
        <f t="shared" si="91"/>
        <v>HA-MD 2418.8721.1N</v>
      </c>
      <c r="B5839" s="195" t="s">
        <v>2721</v>
      </c>
      <c r="C5839" s="196">
        <v>18.87</v>
      </c>
      <c r="D5839" s="196">
        <v>21.1</v>
      </c>
      <c r="E5839" s="195" t="s">
        <v>583</v>
      </c>
      <c r="F5839" s="195" t="s">
        <v>430</v>
      </c>
    </row>
    <row r="5840" spans="1:6" x14ac:dyDescent="0.25">
      <c r="A5840" s="189" t="str">
        <f t="shared" si="91"/>
        <v>HA-MD 2418.8721.1S</v>
      </c>
      <c r="B5840" s="195" t="s">
        <v>2721</v>
      </c>
      <c r="C5840" s="196">
        <v>18.87</v>
      </c>
      <c r="D5840" s="196">
        <v>21.1</v>
      </c>
      <c r="E5840" s="195" t="s">
        <v>583</v>
      </c>
      <c r="F5840" s="195" t="s">
        <v>438</v>
      </c>
    </row>
    <row r="5841" spans="1:6" x14ac:dyDescent="0.25">
      <c r="A5841" s="189" t="str">
        <f t="shared" si="91"/>
        <v>HA-MD 2421.123.48N</v>
      </c>
      <c r="B5841" s="195" t="s">
        <v>2721</v>
      </c>
      <c r="C5841" s="196">
        <v>21.1</v>
      </c>
      <c r="D5841" s="196">
        <v>23.48</v>
      </c>
      <c r="E5841" s="195" t="s">
        <v>583</v>
      </c>
      <c r="F5841" s="195" t="s">
        <v>430</v>
      </c>
    </row>
    <row r="5842" spans="1:6" x14ac:dyDescent="0.25">
      <c r="A5842" s="189" t="str">
        <f t="shared" si="91"/>
        <v>HA-MD 2421.123.48S</v>
      </c>
      <c r="B5842" s="195" t="s">
        <v>2721</v>
      </c>
      <c r="C5842" s="196">
        <v>21.1</v>
      </c>
      <c r="D5842" s="196">
        <v>23.48</v>
      </c>
      <c r="E5842" s="195" t="s">
        <v>583</v>
      </c>
      <c r="F5842" s="195" t="s">
        <v>438</v>
      </c>
    </row>
    <row r="5843" spans="1:6" x14ac:dyDescent="0.25">
      <c r="A5843" s="189" t="str">
        <f t="shared" si="91"/>
        <v>HA-MD 2423.4825.17N</v>
      </c>
      <c r="B5843" s="195" t="s">
        <v>2721</v>
      </c>
      <c r="C5843" s="196">
        <v>23.48</v>
      </c>
      <c r="D5843" s="196">
        <v>25.17</v>
      </c>
      <c r="E5843" s="195" t="s">
        <v>583</v>
      </c>
      <c r="F5843" s="195" t="s">
        <v>430</v>
      </c>
    </row>
    <row r="5844" spans="1:6" x14ac:dyDescent="0.25">
      <c r="A5844" s="189" t="str">
        <f t="shared" si="91"/>
        <v>HA-MD 2423.4825.17S</v>
      </c>
      <c r="B5844" s="195" t="s">
        <v>2721</v>
      </c>
      <c r="C5844" s="196">
        <v>23.48</v>
      </c>
      <c r="D5844" s="196">
        <v>25.17</v>
      </c>
      <c r="E5844" s="195" t="s">
        <v>583</v>
      </c>
      <c r="F5844" s="195" t="s">
        <v>438</v>
      </c>
    </row>
    <row r="5845" spans="1:6" x14ac:dyDescent="0.25">
      <c r="A5845" s="189" t="str">
        <f t="shared" si="91"/>
        <v>HA-MD 24 RP2-400.22N</v>
      </c>
      <c r="B5845" s="195" t="s">
        <v>2722</v>
      </c>
      <c r="C5845" s="196">
        <v>0</v>
      </c>
      <c r="D5845" s="196">
        <v>0.22</v>
      </c>
      <c r="E5845" s="195" t="s">
        <v>589</v>
      </c>
      <c r="F5845" s="195" t="s">
        <v>430</v>
      </c>
    </row>
    <row r="5846" spans="1:6" x14ac:dyDescent="0.25">
      <c r="A5846" s="189" t="str">
        <f t="shared" si="91"/>
        <v>HA-MD 24 RP4-400.71N</v>
      </c>
      <c r="B5846" s="195" t="s">
        <v>2723</v>
      </c>
      <c r="C5846" s="196">
        <v>0</v>
      </c>
      <c r="D5846" s="196">
        <v>0.71</v>
      </c>
      <c r="E5846" s="195" t="s">
        <v>589</v>
      </c>
      <c r="F5846" s="195" t="s">
        <v>430</v>
      </c>
    </row>
    <row r="5847" spans="1:6" x14ac:dyDescent="0.25">
      <c r="A5847" s="189" t="str">
        <f t="shared" si="91"/>
        <v>HA-MD 24 RP6-400.12S</v>
      </c>
      <c r="B5847" s="195" t="s">
        <v>2724</v>
      </c>
      <c r="C5847" s="196">
        <v>0</v>
      </c>
      <c r="D5847" s="196">
        <v>0.12</v>
      </c>
      <c r="E5847" s="195" t="s">
        <v>595</v>
      </c>
      <c r="F5847" s="195" t="s">
        <v>438</v>
      </c>
    </row>
    <row r="5848" spans="1:6" x14ac:dyDescent="0.25">
      <c r="A5848" s="189" t="str">
        <f t="shared" si="91"/>
        <v>HA-MD 24 RP8-400.27S</v>
      </c>
      <c r="B5848" s="195" t="s">
        <v>2725</v>
      </c>
      <c r="C5848" s="196">
        <v>0</v>
      </c>
      <c r="D5848" s="196">
        <v>0.27</v>
      </c>
      <c r="E5848" s="195" t="s">
        <v>595</v>
      </c>
      <c r="F5848" s="195" t="s">
        <v>438</v>
      </c>
    </row>
    <row r="5849" spans="1:6" x14ac:dyDescent="0.25">
      <c r="A5849" s="189" t="str">
        <f t="shared" si="91"/>
        <v>HA-MD 24E00.85N</v>
      </c>
      <c r="B5849" s="195" t="s">
        <v>2726</v>
      </c>
      <c r="C5849" s="196">
        <v>0</v>
      </c>
      <c r="D5849" s="196">
        <v>0.85</v>
      </c>
      <c r="E5849" s="195" t="s">
        <v>589</v>
      </c>
      <c r="F5849" s="195" t="s">
        <v>430</v>
      </c>
    </row>
    <row r="5850" spans="1:6" x14ac:dyDescent="0.25">
      <c r="A5850" s="189" t="str">
        <f t="shared" si="91"/>
        <v>HA-MD 24F00.52N</v>
      </c>
      <c r="B5850" s="195" t="s">
        <v>2727</v>
      </c>
      <c r="C5850" s="196">
        <v>0</v>
      </c>
      <c r="D5850" s="196">
        <v>0.52</v>
      </c>
      <c r="E5850" s="195" t="s">
        <v>589</v>
      </c>
      <c r="F5850" s="195" t="s">
        <v>430</v>
      </c>
    </row>
    <row r="5851" spans="1:6" x14ac:dyDescent="0.25">
      <c r="A5851" s="189" t="str">
        <f t="shared" si="91"/>
        <v>HA-MD 43901.22E</v>
      </c>
      <c r="B5851" s="195" t="s">
        <v>2728</v>
      </c>
      <c r="C5851" s="196">
        <v>0</v>
      </c>
      <c r="D5851" s="196">
        <v>1.22</v>
      </c>
      <c r="E5851" s="195" t="s">
        <v>583</v>
      </c>
      <c r="F5851" s="195" t="s">
        <v>19</v>
      </c>
    </row>
    <row r="5852" spans="1:6" x14ac:dyDescent="0.25">
      <c r="A5852" s="189" t="str">
        <f t="shared" si="91"/>
        <v>HA-MD 43901.22W</v>
      </c>
      <c r="B5852" s="195" t="s">
        <v>2728</v>
      </c>
      <c r="C5852" s="196">
        <v>0</v>
      </c>
      <c r="D5852" s="196">
        <v>1.22</v>
      </c>
      <c r="E5852" s="195" t="s">
        <v>583</v>
      </c>
      <c r="F5852" s="195" t="s">
        <v>432</v>
      </c>
    </row>
    <row r="5853" spans="1:6" x14ac:dyDescent="0.25">
      <c r="A5853" s="189" t="str">
        <f t="shared" si="91"/>
        <v>HA-MD 44005.65E</v>
      </c>
      <c r="B5853" s="195" t="s">
        <v>2729</v>
      </c>
      <c r="C5853" s="196">
        <v>0</v>
      </c>
      <c r="D5853" s="196">
        <v>5.65</v>
      </c>
      <c r="E5853" s="195" t="s">
        <v>583</v>
      </c>
      <c r="F5853" s="195" t="s">
        <v>19</v>
      </c>
    </row>
    <row r="5854" spans="1:6" x14ac:dyDescent="0.25">
      <c r="A5854" s="189" t="str">
        <f t="shared" si="91"/>
        <v>HA-MD 44005.65W</v>
      </c>
      <c r="B5854" s="195" t="s">
        <v>2729</v>
      </c>
      <c r="C5854" s="196">
        <v>0</v>
      </c>
      <c r="D5854" s="196">
        <v>5.65</v>
      </c>
      <c r="E5854" s="195" t="s">
        <v>583</v>
      </c>
      <c r="F5854" s="195" t="s">
        <v>432</v>
      </c>
    </row>
    <row r="5855" spans="1:6" x14ac:dyDescent="0.25">
      <c r="A5855" s="189" t="str">
        <f t="shared" si="91"/>
        <v>HA-MD 46200.81N</v>
      </c>
      <c r="B5855" s="195" t="s">
        <v>2730</v>
      </c>
      <c r="C5855" s="196">
        <v>0</v>
      </c>
      <c r="D5855" s="196">
        <v>0.81</v>
      </c>
      <c r="E5855" s="195" t="s">
        <v>583</v>
      </c>
      <c r="F5855" s="195" t="s">
        <v>430</v>
      </c>
    </row>
    <row r="5856" spans="1:6" x14ac:dyDescent="0.25">
      <c r="A5856" s="189" t="str">
        <f t="shared" si="91"/>
        <v>HA-MD 46200.81S</v>
      </c>
      <c r="B5856" s="195" t="s">
        <v>2730</v>
      </c>
      <c r="C5856" s="196">
        <v>0</v>
      </c>
      <c r="D5856" s="196">
        <v>0.81</v>
      </c>
      <c r="E5856" s="195" t="s">
        <v>583</v>
      </c>
      <c r="F5856" s="195" t="s">
        <v>438</v>
      </c>
    </row>
    <row r="5857" spans="1:6" x14ac:dyDescent="0.25">
      <c r="A5857" s="189" t="str">
        <f t="shared" si="91"/>
        <v>HA-MD 4620.811.62N</v>
      </c>
      <c r="B5857" s="195" t="s">
        <v>2730</v>
      </c>
      <c r="C5857" s="196">
        <v>0.81</v>
      </c>
      <c r="D5857" s="196">
        <v>1.62</v>
      </c>
      <c r="E5857" s="195" t="s">
        <v>583</v>
      </c>
      <c r="F5857" s="195" t="s">
        <v>430</v>
      </c>
    </row>
    <row r="5858" spans="1:6" x14ac:dyDescent="0.25">
      <c r="A5858" s="189" t="str">
        <f t="shared" si="91"/>
        <v>HA-MD 4620.811.62S</v>
      </c>
      <c r="B5858" s="195" t="s">
        <v>2730</v>
      </c>
      <c r="C5858" s="196">
        <v>0.81</v>
      </c>
      <c r="D5858" s="196">
        <v>1.62</v>
      </c>
      <c r="E5858" s="195" t="s">
        <v>583</v>
      </c>
      <c r="F5858" s="195" t="s">
        <v>438</v>
      </c>
    </row>
    <row r="5859" spans="1:6" x14ac:dyDescent="0.25">
      <c r="A5859" s="189" t="str">
        <f t="shared" si="91"/>
        <v>HA-MD 4621.624.15N</v>
      </c>
      <c r="B5859" s="195" t="s">
        <v>2730</v>
      </c>
      <c r="C5859" s="196">
        <v>1.62</v>
      </c>
      <c r="D5859" s="196">
        <v>4.1500000000000004</v>
      </c>
      <c r="E5859" s="195" t="s">
        <v>583</v>
      </c>
      <c r="F5859" s="195" t="s">
        <v>430</v>
      </c>
    </row>
    <row r="5860" spans="1:6" x14ac:dyDescent="0.25">
      <c r="A5860" s="189" t="str">
        <f t="shared" si="91"/>
        <v>HA-MD 4621.624.15S</v>
      </c>
      <c r="B5860" s="195" t="s">
        <v>2730</v>
      </c>
      <c r="C5860" s="196">
        <v>1.62</v>
      </c>
      <c r="D5860" s="196">
        <v>4.1500000000000004</v>
      </c>
      <c r="E5860" s="195" t="s">
        <v>583</v>
      </c>
      <c r="F5860" s="195" t="s">
        <v>438</v>
      </c>
    </row>
    <row r="5861" spans="1:6" x14ac:dyDescent="0.25">
      <c r="A5861" s="189" t="str">
        <f t="shared" si="91"/>
        <v>HA-MD 49000.05N</v>
      </c>
      <c r="B5861" s="195" t="s">
        <v>2731</v>
      </c>
      <c r="C5861" s="196">
        <v>0</v>
      </c>
      <c r="D5861" s="196">
        <v>0.05</v>
      </c>
      <c r="E5861" s="195" t="s">
        <v>583</v>
      </c>
      <c r="F5861" s="195" t="s">
        <v>430</v>
      </c>
    </row>
    <row r="5862" spans="1:6" x14ac:dyDescent="0.25">
      <c r="A5862" s="189" t="str">
        <f t="shared" si="91"/>
        <v>HA-MD 49000.05S</v>
      </c>
      <c r="B5862" s="195" t="s">
        <v>2731</v>
      </c>
      <c r="C5862" s="196">
        <v>0</v>
      </c>
      <c r="D5862" s="196">
        <v>0.05</v>
      </c>
      <c r="E5862" s="195" t="s">
        <v>583</v>
      </c>
      <c r="F5862" s="195" t="s">
        <v>438</v>
      </c>
    </row>
    <row r="5863" spans="1:6" x14ac:dyDescent="0.25">
      <c r="A5863" s="189" t="str">
        <f t="shared" si="91"/>
        <v>HA-MD 4900.050.31N</v>
      </c>
      <c r="B5863" s="195" t="s">
        <v>2731</v>
      </c>
      <c r="C5863" s="196">
        <v>0.05</v>
      </c>
      <c r="D5863" s="196">
        <v>0.31</v>
      </c>
      <c r="E5863" s="195" t="s">
        <v>583</v>
      </c>
      <c r="F5863" s="195" t="s">
        <v>430</v>
      </c>
    </row>
    <row r="5864" spans="1:6" x14ac:dyDescent="0.25">
      <c r="A5864" s="189" t="str">
        <f t="shared" si="91"/>
        <v>HA-MD 4900.050.31S</v>
      </c>
      <c r="B5864" s="195" t="s">
        <v>2731</v>
      </c>
      <c r="C5864" s="196">
        <v>0.05</v>
      </c>
      <c r="D5864" s="196">
        <v>0.31</v>
      </c>
      <c r="E5864" s="195" t="s">
        <v>583</v>
      </c>
      <c r="F5864" s="195" t="s">
        <v>438</v>
      </c>
    </row>
    <row r="5865" spans="1:6" x14ac:dyDescent="0.25">
      <c r="A5865" s="189" t="str">
        <f t="shared" si="91"/>
        <v>HA-MD 54300.19S</v>
      </c>
      <c r="B5865" s="195" t="s">
        <v>489</v>
      </c>
      <c r="C5865" s="196">
        <v>0</v>
      </c>
      <c r="D5865" s="196">
        <v>0.19</v>
      </c>
      <c r="E5865" s="195" t="s">
        <v>595</v>
      </c>
      <c r="F5865" s="195" t="s">
        <v>438</v>
      </c>
    </row>
    <row r="5866" spans="1:6" x14ac:dyDescent="0.25">
      <c r="A5866" s="189" t="str">
        <f t="shared" si="91"/>
        <v>HA-MD 54300.65N</v>
      </c>
      <c r="B5866" s="195" t="s">
        <v>489</v>
      </c>
      <c r="C5866" s="196">
        <v>0</v>
      </c>
      <c r="D5866" s="196">
        <v>0.65</v>
      </c>
      <c r="E5866" s="195" t="s">
        <v>589</v>
      </c>
      <c r="F5866" s="195" t="s">
        <v>430</v>
      </c>
    </row>
    <row r="5867" spans="1:6" x14ac:dyDescent="0.25">
      <c r="A5867" s="189" t="str">
        <f t="shared" si="91"/>
        <v>HA-MD 5430.190.65S</v>
      </c>
      <c r="B5867" s="195" t="s">
        <v>489</v>
      </c>
      <c r="C5867" s="196">
        <v>0.19</v>
      </c>
      <c r="D5867" s="196">
        <v>0.65</v>
      </c>
      <c r="E5867" s="195" t="s">
        <v>595</v>
      </c>
      <c r="F5867" s="195" t="s">
        <v>438</v>
      </c>
    </row>
    <row r="5868" spans="1:6" x14ac:dyDescent="0.25">
      <c r="A5868" s="189" t="str">
        <f t="shared" si="91"/>
        <v>HA-MD 5430.651.45N</v>
      </c>
      <c r="B5868" s="195" t="s">
        <v>489</v>
      </c>
      <c r="C5868" s="196">
        <v>0.65</v>
      </c>
      <c r="D5868" s="196">
        <v>1.45</v>
      </c>
      <c r="E5868" s="195" t="s">
        <v>583</v>
      </c>
      <c r="F5868" s="195" t="s">
        <v>430</v>
      </c>
    </row>
    <row r="5869" spans="1:6" x14ac:dyDescent="0.25">
      <c r="A5869" s="189" t="str">
        <f t="shared" si="91"/>
        <v>HA-MD 5430.651.45S</v>
      </c>
      <c r="B5869" s="195" t="s">
        <v>489</v>
      </c>
      <c r="C5869" s="196">
        <v>0.65</v>
      </c>
      <c r="D5869" s="196">
        <v>1.45</v>
      </c>
      <c r="E5869" s="195" t="s">
        <v>583</v>
      </c>
      <c r="F5869" s="195" t="s">
        <v>438</v>
      </c>
    </row>
    <row r="5870" spans="1:6" x14ac:dyDescent="0.25">
      <c r="A5870" s="189" t="str">
        <f t="shared" si="91"/>
        <v>HA-MD 5432.165.23N</v>
      </c>
      <c r="B5870" s="195" t="s">
        <v>489</v>
      </c>
      <c r="C5870" s="196">
        <v>2.16</v>
      </c>
      <c r="D5870" s="196">
        <v>5.23</v>
      </c>
      <c r="E5870" s="195" t="s">
        <v>583</v>
      </c>
      <c r="F5870" s="195" t="s">
        <v>430</v>
      </c>
    </row>
    <row r="5871" spans="1:6" x14ac:dyDescent="0.25">
      <c r="A5871" s="189" t="str">
        <f t="shared" si="91"/>
        <v>HA-MD 5432.165.23S</v>
      </c>
      <c r="B5871" s="195" t="s">
        <v>489</v>
      </c>
      <c r="C5871" s="196">
        <v>2.16</v>
      </c>
      <c r="D5871" s="196">
        <v>5.23</v>
      </c>
      <c r="E5871" s="195" t="s">
        <v>583</v>
      </c>
      <c r="F5871" s="195" t="s">
        <v>438</v>
      </c>
    </row>
    <row r="5872" spans="1:6" x14ac:dyDescent="0.25">
      <c r="A5872" s="189" t="str">
        <f t="shared" si="91"/>
        <v>HA-MD 5435.235.93N</v>
      </c>
      <c r="B5872" s="195" t="s">
        <v>489</v>
      </c>
      <c r="C5872" s="196">
        <v>5.23</v>
      </c>
      <c r="D5872" s="196">
        <v>5.93</v>
      </c>
      <c r="E5872" s="195" t="s">
        <v>583</v>
      </c>
      <c r="F5872" s="195" t="s">
        <v>430</v>
      </c>
    </row>
    <row r="5873" spans="1:6" x14ac:dyDescent="0.25">
      <c r="A5873" s="189" t="str">
        <f t="shared" si="91"/>
        <v>HA-MD 5435.235.93S</v>
      </c>
      <c r="B5873" s="195" t="s">
        <v>489</v>
      </c>
      <c r="C5873" s="196">
        <v>5.23</v>
      </c>
      <c r="D5873" s="196">
        <v>5.93</v>
      </c>
      <c r="E5873" s="195" t="s">
        <v>583</v>
      </c>
      <c r="F5873" s="195" t="s">
        <v>438</v>
      </c>
    </row>
    <row r="5874" spans="1:6" x14ac:dyDescent="0.25">
      <c r="A5874" s="189" t="str">
        <f t="shared" si="91"/>
        <v>HA-MD 5435.937.35N</v>
      </c>
      <c r="B5874" s="195" t="s">
        <v>489</v>
      </c>
      <c r="C5874" s="196">
        <v>5.93</v>
      </c>
      <c r="D5874" s="196">
        <v>7.35</v>
      </c>
      <c r="E5874" s="195" t="s">
        <v>583</v>
      </c>
      <c r="F5874" s="195" t="s">
        <v>430</v>
      </c>
    </row>
    <row r="5875" spans="1:6" x14ac:dyDescent="0.25">
      <c r="A5875" s="189" t="str">
        <f t="shared" si="91"/>
        <v>HA-MD 5435.937.35S</v>
      </c>
      <c r="B5875" s="195" t="s">
        <v>489</v>
      </c>
      <c r="C5875" s="196">
        <v>5.93</v>
      </c>
      <c r="D5875" s="196">
        <v>7.35</v>
      </c>
      <c r="E5875" s="195" t="s">
        <v>583</v>
      </c>
      <c r="F5875" s="195" t="s">
        <v>438</v>
      </c>
    </row>
    <row r="5876" spans="1:6" x14ac:dyDescent="0.25">
      <c r="A5876" s="189" t="str">
        <f t="shared" si="91"/>
        <v>HA-MD 5437.359.22N</v>
      </c>
      <c r="B5876" s="195" t="s">
        <v>489</v>
      </c>
      <c r="C5876" s="196">
        <v>7.35</v>
      </c>
      <c r="D5876" s="196">
        <v>9.2200000000000006</v>
      </c>
      <c r="E5876" s="195" t="s">
        <v>589</v>
      </c>
      <c r="F5876" s="195" t="s">
        <v>430</v>
      </c>
    </row>
    <row r="5877" spans="1:6" x14ac:dyDescent="0.25">
      <c r="A5877" s="189" t="str">
        <f t="shared" si="91"/>
        <v>HA-MD 5437.359.8S</v>
      </c>
      <c r="B5877" s="195" t="s">
        <v>489</v>
      </c>
      <c r="C5877" s="196">
        <v>7.35</v>
      </c>
      <c r="D5877" s="196">
        <v>9.8000000000000007</v>
      </c>
      <c r="E5877" s="195" t="s">
        <v>595</v>
      </c>
      <c r="F5877" s="195" t="s">
        <v>438</v>
      </c>
    </row>
    <row r="5878" spans="1:6" x14ac:dyDescent="0.25">
      <c r="A5878" s="189" t="str">
        <f t="shared" si="91"/>
        <v>HA-MD 5439.229.8N</v>
      </c>
      <c r="B5878" s="195" t="s">
        <v>489</v>
      </c>
      <c r="C5878" s="196">
        <v>9.2200000000000006</v>
      </c>
      <c r="D5878" s="196">
        <v>9.8000000000000007</v>
      </c>
      <c r="E5878" s="195" t="s">
        <v>589</v>
      </c>
      <c r="F5878" s="195" t="s">
        <v>430</v>
      </c>
    </row>
    <row r="5879" spans="1:6" x14ac:dyDescent="0.25">
      <c r="A5879" s="189" t="str">
        <f t="shared" si="91"/>
        <v>HA-MD 5439.810.43N</v>
      </c>
      <c r="B5879" s="195" t="s">
        <v>489</v>
      </c>
      <c r="C5879" s="196">
        <v>9.8000000000000007</v>
      </c>
      <c r="D5879" s="196">
        <v>10.43</v>
      </c>
      <c r="E5879" s="195" t="s">
        <v>583</v>
      </c>
      <c r="F5879" s="195" t="s">
        <v>430</v>
      </c>
    </row>
    <row r="5880" spans="1:6" x14ac:dyDescent="0.25">
      <c r="A5880" s="189" t="str">
        <f t="shared" si="91"/>
        <v>HA-MD 5439.810.43S</v>
      </c>
      <c r="B5880" s="195" t="s">
        <v>489</v>
      </c>
      <c r="C5880" s="196">
        <v>9.8000000000000007</v>
      </c>
      <c r="D5880" s="196">
        <v>10.43</v>
      </c>
      <c r="E5880" s="195" t="s">
        <v>583</v>
      </c>
      <c r="F5880" s="195" t="s">
        <v>438</v>
      </c>
    </row>
    <row r="5881" spans="1:6" x14ac:dyDescent="0.25">
      <c r="A5881" s="189" t="str">
        <f t="shared" si="91"/>
        <v>HA-MD 54310.4314.99N</v>
      </c>
      <c r="B5881" s="195" t="s">
        <v>489</v>
      </c>
      <c r="C5881" s="196">
        <v>10.43</v>
      </c>
      <c r="D5881" s="196">
        <v>14.99</v>
      </c>
      <c r="E5881" s="195" t="s">
        <v>583</v>
      </c>
      <c r="F5881" s="195" t="s">
        <v>430</v>
      </c>
    </row>
    <row r="5882" spans="1:6" x14ac:dyDescent="0.25">
      <c r="A5882" s="189" t="str">
        <f t="shared" si="91"/>
        <v>HA-MD 54310.4314.99S</v>
      </c>
      <c r="B5882" s="195" t="s">
        <v>489</v>
      </c>
      <c r="C5882" s="196">
        <v>10.43</v>
      </c>
      <c r="D5882" s="196">
        <v>14.99</v>
      </c>
      <c r="E5882" s="195" t="s">
        <v>583</v>
      </c>
      <c r="F5882" s="195" t="s">
        <v>438</v>
      </c>
    </row>
    <row r="5883" spans="1:6" x14ac:dyDescent="0.25">
      <c r="A5883" s="189" t="str">
        <f t="shared" si="91"/>
        <v>HA-MD 54314.9915N</v>
      </c>
      <c r="B5883" s="195" t="s">
        <v>489</v>
      </c>
      <c r="C5883" s="196">
        <v>14.99</v>
      </c>
      <c r="D5883" s="196">
        <v>15</v>
      </c>
      <c r="E5883" s="195" t="s">
        <v>583</v>
      </c>
      <c r="F5883" s="195" t="s">
        <v>430</v>
      </c>
    </row>
    <row r="5884" spans="1:6" x14ac:dyDescent="0.25">
      <c r="A5884" s="189" t="str">
        <f t="shared" si="91"/>
        <v>HA-MD 54314.9915S</v>
      </c>
      <c r="B5884" s="195" t="s">
        <v>489</v>
      </c>
      <c r="C5884" s="196">
        <v>14.99</v>
      </c>
      <c r="D5884" s="196">
        <v>15</v>
      </c>
      <c r="E5884" s="195" t="s">
        <v>583</v>
      </c>
      <c r="F5884" s="195" t="s">
        <v>438</v>
      </c>
    </row>
    <row r="5885" spans="1:6" x14ac:dyDescent="0.25">
      <c r="A5885" s="189" t="str">
        <f t="shared" si="91"/>
        <v>HA-MD 5431519.08N</v>
      </c>
      <c r="B5885" s="195" t="s">
        <v>489</v>
      </c>
      <c r="C5885" s="196">
        <v>15</v>
      </c>
      <c r="D5885" s="196">
        <v>19.079999999999998</v>
      </c>
      <c r="E5885" s="195" t="s">
        <v>583</v>
      </c>
      <c r="F5885" s="195" t="s">
        <v>430</v>
      </c>
    </row>
    <row r="5886" spans="1:6" x14ac:dyDescent="0.25">
      <c r="A5886" s="189" t="str">
        <f t="shared" si="91"/>
        <v>HA-MD 5431519.08S</v>
      </c>
      <c r="B5886" s="195" t="s">
        <v>489</v>
      </c>
      <c r="C5886" s="196">
        <v>15</v>
      </c>
      <c r="D5886" s="196">
        <v>19.079999999999998</v>
      </c>
      <c r="E5886" s="195" t="s">
        <v>583</v>
      </c>
      <c r="F5886" s="195" t="s">
        <v>438</v>
      </c>
    </row>
    <row r="5887" spans="1:6" x14ac:dyDescent="0.25">
      <c r="A5887" s="189" t="str">
        <f t="shared" si="91"/>
        <v>HA-MD 62303.14N</v>
      </c>
      <c r="B5887" s="195" t="s">
        <v>2732</v>
      </c>
      <c r="C5887" s="196">
        <v>0</v>
      </c>
      <c r="D5887" s="196">
        <v>3.14</v>
      </c>
      <c r="E5887" s="195" t="s">
        <v>583</v>
      </c>
      <c r="F5887" s="195" t="s">
        <v>430</v>
      </c>
    </row>
    <row r="5888" spans="1:6" x14ac:dyDescent="0.25">
      <c r="A5888" s="189" t="str">
        <f t="shared" si="91"/>
        <v>HA-MD 62303.14S</v>
      </c>
      <c r="B5888" s="195" t="s">
        <v>2732</v>
      </c>
      <c r="C5888" s="196">
        <v>0</v>
      </c>
      <c r="D5888" s="196">
        <v>3.14</v>
      </c>
      <c r="E5888" s="195" t="s">
        <v>583</v>
      </c>
      <c r="F5888" s="195" t="s">
        <v>438</v>
      </c>
    </row>
    <row r="5889" spans="1:6" x14ac:dyDescent="0.25">
      <c r="A5889" s="189" t="str">
        <f t="shared" si="91"/>
        <v>HA-MD 6233.147.26N</v>
      </c>
      <c r="B5889" s="195" t="s">
        <v>2732</v>
      </c>
      <c r="C5889" s="196">
        <v>3.14</v>
      </c>
      <c r="D5889" s="196">
        <v>7.26</v>
      </c>
      <c r="E5889" s="195" t="s">
        <v>583</v>
      </c>
      <c r="F5889" s="195" t="s">
        <v>430</v>
      </c>
    </row>
    <row r="5890" spans="1:6" x14ac:dyDescent="0.25">
      <c r="A5890" s="189" t="str">
        <f t="shared" si="91"/>
        <v>HA-MD 6233.147.26S</v>
      </c>
      <c r="B5890" s="195" t="s">
        <v>2732</v>
      </c>
      <c r="C5890" s="196">
        <v>3.14</v>
      </c>
      <c r="D5890" s="196">
        <v>7.26</v>
      </c>
      <c r="E5890" s="195" t="s">
        <v>583</v>
      </c>
      <c r="F5890" s="195" t="s">
        <v>438</v>
      </c>
    </row>
    <row r="5891" spans="1:6" x14ac:dyDescent="0.25">
      <c r="A5891" s="189" t="str">
        <f t="shared" ref="A5891:A5954" si="92">B5891&amp;C5891&amp;D5891&amp;F5891</f>
        <v>HA-MD 62402.73N</v>
      </c>
      <c r="B5891" s="195" t="s">
        <v>2733</v>
      </c>
      <c r="C5891" s="196">
        <v>0</v>
      </c>
      <c r="D5891" s="196">
        <v>2.73</v>
      </c>
      <c r="E5891" s="195" t="s">
        <v>583</v>
      </c>
      <c r="F5891" s="195" t="s">
        <v>430</v>
      </c>
    </row>
    <row r="5892" spans="1:6" x14ac:dyDescent="0.25">
      <c r="A5892" s="189" t="str">
        <f t="shared" si="92"/>
        <v>HA-MD 62402.73S</v>
      </c>
      <c r="B5892" s="195" t="s">
        <v>2733</v>
      </c>
      <c r="C5892" s="196">
        <v>0</v>
      </c>
      <c r="D5892" s="196">
        <v>2.73</v>
      </c>
      <c r="E5892" s="195" t="s">
        <v>583</v>
      </c>
      <c r="F5892" s="195" t="s">
        <v>438</v>
      </c>
    </row>
    <row r="5893" spans="1:6" x14ac:dyDescent="0.25">
      <c r="A5893" s="189" t="str">
        <f t="shared" si="92"/>
        <v>HA-MD 6242.733.02N</v>
      </c>
      <c r="B5893" s="195" t="s">
        <v>2733</v>
      </c>
      <c r="C5893" s="196">
        <v>2.73</v>
      </c>
      <c r="D5893" s="196">
        <v>3.02</v>
      </c>
      <c r="E5893" s="195" t="s">
        <v>583</v>
      </c>
      <c r="F5893" s="195" t="s">
        <v>430</v>
      </c>
    </row>
    <row r="5894" spans="1:6" x14ac:dyDescent="0.25">
      <c r="A5894" s="189" t="str">
        <f t="shared" si="92"/>
        <v>HA-MD 6242.733.02S</v>
      </c>
      <c r="B5894" s="195" t="s">
        <v>2733</v>
      </c>
      <c r="C5894" s="196">
        <v>2.73</v>
      </c>
      <c r="D5894" s="196">
        <v>3.02</v>
      </c>
      <c r="E5894" s="195" t="s">
        <v>583</v>
      </c>
      <c r="F5894" s="195" t="s">
        <v>438</v>
      </c>
    </row>
    <row r="5895" spans="1:6" x14ac:dyDescent="0.25">
      <c r="A5895" s="189" t="str">
        <f t="shared" si="92"/>
        <v>HA-MD 64603.31N</v>
      </c>
      <c r="B5895" s="195" t="s">
        <v>2734</v>
      </c>
      <c r="C5895" s="196">
        <v>0</v>
      </c>
      <c r="D5895" s="196">
        <v>3.31</v>
      </c>
      <c r="E5895" s="195" t="s">
        <v>583</v>
      </c>
      <c r="F5895" s="195" t="s">
        <v>430</v>
      </c>
    </row>
    <row r="5896" spans="1:6" x14ac:dyDescent="0.25">
      <c r="A5896" s="189" t="str">
        <f t="shared" si="92"/>
        <v>HA-MD 64603.31S</v>
      </c>
      <c r="B5896" s="195" t="s">
        <v>2734</v>
      </c>
      <c r="C5896" s="196">
        <v>0</v>
      </c>
      <c r="D5896" s="196">
        <v>3.31</v>
      </c>
      <c r="E5896" s="195" t="s">
        <v>583</v>
      </c>
      <c r="F5896" s="195" t="s">
        <v>438</v>
      </c>
    </row>
    <row r="5897" spans="1:6" x14ac:dyDescent="0.25">
      <c r="A5897" s="189" t="str">
        <f t="shared" si="92"/>
        <v>HA-MD 702.05E</v>
      </c>
      <c r="B5897" s="195" t="s">
        <v>490</v>
      </c>
      <c r="C5897" s="196">
        <v>0</v>
      </c>
      <c r="D5897" s="196">
        <v>2.0499999999999998</v>
      </c>
      <c r="E5897" s="195" t="s">
        <v>583</v>
      </c>
      <c r="F5897" s="195" t="s">
        <v>19</v>
      </c>
    </row>
    <row r="5898" spans="1:6" x14ac:dyDescent="0.25">
      <c r="A5898" s="189" t="str">
        <f t="shared" si="92"/>
        <v>HA-MD 702.05W</v>
      </c>
      <c r="B5898" s="195" t="s">
        <v>490</v>
      </c>
      <c r="C5898" s="196">
        <v>0</v>
      </c>
      <c r="D5898" s="196">
        <v>2.0499999999999998</v>
      </c>
      <c r="E5898" s="195" t="s">
        <v>583</v>
      </c>
      <c r="F5898" s="195" t="s">
        <v>432</v>
      </c>
    </row>
    <row r="5899" spans="1:6" x14ac:dyDescent="0.25">
      <c r="A5899" s="189" t="str">
        <f t="shared" si="92"/>
        <v>HA-MD 72.053.64E</v>
      </c>
      <c r="B5899" s="195" t="s">
        <v>490</v>
      </c>
      <c r="C5899" s="196">
        <v>2.0499999999999998</v>
      </c>
      <c r="D5899" s="196">
        <v>3.64</v>
      </c>
      <c r="E5899" s="195" t="s">
        <v>583</v>
      </c>
      <c r="F5899" s="195" t="s">
        <v>19</v>
      </c>
    </row>
    <row r="5900" spans="1:6" x14ac:dyDescent="0.25">
      <c r="A5900" s="189" t="str">
        <f t="shared" si="92"/>
        <v>HA-MD 72.053.64W</v>
      </c>
      <c r="B5900" s="195" t="s">
        <v>490</v>
      </c>
      <c r="C5900" s="196">
        <v>2.0499999999999998</v>
      </c>
      <c r="D5900" s="196">
        <v>3.64</v>
      </c>
      <c r="E5900" s="195" t="s">
        <v>583</v>
      </c>
      <c r="F5900" s="195" t="s">
        <v>432</v>
      </c>
    </row>
    <row r="5901" spans="1:6" x14ac:dyDescent="0.25">
      <c r="A5901" s="189" t="str">
        <f t="shared" si="92"/>
        <v>HA-MD 73.74.52E</v>
      </c>
      <c r="B5901" s="195" t="s">
        <v>490</v>
      </c>
      <c r="C5901" s="196">
        <v>3.7</v>
      </c>
      <c r="D5901" s="196">
        <v>4.5199999999999996</v>
      </c>
      <c r="E5901" s="195" t="s">
        <v>583</v>
      </c>
      <c r="F5901" s="195" t="s">
        <v>19</v>
      </c>
    </row>
    <row r="5902" spans="1:6" x14ac:dyDescent="0.25">
      <c r="A5902" s="189" t="str">
        <f t="shared" si="92"/>
        <v>HA-MD 73.74.52W</v>
      </c>
      <c r="B5902" s="195" t="s">
        <v>490</v>
      </c>
      <c r="C5902" s="196">
        <v>3.7</v>
      </c>
      <c r="D5902" s="196">
        <v>4.5199999999999996</v>
      </c>
      <c r="E5902" s="195" t="s">
        <v>583</v>
      </c>
      <c r="F5902" s="195" t="s">
        <v>432</v>
      </c>
    </row>
    <row r="5903" spans="1:6" x14ac:dyDescent="0.25">
      <c r="A5903" s="189" t="str">
        <f t="shared" si="92"/>
        <v>HA-MD 74.526.15E</v>
      </c>
      <c r="B5903" s="195" t="s">
        <v>490</v>
      </c>
      <c r="C5903" s="196">
        <v>4.5199999999999996</v>
      </c>
      <c r="D5903" s="196">
        <v>6.15</v>
      </c>
      <c r="E5903" s="195" t="s">
        <v>583</v>
      </c>
      <c r="F5903" s="195" t="s">
        <v>19</v>
      </c>
    </row>
    <row r="5904" spans="1:6" x14ac:dyDescent="0.25">
      <c r="A5904" s="189" t="str">
        <f t="shared" si="92"/>
        <v>HA-MD 74.526.15W</v>
      </c>
      <c r="B5904" s="195" t="s">
        <v>490</v>
      </c>
      <c r="C5904" s="196">
        <v>4.5199999999999996</v>
      </c>
      <c r="D5904" s="196">
        <v>6.15</v>
      </c>
      <c r="E5904" s="195" t="s">
        <v>583</v>
      </c>
      <c r="F5904" s="195" t="s">
        <v>432</v>
      </c>
    </row>
    <row r="5905" spans="1:6" x14ac:dyDescent="0.25">
      <c r="A5905" s="189" t="str">
        <f t="shared" si="92"/>
        <v>HA-MD 76.157.03E</v>
      </c>
      <c r="B5905" s="195" t="s">
        <v>490</v>
      </c>
      <c r="C5905" s="196">
        <v>6.15</v>
      </c>
      <c r="D5905" s="196">
        <v>7.03</v>
      </c>
      <c r="E5905" s="195" t="s">
        <v>583</v>
      </c>
      <c r="F5905" s="195" t="s">
        <v>19</v>
      </c>
    </row>
    <row r="5906" spans="1:6" x14ac:dyDescent="0.25">
      <c r="A5906" s="189" t="str">
        <f t="shared" si="92"/>
        <v>HA-MD 76.157.03W</v>
      </c>
      <c r="B5906" s="195" t="s">
        <v>490</v>
      </c>
      <c r="C5906" s="196">
        <v>6.15</v>
      </c>
      <c r="D5906" s="196">
        <v>7.03</v>
      </c>
      <c r="E5906" s="195" t="s">
        <v>583</v>
      </c>
      <c r="F5906" s="195" t="s">
        <v>432</v>
      </c>
    </row>
    <row r="5907" spans="1:6" x14ac:dyDescent="0.25">
      <c r="A5907" s="189" t="str">
        <f t="shared" si="92"/>
        <v>HA-MD 77.037.13E</v>
      </c>
      <c r="B5907" s="195" t="s">
        <v>490</v>
      </c>
      <c r="C5907" s="196">
        <v>7.03</v>
      </c>
      <c r="D5907" s="196">
        <v>7.13</v>
      </c>
      <c r="E5907" s="195" t="s">
        <v>583</v>
      </c>
      <c r="F5907" s="195" t="s">
        <v>19</v>
      </c>
    </row>
    <row r="5908" spans="1:6" x14ac:dyDescent="0.25">
      <c r="A5908" s="189" t="str">
        <f t="shared" si="92"/>
        <v>HA-MD 77.037.13W</v>
      </c>
      <c r="B5908" s="195" t="s">
        <v>490</v>
      </c>
      <c r="C5908" s="196">
        <v>7.03</v>
      </c>
      <c r="D5908" s="196">
        <v>7.13</v>
      </c>
      <c r="E5908" s="195" t="s">
        <v>583</v>
      </c>
      <c r="F5908" s="195" t="s">
        <v>432</v>
      </c>
    </row>
    <row r="5909" spans="1:6" x14ac:dyDescent="0.25">
      <c r="A5909" s="189" t="str">
        <f t="shared" si="92"/>
        <v>HA-MD 77.137.3E</v>
      </c>
      <c r="B5909" s="195" t="s">
        <v>490</v>
      </c>
      <c r="C5909" s="196">
        <v>7.13</v>
      </c>
      <c r="D5909" s="196">
        <v>7.3</v>
      </c>
      <c r="E5909" s="195" t="s">
        <v>583</v>
      </c>
      <c r="F5909" s="195" t="s">
        <v>19</v>
      </c>
    </row>
    <row r="5910" spans="1:6" x14ac:dyDescent="0.25">
      <c r="A5910" s="189" t="str">
        <f t="shared" si="92"/>
        <v>HA-MD 77.137.3W</v>
      </c>
      <c r="B5910" s="195" t="s">
        <v>490</v>
      </c>
      <c r="C5910" s="196">
        <v>7.13</v>
      </c>
      <c r="D5910" s="196">
        <v>7.3</v>
      </c>
      <c r="E5910" s="195" t="s">
        <v>583</v>
      </c>
      <c r="F5910" s="195" t="s">
        <v>432</v>
      </c>
    </row>
    <row r="5911" spans="1:6" x14ac:dyDescent="0.25">
      <c r="A5911" s="189" t="str">
        <f t="shared" si="92"/>
        <v>HA-MD 77.37.5E</v>
      </c>
      <c r="B5911" s="195" t="s">
        <v>490</v>
      </c>
      <c r="C5911" s="196">
        <v>7.3</v>
      </c>
      <c r="D5911" s="196">
        <v>7.5</v>
      </c>
      <c r="E5911" s="195" t="s">
        <v>583</v>
      </c>
      <c r="F5911" s="195" t="s">
        <v>19</v>
      </c>
    </row>
    <row r="5912" spans="1:6" x14ac:dyDescent="0.25">
      <c r="A5912" s="189" t="str">
        <f t="shared" si="92"/>
        <v>HA-MD 77.37.5W</v>
      </c>
      <c r="B5912" s="195" t="s">
        <v>490</v>
      </c>
      <c r="C5912" s="196">
        <v>7.3</v>
      </c>
      <c r="D5912" s="196">
        <v>7.5</v>
      </c>
      <c r="E5912" s="195" t="s">
        <v>583</v>
      </c>
      <c r="F5912" s="195" t="s">
        <v>432</v>
      </c>
    </row>
    <row r="5913" spans="1:6" x14ac:dyDescent="0.25">
      <c r="A5913" s="189" t="str">
        <f t="shared" si="92"/>
        <v>HA-MD 77.57.6E</v>
      </c>
      <c r="B5913" s="195" t="s">
        <v>490</v>
      </c>
      <c r="C5913" s="196">
        <v>7.5</v>
      </c>
      <c r="D5913" s="196">
        <v>7.6</v>
      </c>
      <c r="E5913" s="195" t="s">
        <v>583</v>
      </c>
      <c r="F5913" s="195" t="s">
        <v>19</v>
      </c>
    </row>
    <row r="5914" spans="1:6" x14ac:dyDescent="0.25">
      <c r="A5914" s="189" t="str">
        <f t="shared" si="92"/>
        <v>HA-MD 77.57.6W</v>
      </c>
      <c r="B5914" s="195" t="s">
        <v>490</v>
      </c>
      <c r="C5914" s="196">
        <v>7.5</v>
      </c>
      <c r="D5914" s="196">
        <v>7.6</v>
      </c>
      <c r="E5914" s="195" t="s">
        <v>583</v>
      </c>
      <c r="F5914" s="195" t="s">
        <v>432</v>
      </c>
    </row>
    <row r="5915" spans="1:6" x14ac:dyDescent="0.25">
      <c r="A5915" s="189" t="str">
        <f t="shared" si="92"/>
        <v>HA-MD 77.67.9E</v>
      </c>
      <c r="B5915" s="195" t="s">
        <v>490</v>
      </c>
      <c r="C5915" s="196">
        <v>7.6</v>
      </c>
      <c r="D5915" s="196">
        <v>7.9</v>
      </c>
      <c r="E5915" s="195" t="s">
        <v>583</v>
      </c>
      <c r="F5915" s="195" t="s">
        <v>19</v>
      </c>
    </row>
    <row r="5916" spans="1:6" x14ac:dyDescent="0.25">
      <c r="A5916" s="189" t="str">
        <f t="shared" si="92"/>
        <v>HA-MD 77.67.9W</v>
      </c>
      <c r="B5916" s="195" t="s">
        <v>490</v>
      </c>
      <c r="C5916" s="196">
        <v>7.6</v>
      </c>
      <c r="D5916" s="196">
        <v>7.9</v>
      </c>
      <c r="E5916" s="195" t="s">
        <v>583</v>
      </c>
      <c r="F5916" s="195" t="s">
        <v>432</v>
      </c>
    </row>
    <row r="5917" spans="1:6" x14ac:dyDescent="0.25">
      <c r="A5917" s="189" t="str">
        <f t="shared" si="92"/>
        <v>HA-MD 78.518.95E</v>
      </c>
      <c r="B5917" s="195" t="s">
        <v>490</v>
      </c>
      <c r="C5917" s="196">
        <v>8.51</v>
      </c>
      <c r="D5917" s="196">
        <v>8.9499999999999993</v>
      </c>
      <c r="E5917" s="195" t="s">
        <v>598</v>
      </c>
      <c r="F5917" s="195" t="s">
        <v>19</v>
      </c>
    </row>
    <row r="5918" spans="1:6" x14ac:dyDescent="0.25">
      <c r="A5918" s="189" t="str">
        <f t="shared" si="92"/>
        <v>HA-MD 78.9510.45W</v>
      </c>
      <c r="B5918" s="195" t="s">
        <v>490</v>
      </c>
      <c r="C5918" s="196">
        <v>8.9499999999999993</v>
      </c>
      <c r="D5918" s="196">
        <v>10.45</v>
      </c>
      <c r="E5918" s="195" t="s">
        <v>593</v>
      </c>
      <c r="F5918" s="195" t="s">
        <v>432</v>
      </c>
    </row>
    <row r="5919" spans="1:6" x14ac:dyDescent="0.25">
      <c r="A5919" s="189" t="str">
        <f t="shared" si="92"/>
        <v>HA-MD 79.0310.45E</v>
      </c>
      <c r="B5919" s="195" t="s">
        <v>490</v>
      </c>
      <c r="C5919" s="196">
        <v>9.0299999999999994</v>
      </c>
      <c r="D5919" s="196">
        <v>10.45</v>
      </c>
      <c r="E5919" s="195" t="s">
        <v>598</v>
      </c>
      <c r="F5919" s="195" t="s">
        <v>19</v>
      </c>
    </row>
    <row r="5920" spans="1:6" x14ac:dyDescent="0.25">
      <c r="A5920" s="189" t="str">
        <f t="shared" si="92"/>
        <v>HA-MD 710.4511.32E</v>
      </c>
      <c r="B5920" s="195" t="s">
        <v>490</v>
      </c>
      <c r="C5920" s="196">
        <v>10.45</v>
      </c>
      <c r="D5920" s="196">
        <v>11.32</v>
      </c>
      <c r="E5920" s="195" t="s">
        <v>583</v>
      </c>
      <c r="F5920" s="195" t="s">
        <v>19</v>
      </c>
    </row>
    <row r="5921" spans="1:6" x14ac:dyDescent="0.25">
      <c r="A5921" s="189" t="str">
        <f t="shared" si="92"/>
        <v>HA-MD 710.4511.32W</v>
      </c>
      <c r="B5921" s="195" t="s">
        <v>490</v>
      </c>
      <c r="C5921" s="196">
        <v>10.45</v>
      </c>
      <c r="D5921" s="196">
        <v>11.32</v>
      </c>
      <c r="E5921" s="195" t="s">
        <v>583</v>
      </c>
      <c r="F5921" s="195" t="s">
        <v>432</v>
      </c>
    </row>
    <row r="5922" spans="1:6" x14ac:dyDescent="0.25">
      <c r="A5922" s="189" t="str">
        <f t="shared" si="92"/>
        <v>HA-MD 71500.24E</v>
      </c>
      <c r="B5922" s="195" t="s">
        <v>4508</v>
      </c>
      <c r="C5922" s="196">
        <v>0</v>
      </c>
      <c r="D5922" s="196">
        <v>0.24</v>
      </c>
      <c r="E5922" s="195" t="s">
        <v>598</v>
      </c>
      <c r="F5922" s="195" t="s">
        <v>19</v>
      </c>
    </row>
    <row r="5923" spans="1:6" x14ac:dyDescent="0.25">
      <c r="A5923" s="189" t="str">
        <f t="shared" si="92"/>
        <v>HA-MD 7150.180.37W</v>
      </c>
      <c r="B5923" s="195" t="s">
        <v>4508</v>
      </c>
      <c r="C5923" s="196">
        <v>0.18</v>
      </c>
      <c r="D5923" s="196">
        <v>0.37</v>
      </c>
      <c r="E5923" s="195" t="s">
        <v>593</v>
      </c>
      <c r="F5923" s="195" t="s">
        <v>432</v>
      </c>
    </row>
    <row r="5924" spans="1:6" x14ac:dyDescent="0.25">
      <c r="A5924" s="189" t="str">
        <f t="shared" si="92"/>
        <v>HA-MD 75500.02N</v>
      </c>
      <c r="B5924" s="195" t="s">
        <v>2735</v>
      </c>
      <c r="C5924" s="196">
        <v>0</v>
      </c>
      <c r="D5924" s="196">
        <v>0.02</v>
      </c>
      <c r="E5924" s="195" t="s">
        <v>583</v>
      </c>
      <c r="F5924" s="195" t="s">
        <v>430</v>
      </c>
    </row>
    <row r="5925" spans="1:6" x14ac:dyDescent="0.25">
      <c r="A5925" s="189" t="str">
        <f t="shared" si="92"/>
        <v>HA-MD 75500.02S</v>
      </c>
      <c r="B5925" s="195" t="s">
        <v>2735</v>
      </c>
      <c r="C5925" s="196">
        <v>0</v>
      </c>
      <c r="D5925" s="196">
        <v>0.02</v>
      </c>
      <c r="E5925" s="195" t="s">
        <v>583</v>
      </c>
      <c r="F5925" s="195" t="s">
        <v>438</v>
      </c>
    </row>
    <row r="5926" spans="1:6" x14ac:dyDescent="0.25">
      <c r="A5926" s="189" t="str">
        <f t="shared" si="92"/>
        <v>HA-MD 7550.020.55N</v>
      </c>
      <c r="B5926" s="195" t="s">
        <v>2735</v>
      </c>
      <c r="C5926" s="196">
        <v>0.02</v>
      </c>
      <c r="D5926" s="196">
        <v>0.55000000000000004</v>
      </c>
      <c r="E5926" s="195" t="s">
        <v>583</v>
      </c>
      <c r="F5926" s="195" t="s">
        <v>430</v>
      </c>
    </row>
    <row r="5927" spans="1:6" x14ac:dyDescent="0.25">
      <c r="A5927" s="189" t="str">
        <f t="shared" si="92"/>
        <v>HA-MD 7550.020.55S</v>
      </c>
      <c r="B5927" s="195" t="s">
        <v>2735</v>
      </c>
      <c r="C5927" s="196">
        <v>0.02</v>
      </c>
      <c r="D5927" s="196">
        <v>0.55000000000000004</v>
      </c>
      <c r="E5927" s="195" t="s">
        <v>583</v>
      </c>
      <c r="F5927" s="195" t="s">
        <v>438</v>
      </c>
    </row>
    <row r="5928" spans="1:6" x14ac:dyDescent="0.25">
      <c r="A5928" s="189" t="str">
        <f t="shared" si="92"/>
        <v>HA-MD 7550.551.4N</v>
      </c>
      <c r="B5928" s="195" t="s">
        <v>2735</v>
      </c>
      <c r="C5928" s="196">
        <v>0.55000000000000004</v>
      </c>
      <c r="D5928" s="196">
        <v>1.4</v>
      </c>
      <c r="E5928" s="195" t="s">
        <v>583</v>
      </c>
      <c r="F5928" s="195" t="s">
        <v>430</v>
      </c>
    </row>
    <row r="5929" spans="1:6" x14ac:dyDescent="0.25">
      <c r="A5929" s="189" t="str">
        <f t="shared" si="92"/>
        <v>HA-MD 7550.551.4S</v>
      </c>
      <c r="B5929" s="195" t="s">
        <v>2735</v>
      </c>
      <c r="C5929" s="196">
        <v>0.55000000000000004</v>
      </c>
      <c r="D5929" s="196">
        <v>1.4</v>
      </c>
      <c r="E5929" s="195" t="s">
        <v>583</v>
      </c>
      <c r="F5929" s="195" t="s">
        <v>438</v>
      </c>
    </row>
    <row r="5930" spans="1:6" x14ac:dyDescent="0.25">
      <c r="A5930" s="189" t="str">
        <f t="shared" si="92"/>
        <v>HA-MD 7551.41.6N</v>
      </c>
      <c r="B5930" s="195" t="s">
        <v>2735</v>
      </c>
      <c r="C5930" s="196">
        <v>1.4</v>
      </c>
      <c r="D5930" s="196">
        <v>1.6</v>
      </c>
      <c r="E5930" s="195" t="s">
        <v>583</v>
      </c>
      <c r="F5930" s="195" t="s">
        <v>430</v>
      </c>
    </row>
    <row r="5931" spans="1:6" x14ac:dyDescent="0.25">
      <c r="A5931" s="189" t="str">
        <f t="shared" si="92"/>
        <v>HA-MD 7551.41.6S</v>
      </c>
      <c r="B5931" s="195" t="s">
        <v>2735</v>
      </c>
      <c r="C5931" s="196">
        <v>1.4</v>
      </c>
      <c r="D5931" s="196">
        <v>1.6</v>
      </c>
      <c r="E5931" s="195" t="s">
        <v>583</v>
      </c>
      <c r="F5931" s="195" t="s">
        <v>438</v>
      </c>
    </row>
    <row r="5932" spans="1:6" x14ac:dyDescent="0.25">
      <c r="A5932" s="189" t="str">
        <f t="shared" si="92"/>
        <v>HA-MD 7551.61.79N</v>
      </c>
      <c r="B5932" s="195" t="s">
        <v>2735</v>
      </c>
      <c r="C5932" s="196">
        <v>1.6</v>
      </c>
      <c r="D5932" s="196">
        <v>1.79</v>
      </c>
      <c r="E5932" s="195" t="s">
        <v>583</v>
      </c>
      <c r="F5932" s="195" t="s">
        <v>430</v>
      </c>
    </row>
    <row r="5933" spans="1:6" x14ac:dyDescent="0.25">
      <c r="A5933" s="189" t="str">
        <f t="shared" si="92"/>
        <v>HA-MD 7551.61.79S</v>
      </c>
      <c r="B5933" s="195" t="s">
        <v>2735</v>
      </c>
      <c r="C5933" s="196">
        <v>1.6</v>
      </c>
      <c r="D5933" s="196">
        <v>1.79</v>
      </c>
      <c r="E5933" s="195" t="s">
        <v>583</v>
      </c>
      <c r="F5933" s="195" t="s">
        <v>438</v>
      </c>
    </row>
    <row r="5934" spans="1:6" x14ac:dyDescent="0.25">
      <c r="A5934" s="189" t="str">
        <f t="shared" si="92"/>
        <v>HA-MD 76300.28E</v>
      </c>
      <c r="B5934" s="195" t="s">
        <v>2736</v>
      </c>
      <c r="C5934" s="196">
        <v>0</v>
      </c>
      <c r="D5934" s="196">
        <v>0.28000000000000003</v>
      </c>
      <c r="E5934" s="195" t="s">
        <v>583</v>
      </c>
      <c r="F5934" s="195" t="s">
        <v>19</v>
      </c>
    </row>
    <row r="5935" spans="1:6" x14ac:dyDescent="0.25">
      <c r="A5935" s="189" t="str">
        <f t="shared" si="92"/>
        <v>HA-MD 76300.28W</v>
      </c>
      <c r="B5935" s="195" t="s">
        <v>2736</v>
      </c>
      <c r="C5935" s="196">
        <v>0</v>
      </c>
      <c r="D5935" s="196">
        <v>0.28000000000000003</v>
      </c>
      <c r="E5935" s="195" t="s">
        <v>583</v>
      </c>
      <c r="F5935" s="195" t="s">
        <v>432</v>
      </c>
    </row>
    <row r="5936" spans="1:6" x14ac:dyDescent="0.25">
      <c r="A5936" s="189" t="str">
        <f t="shared" si="92"/>
        <v>HA-MD 7A00.07N</v>
      </c>
      <c r="B5936" s="195" t="s">
        <v>2737</v>
      </c>
      <c r="C5936" s="196">
        <v>0</v>
      </c>
      <c r="D5936" s="196">
        <v>7.0000000000000007E-2</v>
      </c>
      <c r="E5936" s="195" t="s">
        <v>583</v>
      </c>
      <c r="F5936" s="195" t="s">
        <v>430</v>
      </c>
    </row>
    <row r="5937" spans="1:6" x14ac:dyDescent="0.25">
      <c r="A5937" s="189" t="str">
        <f t="shared" si="92"/>
        <v>HA-MD 7A00.07S</v>
      </c>
      <c r="B5937" s="195" t="s">
        <v>2737</v>
      </c>
      <c r="C5937" s="196">
        <v>0</v>
      </c>
      <c r="D5937" s="196">
        <v>7.0000000000000007E-2</v>
      </c>
      <c r="E5937" s="195" t="s">
        <v>583</v>
      </c>
      <c r="F5937" s="195" t="s">
        <v>438</v>
      </c>
    </row>
    <row r="5938" spans="1:6" x14ac:dyDescent="0.25">
      <c r="A5938" s="189" t="str">
        <f t="shared" si="92"/>
        <v>HA-MD 7A0.070.17N</v>
      </c>
      <c r="B5938" s="195" t="s">
        <v>2737</v>
      </c>
      <c r="C5938" s="196">
        <v>7.0000000000000007E-2</v>
      </c>
      <c r="D5938" s="196">
        <v>0.17</v>
      </c>
      <c r="E5938" s="195" t="s">
        <v>583</v>
      </c>
      <c r="F5938" s="195" t="s">
        <v>430</v>
      </c>
    </row>
    <row r="5939" spans="1:6" x14ac:dyDescent="0.25">
      <c r="A5939" s="189" t="str">
        <f t="shared" si="92"/>
        <v>HA-MD 7A0.070.17S</v>
      </c>
      <c r="B5939" s="195" t="s">
        <v>2737</v>
      </c>
      <c r="C5939" s="196">
        <v>7.0000000000000007E-2</v>
      </c>
      <c r="D5939" s="196">
        <v>0.17</v>
      </c>
      <c r="E5939" s="195" t="s">
        <v>583</v>
      </c>
      <c r="F5939" s="195" t="s">
        <v>438</v>
      </c>
    </row>
    <row r="5940" spans="1:6" x14ac:dyDescent="0.25">
      <c r="A5940" s="189" t="str">
        <f t="shared" si="92"/>
        <v>HA-MD 7A0.171.46N</v>
      </c>
      <c r="B5940" s="195" t="s">
        <v>2737</v>
      </c>
      <c r="C5940" s="196">
        <v>0.17</v>
      </c>
      <c r="D5940" s="196">
        <v>1.46</v>
      </c>
      <c r="E5940" s="195" t="s">
        <v>583</v>
      </c>
      <c r="F5940" s="195" t="s">
        <v>430</v>
      </c>
    </row>
    <row r="5941" spans="1:6" x14ac:dyDescent="0.25">
      <c r="A5941" s="189" t="str">
        <f t="shared" si="92"/>
        <v>HA-MD 7A0.171.46S</v>
      </c>
      <c r="B5941" s="195" t="s">
        <v>2737</v>
      </c>
      <c r="C5941" s="196">
        <v>0.17</v>
      </c>
      <c r="D5941" s="196">
        <v>1.46</v>
      </c>
      <c r="E5941" s="195" t="s">
        <v>583</v>
      </c>
      <c r="F5941" s="195" t="s">
        <v>438</v>
      </c>
    </row>
    <row r="5942" spans="1:6" x14ac:dyDescent="0.25">
      <c r="A5942" s="189" t="str">
        <f t="shared" si="92"/>
        <v>HA-MD 7A1.462N</v>
      </c>
      <c r="B5942" s="195" t="s">
        <v>2737</v>
      </c>
      <c r="C5942" s="196">
        <v>1.46</v>
      </c>
      <c r="D5942" s="196">
        <v>2</v>
      </c>
      <c r="E5942" s="195" t="s">
        <v>583</v>
      </c>
      <c r="F5942" s="195" t="s">
        <v>430</v>
      </c>
    </row>
    <row r="5943" spans="1:6" x14ac:dyDescent="0.25">
      <c r="A5943" s="189" t="str">
        <f t="shared" si="92"/>
        <v>HA-MD 7A1.462S</v>
      </c>
      <c r="B5943" s="195" t="s">
        <v>2737</v>
      </c>
      <c r="C5943" s="196">
        <v>1.46</v>
      </c>
      <c r="D5943" s="196">
        <v>2</v>
      </c>
      <c r="E5943" s="195" t="s">
        <v>583</v>
      </c>
      <c r="F5943" s="195" t="s">
        <v>438</v>
      </c>
    </row>
    <row r="5944" spans="1:6" x14ac:dyDescent="0.25">
      <c r="A5944" s="189" t="str">
        <f t="shared" si="92"/>
        <v>HA-MD 7A22.66N</v>
      </c>
      <c r="B5944" s="195" t="s">
        <v>2737</v>
      </c>
      <c r="C5944" s="196">
        <v>2</v>
      </c>
      <c r="D5944" s="196">
        <v>2.66</v>
      </c>
      <c r="E5944" s="195" t="s">
        <v>583</v>
      </c>
      <c r="F5944" s="195" t="s">
        <v>430</v>
      </c>
    </row>
    <row r="5945" spans="1:6" x14ac:dyDescent="0.25">
      <c r="A5945" s="189" t="str">
        <f t="shared" si="92"/>
        <v>HA-MD 7A22.66S</v>
      </c>
      <c r="B5945" s="195" t="s">
        <v>2737</v>
      </c>
      <c r="C5945" s="196">
        <v>2</v>
      </c>
      <c r="D5945" s="196">
        <v>2.66</v>
      </c>
      <c r="E5945" s="195" t="s">
        <v>583</v>
      </c>
      <c r="F5945" s="195" t="s">
        <v>438</v>
      </c>
    </row>
    <row r="5946" spans="1:6" x14ac:dyDescent="0.25">
      <c r="A5946" s="189" t="str">
        <f t="shared" si="92"/>
        <v>HA-MD 922E00.23S</v>
      </c>
      <c r="B5946" s="195" t="s">
        <v>2738</v>
      </c>
      <c r="C5946" s="196">
        <v>0</v>
      </c>
      <c r="D5946" s="196">
        <v>0.23</v>
      </c>
      <c r="E5946" s="195" t="s">
        <v>595</v>
      </c>
      <c r="F5946" s="195" t="s">
        <v>438</v>
      </c>
    </row>
    <row r="5947" spans="1:6" x14ac:dyDescent="0.25">
      <c r="A5947" s="189" t="str">
        <f t="shared" si="92"/>
        <v>HA-MD 922E0.230.24S</v>
      </c>
      <c r="B5947" s="195" t="s">
        <v>2738</v>
      </c>
      <c r="C5947" s="196">
        <v>0.23</v>
      </c>
      <c r="D5947" s="196">
        <v>0.24</v>
      </c>
      <c r="E5947" s="195" t="s">
        <v>595</v>
      </c>
      <c r="F5947" s="195" t="s">
        <v>438</v>
      </c>
    </row>
    <row r="5948" spans="1:6" x14ac:dyDescent="0.25">
      <c r="A5948" s="189" t="str">
        <f t="shared" si="92"/>
        <v>HA-MD 9240.30.74N</v>
      </c>
      <c r="B5948" s="195" t="s">
        <v>491</v>
      </c>
      <c r="C5948" s="196">
        <v>0.3</v>
      </c>
      <c r="D5948" s="196">
        <v>0.74</v>
      </c>
      <c r="E5948" s="195" t="s">
        <v>589</v>
      </c>
      <c r="F5948" s="195" t="s">
        <v>430</v>
      </c>
    </row>
    <row r="5949" spans="1:6" x14ac:dyDescent="0.25">
      <c r="A5949" s="189" t="str">
        <f t="shared" si="92"/>
        <v>HA-MD 9240.310.74S</v>
      </c>
      <c r="B5949" s="195" t="s">
        <v>491</v>
      </c>
      <c r="C5949" s="196">
        <v>0.31</v>
      </c>
      <c r="D5949" s="196">
        <v>0.74</v>
      </c>
      <c r="E5949" s="195" t="s">
        <v>595</v>
      </c>
      <c r="F5949" s="195" t="s">
        <v>438</v>
      </c>
    </row>
    <row r="5950" spans="1:6" x14ac:dyDescent="0.25">
      <c r="A5950" s="189" t="str">
        <f t="shared" si="92"/>
        <v>HA-MD 9240.741.2N</v>
      </c>
      <c r="B5950" s="195" t="s">
        <v>491</v>
      </c>
      <c r="C5950" s="196">
        <v>0.74</v>
      </c>
      <c r="D5950" s="196">
        <v>1.2</v>
      </c>
      <c r="E5950" s="195" t="s">
        <v>583</v>
      </c>
      <c r="F5950" s="195" t="s">
        <v>430</v>
      </c>
    </row>
    <row r="5951" spans="1:6" x14ac:dyDescent="0.25">
      <c r="A5951" s="189" t="str">
        <f t="shared" si="92"/>
        <v>HA-MD 9240.741.2S</v>
      </c>
      <c r="B5951" s="195" t="s">
        <v>491</v>
      </c>
      <c r="C5951" s="196">
        <v>0.74</v>
      </c>
      <c r="D5951" s="196">
        <v>1.2</v>
      </c>
      <c r="E5951" s="195" t="s">
        <v>583</v>
      </c>
      <c r="F5951" s="195" t="s">
        <v>438</v>
      </c>
    </row>
    <row r="5952" spans="1:6" x14ac:dyDescent="0.25">
      <c r="A5952" s="189" t="str">
        <f t="shared" si="92"/>
        <v>HA-MD 9241.21.3N</v>
      </c>
      <c r="B5952" s="195" t="s">
        <v>491</v>
      </c>
      <c r="C5952" s="196">
        <v>1.2</v>
      </c>
      <c r="D5952" s="196">
        <v>1.3</v>
      </c>
      <c r="E5952" s="195" t="s">
        <v>583</v>
      </c>
      <c r="F5952" s="195" t="s">
        <v>430</v>
      </c>
    </row>
    <row r="5953" spans="1:6" x14ac:dyDescent="0.25">
      <c r="A5953" s="189" t="str">
        <f t="shared" si="92"/>
        <v>HA-MD 9241.21.3S</v>
      </c>
      <c r="B5953" s="195" t="s">
        <v>491</v>
      </c>
      <c r="C5953" s="196">
        <v>1.2</v>
      </c>
      <c r="D5953" s="196">
        <v>1.3</v>
      </c>
      <c r="E5953" s="195" t="s">
        <v>583</v>
      </c>
      <c r="F5953" s="195" t="s">
        <v>438</v>
      </c>
    </row>
    <row r="5954" spans="1:6" x14ac:dyDescent="0.25">
      <c r="A5954" s="189" t="str">
        <f t="shared" si="92"/>
        <v>HA-MD 9241.32.9N</v>
      </c>
      <c r="B5954" s="195" t="s">
        <v>491</v>
      </c>
      <c r="C5954" s="196">
        <v>1.3</v>
      </c>
      <c r="D5954" s="196">
        <v>2.9</v>
      </c>
      <c r="E5954" s="195" t="s">
        <v>583</v>
      </c>
      <c r="F5954" s="195" t="s">
        <v>430</v>
      </c>
    </row>
    <row r="5955" spans="1:6" x14ac:dyDescent="0.25">
      <c r="A5955" s="189" t="str">
        <f t="shared" ref="A5955:A6018" si="93">B5955&amp;C5955&amp;D5955&amp;F5955</f>
        <v>HA-MD 9241.32.9S</v>
      </c>
      <c r="B5955" s="195" t="s">
        <v>491</v>
      </c>
      <c r="C5955" s="196">
        <v>1.3</v>
      </c>
      <c r="D5955" s="196">
        <v>2.9</v>
      </c>
      <c r="E5955" s="195" t="s">
        <v>583</v>
      </c>
      <c r="F5955" s="195" t="s">
        <v>438</v>
      </c>
    </row>
    <row r="5956" spans="1:6" x14ac:dyDescent="0.25">
      <c r="A5956" s="189" t="str">
        <f t="shared" si="93"/>
        <v>HA-MD 9242.94.05N</v>
      </c>
      <c r="B5956" s="195" t="s">
        <v>491</v>
      </c>
      <c r="C5956" s="196">
        <v>2.9</v>
      </c>
      <c r="D5956" s="196">
        <v>4.05</v>
      </c>
      <c r="E5956" s="195" t="s">
        <v>583</v>
      </c>
      <c r="F5956" s="195" t="s">
        <v>430</v>
      </c>
    </row>
    <row r="5957" spans="1:6" x14ac:dyDescent="0.25">
      <c r="A5957" s="189" t="str">
        <f t="shared" si="93"/>
        <v>HA-MD 9242.94.05S</v>
      </c>
      <c r="B5957" s="195" t="s">
        <v>491</v>
      </c>
      <c r="C5957" s="196">
        <v>2.9</v>
      </c>
      <c r="D5957" s="196">
        <v>4.05</v>
      </c>
      <c r="E5957" s="195" t="s">
        <v>583</v>
      </c>
      <c r="F5957" s="195" t="s">
        <v>438</v>
      </c>
    </row>
    <row r="5958" spans="1:6" x14ac:dyDescent="0.25">
      <c r="A5958" s="189" t="str">
        <f t="shared" si="93"/>
        <v>HA-MD 9244.054.81N</v>
      </c>
      <c r="B5958" s="195" t="s">
        <v>491</v>
      </c>
      <c r="C5958" s="196">
        <v>4.05</v>
      </c>
      <c r="D5958" s="196">
        <v>4.8099999999999996</v>
      </c>
      <c r="E5958" s="195" t="s">
        <v>583</v>
      </c>
      <c r="F5958" s="195" t="s">
        <v>430</v>
      </c>
    </row>
    <row r="5959" spans="1:6" x14ac:dyDescent="0.25">
      <c r="A5959" s="189" t="str">
        <f t="shared" si="93"/>
        <v>HA-MD 9244.054.81S</v>
      </c>
      <c r="B5959" s="195" t="s">
        <v>491</v>
      </c>
      <c r="C5959" s="196">
        <v>4.05</v>
      </c>
      <c r="D5959" s="196">
        <v>4.8099999999999996</v>
      </c>
      <c r="E5959" s="195" t="s">
        <v>583</v>
      </c>
      <c r="F5959" s="195" t="s">
        <v>438</v>
      </c>
    </row>
    <row r="5960" spans="1:6" x14ac:dyDescent="0.25">
      <c r="A5960" s="189" t="str">
        <f t="shared" si="93"/>
        <v>HA-MD 9244.815.5N</v>
      </c>
      <c r="B5960" s="195" t="s">
        <v>491</v>
      </c>
      <c r="C5960" s="196">
        <v>4.8099999999999996</v>
      </c>
      <c r="D5960" s="196">
        <v>5.5</v>
      </c>
      <c r="E5960" s="195" t="s">
        <v>583</v>
      </c>
      <c r="F5960" s="195" t="s">
        <v>430</v>
      </c>
    </row>
    <row r="5961" spans="1:6" x14ac:dyDescent="0.25">
      <c r="A5961" s="189" t="str">
        <f t="shared" si="93"/>
        <v>HA-MD 9244.815.5S</v>
      </c>
      <c r="B5961" s="195" t="s">
        <v>491</v>
      </c>
      <c r="C5961" s="196">
        <v>4.8099999999999996</v>
      </c>
      <c r="D5961" s="196">
        <v>5.5</v>
      </c>
      <c r="E5961" s="195" t="s">
        <v>583</v>
      </c>
      <c r="F5961" s="195" t="s">
        <v>438</v>
      </c>
    </row>
    <row r="5962" spans="1:6" x14ac:dyDescent="0.25">
      <c r="A5962" s="189" t="str">
        <f t="shared" si="93"/>
        <v>HA-MD 9245.56.07S</v>
      </c>
      <c r="B5962" s="195" t="s">
        <v>491</v>
      </c>
      <c r="C5962" s="196">
        <v>5.5</v>
      </c>
      <c r="D5962" s="196">
        <v>6.07</v>
      </c>
      <c r="E5962" s="195" t="s">
        <v>595</v>
      </c>
      <c r="F5962" s="195" t="s">
        <v>438</v>
      </c>
    </row>
    <row r="5963" spans="1:6" x14ac:dyDescent="0.25">
      <c r="A5963" s="189" t="str">
        <f t="shared" si="93"/>
        <v>HA-MD 9245.57.34N</v>
      </c>
      <c r="B5963" s="195" t="s">
        <v>491</v>
      </c>
      <c r="C5963" s="196">
        <v>5.5</v>
      </c>
      <c r="D5963" s="196">
        <v>7.34</v>
      </c>
      <c r="E5963" s="195" t="s">
        <v>589</v>
      </c>
      <c r="F5963" s="195" t="s">
        <v>430</v>
      </c>
    </row>
    <row r="5964" spans="1:6" x14ac:dyDescent="0.25">
      <c r="A5964" s="189" t="str">
        <f t="shared" si="93"/>
        <v>HA-MD 9246.077.34S</v>
      </c>
      <c r="B5964" s="195" t="s">
        <v>491</v>
      </c>
      <c r="C5964" s="196">
        <v>6.07</v>
      </c>
      <c r="D5964" s="196">
        <v>7.34</v>
      </c>
      <c r="E5964" s="195" t="s">
        <v>595</v>
      </c>
      <c r="F5964" s="195" t="s">
        <v>438</v>
      </c>
    </row>
    <row r="5965" spans="1:6" x14ac:dyDescent="0.25">
      <c r="A5965" s="189" t="str">
        <f t="shared" si="93"/>
        <v>HA-US 100.09N</v>
      </c>
      <c r="B5965" s="195" t="s">
        <v>492</v>
      </c>
      <c r="C5965" s="196">
        <v>0</v>
      </c>
      <c r="D5965" s="196">
        <v>0.09</v>
      </c>
      <c r="E5965" s="195" t="s">
        <v>583</v>
      </c>
      <c r="F5965" s="195" t="s">
        <v>430</v>
      </c>
    </row>
    <row r="5966" spans="1:6" x14ac:dyDescent="0.25">
      <c r="A5966" s="189" t="str">
        <f t="shared" si="93"/>
        <v>HA-US 100.09S</v>
      </c>
      <c r="B5966" s="195" t="s">
        <v>492</v>
      </c>
      <c r="C5966" s="196">
        <v>0</v>
      </c>
      <c r="D5966" s="196">
        <v>0.09</v>
      </c>
      <c r="E5966" s="195" t="s">
        <v>583</v>
      </c>
      <c r="F5966" s="195" t="s">
        <v>438</v>
      </c>
    </row>
    <row r="5967" spans="1:6" x14ac:dyDescent="0.25">
      <c r="A5967" s="189" t="str">
        <f t="shared" si="93"/>
        <v>HA-US 10.090.13S</v>
      </c>
      <c r="B5967" s="195" t="s">
        <v>492</v>
      </c>
      <c r="C5967" s="196">
        <v>0.09</v>
      </c>
      <c r="D5967" s="196">
        <v>0.13</v>
      </c>
      <c r="E5967" s="195" t="s">
        <v>595</v>
      </c>
      <c r="F5967" s="195" t="s">
        <v>438</v>
      </c>
    </row>
    <row r="5968" spans="1:6" x14ac:dyDescent="0.25">
      <c r="A5968" s="189" t="str">
        <f t="shared" si="93"/>
        <v>HA-US 10.091.35N</v>
      </c>
      <c r="B5968" s="195" t="s">
        <v>492</v>
      </c>
      <c r="C5968" s="196">
        <v>0.09</v>
      </c>
      <c r="D5968" s="196">
        <v>1.35</v>
      </c>
      <c r="E5968" s="195" t="s">
        <v>589</v>
      </c>
      <c r="F5968" s="195" t="s">
        <v>430</v>
      </c>
    </row>
    <row r="5969" spans="1:6" x14ac:dyDescent="0.25">
      <c r="A5969" s="189" t="str">
        <f t="shared" si="93"/>
        <v>HA-US 10.131.35S</v>
      </c>
      <c r="B5969" s="195" t="s">
        <v>492</v>
      </c>
      <c r="C5969" s="196">
        <v>0.13</v>
      </c>
      <c r="D5969" s="196">
        <v>1.35</v>
      </c>
      <c r="E5969" s="195" t="s">
        <v>595</v>
      </c>
      <c r="F5969" s="195" t="s">
        <v>438</v>
      </c>
    </row>
    <row r="5970" spans="1:6" x14ac:dyDescent="0.25">
      <c r="A5970" s="189" t="str">
        <f t="shared" si="93"/>
        <v>HA-US 11.351.45N</v>
      </c>
      <c r="B5970" s="195" t="s">
        <v>492</v>
      </c>
      <c r="C5970" s="196">
        <v>1.35</v>
      </c>
      <c r="D5970" s="196">
        <v>1.45</v>
      </c>
      <c r="E5970" s="195" t="s">
        <v>589</v>
      </c>
      <c r="F5970" s="195" t="s">
        <v>430</v>
      </c>
    </row>
    <row r="5971" spans="1:6" x14ac:dyDescent="0.25">
      <c r="A5971" s="189" t="str">
        <f t="shared" si="93"/>
        <v>HA-US 11.351.6S</v>
      </c>
      <c r="B5971" s="195" t="s">
        <v>492</v>
      </c>
      <c r="C5971" s="196">
        <v>1.35</v>
      </c>
      <c r="D5971" s="196">
        <v>1.6</v>
      </c>
      <c r="E5971" s="195" t="s">
        <v>595</v>
      </c>
      <c r="F5971" s="195" t="s">
        <v>438</v>
      </c>
    </row>
    <row r="5972" spans="1:6" x14ac:dyDescent="0.25">
      <c r="A5972" s="189" t="str">
        <f t="shared" si="93"/>
        <v>HA-US 11.451.6N</v>
      </c>
      <c r="B5972" s="195" t="s">
        <v>492</v>
      </c>
      <c r="C5972" s="196">
        <v>1.45</v>
      </c>
      <c r="D5972" s="196">
        <v>1.6</v>
      </c>
      <c r="E5972" s="195" t="s">
        <v>589</v>
      </c>
      <c r="F5972" s="195" t="s">
        <v>430</v>
      </c>
    </row>
    <row r="5973" spans="1:6" x14ac:dyDescent="0.25">
      <c r="A5973" s="189" t="str">
        <f t="shared" si="93"/>
        <v>HA-US 11.62.1N</v>
      </c>
      <c r="B5973" s="195" t="s">
        <v>492</v>
      </c>
      <c r="C5973" s="196">
        <v>1.6</v>
      </c>
      <c r="D5973" s="196">
        <v>2.1</v>
      </c>
      <c r="E5973" s="195" t="s">
        <v>583</v>
      </c>
      <c r="F5973" s="195" t="s">
        <v>430</v>
      </c>
    </row>
    <row r="5974" spans="1:6" x14ac:dyDescent="0.25">
      <c r="A5974" s="189" t="str">
        <f t="shared" si="93"/>
        <v>HA-US 11.62.1S</v>
      </c>
      <c r="B5974" s="195" t="s">
        <v>492</v>
      </c>
      <c r="C5974" s="196">
        <v>1.6</v>
      </c>
      <c r="D5974" s="196">
        <v>2.1</v>
      </c>
      <c r="E5974" s="195" t="s">
        <v>583</v>
      </c>
      <c r="F5974" s="195" t="s">
        <v>438</v>
      </c>
    </row>
    <row r="5975" spans="1:6" x14ac:dyDescent="0.25">
      <c r="A5975" s="189" t="str">
        <f t="shared" si="93"/>
        <v>HA-US 12.12.25N</v>
      </c>
      <c r="B5975" s="195" t="s">
        <v>492</v>
      </c>
      <c r="C5975" s="196">
        <v>2.1</v>
      </c>
      <c r="D5975" s="196">
        <v>2.25</v>
      </c>
      <c r="E5975" s="195" t="s">
        <v>583</v>
      </c>
      <c r="F5975" s="195" t="s">
        <v>430</v>
      </c>
    </row>
    <row r="5976" spans="1:6" x14ac:dyDescent="0.25">
      <c r="A5976" s="189" t="str">
        <f t="shared" si="93"/>
        <v>HA-US 12.12.25S</v>
      </c>
      <c r="B5976" s="195" t="s">
        <v>492</v>
      </c>
      <c r="C5976" s="196">
        <v>2.1</v>
      </c>
      <c r="D5976" s="196">
        <v>2.25</v>
      </c>
      <c r="E5976" s="195" t="s">
        <v>583</v>
      </c>
      <c r="F5976" s="195" t="s">
        <v>438</v>
      </c>
    </row>
    <row r="5977" spans="1:6" x14ac:dyDescent="0.25">
      <c r="A5977" s="189" t="str">
        <f t="shared" si="93"/>
        <v>HA-US 12.252.65N</v>
      </c>
      <c r="B5977" s="195" t="s">
        <v>492</v>
      </c>
      <c r="C5977" s="196">
        <v>2.25</v>
      </c>
      <c r="D5977" s="196">
        <v>2.65</v>
      </c>
      <c r="E5977" s="195" t="s">
        <v>583</v>
      </c>
      <c r="F5977" s="195" t="s">
        <v>430</v>
      </c>
    </row>
    <row r="5978" spans="1:6" x14ac:dyDescent="0.25">
      <c r="A5978" s="189" t="str">
        <f t="shared" si="93"/>
        <v>HA-US 12.252.65S</v>
      </c>
      <c r="B5978" s="195" t="s">
        <v>492</v>
      </c>
      <c r="C5978" s="196">
        <v>2.25</v>
      </c>
      <c r="D5978" s="196">
        <v>2.65</v>
      </c>
      <c r="E5978" s="195" t="s">
        <v>583</v>
      </c>
      <c r="F5978" s="195" t="s">
        <v>438</v>
      </c>
    </row>
    <row r="5979" spans="1:6" x14ac:dyDescent="0.25">
      <c r="A5979" s="189" t="str">
        <f t="shared" si="93"/>
        <v>HA-US 12.652.75N</v>
      </c>
      <c r="B5979" s="195" t="s">
        <v>492</v>
      </c>
      <c r="C5979" s="196">
        <v>2.65</v>
      </c>
      <c r="D5979" s="196">
        <v>2.75</v>
      </c>
      <c r="E5979" s="195" t="s">
        <v>583</v>
      </c>
      <c r="F5979" s="195" t="s">
        <v>430</v>
      </c>
    </row>
    <row r="5980" spans="1:6" x14ac:dyDescent="0.25">
      <c r="A5980" s="189" t="str">
        <f t="shared" si="93"/>
        <v>HA-US 12.652.75S</v>
      </c>
      <c r="B5980" s="195" t="s">
        <v>492</v>
      </c>
      <c r="C5980" s="196">
        <v>2.65</v>
      </c>
      <c r="D5980" s="196">
        <v>2.75</v>
      </c>
      <c r="E5980" s="195" t="s">
        <v>583</v>
      </c>
      <c r="F5980" s="195" t="s">
        <v>438</v>
      </c>
    </row>
    <row r="5981" spans="1:6" x14ac:dyDescent="0.25">
      <c r="A5981" s="189" t="str">
        <f t="shared" si="93"/>
        <v>HA-US 15.976.8N</v>
      </c>
      <c r="B5981" s="195" t="s">
        <v>492</v>
      </c>
      <c r="C5981" s="196">
        <v>5.97</v>
      </c>
      <c r="D5981" s="196">
        <v>6.8</v>
      </c>
      <c r="E5981" s="195" t="s">
        <v>583</v>
      </c>
      <c r="F5981" s="195" t="s">
        <v>430</v>
      </c>
    </row>
    <row r="5982" spans="1:6" x14ac:dyDescent="0.25">
      <c r="A5982" s="189" t="str">
        <f t="shared" si="93"/>
        <v>HA-US 15.976.8S</v>
      </c>
      <c r="B5982" s="195" t="s">
        <v>492</v>
      </c>
      <c r="C5982" s="196">
        <v>5.97</v>
      </c>
      <c r="D5982" s="196">
        <v>6.8</v>
      </c>
      <c r="E5982" s="195" t="s">
        <v>583</v>
      </c>
      <c r="F5982" s="195" t="s">
        <v>438</v>
      </c>
    </row>
    <row r="5983" spans="1:6" x14ac:dyDescent="0.25">
      <c r="A5983" s="189" t="str">
        <f t="shared" si="93"/>
        <v>HA-US 18.89.76N</v>
      </c>
      <c r="B5983" s="195" t="s">
        <v>492</v>
      </c>
      <c r="C5983" s="196">
        <v>8.8000000000000007</v>
      </c>
      <c r="D5983" s="196">
        <v>9.76</v>
      </c>
      <c r="E5983" s="195" t="s">
        <v>583</v>
      </c>
      <c r="F5983" s="195" t="s">
        <v>430</v>
      </c>
    </row>
    <row r="5984" spans="1:6" x14ac:dyDescent="0.25">
      <c r="A5984" s="189" t="str">
        <f t="shared" si="93"/>
        <v>HA-US 18.89.76S</v>
      </c>
      <c r="B5984" s="195" t="s">
        <v>492</v>
      </c>
      <c r="C5984" s="196">
        <v>8.8000000000000007</v>
      </c>
      <c r="D5984" s="196">
        <v>9.76</v>
      </c>
      <c r="E5984" s="195" t="s">
        <v>583</v>
      </c>
      <c r="F5984" s="195" t="s">
        <v>438</v>
      </c>
    </row>
    <row r="5985" spans="1:6" x14ac:dyDescent="0.25">
      <c r="A5985" s="189" t="str">
        <f t="shared" si="93"/>
        <v>HA-US 19.7610.65N</v>
      </c>
      <c r="B5985" s="195" t="s">
        <v>492</v>
      </c>
      <c r="C5985" s="196">
        <v>9.76</v>
      </c>
      <c r="D5985" s="196">
        <v>10.65</v>
      </c>
      <c r="E5985" s="195" t="s">
        <v>583</v>
      </c>
      <c r="F5985" s="195" t="s">
        <v>430</v>
      </c>
    </row>
    <row r="5986" spans="1:6" x14ac:dyDescent="0.25">
      <c r="A5986" s="189" t="str">
        <f t="shared" si="93"/>
        <v>HA-US 19.7610.65S</v>
      </c>
      <c r="B5986" s="195" t="s">
        <v>492</v>
      </c>
      <c r="C5986" s="196">
        <v>9.76</v>
      </c>
      <c r="D5986" s="196">
        <v>10.65</v>
      </c>
      <c r="E5986" s="195" t="s">
        <v>583</v>
      </c>
      <c r="F5986" s="195" t="s">
        <v>438</v>
      </c>
    </row>
    <row r="5987" spans="1:6" x14ac:dyDescent="0.25">
      <c r="A5987" s="189" t="str">
        <f t="shared" si="93"/>
        <v>HA-US 110.6513.63N</v>
      </c>
      <c r="B5987" s="195" t="s">
        <v>492</v>
      </c>
      <c r="C5987" s="196">
        <v>10.65</v>
      </c>
      <c r="D5987" s="196">
        <v>13.63</v>
      </c>
      <c r="E5987" s="195" t="s">
        <v>583</v>
      </c>
      <c r="F5987" s="195" t="s">
        <v>430</v>
      </c>
    </row>
    <row r="5988" spans="1:6" x14ac:dyDescent="0.25">
      <c r="A5988" s="189" t="str">
        <f t="shared" si="93"/>
        <v>HA-US 110.6513.63S</v>
      </c>
      <c r="B5988" s="195" t="s">
        <v>492</v>
      </c>
      <c r="C5988" s="196">
        <v>10.65</v>
      </c>
      <c r="D5988" s="196">
        <v>13.63</v>
      </c>
      <c r="E5988" s="195" t="s">
        <v>583</v>
      </c>
      <c r="F5988" s="195" t="s">
        <v>438</v>
      </c>
    </row>
    <row r="5989" spans="1:6" x14ac:dyDescent="0.25">
      <c r="A5989" s="189" t="str">
        <f t="shared" si="93"/>
        <v>HA-US 113.6313.65N</v>
      </c>
      <c r="B5989" s="195" t="s">
        <v>492</v>
      </c>
      <c r="C5989" s="196">
        <v>13.63</v>
      </c>
      <c r="D5989" s="196">
        <v>13.65</v>
      </c>
      <c r="E5989" s="195" t="s">
        <v>583</v>
      </c>
      <c r="F5989" s="195" t="s">
        <v>430</v>
      </c>
    </row>
    <row r="5990" spans="1:6" x14ac:dyDescent="0.25">
      <c r="A5990" s="189" t="str">
        <f t="shared" si="93"/>
        <v>HA-US 113.6313.65S</v>
      </c>
      <c r="B5990" s="195" t="s">
        <v>492</v>
      </c>
      <c r="C5990" s="196">
        <v>13.63</v>
      </c>
      <c r="D5990" s="196">
        <v>13.65</v>
      </c>
      <c r="E5990" s="195" t="s">
        <v>583</v>
      </c>
      <c r="F5990" s="195" t="s">
        <v>438</v>
      </c>
    </row>
    <row r="5991" spans="1:6" x14ac:dyDescent="0.25">
      <c r="A5991" s="189" t="str">
        <f t="shared" si="93"/>
        <v>HA-US 113.6514.4S</v>
      </c>
      <c r="B5991" s="195" t="s">
        <v>492</v>
      </c>
      <c r="C5991" s="196">
        <v>13.65</v>
      </c>
      <c r="D5991" s="196">
        <v>14.4</v>
      </c>
      <c r="E5991" s="195" t="s">
        <v>595</v>
      </c>
      <c r="F5991" s="195" t="s">
        <v>438</v>
      </c>
    </row>
    <row r="5992" spans="1:6" x14ac:dyDescent="0.25">
      <c r="A5992" s="189" t="str">
        <f t="shared" si="93"/>
        <v>HA-US 113.6514.83N</v>
      </c>
      <c r="B5992" s="195" t="s">
        <v>492</v>
      </c>
      <c r="C5992" s="196">
        <v>13.65</v>
      </c>
      <c r="D5992" s="196">
        <v>14.83</v>
      </c>
      <c r="E5992" s="195" t="s">
        <v>589</v>
      </c>
      <c r="F5992" s="195" t="s">
        <v>430</v>
      </c>
    </row>
    <row r="5993" spans="1:6" x14ac:dyDescent="0.25">
      <c r="A5993" s="189" t="str">
        <f t="shared" si="93"/>
        <v>HA-US 114.414.83S</v>
      </c>
      <c r="B5993" s="195" t="s">
        <v>492</v>
      </c>
      <c r="C5993" s="196">
        <v>14.4</v>
      </c>
      <c r="D5993" s="196">
        <v>14.83</v>
      </c>
      <c r="E5993" s="195" t="s">
        <v>595</v>
      </c>
      <c r="F5993" s="195" t="s">
        <v>438</v>
      </c>
    </row>
    <row r="5994" spans="1:6" x14ac:dyDescent="0.25">
      <c r="A5994" s="189" t="str">
        <f t="shared" si="93"/>
        <v>HA-US 114.8314.85N</v>
      </c>
      <c r="B5994" s="195" t="s">
        <v>492</v>
      </c>
      <c r="C5994" s="196">
        <v>14.83</v>
      </c>
      <c r="D5994" s="196">
        <v>14.85</v>
      </c>
      <c r="E5994" s="195" t="s">
        <v>589</v>
      </c>
      <c r="F5994" s="195" t="s">
        <v>430</v>
      </c>
    </row>
    <row r="5995" spans="1:6" x14ac:dyDescent="0.25">
      <c r="A5995" s="189" t="str">
        <f t="shared" si="93"/>
        <v>HA-US 114.8316.83S</v>
      </c>
      <c r="B5995" s="195" t="s">
        <v>492</v>
      </c>
      <c r="C5995" s="196">
        <v>14.83</v>
      </c>
      <c r="D5995" s="196">
        <v>16.829999999999998</v>
      </c>
      <c r="E5995" s="195" t="s">
        <v>595</v>
      </c>
      <c r="F5995" s="195" t="s">
        <v>438</v>
      </c>
    </row>
    <row r="5996" spans="1:6" x14ac:dyDescent="0.25">
      <c r="A5996" s="189" t="str">
        <f t="shared" si="93"/>
        <v>HA-US 114.8516.83N</v>
      </c>
      <c r="B5996" s="195" t="s">
        <v>492</v>
      </c>
      <c r="C5996" s="196">
        <v>14.85</v>
      </c>
      <c r="D5996" s="196">
        <v>16.829999999999998</v>
      </c>
      <c r="E5996" s="195" t="s">
        <v>589</v>
      </c>
      <c r="F5996" s="195" t="s">
        <v>430</v>
      </c>
    </row>
    <row r="5997" spans="1:6" x14ac:dyDescent="0.25">
      <c r="A5997" s="189" t="str">
        <f t="shared" si="93"/>
        <v>HA-US 116.8316.85N</v>
      </c>
      <c r="B5997" s="195" t="s">
        <v>492</v>
      </c>
      <c r="C5997" s="196">
        <v>16.829999999999998</v>
      </c>
      <c r="D5997" s="196">
        <v>16.850000000000001</v>
      </c>
      <c r="E5997" s="195" t="s">
        <v>583</v>
      </c>
      <c r="F5997" s="195" t="s">
        <v>430</v>
      </c>
    </row>
    <row r="5998" spans="1:6" x14ac:dyDescent="0.25">
      <c r="A5998" s="189" t="str">
        <f t="shared" si="93"/>
        <v>HA-US 116.8316.85S</v>
      </c>
      <c r="B5998" s="195" t="s">
        <v>492</v>
      </c>
      <c r="C5998" s="196">
        <v>16.829999999999998</v>
      </c>
      <c r="D5998" s="196">
        <v>16.850000000000001</v>
      </c>
      <c r="E5998" s="195" t="s">
        <v>583</v>
      </c>
      <c r="F5998" s="195" t="s">
        <v>438</v>
      </c>
    </row>
    <row r="5999" spans="1:6" x14ac:dyDescent="0.25">
      <c r="A5999" s="189" t="str">
        <f t="shared" si="93"/>
        <v>HA-US 116.8518N</v>
      </c>
      <c r="B5999" s="195" t="s">
        <v>492</v>
      </c>
      <c r="C5999" s="196">
        <v>16.850000000000001</v>
      </c>
      <c r="D5999" s="196">
        <v>18</v>
      </c>
      <c r="E5999" s="195" t="s">
        <v>583</v>
      </c>
      <c r="F5999" s="195" t="s">
        <v>430</v>
      </c>
    </row>
    <row r="6000" spans="1:6" x14ac:dyDescent="0.25">
      <c r="A6000" s="189" t="str">
        <f t="shared" si="93"/>
        <v>HA-US 116.8518S</v>
      </c>
      <c r="B6000" s="195" t="s">
        <v>492</v>
      </c>
      <c r="C6000" s="196">
        <v>16.850000000000001</v>
      </c>
      <c r="D6000" s="196">
        <v>18</v>
      </c>
      <c r="E6000" s="195" t="s">
        <v>583</v>
      </c>
      <c r="F6000" s="195" t="s">
        <v>438</v>
      </c>
    </row>
    <row r="6001" spans="1:6" x14ac:dyDescent="0.25">
      <c r="A6001" s="189" t="str">
        <f t="shared" si="93"/>
        <v>HA-US 11819.55N</v>
      </c>
      <c r="B6001" s="195" t="s">
        <v>492</v>
      </c>
      <c r="C6001" s="196">
        <v>18</v>
      </c>
      <c r="D6001" s="196">
        <v>19.55</v>
      </c>
      <c r="E6001" s="195" t="s">
        <v>589</v>
      </c>
      <c r="F6001" s="195" t="s">
        <v>430</v>
      </c>
    </row>
    <row r="6002" spans="1:6" x14ac:dyDescent="0.25">
      <c r="A6002" s="189" t="str">
        <f t="shared" si="93"/>
        <v>HA-US 11819.62S</v>
      </c>
      <c r="B6002" s="195" t="s">
        <v>492</v>
      </c>
      <c r="C6002" s="196">
        <v>18</v>
      </c>
      <c r="D6002" s="196">
        <v>19.62</v>
      </c>
      <c r="E6002" s="195" t="s">
        <v>595</v>
      </c>
      <c r="F6002" s="195" t="s">
        <v>438</v>
      </c>
    </row>
    <row r="6003" spans="1:6" x14ac:dyDescent="0.25">
      <c r="A6003" s="189" t="str">
        <f t="shared" si="93"/>
        <v>HA-US 119.5519.62N</v>
      </c>
      <c r="B6003" s="195" t="s">
        <v>492</v>
      </c>
      <c r="C6003" s="196">
        <v>19.55</v>
      </c>
      <c r="D6003" s="196">
        <v>19.62</v>
      </c>
      <c r="E6003" s="195" t="s">
        <v>589</v>
      </c>
      <c r="F6003" s="195" t="s">
        <v>430</v>
      </c>
    </row>
    <row r="6004" spans="1:6" x14ac:dyDescent="0.25">
      <c r="A6004" s="189" t="str">
        <f t="shared" si="93"/>
        <v>HA-US 119.6219.68S</v>
      </c>
      <c r="B6004" s="195" t="s">
        <v>492</v>
      </c>
      <c r="C6004" s="196">
        <v>19.62</v>
      </c>
      <c r="D6004" s="196">
        <v>19.68</v>
      </c>
      <c r="E6004" s="195" t="s">
        <v>595</v>
      </c>
      <c r="F6004" s="195" t="s">
        <v>438</v>
      </c>
    </row>
    <row r="6005" spans="1:6" x14ac:dyDescent="0.25">
      <c r="A6005" s="189" t="str">
        <f t="shared" si="93"/>
        <v>HA-US 119.6219.85N</v>
      </c>
      <c r="B6005" s="195" t="s">
        <v>492</v>
      </c>
      <c r="C6005" s="196">
        <v>19.62</v>
      </c>
      <c r="D6005" s="196">
        <v>19.850000000000001</v>
      </c>
      <c r="E6005" s="195" t="s">
        <v>589</v>
      </c>
      <c r="F6005" s="195" t="s">
        <v>430</v>
      </c>
    </row>
    <row r="6006" spans="1:6" x14ac:dyDescent="0.25">
      <c r="A6006" s="189" t="str">
        <f t="shared" si="93"/>
        <v>HA-US 119.6819.98S</v>
      </c>
      <c r="B6006" s="195" t="s">
        <v>492</v>
      </c>
      <c r="C6006" s="196">
        <v>19.68</v>
      </c>
      <c r="D6006" s="196">
        <v>19.98</v>
      </c>
      <c r="E6006" s="195" t="s">
        <v>595</v>
      </c>
      <c r="F6006" s="195" t="s">
        <v>438</v>
      </c>
    </row>
    <row r="6007" spans="1:6" x14ac:dyDescent="0.25">
      <c r="A6007" s="189" t="str">
        <f t="shared" si="93"/>
        <v>HA-US 119.8519.98N</v>
      </c>
      <c r="B6007" s="195" t="s">
        <v>492</v>
      </c>
      <c r="C6007" s="196">
        <v>19.850000000000001</v>
      </c>
      <c r="D6007" s="196">
        <v>19.98</v>
      </c>
      <c r="E6007" s="195" t="s">
        <v>589</v>
      </c>
      <c r="F6007" s="195" t="s">
        <v>430</v>
      </c>
    </row>
    <row r="6008" spans="1:6" x14ac:dyDescent="0.25">
      <c r="A6008" s="189" t="str">
        <f t="shared" si="93"/>
        <v>HA-US 1 RP1-600.33E</v>
      </c>
      <c r="B6008" s="195" t="s">
        <v>2739</v>
      </c>
      <c r="C6008" s="196">
        <v>0</v>
      </c>
      <c r="D6008" s="196">
        <v>0.33</v>
      </c>
      <c r="E6008" s="195" t="s">
        <v>598</v>
      </c>
      <c r="F6008" s="195" t="s">
        <v>19</v>
      </c>
    </row>
    <row r="6009" spans="1:6" x14ac:dyDescent="0.25">
      <c r="A6009" s="189" t="str">
        <f t="shared" si="93"/>
        <v>HA-US 1 RP2-600.49N</v>
      </c>
      <c r="B6009" s="195" t="s">
        <v>2740</v>
      </c>
      <c r="C6009" s="196">
        <v>0</v>
      </c>
      <c r="D6009" s="196">
        <v>0.49</v>
      </c>
      <c r="E6009" s="195" t="s">
        <v>589</v>
      </c>
      <c r="F6009" s="195" t="s">
        <v>430</v>
      </c>
    </row>
    <row r="6010" spans="1:6" x14ac:dyDescent="0.25">
      <c r="A6010" s="189" t="str">
        <f t="shared" si="93"/>
        <v>HA-US 1 RP3-600.03N</v>
      </c>
      <c r="B6010" s="195" t="s">
        <v>2741</v>
      </c>
      <c r="C6010" s="196">
        <v>0</v>
      </c>
      <c r="D6010" s="196">
        <v>0.03</v>
      </c>
      <c r="E6010" s="195" t="s">
        <v>589</v>
      </c>
      <c r="F6010" s="195" t="s">
        <v>430</v>
      </c>
    </row>
    <row r="6011" spans="1:6" x14ac:dyDescent="0.25">
      <c r="A6011" s="189" t="str">
        <f t="shared" si="93"/>
        <v>HA-US 1 RP4-600.34N</v>
      </c>
      <c r="B6011" s="195" t="s">
        <v>2742</v>
      </c>
      <c r="C6011" s="196">
        <v>0</v>
      </c>
      <c r="D6011" s="196">
        <v>0.34</v>
      </c>
      <c r="E6011" s="195" t="s">
        <v>589</v>
      </c>
      <c r="F6011" s="195" t="s">
        <v>430</v>
      </c>
    </row>
    <row r="6012" spans="1:6" x14ac:dyDescent="0.25">
      <c r="A6012" s="189" t="str">
        <f t="shared" si="93"/>
        <v>HA-US 1 RP5-600.04S</v>
      </c>
      <c r="B6012" s="195" t="s">
        <v>2743</v>
      </c>
      <c r="C6012" s="196">
        <v>0</v>
      </c>
      <c r="D6012" s="196">
        <v>0.04</v>
      </c>
      <c r="E6012" s="195" t="s">
        <v>595</v>
      </c>
      <c r="F6012" s="195" t="s">
        <v>438</v>
      </c>
    </row>
    <row r="6013" spans="1:6" x14ac:dyDescent="0.25">
      <c r="A6013" s="189" t="str">
        <f t="shared" si="93"/>
        <v>HA-US 1 RP6-600.43S</v>
      </c>
      <c r="B6013" s="195" t="s">
        <v>2744</v>
      </c>
      <c r="C6013" s="196">
        <v>0</v>
      </c>
      <c r="D6013" s="196">
        <v>0.43</v>
      </c>
      <c r="E6013" s="195" t="s">
        <v>595</v>
      </c>
      <c r="F6013" s="195" t="s">
        <v>438</v>
      </c>
    </row>
    <row r="6014" spans="1:6" x14ac:dyDescent="0.25">
      <c r="A6014" s="189" t="str">
        <f t="shared" si="93"/>
        <v>HA-US 1 RP6-60.080.11N</v>
      </c>
      <c r="B6014" s="195" t="s">
        <v>2744</v>
      </c>
      <c r="C6014" s="196">
        <v>0.08</v>
      </c>
      <c r="D6014" s="196">
        <v>0.11</v>
      </c>
      <c r="E6014" s="195" t="s">
        <v>589</v>
      </c>
      <c r="F6014" s="195" t="s">
        <v>430</v>
      </c>
    </row>
    <row r="6015" spans="1:6" x14ac:dyDescent="0.25">
      <c r="A6015" s="189" t="str">
        <f t="shared" si="93"/>
        <v>HA-US 1 RP7-600.03E</v>
      </c>
      <c r="B6015" s="195" t="s">
        <v>2745</v>
      </c>
      <c r="C6015" s="196">
        <v>0</v>
      </c>
      <c r="D6015" s="196">
        <v>0.03</v>
      </c>
      <c r="E6015" s="195" t="s">
        <v>598</v>
      </c>
      <c r="F6015" s="195" t="s">
        <v>19</v>
      </c>
    </row>
    <row r="6016" spans="1:6" x14ac:dyDescent="0.25">
      <c r="A6016" s="189" t="str">
        <f t="shared" si="93"/>
        <v>HA-US 1 RP8-600.2S</v>
      </c>
      <c r="B6016" s="195" t="s">
        <v>2746</v>
      </c>
      <c r="C6016" s="196">
        <v>0</v>
      </c>
      <c r="D6016" s="196">
        <v>0.2</v>
      </c>
      <c r="E6016" s="195" t="s">
        <v>595</v>
      </c>
      <c r="F6016" s="195" t="s">
        <v>438</v>
      </c>
    </row>
    <row r="6017" spans="1:6" x14ac:dyDescent="0.25">
      <c r="A6017" s="189" t="str">
        <f t="shared" si="93"/>
        <v>HA-US 1BU0.080.12S</v>
      </c>
      <c r="B6017" s="195" t="s">
        <v>2747</v>
      </c>
      <c r="C6017" s="196">
        <v>0.08</v>
      </c>
      <c r="D6017" s="196">
        <v>0.12</v>
      </c>
      <c r="E6017" s="195" t="s">
        <v>595</v>
      </c>
      <c r="F6017" s="195" t="s">
        <v>438</v>
      </c>
    </row>
    <row r="6018" spans="1:6" x14ac:dyDescent="0.25">
      <c r="A6018" s="189" t="str">
        <f t="shared" si="93"/>
        <v>HA-US 1BU0.080.16N</v>
      </c>
      <c r="B6018" s="195" t="s">
        <v>2747</v>
      </c>
      <c r="C6018" s="196">
        <v>0.08</v>
      </c>
      <c r="D6018" s="196">
        <v>0.16</v>
      </c>
      <c r="E6018" s="195" t="s">
        <v>589</v>
      </c>
      <c r="F6018" s="195" t="s">
        <v>430</v>
      </c>
    </row>
    <row r="6019" spans="1:6" x14ac:dyDescent="0.25">
      <c r="A6019" s="189" t="str">
        <f t="shared" ref="A6019:A6082" si="94">B6019&amp;C6019&amp;D6019&amp;F6019</f>
        <v>HA-US 1BU0.121.25S</v>
      </c>
      <c r="B6019" s="195" t="s">
        <v>2747</v>
      </c>
      <c r="C6019" s="196">
        <v>0.12</v>
      </c>
      <c r="D6019" s="196">
        <v>1.25</v>
      </c>
      <c r="E6019" s="195" t="s">
        <v>595</v>
      </c>
      <c r="F6019" s="195" t="s">
        <v>438</v>
      </c>
    </row>
    <row r="6020" spans="1:6" x14ac:dyDescent="0.25">
      <c r="A6020" s="189" t="str">
        <f t="shared" si="94"/>
        <v>HA-US 1BU0.161.25N</v>
      </c>
      <c r="B6020" s="195" t="s">
        <v>2747</v>
      </c>
      <c r="C6020" s="196">
        <v>0.16</v>
      </c>
      <c r="D6020" s="196">
        <v>1.25</v>
      </c>
      <c r="E6020" s="195" t="s">
        <v>589</v>
      </c>
      <c r="F6020" s="195" t="s">
        <v>430</v>
      </c>
    </row>
    <row r="6021" spans="1:6" x14ac:dyDescent="0.25">
      <c r="A6021" s="189" t="str">
        <f t="shared" si="94"/>
        <v>HA-US 1BU1.251.4N</v>
      </c>
      <c r="B6021" s="195" t="s">
        <v>2747</v>
      </c>
      <c r="C6021" s="196">
        <v>1.25</v>
      </c>
      <c r="D6021" s="196">
        <v>1.4</v>
      </c>
      <c r="E6021" s="195" t="s">
        <v>583</v>
      </c>
      <c r="F6021" s="195" t="s">
        <v>430</v>
      </c>
    </row>
    <row r="6022" spans="1:6" x14ac:dyDescent="0.25">
      <c r="A6022" s="189" t="str">
        <f t="shared" si="94"/>
        <v>HA-US 1BU1.251.4S</v>
      </c>
      <c r="B6022" s="195" t="s">
        <v>2747</v>
      </c>
      <c r="C6022" s="196">
        <v>1.25</v>
      </c>
      <c r="D6022" s="196">
        <v>1.4</v>
      </c>
      <c r="E6022" s="195" t="s">
        <v>583</v>
      </c>
      <c r="F6022" s="195" t="s">
        <v>438</v>
      </c>
    </row>
    <row r="6023" spans="1:6" x14ac:dyDescent="0.25">
      <c r="A6023" s="189" t="str">
        <f t="shared" si="94"/>
        <v>HA-US 1BU1.41.82S</v>
      </c>
      <c r="B6023" s="195" t="s">
        <v>2747</v>
      </c>
      <c r="C6023" s="196">
        <v>1.4</v>
      </c>
      <c r="D6023" s="196">
        <v>1.82</v>
      </c>
      <c r="E6023" s="195" t="s">
        <v>595</v>
      </c>
      <c r="F6023" s="195" t="s">
        <v>438</v>
      </c>
    </row>
    <row r="6024" spans="1:6" x14ac:dyDescent="0.25">
      <c r="A6024" s="189" t="str">
        <f t="shared" si="94"/>
        <v>HA-US 1BU1.42.65N</v>
      </c>
      <c r="B6024" s="195" t="s">
        <v>2747</v>
      </c>
      <c r="C6024" s="196">
        <v>1.4</v>
      </c>
      <c r="D6024" s="196">
        <v>2.65</v>
      </c>
      <c r="E6024" s="195" t="s">
        <v>589</v>
      </c>
      <c r="F6024" s="195" t="s">
        <v>430</v>
      </c>
    </row>
    <row r="6025" spans="1:6" x14ac:dyDescent="0.25">
      <c r="A6025" s="189" t="str">
        <f t="shared" si="94"/>
        <v>HA-US 1BU1.822.58S</v>
      </c>
      <c r="B6025" s="195" t="s">
        <v>2747</v>
      </c>
      <c r="C6025" s="196">
        <v>1.82</v>
      </c>
      <c r="D6025" s="196">
        <v>2.58</v>
      </c>
      <c r="E6025" s="195" t="s">
        <v>595</v>
      </c>
      <c r="F6025" s="195" t="s">
        <v>438</v>
      </c>
    </row>
    <row r="6026" spans="1:6" x14ac:dyDescent="0.25">
      <c r="A6026" s="189" t="str">
        <f t="shared" si="94"/>
        <v>HA-US 1BU2.582.65S</v>
      </c>
      <c r="B6026" s="195" t="s">
        <v>2747</v>
      </c>
      <c r="C6026" s="196">
        <v>2.58</v>
      </c>
      <c r="D6026" s="196">
        <v>2.65</v>
      </c>
      <c r="E6026" s="195" t="s">
        <v>595</v>
      </c>
      <c r="F6026" s="195" t="s">
        <v>438</v>
      </c>
    </row>
    <row r="6027" spans="1:6" x14ac:dyDescent="0.25">
      <c r="A6027" s="189" t="str">
        <f t="shared" si="94"/>
        <v>HA-US 1BU2.653.22N</v>
      </c>
      <c r="B6027" s="195" t="s">
        <v>2747</v>
      </c>
      <c r="C6027" s="196">
        <v>2.65</v>
      </c>
      <c r="D6027" s="196">
        <v>3.22</v>
      </c>
      <c r="E6027" s="195" t="s">
        <v>583</v>
      </c>
      <c r="F6027" s="195" t="s">
        <v>430</v>
      </c>
    </row>
    <row r="6028" spans="1:6" x14ac:dyDescent="0.25">
      <c r="A6028" s="189" t="str">
        <f t="shared" si="94"/>
        <v>HA-US 1BU2.653.22S</v>
      </c>
      <c r="B6028" s="195" t="s">
        <v>2747</v>
      </c>
      <c r="C6028" s="196">
        <v>2.65</v>
      </c>
      <c r="D6028" s="196">
        <v>3.22</v>
      </c>
      <c r="E6028" s="195" t="s">
        <v>583</v>
      </c>
      <c r="F6028" s="195" t="s">
        <v>438</v>
      </c>
    </row>
    <row r="6029" spans="1:6" x14ac:dyDescent="0.25">
      <c r="A6029" s="189" t="str">
        <f t="shared" si="94"/>
        <v>HA-US 1BU3.223.94N</v>
      </c>
      <c r="B6029" s="195" t="s">
        <v>2747</v>
      </c>
      <c r="C6029" s="196">
        <v>3.22</v>
      </c>
      <c r="D6029" s="196">
        <v>3.94</v>
      </c>
      <c r="E6029" s="195" t="s">
        <v>583</v>
      </c>
      <c r="F6029" s="195" t="s">
        <v>430</v>
      </c>
    </row>
    <row r="6030" spans="1:6" x14ac:dyDescent="0.25">
      <c r="A6030" s="189" t="str">
        <f t="shared" si="94"/>
        <v>HA-US 1BU3.223.94S</v>
      </c>
      <c r="B6030" s="195" t="s">
        <v>2747</v>
      </c>
      <c r="C6030" s="196">
        <v>3.22</v>
      </c>
      <c r="D6030" s="196">
        <v>3.94</v>
      </c>
      <c r="E6030" s="195" t="s">
        <v>583</v>
      </c>
      <c r="F6030" s="195" t="s">
        <v>438</v>
      </c>
    </row>
    <row r="6031" spans="1:6" x14ac:dyDescent="0.25">
      <c r="A6031" s="189" t="str">
        <f t="shared" si="94"/>
        <v>HA-US 1BU3.944.85N</v>
      </c>
      <c r="B6031" s="195" t="s">
        <v>2747</v>
      </c>
      <c r="C6031" s="196">
        <v>3.94</v>
      </c>
      <c r="D6031" s="196">
        <v>4.8499999999999996</v>
      </c>
      <c r="E6031" s="195" t="s">
        <v>583</v>
      </c>
      <c r="F6031" s="195" t="s">
        <v>430</v>
      </c>
    </row>
    <row r="6032" spans="1:6" x14ac:dyDescent="0.25">
      <c r="A6032" s="189" t="str">
        <f t="shared" si="94"/>
        <v>HA-US 1BU3.944.85S</v>
      </c>
      <c r="B6032" s="195" t="s">
        <v>2747</v>
      </c>
      <c r="C6032" s="196">
        <v>3.94</v>
      </c>
      <c r="D6032" s="196">
        <v>4.8499999999999996</v>
      </c>
      <c r="E6032" s="195" t="s">
        <v>583</v>
      </c>
      <c r="F6032" s="195" t="s">
        <v>438</v>
      </c>
    </row>
    <row r="6033" spans="1:6" x14ac:dyDescent="0.25">
      <c r="A6033" s="189" t="str">
        <f t="shared" si="94"/>
        <v>HA-US 1BU4.855.32N</v>
      </c>
      <c r="B6033" s="195" t="s">
        <v>2747</v>
      </c>
      <c r="C6033" s="196">
        <v>4.8499999999999996</v>
      </c>
      <c r="D6033" s="196">
        <v>5.32</v>
      </c>
      <c r="E6033" s="195" t="s">
        <v>583</v>
      </c>
      <c r="F6033" s="195" t="s">
        <v>430</v>
      </c>
    </row>
    <row r="6034" spans="1:6" x14ac:dyDescent="0.25">
      <c r="A6034" s="189" t="str">
        <f t="shared" si="94"/>
        <v>HA-US 1BU4.855.32S</v>
      </c>
      <c r="B6034" s="195" t="s">
        <v>2747</v>
      </c>
      <c r="C6034" s="196">
        <v>4.8499999999999996</v>
      </c>
      <c r="D6034" s="196">
        <v>5.32</v>
      </c>
      <c r="E6034" s="195" t="s">
        <v>583</v>
      </c>
      <c r="F6034" s="195" t="s">
        <v>438</v>
      </c>
    </row>
    <row r="6035" spans="1:6" x14ac:dyDescent="0.25">
      <c r="A6035" s="189" t="str">
        <f t="shared" si="94"/>
        <v>HA-US 1BU5.325.7N</v>
      </c>
      <c r="B6035" s="195" t="s">
        <v>2747</v>
      </c>
      <c r="C6035" s="196">
        <v>5.32</v>
      </c>
      <c r="D6035" s="196">
        <v>5.7</v>
      </c>
      <c r="E6035" s="195" t="s">
        <v>583</v>
      </c>
      <c r="F6035" s="195" t="s">
        <v>430</v>
      </c>
    </row>
    <row r="6036" spans="1:6" x14ac:dyDescent="0.25">
      <c r="A6036" s="189" t="str">
        <f t="shared" si="94"/>
        <v>HA-US 1BU5.325.7S</v>
      </c>
      <c r="B6036" s="195" t="s">
        <v>2747</v>
      </c>
      <c r="C6036" s="196">
        <v>5.32</v>
      </c>
      <c r="D6036" s="196">
        <v>5.7</v>
      </c>
      <c r="E6036" s="195" t="s">
        <v>583</v>
      </c>
      <c r="F6036" s="195" t="s">
        <v>438</v>
      </c>
    </row>
    <row r="6037" spans="1:6" x14ac:dyDescent="0.25">
      <c r="A6037" s="189" t="str">
        <f t="shared" si="94"/>
        <v>HA-US 1BU5.76.09N</v>
      </c>
      <c r="B6037" s="195" t="s">
        <v>2747</v>
      </c>
      <c r="C6037" s="196">
        <v>5.7</v>
      </c>
      <c r="D6037" s="196">
        <v>6.09</v>
      </c>
      <c r="E6037" s="195" t="s">
        <v>583</v>
      </c>
      <c r="F6037" s="195" t="s">
        <v>430</v>
      </c>
    </row>
    <row r="6038" spans="1:6" x14ac:dyDescent="0.25">
      <c r="A6038" s="189" t="str">
        <f t="shared" si="94"/>
        <v>HA-US 1BU5.76.09S</v>
      </c>
      <c r="B6038" s="195" t="s">
        <v>2747</v>
      </c>
      <c r="C6038" s="196">
        <v>5.7</v>
      </c>
      <c r="D6038" s="196">
        <v>6.09</v>
      </c>
      <c r="E6038" s="195" t="s">
        <v>583</v>
      </c>
      <c r="F6038" s="195" t="s">
        <v>438</v>
      </c>
    </row>
    <row r="6039" spans="1:6" x14ac:dyDescent="0.25">
      <c r="A6039" s="189" t="str">
        <f t="shared" si="94"/>
        <v>HA-US 1BU6.096.9N</v>
      </c>
      <c r="B6039" s="195" t="s">
        <v>2747</v>
      </c>
      <c r="C6039" s="196">
        <v>6.09</v>
      </c>
      <c r="D6039" s="196">
        <v>6.9</v>
      </c>
      <c r="E6039" s="195" t="s">
        <v>583</v>
      </c>
      <c r="F6039" s="195" t="s">
        <v>430</v>
      </c>
    </row>
    <row r="6040" spans="1:6" x14ac:dyDescent="0.25">
      <c r="A6040" s="189" t="str">
        <f t="shared" si="94"/>
        <v>HA-US 1BU6.096.9S</v>
      </c>
      <c r="B6040" s="195" t="s">
        <v>2747</v>
      </c>
      <c r="C6040" s="196">
        <v>6.09</v>
      </c>
      <c r="D6040" s="196">
        <v>6.9</v>
      </c>
      <c r="E6040" s="195" t="s">
        <v>583</v>
      </c>
      <c r="F6040" s="195" t="s">
        <v>438</v>
      </c>
    </row>
    <row r="6041" spans="1:6" x14ac:dyDescent="0.25">
      <c r="A6041" s="189" t="str">
        <f t="shared" si="94"/>
        <v>HA-US 40 RP1-1400.02S</v>
      </c>
      <c r="B6041" s="195" t="s">
        <v>2748</v>
      </c>
      <c r="C6041" s="196">
        <v>0</v>
      </c>
      <c r="D6041" s="196">
        <v>0.02</v>
      </c>
      <c r="E6041" s="195" t="s">
        <v>595</v>
      </c>
      <c r="F6041" s="195" t="s">
        <v>438</v>
      </c>
    </row>
    <row r="6042" spans="1:6" x14ac:dyDescent="0.25">
      <c r="A6042" s="189" t="str">
        <f t="shared" si="94"/>
        <v>HA-US 40 RP2-1100.2S</v>
      </c>
      <c r="B6042" s="195" t="s">
        <v>2749</v>
      </c>
      <c r="C6042" s="196">
        <v>0</v>
      </c>
      <c r="D6042" s="196">
        <v>0.2</v>
      </c>
      <c r="E6042" s="195" t="s">
        <v>595</v>
      </c>
      <c r="F6042" s="195" t="s">
        <v>438</v>
      </c>
    </row>
    <row r="6043" spans="1:6" x14ac:dyDescent="0.25">
      <c r="A6043" s="189" t="str">
        <f t="shared" si="94"/>
        <v>HA-US 40 RP2-1400.17W</v>
      </c>
      <c r="B6043" s="195" t="s">
        <v>2750</v>
      </c>
      <c r="C6043" s="196">
        <v>0</v>
      </c>
      <c r="D6043" s="196">
        <v>0.17</v>
      </c>
      <c r="E6043" s="195" t="s">
        <v>593</v>
      </c>
      <c r="F6043" s="195" t="s">
        <v>432</v>
      </c>
    </row>
    <row r="6044" spans="1:6" x14ac:dyDescent="0.25">
      <c r="A6044" s="189" t="str">
        <f t="shared" si="94"/>
        <v>HA-US 40 RP3-1400.02W</v>
      </c>
      <c r="B6044" s="195" t="s">
        <v>2751</v>
      </c>
      <c r="C6044" s="196">
        <v>0</v>
      </c>
      <c r="D6044" s="196">
        <v>0.02</v>
      </c>
      <c r="E6044" s="195" t="s">
        <v>593</v>
      </c>
      <c r="F6044" s="195" t="s">
        <v>432</v>
      </c>
    </row>
    <row r="6045" spans="1:6" x14ac:dyDescent="0.25">
      <c r="A6045" s="189" t="str">
        <f t="shared" si="94"/>
        <v>HA-US 40 RP4-1100.14N</v>
      </c>
      <c r="B6045" s="195" t="s">
        <v>2752</v>
      </c>
      <c r="C6045" s="196">
        <v>0</v>
      </c>
      <c r="D6045" s="196">
        <v>0.14000000000000001</v>
      </c>
      <c r="E6045" s="195" t="s">
        <v>589</v>
      </c>
      <c r="F6045" s="195" t="s">
        <v>430</v>
      </c>
    </row>
    <row r="6046" spans="1:6" x14ac:dyDescent="0.25">
      <c r="A6046" s="189" t="str">
        <f t="shared" si="94"/>
        <v>HA-US 40 RP4-110.060.08S</v>
      </c>
      <c r="B6046" s="195" t="s">
        <v>2752</v>
      </c>
      <c r="C6046" s="196">
        <v>0.06</v>
      </c>
      <c r="D6046" s="196">
        <v>0.08</v>
      </c>
      <c r="E6046" s="195" t="s">
        <v>595</v>
      </c>
      <c r="F6046" s="195" t="s">
        <v>438</v>
      </c>
    </row>
    <row r="6047" spans="1:6" x14ac:dyDescent="0.25">
      <c r="A6047" s="189" t="str">
        <f t="shared" si="94"/>
        <v>HA-US 40 RP4-1400.19N</v>
      </c>
      <c r="B6047" s="195" t="s">
        <v>2753</v>
      </c>
      <c r="C6047" s="196">
        <v>0</v>
      </c>
      <c r="D6047" s="196">
        <v>0.19</v>
      </c>
      <c r="E6047" s="195" t="s">
        <v>589</v>
      </c>
      <c r="F6047" s="195" t="s">
        <v>430</v>
      </c>
    </row>
    <row r="6048" spans="1:6" x14ac:dyDescent="0.25">
      <c r="A6048" s="189" t="str">
        <f t="shared" si="94"/>
        <v>HA-US 40 RP5-1100.04N</v>
      </c>
      <c r="B6048" s="195" t="s">
        <v>2754</v>
      </c>
      <c r="C6048" s="196">
        <v>0</v>
      </c>
      <c r="D6048" s="196">
        <v>0.04</v>
      </c>
      <c r="E6048" s="195" t="s">
        <v>589</v>
      </c>
      <c r="F6048" s="195" t="s">
        <v>430</v>
      </c>
    </row>
    <row r="6049" spans="1:6" x14ac:dyDescent="0.25">
      <c r="A6049" s="189" t="str">
        <f t="shared" si="94"/>
        <v>HA-US 40 RP5-1400.16S</v>
      </c>
      <c r="B6049" s="195" t="s">
        <v>2755</v>
      </c>
      <c r="C6049" s="196">
        <v>0</v>
      </c>
      <c r="D6049" s="196">
        <v>0.16</v>
      </c>
      <c r="E6049" s="195" t="s">
        <v>595</v>
      </c>
      <c r="F6049" s="195" t="s">
        <v>438</v>
      </c>
    </row>
    <row r="6050" spans="1:6" x14ac:dyDescent="0.25">
      <c r="A6050" s="189" t="str">
        <f t="shared" si="94"/>
        <v>HA-US 40 RP6-1100.29E</v>
      </c>
      <c r="B6050" s="195" t="s">
        <v>2756</v>
      </c>
      <c r="C6050" s="196">
        <v>0</v>
      </c>
      <c r="D6050" s="196">
        <v>0.28999999999999998</v>
      </c>
      <c r="E6050" s="195" t="s">
        <v>598</v>
      </c>
      <c r="F6050" s="195" t="s">
        <v>19</v>
      </c>
    </row>
    <row r="6051" spans="1:6" x14ac:dyDescent="0.25">
      <c r="A6051" s="189" t="str">
        <f t="shared" si="94"/>
        <v>HA-US 40 RP6-1400.17E</v>
      </c>
      <c r="B6051" s="195" t="s">
        <v>2757</v>
      </c>
      <c r="C6051" s="196">
        <v>0</v>
      </c>
      <c r="D6051" s="196">
        <v>0.17</v>
      </c>
      <c r="E6051" s="195" t="s">
        <v>598</v>
      </c>
      <c r="F6051" s="195" t="s">
        <v>19</v>
      </c>
    </row>
    <row r="6052" spans="1:6" x14ac:dyDescent="0.25">
      <c r="A6052" s="189" t="str">
        <f t="shared" si="94"/>
        <v>HA-US 40 RP7-1400.24N</v>
      </c>
      <c r="B6052" s="195" t="s">
        <v>2758</v>
      </c>
      <c r="C6052" s="196">
        <v>0</v>
      </c>
      <c r="D6052" s="196">
        <v>0.24</v>
      </c>
      <c r="E6052" s="195" t="s">
        <v>589</v>
      </c>
      <c r="F6052" s="195" t="s">
        <v>430</v>
      </c>
    </row>
    <row r="6053" spans="1:6" x14ac:dyDescent="0.25">
      <c r="A6053" s="189" t="str">
        <f t="shared" si="94"/>
        <v>HA-US 40 RP8-1400.26S</v>
      </c>
      <c r="B6053" s="195" t="s">
        <v>2759</v>
      </c>
      <c r="C6053" s="196">
        <v>0</v>
      </c>
      <c r="D6053" s="196">
        <v>0.26</v>
      </c>
      <c r="E6053" s="195" t="s">
        <v>595</v>
      </c>
      <c r="F6053" s="195" t="s">
        <v>438</v>
      </c>
    </row>
    <row r="6054" spans="1:6" x14ac:dyDescent="0.25">
      <c r="A6054" s="189" t="str">
        <f t="shared" si="94"/>
        <v>HO-CO 12102.08N</v>
      </c>
      <c r="B6054" s="195" t="s">
        <v>2760</v>
      </c>
      <c r="C6054" s="196">
        <v>0</v>
      </c>
      <c r="D6054" s="196">
        <v>2.08</v>
      </c>
      <c r="E6054" s="195" t="s">
        <v>583</v>
      </c>
      <c r="F6054" s="195" t="s">
        <v>430</v>
      </c>
    </row>
    <row r="6055" spans="1:6" x14ac:dyDescent="0.25">
      <c r="A6055" s="189" t="str">
        <f t="shared" si="94"/>
        <v>HO-CO 12102.08S</v>
      </c>
      <c r="B6055" s="195" t="s">
        <v>2760</v>
      </c>
      <c r="C6055" s="196">
        <v>0</v>
      </c>
      <c r="D6055" s="196">
        <v>2.08</v>
      </c>
      <c r="E6055" s="195" t="s">
        <v>583</v>
      </c>
      <c r="F6055" s="195" t="s">
        <v>438</v>
      </c>
    </row>
    <row r="6056" spans="1:6" x14ac:dyDescent="0.25">
      <c r="A6056" s="189" t="str">
        <f t="shared" si="94"/>
        <v>HO-CO 223100.34N</v>
      </c>
      <c r="B6056" s="195" t="s">
        <v>2761</v>
      </c>
      <c r="C6056" s="196">
        <v>0</v>
      </c>
      <c r="D6056" s="196">
        <v>0.34</v>
      </c>
      <c r="E6056" s="195" t="s">
        <v>583</v>
      </c>
      <c r="F6056" s="195" t="s">
        <v>430</v>
      </c>
    </row>
    <row r="6057" spans="1:6" x14ac:dyDescent="0.25">
      <c r="A6057" s="189" t="str">
        <f t="shared" si="94"/>
        <v>HO-CO 223100.34S</v>
      </c>
      <c r="B6057" s="195" t="s">
        <v>2761</v>
      </c>
      <c r="C6057" s="196">
        <v>0</v>
      </c>
      <c r="D6057" s="196">
        <v>0.34</v>
      </c>
      <c r="E6057" s="195" t="s">
        <v>583</v>
      </c>
      <c r="F6057" s="195" t="s">
        <v>438</v>
      </c>
    </row>
    <row r="6058" spans="1:6" x14ac:dyDescent="0.25">
      <c r="A6058" s="189" t="str">
        <f t="shared" si="94"/>
        <v>HO-CO 229200.11N</v>
      </c>
      <c r="B6058" s="195" t="s">
        <v>2762</v>
      </c>
      <c r="C6058" s="196">
        <v>0</v>
      </c>
      <c r="D6058" s="196">
        <v>0.11</v>
      </c>
      <c r="E6058" s="195" t="s">
        <v>583</v>
      </c>
      <c r="F6058" s="195" t="s">
        <v>430</v>
      </c>
    </row>
    <row r="6059" spans="1:6" x14ac:dyDescent="0.25">
      <c r="A6059" s="189" t="str">
        <f t="shared" si="94"/>
        <v>HO-CO 229200.11S</v>
      </c>
      <c r="B6059" s="195" t="s">
        <v>2762</v>
      </c>
      <c r="C6059" s="196">
        <v>0</v>
      </c>
      <c r="D6059" s="196">
        <v>0.11</v>
      </c>
      <c r="E6059" s="195" t="s">
        <v>583</v>
      </c>
      <c r="F6059" s="195" t="s">
        <v>438</v>
      </c>
    </row>
    <row r="6060" spans="1:6" x14ac:dyDescent="0.25">
      <c r="A6060" s="189" t="str">
        <f t="shared" si="94"/>
        <v>HO-CO 36250.020.28N</v>
      </c>
      <c r="B6060" s="195" t="s">
        <v>2763</v>
      </c>
      <c r="C6060" s="196">
        <v>0.02</v>
      </c>
      <c r="D6060" s="196">
        <v>0.28000000000000003</v>
      </c>
      <c r="E6060" s="195" t="s">
        <v>583</v>
      </c>
      <c r="F6060" s="195" t="s">
        <v>430</v>
      </c>
    </row>
    <row r="6061" spans="1:6" x14ac:dyDescent="0.25">
      <c r="A6061" s="189" t="str">
        <f t="shared" si="94"/>
        <v>HO-CO 36250.020.28S</v>
      </c>
      <c r="B6061" s="195" t="s">
        <v>2763</v>
      </c>
      <c r="C6061" s="196">
        <v>0.02</v>
      </c>
      <c r="D6061" s="196">
        <v>0.28000000000000003</v>
      </c>
      <c r="E6061" s="195" t="s">
        <v>583</v>
      </c>
      <c r="F6061" s="195" t="s">
        <v>438</v>
      </c>
    </row>
    <row r="6062" spans="1:6" x14ac:dyDescent="0.25">
      <c r="A6062" s="189" t="str">
        <f t="shared" si="94"/>
        <v>HO-CO 36250.460.56N</v>
      </c>
      <c r="B6062" s="195" t="s">
        <v>2763</v>
      </c>
      <c r="C6062" s="196">
        <v>0.46</v>
      </c>
      <c r="D6062" s="196">
        <v>0.56000000000000005</v>
      </c>
      <c r="E6062" s="195" t="s">
        <v>583</v>
      </c>
      <c r="F6062" s="195" t="s">
        <v>430</v>
      </c>
    </row>
    <row r="6063" spans="1:6" x14ac:dyDescent="0.25">
      <c r="A6063" s="189" t="str">
        <f t="shared" si="94"/>
        <v>HO-CO 36250.460.56S</v>
      </c>
      <c r="B6063" s="195" t="s">
        <v>2763</v>
      </c>
      <c r="C6063" s="196">
        <v>0.46</v>
      </c>
      <c r="D6063" s="196">
        <v>0.56000000000000005</v>
      </c>
      <c r="E6063" s="195" t="s">
        <v>583</v>
      </c>
      <c r="F6063" s="195" t="s">
        <v>438</v>
      </c>
    </row>
    <row r="6064" spans="1:6" x14ac:dyDescent="0.25">
      <c r="A6064" s="189" t="str">
        <f t="shared" si="94"/>
        <v>HO-IS 70 RP1-7300.07W</v>
      </c>
      <c r="B6064" s="195" t="s">
        <v>2764</v>
      </c>
      <c r="C6064" s="196">
        <v>0</v>
      </c>
      <c r="D6064" s="196">
        <v>7.0000000000000007E-2</v>
      </c>
      <c r="E6064" s="195" t="s">
        <v>593</v>
      </c>
      <c r="F6064" s="195" t="s">
        <v>432</v>
      </c>
    </row>
    <row r="6065" spans="1:6" x14ac:dyDescent="0.25">
      <c r="A6065" s="189" t="str">
        <f t="shared" si="94"/>
        <v>HO-IS 70 RP1-7600.32W</v>
      </c>
      <c r="B6065" s="195" t="s">
        <v>2765</v>
      </c>
      <c r="C6065" s="196">
        <v>0</v>
      </c>
      <c r="D6065" s="196">
        <v>0.32</v>
      </c>
      <c r="E6065" s="195" t="s">
        <v>593</v>
      </c>
      <c r="F6065" s="195" t="s">
        <v>432</v>
      </c>
    </row>
    <row r="6066" spans="1:6" x14ac:dyDescent="0.25">
      <c r="A6066" s="189" t="str">
        <f t="shared" si="94"/>
        <v>HO-IS 70 RP1-8000.06W</v>
      </c>
      <c r="B6066" s="195" t="s">
        <v>2766</v>
      </c>
      <c r="C6066" s="196">
        <v>0</v>
      </c>
      <c r="D6066" s="196">
        <v>0.06</v>
      </c>
      <c r="E6066" s="195" t="s">
        <v>593</v>
      </c>
      <c r="F6066" s="195" t="s">
        <v>432</v>
      </c>
    </row>
    <row r="6067" spans="1:6" x14ac:dyDescent="0.25">
      <c r="A6067" s="189" t="str">
        <f t="shared" si="94"/>
        <v>HO-IS 70 RP1-8700.27N</v>
      </c>
      <c r="B6067" s="195" t="s">
        <v>2767</v>
      </c>
      <c r="C6067" s="196">
        <v>0</v>
      </c>
      <c r="D6067" s="196">
        <v>0.27</v>
      </c>
      <c r="E6067" s="195" t="s">
        <v>589</v>
      </c>
      <c r="F6067" s="195" t="s">
        <v>430</v>
      </c>
    </row>
    <row r="6068" spans="1:6" x14ac:dyDescent="0.25">
      <c r="A6068" s="189" t="str">
        <f t="shared" si="94"/>
        <v>HO-IS 70 RP2-7300.39W</v>
      </c>
      <c r="B6068" s="195" t="s">
        <v>2768</v>
      </c>
      <c r="C6068" s="196">
        <v>0</v>
      </c>
      <c r="D6068" s="196">
        <v>0.39</v>
      </c>
      <c r="E6068" s="195" t="s">
        <v>593</v>
      </c>
      <c r="F6068" s="195" t="s">
        <v>432</v>
      </c>
    </row>
    <row r="6069" spans="1:6" x14ac:dyDescent="0.25">
      <c r="A6069" s="189" t="str">
        <f t="shared" si="94"/>
        <v>HO-IS 70 RP2-7600.37W</v>
      </c>
      <c r="B6069" s="195" t="s">
        <v>2769</v>
      </c>
      <c r="C6069" s="196">
        <v>0</v>
      </c>
      <c r="D6069" s="196">
        <v>0.37</v>
      </c>
      <c r="E6069" s="195" t="s">
        <v>593</v>
      </c>
      <c r="F6069" s="195" t="s">
        <v>432</v>
      </c>
    </row>
    <row r="6070" spans="1:6" x14ac:dyDescent="0.25">
      <c r="A6070" s="189" t="str">
        <f t="shared" si="94"/>
        <v>HO-IS 70 RP2-8000.38E</v>
      </c>
      <c r="B6070" s="195" t="s">
        <v>2770</v>
      </c>
      <c r="C6070" s="196">
        <v>0</v>
      </c>
      <c r="D6070" s="196">
        <v>0.38</v>
      </c>
      <c r="E6070" s="195" t="s">
        <v>598</v>
      </c>
      <c r="F6070" s="195" t="s">
        <v>19</v>
      </c>
    </row>
    <row r="6071" spans="1:6" x14ac:dyDescent="0.25">
      <c r="A6071" s="189" t="str">
        <f t="shared" si="94"/>
        <v>HO-IS 70 RP2-8300.31W</v>
      </c>
      <c r="B6071" s="195" t="s">
        <v>2771</v>
      </c>
      <c r="C6071" s="196">
        <v>0</v>
      </c>
      <c r="D6071" s="196">
        <v>0.31</v>
      </c>
      <c r="E6071" s="195" t="s">
        <v>593</v>
      </c>
      <c r="F6071" s="195" t="s">
        <v>432</v>
      </c>
    </row>
    <row r="6072" spans="1:6" x14ac:dyDescent="0.25">
      <c r="A6072" s="189" t="str">
        <f t="shared" si="94"/>
        <v>HO-IS 70 RP2-8700.44W</v>
      </c>
      <c r="B6072" s="195" t="s">
        <v>2772</v>
      </c>
      <c r="C6072" s="196">
        <v>0</v>
      </c>
      <c r="D6072" s="196">
        <v>0.44</v>
      </c>
      <c r="E6072" s="195" t="s">
        <v>593</v>
      </c>
      <c r="F6072" s="195" t="s">
        <v>432</v>
      </c>
    </row>
    <row r="6073" spans="1:6" x14ac:dyDescent="0.25">
      <c r="A6073" s="189" t="str">
        <f t="shared" si="94"/>
        <v>HO-IS 70 RP3-7300.02E</v>
      </c>
      <c r="B6073" s="195" t="s">
        <v>2773</v>
      </c>
      <c r="C6073" s="196">
        <v>0</v>
      </c>
      <c r="D6073" s="196">
        <v>0.02</v>
      </c>
      <c r="E6073" s="195" t="s">
        <v>598</v>
      </c>
      <c r="F6073" s="195" t="s">
        <v>19</v>
      </c>
    </row>
    <row r="6074" spans="1:6" x14ac:dyDescent="0.25">
      <c r="A6074" s="189" t="str">
        <f t="shared" si="94"/>
        <v>HO-IS 70 RP3-7600.02E</v>
      </c>
      <c r="B6074" s="195" t="s">
        <v>2774</v>
      </c>
      <c r="C6074" s="196">
        <v>0</v>
      </c>
      <c r="D6074" s="196">
        <v>0.02</v>
      </c>
      <c r="E6074" s="195" t="s">
        <v>598</v>
      </c>
      <c r="F6074" s="195" t="s">
        <v>19</v>
      </c>
    </row>
    <row r="6075" spans="1:6" x14ac:dyDescent="0.25">
      <c r="A6075" s="189" t="str">
        <f t="shared" si="94"/>
        <v>HO-IS 70 RP3-8000.08E</v>
      </c>
      <c r="B6075" s="195" t="s">
        <v>2775</v>
      </c>
      <c r="C6075" s="196">
        <v>0</v>
      </c>
      <c r="D6075" s="196">
        <v>0.08</v>
      </c>
      <c r="E6075" s="195" t="s">
        <v>598</v>
      </c>
      <c r="F6075" s="195" t="s">
        <v>19</v>
      </c>
    </row>
    <row r="6076" spans="1:6" x14ac:dyDescent="0.25">
      <c r="A6076" s="189" t="str">
        <f t="shared" si="94"/>
        <v>HO-IS 70 RP3-8700.27S</v>
      </c>
      <c r="B6076" s="195" t="s">
        <v>2776</v>
      </c>
      <c r="C6076" s="196">
        <v>0</v>
      </c>
      <c r="D6076" s="196">
        <v>0.27</v>
      </c>
      <c r="E6076" s="195" t="s">
        <v>595</v>
      </c>
      <c r="F6076" s="195" t="s">
        <v>438</v>
      </c>
    </row>
    <row r="6077" spans="1:6" x14ac:dyDescent="0.25">
      <c r="A6077" s="189" t="str">
        <f t="shared" si="94"/>
        <v>HO-IS 70 RP4-7300.41N</v>
      </c>
      <c r="B6077" s="195" t="s">
        <v>2777</v>
      </c>
      <c r="C6077" s="196">
        <v>0</v>
      </c>
      <c r="D6077" s="196">
        <v>0.41</v>
      </c>
      <c r="E6077" s="195" t="s">
        <v>589</v>
      </c>
      <c r="F6077" s="195" t="s">
        <v>430</v>
      </c>
    </row>
    <row r="6078" spans="1:6" x14ac:dyDescent="0.25">
      <c r="A6078" s="189" t="str">
        <f t="shared" si="94"/>
        <v>HO-IS 70 RP4-7600.02N</v>
      </c>
      <c r="B6078" s="195" t="s">
        <v>2778</v>
      </c>
      <c r="C6078" s="196">
        <v>0</v>
      </c>
      <c r="D6078" s="196">
        <v>0.02</v>
      </c>
      <c r="E6078" s="195" t="s">
        <v>589</v>
      </c>
      <c r="F6078" s="195" t="s">
        <v>430</v>
      </c>
    </row>
    <row r="6079" spans="1:6" x14ac:dyDescent="0.25">
      <c r="A6079" s="189" t="str">
        <f t="shared" si="94"/>
        <v>HO-IS 70 RP4-8000.4N</v>
      </c>
      <c r="B6079" s="195" t="s">
        <v>2779</v>
      </c>
      <c r="C6079" s="196">
        <v>0</v>
      </c>
      <c r="D6079" s="196">
        <v>0.4</v>
      </c>
      <c r="E6079" s="195" t="s">
        <v>589</v>
      </c>
      <c r="F6079" s="195" t="s">
        <v>430</v>
      </c>
    </row>
    <row r="6080" spans="1:6" x14ac:dyDescent="0.25">
      <c r="A6080" s="189" t="str">
        <f t="shared" si="94"/>
        <v>HO-IS 70 RP4-8300.44E</v>
      </c>
      <c r="B6080" s="195" t="s">
        <v>2780</v>
      </c>
      <c r="C6080" s="196">
        <v>0</v>
      </c>
      <c r="D6080" s="196">
        <v>0.44</v>
      </c>
      <c r="E6080" s="195" t="s">
        <v>598</v>
      </c>
      <c r="F6080" s="195" t="s">
        <v>19</v>
      </c>
    </row>
    <row r="6081" spans="1:6" x14ac:dyDescent="0.25">
      <c r="A6081" s="189" t="str">
        <f t="shared" si="94"/>
        <v>HO-IS 70 RP4-8700.59N</v>
      </c>
      <c r="B6081" s="195" t="s">
        <v>2781</v>
      </c>
      <c r="C6081" s="196">
        <v>0</v>
      </c>
      <c r="D6081" s="196">
        <v>0.59</v>
      </c>
      <c r="E6081" s="195" t="s">
        <v>589</v>
      </c>
      <c r="F6081" s="195" t="s">
        <v>430</v>
      </c>
    </row>
    <row r="6082" spans="1:6" x14ac:dyDescent="0.25">
      <c r="A6082" s="189" t="str">
        <f t="shared" si="94"/>
        <v>HO-IS 70 RP5-7300.09E</v>
      </c>
      <c r="B6082" s="195" t="s">
        <v>2782</v>
      </c>
      <c r="C6082" s="196">
        <v>0</v>
      </c>
      <c r="D6082" s="196">
        <v>0.09</v>
      </c>
      <c r="E6082" s="195" t="s">
        <v>598</v>
      </c>
      <c r="F6082" s="195" t="s">
        <v>19</v>
      </c>
    </row>
    <row r="6083" spans="1:6" x14ac:dyDescent="0.25">
      <c r="A6083" s="189" t="str">
        <f t="shared" ref="A6083:A6146" si="95">B6083&amp;C6083&amp;D6083&amp;F6083</f>
        <v>HO-IS 70 RP5-7600.33E</v>
      </c>
      <c r="B6083" s="195" t="s">
        <v>2783</v>
      </c>
      <c r="C6083" s="196">
        <v>0</v>
      </c>
      <c r="D6083" s="196">
        <v>0.33</v>
      </c>
      <c r="E6083" s="195" t="s">
        <v>598</v>
      </c>
      <c r="F6083" s="195" t="s">
        <v>19</v>
      </c>
    </row>
    <row r="6084" spans="1:6" x14ac:dyDescent="0.25">
      <c r="A6084" s="189" t="str">
        <f t="shared" si="95"/>
        <v>HO-IS 70 RP5-8000.07E</v>
      </c>
      <c r="B6084" s="195" t="s">
        <v>2784</v>
      </c>
      <c r="C6084" s="196">
        <v>0</v>
      </c>
      <c r="D6084" s="196">
        <v>7.0000000000000007E-2</v>
      </c>
      <c r="E6084" s="195" t="s">
        <v>598</v>
      </c>
      <c r="F6084" s="195" t="s">
        <v>19</v>
      </c>
    </row>
    <row r="6085" spans="1:6" x14ac:dyDescent="0.25">
      <c r="A6085" s="189" t="str">
        <f t="shared" si="95"/>
        <v>HO-IS 70 RP5-8300.03E</v>
      </c>
      <c r="B6085" s="195" t="s">
        <v>2785</v>
      </c>
      <c r="C6085" s="196">
        <v>0</v>
      </c>
      <c r="D6085" s="196">
        <v>0.03</v>
      </c>
      <c r="E6085" s="195" t="s">
        <v>598</v>
      </c>
      <c r="F6085" s="195" t="s">
        <v>19</v>
      </c>
    </row>
    <row r="6086" spans="1:6" x14ac:dyDescent="0.25">
      <c r="A6086" s="189" t="str">
        <f t="shared" si="95"/>
        <v>HO-IS 70 RP5-8700.25S</v>
      </c>
      <c r="B6086" s="195" t="s">
        <v>2786</v>
      </c>
      <c r="C6086" s="196">
        <v>0</v>
      </c>
      <c r="D6086" s="196">
        <v>0.25</v>
      </c>
      <c r="E6086" s="195" t="s">
        <v>595</v>
      </c>
      <c r="F6086" s="195" t="s">
        <v>438</v>
      </c>
    </row>
    <row r="6087" spans="1:6" x14ac:dyDescent="0.25">
      <c r="A6087" s="189" t="str">
        <f t="shared" si="95"/>
        <v>HO-IS 70 RP6-7300.39E</v>
      </c>
      <c r="B6087" s="195" t="s">
        <v>2787</v>
      </c>
      <c r="C6087" s="196">
        <v>0</v>
      </c>
      <c r="D6087" s="196">
        <v>0.39</v>
      </c>
      <c r="E6087" s="195" t="s">
        <v>598</v>
      </c>
      <c r="F6087" s="195" t="s">
        <v>19</v>
      </c>
    </row>
    <row r="6088" spans="1:6" x14ac:dyDescent="0.25">
      <c r="A6088" s="189" t="str">
        <f t="shared" si="95"/>
        <v>HO-IS 70 RP6-7600.34E</v>
      </c>
      <c r="B6088" s="195" t="s">
        <v>2788</v>
      </c>
      <c r="C6088" s="196">
        <v>0</v>
      </c>
      <c r="D6088" s="196">
        <v>0.34</v>
      </c>
      <c r="E6088" s="195" t="s">
        <v>598</v>
      </c>
      <c r="F6088" s="195" t="s">
        <v>19</v>
      </c>
    </row>
    <row r="6089" spans="1:6" x14ac:dyDescent="0.25">
      <c r="A6089" s="189" t="str">
        <f t="shared" si="95"/>
        <v>HO-IS 70 RP6-8000.41S</v>
      </c>
      <c r="B6089" s="195" t="s">
        <v>2789</v>
      </c>
      <c r="C6089" s="196">
        <v>0</v>
      </c>
      <c r="D6089" s="196">
        <v>0.41</v>
      </c>
      <c r="E6089" s="195" t="s">
        <v>595</v>
      </c>
      <c r="F6089" s="195" t="s">
        <v>438</v>
      </c>
    </row>
    <row r="6090" spans="1:6" x14ac:dyDescent="0.25">
      <c r="A6090" s="189" t="str">
        <f t="shared" si="95"/>
        <v>HO-IS 70 RP6-8700.62S</v>
      </c>
      <c r="B6090" s="195" t="s">
        <v>2790</v>
      </c>
      <c r="C6090" s="196">
        <v>0</v>
      </c>
      <c r="D6090" s="196">
        <v>0.62</v>
      </c>
      <c r="E6090" s="195" t="s">
        <v>595</v>
      </c>
      <c r="F6090" s="195" t="s">
        <v>438</v>
      </c>
    </row>
    <row r="6091" spans="1:6" x14ac:dyDescent="0.25">
      <c r="A6091" s="189" t="str">
        <f t="shared" si="95"/>
        <v>HO-IS 70 RP7-7300.02W</v>
      </c>
      <c r="B6091" s="195" t="s">
        <v>2791</v>
      </c>
      <c r="C6091" s="196">
        <v>0</v>
      </c>
      <c r="D6091" s="196">
        <v>0.02</v>
      </c>
      <c r="E6091" s="195" t="s">
        <v>593</v>
      </c>
      <c r="F6091" s="195" t="s">
        <v>432</v>
      </c>
    </row>
    <row r="6092" spans="1:6" x14ac:dyDescent="0.25">
      <c r="A6092" s="189" t="str">
        <f t="shared" si="95"/>
        <v>HO-IS 70 RP7-7600.05W</v>
      </c>
      <c r="B6092" s="195" t="s">
        <v>2792</v>
      </c>
      <c r="C6092" s="196">
        <v>0</v>
      </c>
      <c r="D6092" s="196">
        <v>0.05</v>
      </c>
      <c r="E6092" s="195" t="s">
        <v>593</v>
      </c>
      <c r="F6092" s="195" t="s">
        <v>432</v>
      </c>
    </row>
    <row r="6093" spans="1:6" x14ac:dyDescent="0.25">
      <c r="A6093" s="189" t="str">
        <f t="shared" si="95"/>
        <v>HO-IS 70 RP7-8000.08W</v>
      </c>
      <c r="B6093" s="195" t="s">
        <v>2793</v>
      </c>
      <c r="C6093" s="196">
        <v>0</v>
      </c>
      <c r="D6093" s="196">
        <v>0.08</v>
      </c>
      <c r="E6093" s="195" t="s">
        <v>593</v>
      </c>
      <c r="F6093" s="195" t="s">
        <v>432</v>
      </c>
    </row>
    <row r="6094" spans="1:6" x14ac:dyDescent="0.25">
      <c r="A6094" s="189" t="str">
        <f t="shared" si="95"/>
        <v>HO-IS 70 RP7-8300.07W</v>
      </c>
      <c r="B6094" s="195" t="s">
        <v>2794</v>
      </c>
      <c r="C6094" s="196">
        <v>0</v>
      </c>
      <c r="D6094" s="196">
        <v>7.0000000000000007E-2</v>
      </c>
      <c r="E6094" s="195" t="s">
        <v>593</v>
      </c>
      <c r="F6094" s="195" t="s">
        <v>432</v>
      </c>
    </row>
    <row r="6095" spans="1:6" x14ac:dyDescent="0.25">
      <c r="A6095" s="189" t="str">
        <f t="shared" si="95"/>
        <v>HO-IS 70 RP7-8700.76S</v>
      </c>
      <c r="B6095" s="195" t="s">
        <v>2795</v>
      </c>
      <c r="C6095" s="196">
        <v>0</v>
      </c>
      <c r="D6095" s="196">
        <v>0.76</v>
      </c>
      <c r="E6095" s="195" t="s">
        <v>595</v>
      </c>
      <c r="F6095" s="195" t="s">
        <v>438</v>
      </c>
    </row>
    <row r="6096" spans="1:6" x14ac:dyDescent="0.25">
      <c r="A6096" s="189" t="str">
        <f t="shared" si="95"/>
        <v>HO-IS 70 RP8-7300.38S</v>
      </c>
      <c r="B6096" s="195" t="s">
        <v>2796</v>
      </c>
      <c r="C6096" s="196">
        <v>0</v>
      </c>
      <c r="D6096" s="196">
        <v>0.38</v>
      </c>
      <c r="E6096" s="195" t="s">
        <v>595</v>
      </c>
      <c r="F6096" s="195" t="s">
        <v>438</v>
      </c>
    </row>
    <row r="6097" spans="1:6" x14ac:dyDescent="0.25">
      <c r="A6097" s="189" t="str">
        <f t="shared" si="95"/>
        <v>HO-IS 70 RP8-7600.02S</v>
      </c>
      <c r="B6097" s="195" t="s">
        <v>2797</v>
      </c>
      <c r="C6097" s="196">
        <v>0</v>
      </c>
      <c r="D6097" s="196">
        <v>0.02</v>
      </c>
      <c r="E6097" s="195" t="s">
        <v>595</v>
      </c>
      <c r="F6097" s="195" t="s">
        <v>438</v>
      </c>
    </row>
    <row r="6098" spans="1:6" x14ac:dyDescent="0.25">
      <c r="A6098" s="189" t="str">
        <f t="shared" si="95"/>
        <v>HO-IS 70 RP8-8000.39S</v>
      </c>
      <c r="B6098" s="195" t="s">
        <v>2798</v>
      </c>
      <c r="C6098" s="196">
        <v>0</v>
      </c>
      <c r="D6098" s="196">
        <v>0.39</v>
      </c>
      <c r="E6098" s="195" t="s">
        <v>595</v>
      </c>
      <c r="F6098" s="195" t="s">
        <v>438</v>
      </c>
    </row>
    <row r="6099" spans="1:6" x14ac:dyDescent="0.25">
      <c r="A6099" s="189" t="str">
        <f t="shared" si="95"/>
        <v>HO-IS 70 RP8-8700.39S</v>
      </c>
      <c r="B6099" s="195" t="s">
        <v>2799</v>
      </c>
      <c r="C6099" s="196">
        <v>0</v>
      </c>
      <c r="D6099" s="196">
        <v>0.39</v>
      </c>
      <c r="E6099" s="195" t="s">
        <v>595</v>
      </c>
      <c r="F6099" s="195" t="s">
        <v>438</v>
      </c>
    </row>
    <row r="6100" spans="1:6" x14ac:dyDescent="0.25">
      <c r="A6100" s="189" t="str">
        <f t="shared" si="95"/>
        <v>HO-IS 70 RP9-8700.04N</v>
      </c>
      <c r="B6100" s="195" t="s">
        <v>2800</v>
      </c>
      <c r="C6100" s="196">
        <v>0</v>
      </c>
      <c r="D6100" s="196">
        <v>0.04</v>
      </c>
      <c r="E6100" s="195" t="s">
        <v>589</v>
      </c>
      <c r="F6100" s="195" t="s">
        <v>430</v>
      </c>
    </row>
    <row r="6101" spans="1:6" x14ac:dyDescent="0.25">
      <c r="A6101" s="189" t="str">
        <f t="shared" si="95"/>
        <v>HO-IS 895 RP4-100.1E</v>
      </c>
      <c r="B6101" s="195" t="s">
        <v>2801</v>
      </c>
      <c r="C6101" s="196">
        <v>0</v>
      </c>
      <c r="D6101" s="196">
        <v>0.1</v>
      </c>
      <c r="E6101" s="195" t="s">
        <v>598</v>
      </c>
      <c r="F6101" s="195" t="s">
        <v>19</v>
      </c>
    </row>
    <row r="6102" spans="1:6" x14ac:dyDescent="0.25">
      <c r="A6102" s="189" t="str">
        <f t="shared" si="95"/>
        <v>HO-IS 895 RP7-100.18W</v>
      </c>
      <c r="B6102" s="195" t="s">
        <v>2802</v>
      </c>
      <c r="C6102" s="196">
        <v>0</v>
      </c>
      <c r="D6102" s="196">
        <v>0.18</v>
      </c>
      <c r="E6102" s="195" t="s">
        <v>593</v>
      </c>
      <c r="F6102" s="195" t="s">
        <v>432</v>
      </c>
    </row>
    <row r="6103" spans="1:6" x14ac:dyDescent="0.25">
      <c r="A6103" s="189" t="str">
        <f t="shared" si="95"/>
        <v>HO-IS 95 RP1-3500.36E</v>
      </c>
      <c r="B6103" s="195" t="s">
        <v>2803</v>
      </c>
      <c r="C6103" s="196">
        <v>0</v>
      </c>
      <c r="D6103" s="196">
        <v>0.36</v>
      </c>
      <c r="E6103" s="195" t="s">
        <v>598</v>
      </c>
      <c r="F6103" s="195" t="s">
        <v>19</v>
      </c>
    </row>
    <row r="6104" spans="1:6" x14ac:dyDescent="0.25">
      <c r="A6104" s="189" t="str">
        <f t="shared" si="95"/>
        <v>HO-IS 95 RP1-3800.41E</v>
      </c>
      <c r="B6104" s="195" t="s">
        <v>2804</v>
      </c>
      <c r="C6104" s="196">
        <v>0</v>
      </c>
      <c r="D6104" s="196">
        <v>0.41</v>
      </c>
      <c r="E6104" s="195" t="s">
        <v>598</v>
      </c>
      <c r="F6104" s="195" t="s">
        <v>19</v>
      </c>
    </row>
    <row r="6105" spans="1:6" x14ac:dyDescent="0.25">
      <c r="A6105" s="189" t="str">
        <f t="shared" si="95"/>
        <v>HO-IS 95 RP1-4100.33E</v>
      </c>
      <c r="B6105" s="195" t="s">
        <v>2805</v>
      </c>
      <c r="C6105" s="196">
        <v>0</v>
      </c>
      <c r="D6105" s="196">
        <v>0.33</v>
      </c>
      <c r="E6105" s="195" t="s">
        <v>598</v>
      </c>
      <c r="F6105" s="195" t="s">
        <v>19</v>
      </c>
    </row>
    <row r="6106" spans="1:6" x14ac:dyDescent="0.25">
      <c r="A6106" s="189" t="str">
        <f t="shared" si="95"/>
        <v>HO-IS 95 RP1-4300.27E</v>
      </c>
      <c r="B6106" s="195" t="s">
        <v>2806</v>
      </c>
      <c r="C6106" s="196">
        <v>0</v>
      </c>
      <c r="D6106" s="196">
        <v>0.27</v>
      </c>
      <c r="E6106" s="195" t="s">
        <v>598</v>
      </c>
      <c r="F6106" s="195" t="s">
        <v>19</v>
      </c>
    </row>
    <row r="6107" spans="1:6" x14ac:dyDescent="0.25">
      <c r="A6107" s="189" t="str">
        <f t="shared" si="95"/>
        <v>HO-IS 95 RP2-3500.72N</v>
      </c>
      <c r="B6107" s="195" t="s">
        <v>2807</v>
      </c>
      <c r="C6107" s="196">
        <v>0</v>
      </c>
      <c r="D6107" s="196">
        <v>0.72</v>
      </c>
      <c r="E6107" s="195" t="s">
        <v>589</v>
      </c>
      <c r="F6107" s="195" t="s">
        <v>430</v>
      </c>
    </row>
    <row r="6108" spans="1:6" x14ac:dyDescent="0.25">
      <c r="A6108" s="189" t="str">
        <f t="shared" si="95"/>
        <v>HO-IS 95 RP2-3800.57E</v>
      </c>
      <c r="B6108" s="195" t="s">
        <v>2808</v>
      </c>
      <c r="C6108" s="196">
        <v>0</v>
      </c>
      <c r="D6108" s="196">
        <v>0.56999999999999995</v>
      </c>
      <c r="E6108" s="195" t="s">
        <v>598</v>
      </c>
      <c r="F6108" s="195" t="s">
        <v>19</v>
      </c>
    </row>
    <row r="6109" spans="1:6" x14ac:dyDescent="0.25">
      <c r="A6109" s="189" t="str">
        <f t="shared" si="95"/>
        <v>HO-IS 95 RP2-4100.38N</v>
      </c>
      <c r="B6109" s="195" t="s">
        <v>2809</v>
      </c>
      <c r="C6109" s="196">
        <v>0</v>
      </c>
      <c r="D6109" s="196">
        <v>0.38</v>
      </c>
      <c r="E6109" s="195" t="s">
        <v>589</v>
      </c>
      <c r="F6109" s="195" t="s">
        <v>430</v>
      </c>
    </row>
    <row r="6110" spans="1:6" x14ac:dyDescent="0.25">
      <c r="A6110" s="189" t="str">
        <f t="shared" si="95"/>
        <v>HO-IS 95 RP2-4300.32N</v>
      </c>
      <c r="B6110" s="195" t="s">
        <v>2810</v>
      </c>
      <c r="C6110" s="196">
        <v>0</v>
      </c>
      <c r="D6110" s="196">
        <v>0.32</v>
      </c>
      <c r="E6110" s="195" t="s">
        <v>589</v>
      </c>
      <c r="F6110" s="195" t="s">
        <v>430</v>
      </c>
    </row>
    <row r="6111" spans="1:6" x14ac:dyDescent="0.25">
      <c r="A6111" s="189" t="str">
        <f t="shared" si="95"/>
        <v>HO-IS 95 RP3-3500.31S</v>
      </c>
      <c r="B6111" s="195" t="s">
        <v>2811</v>
      </c>
      <c r="C6111" s="196">
        <v>0</v>
      </c>
      <c r="D6111" s="196">
        <v>0.31</v>
      </c>
      <c r="E6111" s="195" t="s">
        <v>595</v>
      </c>
      <c r="F6111" s="195" t="s">
        <v>438</v>
      </c>
    </row>
    <row r="6112" spans="1:6" x14ac:dyDescent="0.25">
      <c r="A6112" s="189" t="str">
        <f t="shared" si="95"/>
        <v>HO-IS 95 RP3-3800.48W</v>
      </c>
      <c r="B6112" s="195" t="s">
        <v>2812</v>
      </c>
      <c r="C6112" s="196">
        <v>0</v>
      </c>
      <c r="D6112" s="196">
        <v>0.48</v>
      </c>
      <c r="E6112" s="195" t="s">
        <v>593</v>
      </c>
      <c r="F6112" s="195" t="s">
        <v>432</v>
      </c>
    </row>
    <row r="6113" spans="1:6" x14ac:dyDescent="0.25">
      <c r="A6113" s="189" t="str">
        <f t="shared" si="95"/>
        <v>HO-IS 95 RP3-4100.33S</v>
      </c>
      <c r="B6113" s="195" t="s">
        <v>2813</v>
      </c>
      <c r="C6113" s="196">
        <v>0</v>
      </c>
      <c r="D6113" s="196">
        <v>0.33</v>
      </c>
      <c r="E6113" s="195" t="s">
        <v>595</v>
      </c>
      <c r="F6113" s="195" t="s">
        <v>438</v>
      </c>
    </row>
    <row r="6114" spans="1:6" x14ac:dyDescent="0.25">
      <c r="A6114" s="189" t="str">
        <f t="shared" si="95"/>
        <v>HO-IS 95 RP3-4300.26S</v>
      </c>
      <c r="B6114" s="195" t="s">
        <v>2814</v>
      </c>
      <c r="C6114" s="196">
        <v>0</v>
      </c>
      <c r="D6114" s="196">
        <v>0.26</v>
      </c>
      <c r="E6114" s="195" t="s">
        <v>595</v>
      </c>
      <c r="F6114" s="195" t="s">
        <v>438</v>
      </c>
    </row>
    <row r="6115" spans="1:6" x14ac:dyDescent="0.25">
      <c r="A6115" s="189" t="str">
        <f t="shared" si="95"/>
        <v>HO-IS 95 RP4-3500.65E</v>
      </c>
      <c r="B6115" s="195" t="s">
        <v>2815</v>
      </c>
      <c r="C6115" s="196">
        <v>0</v>
      </c>
      <c r="D6115" s="196">
        <v>0.65</v>
      </c>
      <c r="E6115" s="195" t="s">
        <v>598</v>
      </c>
      <c r="F6115" s="195" t="s">
        <v>19</v>
      </c>
    </row>
    <row r="6116" spans="1:6" x14ac:dyDescent="0.25">
      <c r="A6116" s="189" t="str">
        <f t="shared" si="95"/>
        <v>HO-IS 95 RP4-3800.46S</v>
      </c>
      <c r="B6116" s="195" t="s">
        <v>2816</v>
      </c>
      <c r="C6116" s="196">
        <v>0</v>
      </c>
      <c r="D6116" s="196">
        <v>0.46</v>
      </c>
      <c r="E6116" s="195" t="s">
        <v>595</v>
      </c>
      <c r="F6116" s="195" t="s">
        <v>438</v>
      </c>
    </row>
    <row r="6117" spans="1:6" x14ac:dyDescent="0.25">
      <c r="A6117" s="189" t="str">
        <f t="shared" si="95"/>
        <v>HO-IS 95 RP4-4100.51E</v>
      </c>
      <c r="B6117" s="195" t="s">
        <v>2817</v>
      </c>
      <c r="C6117" s="196">
        <v>0</v>
      </c>
      <c r="D6117" s="196">
        <v>0.51</v>
      </c>
      <c r="E6117" s="195" t="s">
        <v>598</v>
      </c>
      <c r="F6117" s="195" t="s">
        <v>19</v>
      </c>
    </row>
    <row r="6118" spans="1:6" x14ac:dyDescent="0.25">
      <c r="A6118" s="189" t="str">
        <f t="shared" si="95"/>
        <v>HO-IS 95 RP4-4300.57E</v>
      </c>
      <c r="B6118" s="195" t="s">
        <v>2818</v>
      </c>
      <c r="C6118" s="196">
        <v>0</v>
      </c>
      <c r="D6118" s="196">
        <v>0.56999999999999995</v>
      </c>
      <c r="E6118" s="195" t="s">
        <v>598</v>
      </c>
      <c r="F6118" s="195" t="s">
        <v>19</v>
      </c>
    </row>
    <row r="6119" spans="1:6" x14ac:dyDescent="0.25">
      <c r="A6119" s="189" t="str">
        <f t="shared" si="95"/>
        <v>HO-IS 95 RP5-3500.38W</v>
      </c>
      <c r="B6119" s="195" t="s">
        <v>2819</v>
      </c>
      <c r="C6119" s="196">
        <v>0</v>
      </c>
      <c r="D6119" s="196">
        <v>0.38</v>
      </c>
      <c r="E6119" s="195" t="s">
        <v>593</v>
      </c>
      <c r="F6119" s="195" t="s">
        <v>432</v>
      </c>
    </row>
    <row r="6120" spans="1:6" x14ac:dyDescent="0.25">
      <c r="A6120" s="189" t="str">
        <f t="shared" si="95"/>
        <v>HO-IS 95 RP5-3800.35W</v>
      </c>
      <c r="B6120" s="195" t="s">
        <v>2820</v>
      </c>
      <c r="C6120" s="196">
        <v>0</v>
      </c>
      <c r="D6120" s="196">
        <v>0.35</v>
      </c>
      <c r="E6120" s="195" t="s">
        <v>593</v>
      </c>
      <c r="F6120" s="195" t="s">
        <v>432</v>
      </c>
    </row>
    <row r="6121" spans="1:6" x14ac:dyDescent="0.25">
      <c r="A6121" s="189" t="str">
        <f t="shared" si="95"/>
        <v>HO-IS 95 RP5-4100.29W</v>
      </c>
      <c r="B6121" s="195" t="s">
        <v>2821</v>
      </c>
      <c r="C6121" s="196">
        <v>0</v>
      </c>
      <c r="D6121" s="196">
        <v>0.28999999999999998</v>
      </c>
      <c r="E6121" s="195" t="s">
        <v>593</v>
      </c>
      <c r="F6121" s="195" t="s">
        <v>432</v>
      </c>
    </row>
    <row r="6122" spans="1:6" x14ac:dyDescent="0.25">
      <c r="A6122" s="189" t="str">
        <f t="shared" si="95"/>
        <v>HO-IS 95 RP5-4300.32W</v>
      </c>
      <c r="B6122" s="195" t="s">
        <v>2822</v>
      </c>
      <c r="C6122" s="196">
        <v>0</v>
      </c>
      <c r="D6122" s="196">
        <v>0.32</v>
      </c>
      <c r="E6122" s="195" t="s">
        <v>593</v>
      </c>
      <c r="F6122" s="195" t="s">
        <v>432</v>
      </c>
    </row>
    <row r="6123" spans="1:6" x14ac:dyDescent="0.25">
      <c r="A6123" s="189" t="str">
        <f t="shared" si="95"/>
        <v>HO-IS 95 RP6-3500.84S</v>
      </c>
      <c r="B6123" s="195" t="s">
        <v>2823</v>
      </c>
      <c r="C6123" s="196">
        <v>0</v>
      </c>
      <c r="D6123" s="196">
        <v>0.84</v>
      </c>
      <c r="E6123" s="195" t="s">
        <v>595</v>
      </c>
      <c r="F6123" s="195" t="s">
        <v>438</v>
      </c>
    </row>
    <row r="6124" spans="1:6" x14ac:dyDescent="0.25">
      <c r="A6124" s="189" t="str">
        <f t="shared" si="95"/>
        <v>HO-IS 95 RP6-3800.45S</v>
      </c>
      <c r="B6124" s="195" t="s">
        <v>2824</v>
      </c>
      <c r="C6124" s="196">
        <v>0</v>
      </c>
      <c r="D6124" s="196">
        <v>0.45</v>
      </c>
      <c r="E6124" s="195" t="s">
        <v>595</v>
      </c>
      <c r="F6124" s="195" t="s">
        <v>438</v>
      </c>
    </row>
    <row r="6125" spans="1:6" x14ac:dyDescent="0.25">
      <c r="A6125" s="189" t="str">
        <f t="shared" si="95"/>
        <v>HO-IS 95 RP6-4100.32S</v>
      </c>
      <c r="B6125" s="195" t="s">
        <v>2825</v>
      </c>
      <c r="C6125" s="196">
        <v>0</v>
      </c>
      <c r="D6125" s="196">
        <v>0.32</v>
      </c>
      <c r="E6125" s="195" t="s">
        <v>595</v>
      </c>
      <c r="F6125" s="195" t="s">
        <v>438</v>
      </c>
    </row>
    <row r="6126" spans="1:6" x14ac:dyDescent="0.25">
      <c r="A6126" s="189" t="str">
        <f t="shared" si="95"/>
        <v>HO-IS 95 RP6-4300.31S</v>
      </c>
      <c r="B6126" s="195" t="s">
        <v>2826</v>
      </c>
      <c r="C6126" s="196">
        <v>0</v>
      </c>
      <c r="D6126" s="196">
        <v>0.31</v>
      </c>
      <c r="E6126" s="195" t="s">
        <v>595</v>
      </c>
      <c r="F6126" s="195" t="s">
        <v>438</v>
      </c>
    </row>
    <row r="6127" spans="1:6" x14ac:dyDescent="0.25">
      <c r="A6127" s="189" t="str">
        <f t="shared" si="95"/>
        <v>HO-IS 95 RP7-3500.34N</v>
      </c>
      <c r="B6127" s="195" t="s">
        <v>2827</v>
      </c>
      <c r="C6127" s="196">
        <v>0</v>
      </c>
      <c r="D6127" s="196">
        <v>0.34</v>
      </c>
      <c r="E6127" s="195" t="s">
        <v>589</v>
      </c>
      <c r="F6127" s="195" t="s">
        <v>430</v>
      </c>
    </row>
    <row r="6128" spans="1:6" x14ac:dyDescent="0.25">
      <c r="A6128" s="189" t="str">
        <f t="shared" si="95"/>
        <v>HO-IS 95 RP7-3800.32S</v>
      </c>
      <c r="B6128" s="195" t="s">
        <v>2828</v>
      </c>
      <c r="C6128" s="196">
        <v>0</v>
      </c>
      <c r="D6128" s="196">
        <v>0.32</v>
      </c>
      <c r="E6128" s="195" t="s">
        <v>595</v>
      </c>
      <c r="F6128" s="195" t="s">
        <v>438</v>
      </c>
    </row>
    <row r="6129" spans="1:6" x14ac:dyDescent="0.25">
      <c r="A6129" s="189" t="str">
        <f t="shared" si="95"/>
        <v>HO-IS 95 RP7-4100.26N</v>
      </c>
      <c r="B6129" s="195" t="s">
        <v>2829</v>
      </c>
      <c r="C6129" s="196">
        <v>0</v>
      </c>
      <c r="D6129" s="196">
        <v>0.26</v>
      </c>
      <c r="E6129" s="195" t="s">
        <v>589</v>
      </c>
      <c r="F6129" s="195" t="s">
        <v>430</v>
      </c>
    </row>
    <row r="6130" spans="1:6" x14ac:dyDescent="0.25">
      <c r="A6130" s="189" t="str">
        <f t="shared" si="95"/>
        <v>HO-IS 95 RP7-4300.92N</v>
      </c>
      <c r="B6130" s="195" t="s">
        <v>2830</v>
      </c>
      <c r="C6130" s="196">
        <v>0</v>
      </c>
      <c r="D6130" s="196">
        <v>0.92</v>
      </c>
      <c r="E6130" s="195" t="s">
        <v>589</v>
      </c>
      <c r="F6130" s="195" t="s">
        <v>430</v>
      </c>
    </row>
    <row r="6131" spans="1:6" x14ac:dyDescent="0.25">
      <c r="A6131" s="189" t="str">
        <f t="shared" si="95"/>
        <v>HO-IS 95 RP8-3500.62S</v>
      </c>
      <c r="B6131" s="195" t="s">
        <v>2831</v>
      </c>
      <c r="C6131" s="196">
        <v>0</v>
      </c>
      <c r="D6131" s="196">
        <v>0.62</v>
      </c>
      <c r="E6131" s="195" t="s">
        <v>595</v>
      </c>
      <c r="F6131" s="195" t="s">
        <v>438</v>
      </c>
    </row>
    <row r="6132" spans="1:6" x14ac:dyDescent="0.25">
      <c r="A6132" s="189" t="str">
        <f t="shared" si="95"/>
        <v>HO-IS 95 RP8-3800.44W</v>
      </c>
      <c r="B6132" s="195" t="s">
        <v>2832</v>
      </c>
      <c r="C6132" s="196">
        <v>0</v>
      </c>
      <c r="D6132" s="196">
        <v>0.44</v>
      </c>
      <c r="E6132" s="195" t="s">
        <v>593</v>
      </c>
      <c r="F6132" s="195" t="s">
        <v>432</v>
      </c>
    </row>
    <row r="6133" spans="1:6" x14ac:dyDescent="0.25">
      <c r="A6133" s="189" t="str">
        <f t="shared" si="95"/>
        <v>HO-IS 95 RP8-4100.5W</v>
      </c>
      <c r="B6133" s="195" t="s">
        <v>2833</v>
      </c>
      <c r="C6133" s="196">
        <v>0</v>
      </c>
      <c r="D6133" s="196">
        <v>0.5</v>
      </c>
      <c r="E6133" s="195" t="s">
        <v>593</v>
      </c>
      <c r="F6133" s="195" t="s">
        <v>432</v>
      </c>
    </row>
    <row r="6134" spans="1:6" x14ac:dyDescent="0.25">
      <c r="A6134" s="189" t="str">
        <f t="shared" si="95"/>
        <v>HO-IS 95 RP8-4300.53W</v>
      </c>
      <c r="B6134" s="195" t="s">
        <v>2834</v>
      </c>
      <c r="C6134" s="196">
        <v>0</v>
      </c>
      <c r="D6134" s="196">
        <v>0.53</v>
      </c>
      <c r="E6134" s="195" t="s">
        <v>593</v>
      </c>
      <c r="F6134" s="195" t="s">
        <v>432</v>
      </c>
    </row>
    <row r="6135" spans="1:6" x14ac:dyDescent="0.25">
      <c r="A6135" s="189" t="str">
        <f t="shared" si="95"/>
        <v>HO-IS 95I00.82S</v>
      </c>
      <c r="B6135" s="195" t="s">
        <v>2835</v>
      </c>
      <c r="C6135" s="196">
        <v>0</v>
      </c>
      <c r="D6135" s="196">
        <v>0.82</v>
      </c>
      <c r="E6135" s="195" t="s">
        <v>595</v>
      </c>
      <c r="F6135" s="195" t="s">
        <v>438</v>
      </c>
    </row>
    <row r="6136" spans="1:6" x14ac:dyDescent="0.25">
      <c r="A6136" s="189" t="str">
        <f t="shared" si="95"/>
        <v>HO-IS 95J00.35N</v>
      </c>
      <c r="B6136" s="195" t="s">
        <v>2836</v>
      </c>
      <c r="C6136" s="196">
        <v>0</v>
      </c>
      <c r="D6136" s="196">
        <v>0.35</v>
      </c>
      <c r="E6136" s="195" t="s">
        <v>589</v>
      </c>
      <c r="F6136" s="195" t="s">
        <v>430</v>
      </c>
    </row>
    <row r="6137" spans="1:6" x14ac:dyDescent="0.25">
      <c r="A6137" s="189" t="str">
        <f t="shared" si="95"/>
        <v>HO-IS 95K00.73N</v>
      </c>
      <c r="B6137" s="195" t="s">
        <v>2837</v>
      </c>
      <c r="C6137" s="196">
        <v>0</v>
      </c>
      <c r="D6137" s="196">
        <v>0.73</v>
      </c>
      <c r="E6137" s="195" t="s">
        <v>589</v>
      </c>
      <c r="F6137" s="195" t="s">
        <v>430</v>
      </c>
    </row>
    <row r="6138" spans="1:6" x14ac:dyDescent="0.25">
      <c r="A6138" s="189" t="str">
        <f t="shared" si="95"/>
        <v>HO-IS 95L00.18N</v>
      </c>
      <c r="B6138" s="195" t="s">
        <v>2838</v>
      </c>
      <c r="C6138" s="196">
        <v>0</v>
      </c>
      <c r="D6138" s="196">
        <v>0.18</v>
      </c>
      <c r="E6138" s="195" t="s">
        <v>589</v>
      </c>
      <c r="F6138" s="195" t="s">
        <v>430</v>
      </c>
    </row>
    <row r="6139" spans="1:6" x14ac:dyDescent="0.25">
      <c r="A6139" s="189" t="str">
        <f t="shared" si="95"/>
        <v>HO-MD 100 RP1-400.02N</v>
      </c>
      <c r="B6139" s="195" t="s">
        <v>2839</v>
      </c>
      <c r="C6139" s="196">
        <v>0</v>
      </c>
      <c r="D6139" s="196">
        <v>0.02</v>
      </c>
      <c r="E6139" s="195" t="s">
        <v>589</v>
      </c>
      <c r="F6139" s="195" t="s">
        <v>430</v>
      </c>
    </row>
    <row r="6140" spans="1:6" x14ac:dyDescent="0.25">
      <c r="A6140" s="189" t="str">
        <f t="shared" si="95"/>
        <v>HO-MD 100 RP1-600.23E</v>
      </c>
      <c r="B6140" s="195" t="s">
        <v>2840</v>
      </c>
      <c r="C6140" s="196">
        <v>0</v>
      </c>
      <c r="D6140" s="196">
        <v>0.23</v>
      </c>
      <c r="E6140" s="195" t="s">
        <v>598</v>
      </c>
      <c r="F6140" s="195" t="s">
        <v>19</v>
      </c>
    </row>
    <row r="6141" spans="1:6" x14ac:dyDescent="0.25">
      <c r="A6141" s="189" t="str">
        <f t="shared" si="95"/>
        <v>HO-MD 100 RP2-1A00.19N</v>
      </c>
      <c r="B6141" s="195" t="s">
        <v>2841</v>
      </c>
      <c r="C6141" s="196">
        <v>0</v>
      </c>
      <c r="D6141" s="196">
        <v>0.19</v>
      </c>
      <c r="E6141" s="195" t="s">
        <v>589</v>
      </c>
      <c r="F6141" s="195" t="s">
        <v>430</v>
      </c>
    </row>
    <row r="6142" spans="1:6" x14ac:dyDescent="0.25">
      <c r="A6142" s="189" t="str">
        <f t="shared" si="95"/>
        <v>HO-MD 100 RP2-200.23W</v>
      </c>
      <c r="B6142" s="195" t="s">
        <v>2842</v>
      </c>
      <c r="C6142" s="196">
        <v>0</v>
      </c>
      <c r="D6142" s="196">
        <v>0.23</v>
      </c>
      <c r="E6142" s="195" t="s">
        <v>593</v>
      </c>
      <c r="F6142" s="195" t="s">
        <v>432</v>
      </c>
    </row>
    <row r="6143" spans="1:6" x14ac:dyDescent="0.25">
      <c r="A6143" s="189" t="str">
        <f t="shared" si="95"/>
        <v>HO-MD 100 RP2-300.18N</v>
      </c>
      <c r="B6143" s="195" t="s">
        <v>2843</v>
      </c>
      <c r="C6143" s="196">
        <v>0</v>
      </c>
      <c r="D6143" s="196">
        <v>0.18</v>
      </c>
      <c r="E6143" s="195" t="s">
        <v>589</v>
      </c>
      <c r="F6143" s="195" t="s">
        <v>430</v>
      </c>
    </row>
    <row r="6144" spans="1:6" x14ac:dyDescent="0.25">
      <c r="A6144" s="189" t="str">
        <f t="shared" si="95"/>
        <v>HO-MD 100 RP2-400.17N</v>
      </c>
      <c r="B6144" s="195" t="s">
        <v>2844</v>
      </c>
      <c r="C6144" s="196">
        <v>0</v>
      </c>
      <c r="D6144" s="196">
        <v>0.17</v>
      </c>
      <c r="E6144" s="195" t="s">
        <v>589</v>
      </c>
      <c r="F6144" s="195" t="s">
        <v>430</v>
      </c>
    </row>
    <row r="6145" spans="1:6" x14ac:dyDescent="0.25">
      <c r="A6145" s="189" t="str">
        <f t="shared" si="95"/>
        <v>HO-MD 100 RP2-600.34N</v>
      </c>
      <c r="B6145" s="195" t="s">
        <v>2845</v>
      </c>
      <c r="C6145" s="196">
        <v>0</v>
      </c>
      <c r="D6145" s="196">
        <v>0.34</v>
      </c>
      <c r="E6145" s="195" t="s">
        <v>589</v>
      </c>
      <c r="F6145" s="195" t="s">
        <v>430</v>
      </c>
    </row>
    <row r="6146" spans="1:6" x14ac:dyDescent="0.25">
      <c r="A6146" s="189" t="str">
        <f t="shared" si="95"/>
        <v>HO-MD 100 RP2-700.13N</v>
      </c>
      <c r="B6146" s="195" t="s">
        <v>2846</v>
      </c>
      <c r="C6146" s="196">
        <v>0</v>
      </c>
      <c r="D6146" s="196">
        <v>0.13</v>
      </c>
      <c r="E6146" s="195" t="s">
        <v>589</v>
      </c>
      <c r="F6146" s="195" t="s">
        <v>430</v>
      </c>
    </row>
    <row r="6147" spans="1:6" x14ac:dyDescent="0.25">
      <c r="A6147" s="189" t="str">
        <f t="shared" ref="A6147:A6210" si="96">B6147&amp;C6147&amp;D6147&amp;F6147</f>
        <v>HO-MD 100 RP3-1A00.17S</v>
      </c>
      <c r="B6147" s="195" t="s">
        <v>2847</v>
      </c>
      <c r="C6147" s="196">
        <v>0</v>
      </c>
      <c r="D6147" s="196">
        <v>0.17</v>
      </c>
      <c r="E6147" s="195" t="s">
        <v>595</v>
      </c>
      <c r="F6147" s="195" t="s">
        <v>438</v>
      </c>
    </row>
    <row r="6148" spans="1:6" x14ac:dyDescent="0.25">
      <c r="A6148" s="189" t="str">
        <f t="shared" si="96"/>
        <v>HO-MD 100 RP3-400.02N</v>
      </c>
      <c r="B6148" s="195" t="s">
        <v>2848</v>
      </c>
      <c r="C6148" s="196">
        <v>0</v>
      </c>
      <c r="D6148" s="196">
        <v>0.02</v>
      </c>
      <c r="E6148" s="195" t="s">
        <v>589</v>
      </c>
      <c r="F6148" s="195" t="s">
        <v>430</v>
      </c>
    </row>
    <row r="6149" spans="1:6" x14ac:dyDescent="0.25">
      <c r="A6149" s="189" t="str">
        <f t="shared" si="96"/>
        <v>HO-MD 100 RP3-600.27S</v>
      </c>
      <c r="B6149" s="195" t="s">
        <v>2849</v>
      </c>
      <c r="C6149" s="196">
        <v>0</v>
      </c>
      <c r="D6149" s="196">
        <v>0.27</v>
      </c>
      <c r="E6149" s="195" t="s">
        <v>595</v>
      </c>
      <c r="F6149" s="195" t="s">
        <v>438</v>
      </c>
    </row>
    <row r="6150" spans="1:6" x14ac:dyDescent="0.25">
      <c r="A6150" s="189" t="str">
        <f t="shared" si="96"/>
        <v>HO-MD 100 RP4-200.03N</v>
      </c>
      <c r="B6150" s="195" t="s">
        <v>2850</v>
      </c>
      <c r="C6150" s="196">
        <v>0</v>
      </c>
      <c r="D6150" s="196">
        <v>0.03</v>
      </c>
      <c r="E6150" s="195" t="s">
        <v>589</v>
      </c>
      <c r="F6150" s="195" t="s">
        <v>430</v>
      </c>
    </row>
    <row r="6151" spans="1:6" x14ac:dyDescent="0.25">
      <c r="A6151" s="189" t="str">
        <f t="shared" si="96"/>
        <v>HO-MD 100 RP4-400.04N</v>
      </c>
      <c r="B6151" s="195" t="s">
        <v>2851</v>
      </c>
      <c r="C6151" s="196">
        <v>0</v>
      </c>
      <c r="D6151" s="196">
        <v>0.04</v>
      </c>
      <c r="E6151" s="195" t="s">
        <v>589</v>
      </c>
      <c r="F6151" s="195" t="s">
        <v>430</v>
      </c>
    </row>
    <row r="6152" spans="1:6" x14ac:dyDescent="0.25">
      <c r="A6152" s="189" t="str">
        <f t="shared" si="96"/>
        <v>HO-MD 100 RP4-600.36E</v>
      </c>
      <c r="B6152" s="195" t="s">
        <v>2852</v>
      </c>
      <c r="C6152" s="196">
        <v>0</v>
      </c>
      <c r="D6152" s="196">
        <v>0.36</v>
      </c>
      <c r="E6152" s="195" t="s">
        <v>598</v>
      </c>
      <c r="F6152" s="195" t="s">
        <v>19</v>
      </c>
    </row>
    <row r="6153" spans="1:6" x14ac:dyDescent="0.25">
      <c r="A6153" s="189" t="str">
        <f t="shared" si="96"/>
        <v>HO-MD 100 RP4-700.13S</v>
      </c>
      <c r="B6153" s="195" t="s">
        <v>2853</v>
      </c>
      <c r="C6153" s="196">
        <v>0</v>
      </c>
      <c r="D6153" s="196">
        <v>0.13</v>
      </c>
      <c r="E6153" s="195" t="s">
        <v>595</v>
      </c>
      <c r="F6153" s="195" t="s">
        <v>438</v>
      </c>
    </row>
    <row r="6154" spans="1:6" x14ac:dyDescent="0.25">
      <c r="A6154" s="189" t="str">
        <f t="shared" si="96"/>
        <v>HO-MD 100 RP5-1A00.23E</v>
      </c>
      <c r="B6154" s="195" t="s">
        <v>2854</v>
      </c>
      <c r="C6154" s="196">
        <v>0</v>
      </c>
      <c r="D6154" s="196">
        <v>0.23</v>
      </c>
      <c r="E6154" s="195" t="s">
        <v>598</v>
      </c>
      <c r="F6154" s="195" t="s">
        <v>19</v>
      </c>
    </row>
    <row r="6155" spans="1:6" x14ac:dyDescent="0.25">
      <c r="A6155" s="189" t="str">
        <f t="shared" si="96"/>
        <v>HO-MD 100 RP5-1C00.02S</v>
      </c>
      <c r="B6155" s="195" t="s">
        <v>2855</v>
      </c>
      <c r="C6155" s="196">
        <v>0</v>
      </c>
      <c r="D6155" s="196">
        <v>0.02</v>
      </c>
      <c r="E6155" s="195" t="s">
        <v>595</v>
      </c>
      <c r="F6155" s="195" t="s">
        <v>438</v>
      </c>
    </row>
    <row r="6156" spans="1:6" x14ac:dyDescent="0.25">
      <c r="A6156" s="189" t="str">
        <f t="shared" si="96"/>
        <v>HO-MD 100 RP5-200.17N</v>
      </c>
      <c r="B6156" s="195" t="s">
        <v>2856</v>
      </c>
      <c r="C6156" s="196">
        <v>0</v>
      </c>
      <c r="D6156" s="196">
        <v>0.17</v>
      </c>
      <c r="E6156" s="195" t="s">
        <v>589</v>
      </c>
      <c r="F6156" s="195" t="s">
        <v>430</v>
      </c>
    </row>
    <row r="6157" spans="1:6" x14ac:dyDescent="0.25">
      <c r="A6157" s="189" t="str">
        <f t="shared" si="96"/>
        <v>HO-MD 100 RP5-300.25N</v>
      </c>
      <c r="B6157" s="195" t="s">
        <v>2857</v>
      </c>
      <c r="C6157" s="196">
        <v>0</v>
      </c>
      <c r="D6157" s="196">
        <v>0.25</v>
      </c>
      <c r="E6157" s="195" t="s">
        <v>589</v>
      </c>
      <c r="F6157" s="195" t="s">
        <v>430</v>
      </c>
    </row>
    <row r="6158" spans="1:6" x14ac:dyDescent="0.25">
      <c r="A6158" s="189" t="str">
        <f t="shared" si="96"/>
        <v>HO-MD 100 RP5-400.14N</v>
      </c>
      <c r="B6158" s="195" t="s">
        <v>2858</v>
      </c>
      <c r="C6158" s="196">
        <v>0</v>
      </c>
      <c r="D6158" s="196">
        <v>0.14000000000000001</v>
      </c>
      <c r="E6158" s="195" t="s">
        <v>589</v>
      </c>
      <c r="F6158" s="195" t="s">
        <v>430</v>
      </c>
    </row>
    <row r="6159" spans="1:6" x14ac:dyDescent="0.25">
      <c r="A6159" s="189" t="str">
        <f t="shared" si="96"/>
        <v>HO-MD 100 RP5-600.11E</v>
      </c>
      <c r="B6159" s="195" t="s">
        <v>2859</v>
      </c>
      <c r="C6159" s="196">
        <v>0</v>
      </c>
      <c r="D6159" s="196">
        <v>0.11</v>
      </c>
      <c r="E6159" s="195" t="s">
        <v>598</v>
      </c>
      <c r="F6159" s="195" t="s">
        <v>19</v>
      </c>
    </row>
    <row r="6160" spans="1:6" x14ac:dyDescent="0.25">
      <c r="A6160" s="189" t="str">
        <f t="shared" si="96"/>
        <v>HO-MD 100 RP6-1A00.03W</v>
      </c>
      <c r="B6160" s="195" t="s">
        <v>2860</v>
      </c>
      <c r="C6160" s="196">
        <v>0</v>
      </c>
      <c r="D6160" s="196">
        <v>0.03</v>
      </c>
      <c r="E6160" s="195" t="s">
        <v>593</v>
      </c>
      <c r="F6160" s="195" t="s">
        <v>432</v>
      </c>
    </row>
    <row r="6161" spans="1:6" x14ac:dyDescent="0.25">
      <c r="A6161" s="189" t="str">
        <f t="shared" si="96"/>
        <v>HO-MD 100 RP6-1B00.18S</v>
      </c>
      <c r="B6161" s="195" t="s">
        <v>2861</v>
      </c>
      <c r="C6161" s="196">
        <v>0</v>
      </c>
      <c r="D6161" s="196">
        <v>0.18</v>
      </c>
      <c r="E6161" s="195" t="s">
        <v>595</v>
      </c>
      <c r="F6161" s="195" t="s">
        <v>438</v>
      </c>
    </row>
    <row r="6162" spans="1:6" x14ac:dyDescent="0.25">
      <c r="A6162" s="189" t="str">
        <f t="shared" si="96"/>
        <v>HO-MD 100 RP6-1C00.02S</v>
      </c>
      <c r="B6162" s="195" t="s">
        <v>2862</v>
      </c>
      <c r="C6162" s="196">
        <v>0</v>
      </c>
      <c r="D6162" s="196">
        <v>0.02</v>
      </c>
      <c r="E6162" s="195" t="s">
        <v>595</v>
      </c>
      <c r="F6162" s="195" t="s">
        <v>438</v>
      </c>
    </row>
    <row r="6163" spans="1:6" x14ac:dyDescent="0.25">
      <c r="A6163" s="189" t="str">
        <f t="shared" si="96"/>
        <v>HO-MD 100 RP6-200.18N</v>
      </c>
      <c r="B6163" s="195" t="s">
        <v>2863</v>
      </c>
      <c r="C6163" s="196">
        <v>0</v>
      </c>
      <c r="D6163" s="196">
        <v>0.18</v>
      </c>
      <c r="E6163" s="195" t="s">
        <v>589</v>
      </c>
      <c r="F6163" s="195" t="s">
        <v>430</v>
      </c>
    </row>
    <row r="6164" spans="1:6" x14ac:dyDescent="0.25">
      <c r="A6164" s="189" t="str">
        <f t="shared" si="96"/>
        <v>HO-MD 100 RP6-300.28N</v>
      </c>
      <c r="B6164" s="195" t="s">
        <v>2864</v>
      </c>
      <c r="C6164" s="196">
        <v>0</v>
      </c>
      <c r="D6164" s="196">
        <v>0.28000000000000003</v>
      </c>
      <c r="E6164" s="195" t="s">
        <v>589</v>
      </c>
      <c r="F6164" s="195" t="s">
        <v>430</v>
      </c>
    </row>
    <row r="6165" spans="1:6" x14ac:dyDescent="0.25">
      <c r="A6165" s="189" t="str">
        <f t="shared" si="96"/>
        <v>HO-MD 100 RP6-400.25N</v>
      </c>
      <c r="B6165" s="195" t="s">
        <v>2865</v>
      </c>
      <c r="C6165" s="196">
        <v>0</v>
      </c>
      <c r="D6165" s="196">
        <v>0.25</v>
      </c>
      <c r="E6165" s="195" t="s">
        <v>589</v>
      </c>
      <c r="F6165" s="195" t="s">
        <v>430</v>
      </c>
    </row>
    <row r="6166" spans="1:6" x14ac:dyDescent="0.25">
      <c r="A6166" s="189" t="str">
        <f t="shared" si="96"/>
        <v>HO-MD 100 RP6-600.24S</v>
      </c>
      <c r="B6166" s="195" t="s">
        <v>2866</v>
      </c>
      <c r="C6166" s="196">
        <v>0</v>
      </c>
      <c r="D6166" s="196">
        <v>0.24</v>
      </c>
      <c r="E6166" s="195" t="s">
        <v>595</v>
      </c>
      <c r="F6166" s="195" t="s">
        <v>438</v>
      </c>
    </row>
    <row r="6167" spans="1:6" x14ac:dyDescent="0.25">
      <c r="A6167" s="189" t="str">
        <f t="shared" si="96"/>
        <v>HO-MD 100 RP6-700.16S</v>
      </c>
      <c r="B6167" s="195" t="s">
        <v>2867</v>
      </c>
      <c r="C6167" s="196">
        <v>0</v>
      </c>
      <c r="D6167" s="196">
        <v>0.16</v>
      </c>
      <c r="E6167" s="195" t="s">
        <v>595</v>
      </c>
      <c r="F6167" s="195" t="s">
        <v>438</v>
      </c>
    </row>
    <row r="6168" spans="1:6" x14ac:dyDescent="0.25">
      <c r="A6168" s="189" t="str">
        <f t="shared" si="96"/>
        <v>HO-MD 100 RP7-1A00.01W</v>
      </c>
      <c r="B6168" s="195" t="s">
        <v>2868</v>
      </c>
      <c r="C6168" s="196">
        <v>0</v>
      </c>
      <c r="D6168" s="196">
        <v>0.01</v>
      </c>
      <c r="E6168" s="195" t="s">
        <v>593</v>
      </c>
      <c r="F6168" s="195" t="s">
        <v>432</v>
      </c>
    </row>
    <row r="6169" spans="1:6" x14ac:dyDescent="0.25">
      <c r="A6169" s="189" t="str">
        <f t="shared" si="96"/>
        <v>HO-MD 100 RP7-1B00.14N</v>
      </c>
      <c r="B6169" s="195" t="s">
        <v>2869</v>
      </c>
      <c r="C6169" s="196">
        <v>0</v>
      </c>
      <c r="D6169" s="196">
        <v>0.14000000000000001</v>
      </c>
      <c r="E6169" s="195" t="s">
        <v>589</v>
      </c>
      <c r="F6169" s="195" t="s">
        <v>430</v>
      </c>
    </row>
    <row r="6170" spans="1:6" x14ac:dyDescent="0.25">
      <c r="A6170" s="189" t="str">
        <f t="shared" si="96"/>
        <v>HO-MD 100 RP7-400.02N</v>
      </c>
      <c r="B6170" s="195" t="s">
        <v>2870</v>
      </c>
      <c r="C6170" s="196">
        <v>0</v>
      </c>
      <c r="D6170" s="196">
        <v>0.02</v>
      </c>
      <c r="E6170" s="195" t="s">
        <v>589</v>
      </c>
      <c r="F6170" s="195" t="s">
        <v>430</v>
      </c>
    </row>
    <row r="6171" spans="1:6" x14ac:dyDescent="0.25">
      <c r="A6171" s="189" t="str">
        <f t="shared" si="96"/>
        <v>HO-MD 100 RP7-600.04W</v>
      </c>
      <c r="B6171" s="195" t="s">
        <v>2871</v>
      </c>
      <c r="C6171" s="196">
        <v>0</v>
      </c>
      <c r="D6171" s="196">
        <v>0.04</v>
      </c>
      <c r="E6171" s="195" t="s">
        <v>593</v>
      </c>
      <c r="F6171" s="195" t="s">
        <v>432</v>
      </c>
    </row>
    <row r="6172" spans="1:6" x14ac:dyDescent="0.25">
      <c r="A6172" s="189" t="str">
        <f t="shared" si="96"/>
        <v>HO-MD 100 RP8-1B00.19N</v>
      </c>
      <c r="B6172" s="195" t="s">
        <v>2872</v>
      </c>
      <c r="C6172" s="196">
        <v>0</v>
      </c>
      <c r="D6172" s="196">
        <v>0.19</v>
      </c>
      <c r="E6172" s="195" t="s">
        <v>589</v>
      </c>
      <c r="F6172" s="195" t="s">
        <v>430</v>
      </c>
    </row>
    <row r="6173" spans="1:6" x14ac:dyDescent="0.25">
      <c r="A6173" s="189" t="str">
        <f t="shared" si="96"/>
        <v>HO-MD 100 RP8-200.33N</v>
      </c>
      <c r="B6173" s="195" t="s">
        <v>2873</v>
      </c>
      <c r="C6173" s="196">
        <v>0</v>
      </c>
      <c r="D6173" s="196">
        <v>0.33</v>
      </c>
      <c r="E6173" s="195" t="s">
        <v>589</v>
      </c>
      <c r="F6173" s="195" t="s">
        <v>430</v>
      </c>
    </row>
    <row r="6174" spans="1:6" x14ac:dyDescent="0.25">
      <c r="A6174" s="189" t="str">
        <f t="shared" si="96"/>
        <v>HO-MD 100 RP8-300.17N</v>
      </c>
      <c r="B6174" s="195" t="s">
        <v>2874</v>
      </c>
      <c r="C6174" s="196">
        <v>0</v>
      </c>
      <c r="D6174" s="196">
        <v>0.17</v>
      </c>
      <c r="E6174" s="195" t="s">
        <v>589</v>
      </c>
      <c r="F6174" s="195" t="s">
        <v>430</v>
      </c>
    </row>
    <row r="6175" spans="1:6" x14ac:dyDescent="0.25">
      <c r="A6175" s="189" t="str">
        <f t="shared" si="96"/>
        <v>HO-MD 100 RP8-400.24N</v>
      </c>
      <c r="B6175" s="195" t="s">
        <v>2875</v>
      </c>
      <c r="C6175" s="196">
        <v>0</v>
      </c>
      <c r="D6175" s="196">
        <v>0.24</v>
      </c>
      <c r="E6175" s="195" t="s">
        <v>589</v>
      </c>
      <c r="F6175" s="195" t="s">
        <v>430</v>
      </c>
    </row>
    <row r="6176" spans="1:6" x14ac:dyDescent="0.25">
      <c r="A6176" s="189" t="str">
        <f t="shared" si="96"/>
        <v>HO-MD 100 RP8-600.22W</v>
      </c>
      <c r="B6176" s="195" t="s">
        <v>2876</v>
      </c>
      <c r="C6176" s="196">
        <v>0</v>
      </c>
      <c r="D6176" s="196">
        <v>0.22</v>
      </c>
      <c r="E6176" s="195" t="s">
        <v>593</v>
      </c>
      <c r="F6176" s="195" t="s">
        <v>432</v>
      </c>
    </row>
    <row r="6177" spans="1:6" x14ac:dyDescent="0.25">
      <c r="A6177" s="189" t="str">
        <f t="shared" si="96"/>
        <v>HO-MD 100 RP8-700.14N</v>
      </c>
      <c r="B6177" s="195" t="s">
        <v>2877</v>
      </c>
      <c r="C6177" s="196">
        <v>0</v>
      </c>
      <c r="D6177" s="196">
        <v>0.14000000000000001</v>
      </c>
      <c r="E6177" s="195" t="s">
        <v>589</v>
      </c>
      <c r="F6177" s="195" t="s">
        <v>430</v>
      </c>
    </row>
    <row r="6178" spans="1:6" x14ac:dyDescent="0.25">
      <c r="A6178" s="189" t="str">
        <f t="shared" si="96"/>
        <v>HO-MD 100L00.06N</v>
      </c>
      <c r="B6178" s="195" t="s">
        <v>2878</v>
      </c>
      <c r="C6178" s="196">
        <v>0</v>
      </c>
      <c r="D6178" s="196">
        <v>0.06</v>
      </c>
      <c r="E6178" s="195" t="s">
        <v>589</v>
      </c>
      <c r="F6178" s="195" t="s">
        <v>430</v>
      </c>
    </row>
    <row r="6179" spans="1:6" x14ac:dyDescent="0.25">
      <c r="A6179" s="189" t="str">
        <f t="shared" si="96"/>
        <v>HO-MD 100L00.06S</v>
      </c>
      <c r="B6179" s="195" t="s">
        <v>2878</v>
      </c>
      <c r="C6179" s="196">
        <v>0</v>
      </c>
      <c r="D6179" s="196">
        <v>0.06</v>
      </c>
      <c r="E6179" s="195" t="s">
        <v>595</v>
      </c>
      <c r="F6179" s="195" t="s">
        <v>438</v>
      </c>
    </row>
    <row r="6180" spans="1:6" x14ac:dyDescent="0.25">
      <c r="A6180" s="189" t="str">
        <f t="shared" si="96"/>
        <v>HO-MD 100M00.14N</v>
      </c>
      <c r="B6180" s="195" t="s">
        <v>2879</v>
      </c>
      <c r="C6180" s="196">
        <v>0</v>
      </c>
      <c r="D6180" s="196">
        <v>0.14000000000000001</v>
      </c>
      <c r="E6180" s="195" t="s">
        <v>589</v>
      </c>
      <c r="F6180" s="195" t="s">
        <v>430</v>
      </c>
    </row>
    <row r="6181" spans="1:6" x14ac:dyDescent="0.25">
      <c r="A6181" s="189" t="str">
        <f t="shared" si="96"/>
        <v>HO-MD 100M00.14S</v>
      </c>
      <c r="B6181" s="195" t="s">
        <v>2879</v>
      </c>
      <c r="C6181" s="196">
        <v>0</v>
      </c>
      <c r="D6181" s="196">
        <v>0.14000000000000001</v>
      </c>
      <c r="E6181" s="195" t="s">
        <v>595</v>
      </c>
      <c r="F6181" s="195" t="s">
        <v>438</v>
      </c>
    </row>
    <row r="6182" spans="1:6" x14ac:dyDescent="0.25">
      <c r="A6182" s="189" t="str">
        <f t="shared" si="96"/>
        <v>HO-MD 100V00.04E</v>
      </c>
      <c r="B6182" s="195" t="s">
        <v>2880</v>
      </c>
      <c r="C6182" s="196">
        <v>0</v>
      </c>
      <c r="D6182" s="196">
        <v>0.04</v>
      </c>
      <c r="E6182" s="195" t="s">
        <v>598</v>
      </c>
      <c r="F6182" s="195" t="s">
        <v>19</v>
      </c>
    </row>
    <row r="6183" spans="1:6" x14ac:dyDescent="0.25">
      <c r="A6183" s="189" t="str">
        <f t="shared" si="96"/>
        <v>HO-MD 100V00.04W</v>
      </c>
      <c r="B6183" s="195" t="s">
        <v>2880</v>
      </c>
      <c r="C6183" s="196">
        <v>0</v>
      </c>
      <c r="D6183" s="196">
        <v>0.04</v>
      </c>
      <c r="E6183" s="195" t="s">
        <v>593</v>
      </c>
      <c r="F6183" s="195" t="s">
        <v>432</v>
      </c>
    </row>
    <row r="6184" spans="1:6" x14ac:dyDescent="0.25">
      <c r="A6184" s="189" t="str">
        <f t="shared" si="96"/>
        <v>HO-MD 100X00.1N</v>
      </c>
      <c r="B6184" s="195" t="s">
        <v>2881</v>
      </c>
      <c r="C6184" s="196">
        <v>0</v>
      </c>
      <c r="D6184" s="196">
        <v>0.1</v>
      </c>
      <c r="E6184" s="195" t="s">
        <v>589</v>
      </c>
      <c r="F6184" s="195" t="s">
        <v>430</v>
      </c>
    </row>
    <row r="6185" spans="1:6" x14ac:dyDescent="0.25">
      <c r="A6185" s="189" t="str">
        <f t="shared" si="96"/>
        <v>HO-MD 100X00.1S</v>
      </c>
      <c r="B6185" s="195" t="s">
        <v>2881</v>
      </c>
      <c r="C6185" s="196">
        <v>0</v>
      </c>
      <c r="D6185" s="196">
        <v>0.1</v>
      </c>
      <c r="E6185" s="195" t="s">
        <v>595</v>
      </c>
      <c r="F6185" s="195" t="s">
        <v>438</v>
      </c>
    </row>
    <row r="6186" spans="1:6" x14ac:dyDescent="0.25">
      <c r="A6186" s="189" t="str">
        <f t="shared" si="96"/>
        <v>HO-MD 10300.6N</v>
      </c>
      <c r="B6186" s="195" t="s">
        <v>553</v>
      </c>
      <c r="C6186" s="196">
        <v>0</v>
      </c>
      <c r="D6186" s="196">
        <v>0.6</v>
      </c>
      <c r="E6186" s="195" t="s">
        <v>583</v>
      </c>
      <c r="F6186" s="195" t="s">
        <v>430</v>
      </c>
    </row>
    <row r="6187" spans="1:6" x14ac:dyDescent="0.25">
      <c r="A6187" s="189" t="str">
        <f t="shared" si="96"/>
        <v>HO-MD 10300.6S</v>
      </c>
      <c r="B6187" s="195" t="s">
        <v>553</v>
      </c>
      <c r="C6187" s="196">
        <v>0</v>
      </c>
      <c r="D6187" s="196">
        <v>0.6</v>
      </c>
      <c r="E6187" s="195" t="s">
        <v>583</v>
      </c>
      <c r="F6187" s="195" t="s">
        <v>438</v>
      </c>
    </row>
    <row r="6188" spans="1:6" x14ac:dyDescent="0.25">
      <c r="A6188" s="189" t="str">
        <f t="shared" si="96"/>
        <v>HO-MD 1030.61.15N</v>
      </c>
      <c r="B6188" s="195" t="s">
        <v>553</v>
      </c>
      <c r="C6188" s="196">
        <v>0.6</v>
      </c>
      <c r="D6188" s="196">
        <v>1.1499999999999999</v>
      </c>
      <c r="E6188" s="195" t="s">
        <v>583</v>
      </c>
      <c r="F6188" s="195" t="s">
        <v>430</v>
      </c>
    </row>
    <row r="6189" spans="1:6" x14ac:dyDescent="0.25">
      <c r="A6189" s="189" t="str">
        <f t="shared" si="96"/>
        <v>HO-MD 1030.61.15S</v>
      </c>
      <c r="B6189" s="195" t="s">
        <v>553</v>
      </c>
      <c r="C6189" s="196">
        <v>0.6</v>
      </c>
      <c r="D6189" s="196">
        <v>1.1499999999999999</v>
      </c>
      <c r="E6189" s="195" t="s">
        <v>583</v>
      </c>
      <c r="F6189" s="195" t="s">
        <v>438</v>
      </c>
    </row>
    <row r="6190" spans="1:6" x14ac:dyDescent="0.25">
      <c r="A6190" s="189" t="str">
        <f t="shared" si="96"/>
        <v>HO-MD 1031.151.17N</v>
      </c>
      <c r="B6190" s="195" t="s">
        <v>553</v>
      </c>
      <c r="C6190" s="196">
        <v>1.1499999999999999</v>
      </c>
      <c r="D6190" s="196">
        <v>1.17</v>
      </c>
      <c r="E6190" s="195" t="s">
        <v>583</v>
      </c>
      <c r="F6190" s="195" t="s">
        <v>430</v>
      </c>
    </row>
    <row r="6191" spans="1:6" x14ac:dyDescent="0.25">
      <c r="A6191" s="189" t="str">
        <f t="shared" si="96"/>
        <v>HO-MD 1031.151.17S</v>
      </c>
      <c r="B6191" s="195" t="s">
        <v>553</v>
      </c>
      <c r="C6191" s="196">
        <v>1.1499999999999999</v>
      </c>
      <c r="D6191" s="196">
        <v>1.17</v>
      </c>
      <c r="E6191" s="195" t="s">
        <v>583</v>
      </c>
      <c r="F6191" s="195" t="s">
        <v>438</v>
      </c>
    </row>
    <row r="6192" spans="1:6" x14ac:dyDescent="0.25">
      <c r="A6192" s="189" t="str">
        <f t="shared" si="96"/>
        <v>HO-MD 1031.171.69N</v>
      </c>
      <c r="B6192" s="195" t="s">
        <v>553</v>
      </c>
      <c r="C6192" s="196">
        <v>1.17</v>
      </c>
      <c r="D6192" s="196">
        <v>1.69</v>
      </c>
      <c r="E6192" s="195" t="s">
        <v>583</v>
      </c>
      <c r="F6192" s="195" t="s">
        <v>430</v>
      </c>
    </row>
    <row r="6193" spans="1:6" x14ac:dyDescent="0.25">
      <c r="A6193" s="189" t="str">
        <f t="shared" si="96"/>
        <v>HO-MD 1031.171.69S</v>
      </c>
      <c r="B6193" s="195" t="s">
        <v>553</v>
      </c>
      <c r="C6193" s="196">
        <v>1.17</v>
      </c>
      <c r="D6193" s="196">
        <v>1.69</v>
      </c>
      <c r="E6193" s="195" t="s">
        <v>583</v>
      </c>
      <c r="F6193" s="195" t="s">
        <v>438</v>
      </c>
    </row>
    <row r="6194" spans="1:6" x14ac:dyDescent="0.25">
      <c r="A6194" s="189" t="str">
        <f t="shared" si="96"/>
        <v>HO-MD 1031.692.81S</v>
      </c>
      <c r="B6194" s="195" t="s">
        <v>553</v>
      </c>
      <c r="C6194" s="196">
        <v>1.69</v>
      </c>
      <c r="D6194" s="196">
        <v>2.81</v>
      </c>
      <c r="E6194" s="195" t="s">
        <v>595</v>
      </c>
      <c r="F6194" s="195" t="s">
        <v>438</v>
      </c>
    </row>
    <row r="6195" spans="1:6" x14ac:dyDescent="0.25">
      <c r="A6195" s="189" t="str">
        <f t="shared" si="96"/>
        <v>HO-MD 1031.693.4N</v>
      </c>
      <c r="B6195" s="195" t="s">
        <v>553</v>
      </c>
      <c r="C6195" s="196">
        <v>1.69</v>
      </c>
      <c r="D6195" s="196">
        <v>3.4</v>
      </c>
      <c r="E6195" s="195" t="s">
        <v>589</v>
      </c>
      <c r="F6195" s="195" t="s">
        <v>430</v>
      </c>
    </row>
    <row r="6196" spans="1:6" x14ac:dyDescent="0.25">
      <c r="A6196" s="189" t="str">
        <f t="shared" si="96"/>
        <v>HO-MD 1032.813.55S</v>
      </c>
      <c r="B6196" s="195" t="s">
        <v>553</v>
      </c>
      <c r="C6196" s="196">
        <v>2.81</v>
      </c>
      <c r="D6196" s="196">
        <v>3.55</v>
      </c>
      <c r="E6196" s="195" t="s">
        <v>595</v>
      </c>
      <c r="F6196" s="195" t="s">
        <v>438</v>
      </c>
    </row>
    <row r="6197" spans="1:6" x14ac:dyDescent="0.25">
      <c r="A6197" s="189" t="str">
        <f t="shared" si="96"/>
        <v>HO-MD 1033.43.75N</v>
      </c>
      <c r="B6197" s="195" t="s">
        <v>553</v>
      </c>
      <c r="C6197" s="196">
        <v>3.4</v>
      </c>
      <c r="D6197" s="196">
        <v>3.75</v>
      </c>
      <c r="E6197" s="195" t="s">
        <v>589</v>
      </c>
      <c r="F6197" s="195" t="s">
        <v>430</v>
      </c>
    </row>
    <row r="6198" spans="1:6" x14ac:dyDescent="0.25">
      <c r="A6198" s="189" t="str">
        <f t="shared" si="96"/>
        <v>HO-MD 1033.553.75S</v>
      </c>
      <c r="B6198" s="195" t="s">
        <v>553</v>
      </c>
      <c r="C6198" s="196">
        <v>3.55</v>
      </c>
      <c r="D6198" s="196">
        <v>3.75</v>
      </c>
      <c r="E6198" s="195" t="s">
        <v>595</v>
      </c>
      <c r="F6198" s="195" t="s">
        <v>438</v>
      </c>
    </row>
    <row r="6199" spans="1:6" x14ac:dyDescent="0.25">
      <c r="A6199" s="189" t="str">
        <f t="shared" si="96"/>
        <v>HO-MD 1033.756.71N</v>
      </c>
      <c r="B6199" s="195" t="s">
        <v>553</v>
      </c>
      <c r="C6199" s="196">
        <v>3.75</v>
      </c>
      <c r="D6199" s="196">
        <v>6.71</v>
      </c>
      <c r="E6199" s="195" t="s">
        <v>589</v>
      </c>
      <c r="F6199" s="195" t="s">
        <v>430</v>
      </c>
    </row>
    <row r="6200" spans="1:6" x14ac:dyDescent="0.25">
      <c r="A6200" s="189" t="str">
        <f t="shared" si="96"/>
        <v>HO-MD 1033.756.75S</v>
      </c>
      <c r="B6200" s="195" t="s">
        <v>553</v>
      </c>
      <c r="C6200" s="196">
        <v>3.75</v>
      </c>
      <c r="D6200" s="196">
        <v>6.75</v>
      </c>
      <c r="E6200" s="195" t="s">
        <v>595</v>
      </c>
      <c r="F6200" s="195" t="s">
        <v>438</v>
      </c>
    </row>
    <row r="6201" spans="1:6" x14ac:dyDescent="0.25">
      <c r="A6201" s="189" t="str">
        <f t="shared" si="96"/>
        <v>HO-MD 1036.717.2N</v>
      </c>
      <c r="B6201" s="195" t="s">
        <v>553</v>
      </c>
      <c r="C6201" s="196">
        <v>6.71</v>
      </c>
      <c r="D6201" s="196">
        <v>7.2</v>
      </c>
      <c r="E6201" s="195" t="s">
        <v>589</v>
      </c>
      <c r="F6201" s="195" t="s">
        <v>430</v>
      </c>
    </row>
    <row r="6202" spans="1:6" x14ac:dyDescent="0.25">
      <c r="A6202" s="189" t="str">
        <f t="shared" si="96"/>
        <v>HO-MD 1036.757.2S</v>
      </c>
      <c r="B6202" s="195" t="s">
        <v>553</v>
      </c>
      <c r="C6202" s="196">
        <v>6.75</v>
      </c>
      <c r="D6202" s="196">
        <v>7.2</v>
      </c>
      <c r="E6202" s="195" t="s">
        <v>595</v>
      </c>
      <c r="F6202" s="195" t="s">
        <v>438</v>
      </c>
    </row>
    <row r="6203" spans="1:6" x14ac:dyDescent="0.25">
      <c r="A6203" s="189" t="str">
        <f t="shared" si="96"/>
        <v>HO-MD 1037.27.31N</v>
      </c>
      <c r="B6203" s="195" t="s">
        <v>553</v>
      </c>
      <c r="C6203" s="196">
        <v>7.2</v>
      </c>
      <c r="D6203" s="196">
        <v>7.31</v>
      </c>
      <c r="E6203" s="195" t="s">
        <v>583</v>
      </c>
      <c r="F6203" s="195" t="s">
        <v>430</v>
      </c>
    </row>
    <row r="6204" spans="1:6" x14ac:dyDescent="0.25">
      <c r="A6204" s="189" t="str">
        <f t="shared" si="96"/>
        <v>HO-MD 1037.27.31S</v>
      </c>
      <c r="B6204" s="195" t="s">
        <v>553</v>
      </c>
      <c r="C6204" s="196">
        <v>7.2</v>
      </c>
      <c r="D6204" s="196">
        <v>7.31</v>
      </c>
      <c r="E6204" s="195" t="s">
        <v>583</v>
      </c>
      <c r="F6204" s="195" t="s">
        <v>438</v>
      </c>
    </row>
    <row r="6205" spans="1:6" x14ac:dyDescent="0.25">
      <c r="A6205" s="189" t="str">
        <f t="shared" si="96"/>
        <v>HO-MD 1037.317.46N</v>
      </c>
      <c r="B6205" s="195" t="s">
        <v>553</v>
      </c>
      <c r="C6205" s="196">
        <v>7.31</v>
      </c>
      <c r="D6205" s="196">
        <v>7.46</v>
      </c>
      <c r="E6205" s="195" t="s">
        <v>583</v>
      </c>
      <c r="F6205" s="195" t="s">
        <v>430</v>
      </c>
    </row>
    <row r="6206" spans="1:6" x14ac:dyDescent="0.25">
      <c r="A6206" s="189" t="str">
        <f t="shared" si="96"/>
        <v>HO-MD 1037.317.46S</v>
      </c>
      <c r="B6206" s="195" t="s">
        <v>553</v>
      </c>
      <c r="C6206" s="196">
        <v>7.31</v>
      </c>
      <c r="D6206" s="196">
        <v>7.46</v>
      </c>
      <c r="E6206" s="195" t="s">
        <v>583</v>
      </c>
      <c r="F6206" s="195" t="s">
        <v>438</v>
      </c>
    </row>
    <row r="6207" spans="1:6" x14ac:dyDescent="0.25">
      <c r="A6207" s="189" t="str">
        <f t="shared" si="96"/>
        <v>HO-MD 103A00.11N</v>
      </c>
      <c r="B6207" s="195" t="s">
        <v>2882</v>
      </c>
      <c r="C6207" s="196">
        <v>0</v>
      </c>
      <c r="D6207" s="196">
        <v>0.11</v>
      </c>
      <c r="E6207" s="195" t="s">
        <v>589</v>
      </c>
      <c r="F6207" s="195" t="s">
        <v>430</v>
      </c>
    </row>
    <row r="6208" spans="1:6" x14ac:dyDescent="0.25">
      <c r="A6208" s="189" t="str">
        <f t="shared" si="96"/>
        <v>HO-MD 103A00.11S</v>
      </c>
      <c r="B6208" s="195" t="s">
        <v>2882</v>
      </c>
      <c r="C6208" s="196">
        <v>0</v>
      </c>
      <c r="D6208" s="196">
        <v>0.11</v>
      </c>
      <c r="E6208" s="195" t="s">
        <v>595</v>
      </c>
      <c r="F6208" s="195" t="s">
        <v>438</v>
      </c>
    </row>
    <row r="6209" spans="1:6" x14ac:dyDescent="0.25">
      <c r="A6209" s="189" t="str">
        <f t="shared" si="96"/>
        <v>HO-MD 103C00.07W</v>
      </c>
      <c r="B6209" s="195" t="s">
        <v>2883</v>
      </c>
      <c r="C6209" s="196">
        <v>0</v>
      </c>
      <c r="D6209" s="196">
        <v>7.0000000000000007E-2</v>
      </c>
      <c r="E6209" s="195" t="s">
        <v>593</v>
      </c>
      <c r="F6209" s="195" t="s">
        <v>432</v>
      </c>
    </row>
    <row r="6210" spans="1:6" x14ac:dyDescent="0.25">
      <c r="A6210" s="189" t="str">
        <f t="shared" si="96"/>
        <v>HO-MD 103C00.09E</v>
      </c>
      <c r="B6210" s="195" t="s">
        <v>2883</v>
      </c>
      <c r="C6210" s="196">
        <v>0</v>
      </c>
      <c r="D6210" s="196">
        <v>0.09</v>
      </c>
      <c r="E6210" s="195" t="s">
        <v>598</v>
      </c>
      <c r="F6210" s="195" t="s">
        <v>19</v>
      </c>
    </row>
    <row r="6211" spans="1:6" x14ac:dyDescent="0.25">
      <c r="A6211" s="189" t="str">
        <f t="shared" ref="A6211:A6274" si="97">B6211&amp;C6211&amp;D6211&amp;F6211</f>
        <v>HO-MD 10400.25N</v>
      </c>
      <c r="B6211" s="195" t="s">
        <v>2884</v>
      </c>
      <c r="C6211" s="196">
        <v>0</v>
      </c>
      <c r="D6211" s="196">
        <v>0.25</v>
      </c>
      <c r="E6211" s="195" t="s">
        <v>583</v>
      </c>
      <c r="F6211" s="195" t="s">
        <v>430</v>
      </c>
    </row>
    <row r="6212" spans="1:6" x14ac:dyDescent="0.25">
      <c r="A6212" s="189" t="str">
        <f t="shared" si="97"/>
        <v>HO-MD 10400.25S</v>
      </c>
      <c r="B6212" s="195" t="s">
        <v>2884</v>
      </c>
      <c r="C6212" s="196">
        <v>0</v>
      </c>
      <c r="D6212" s="196">
        <v>0.25</v>
      </c>
      <c r="E6212" s="195" t="s">
        <v>583</v>
      </c>
      <c r="F6212" s="195" t="s">
        <v>438</v>
      </c>
    </row>
    <row r="6213" spans="1:6" x14ac:dyDescent="0.25">
      <c r="A6213" s="189" t="str">
        <f t="shared" si="97"/>
        <v>HO-MD 1040.251.14N</v>
      </c>
      <c r="B6213" s="195" t="s">
        <v>2884</v>
      </c>
      <c r="C6213" s="196">
        <v>0.25</v>
      </c>
      <c r="D6213" s="196">
        <v>1.1399999999999999</v>
      </c>
      <c r="E6213" s="195" t="s">
        <v>583</v>
      </c>
      <c r="F6213" s="195" t="s">
        <v>430</v>
      </c>
    </row>
    <row r="6214" spans="1:6" x14ac:dyDescent="0.25">
      <c r="A6214" s="189" t="str">
        <f t="shared" si="97"/>
        <v>HO-MD 1040.251.14S</v>
      </c>
      <c r="B6214" s="195" t="s">
        <v>2884</v>
      </c>
      <c r="C6214" s="196">
        <v>0.25</v>
      </c>
      <c r="D6214" s="196">
        <v>1.1399999999999999</v>
      </c>
      <c r="E6214" s="195" t="s">
        <v>583</v>
      </c>
      <c r="F6214" s="195" t="s">
        <v>438</v>
      </c>
    </row>
    <row r="6215" spans="1:6" x14ac:dyDescent="0.25">
      <c r="A6215" s="189" t="str">
        <f t="shared" si="97"/>
        <v>HO-MD 104A00.16N</v>
      </c>
      <c r="B6215" s="195" t="s">
        <v>2885</v>
      </c>
      <c r="C6215" s="196">
        <v>0</v>
      </c>
      <c r="D6215" s="196">
        <v>0.16</v>
      </c>
      <c r="E6215" s="195" t="s">
        <v>589</v>
      </c>
      <c r="F6215" s="195" t="s">
        <v>430</v>
      </c>
    </row>
    <row r="6216" spans="1:6" x14ac:dyDescent="0.25">
      <c r="A6216" s="189" t="str">
        <f t="shared" si="97"/>
        <v>HO-MD 104A00.16S</v>
      </c>
      <c r="B6216" s="195" t="s">
        <v>2885</v>
      </c>
      <c r="C6216" s="196">
        <v>0</v>
      </c>
      <c r="D6216" s="196">
        <v>0.16</v>
      </c>
      <c r="E6216" s="195" t="s">
        <v>595</v>
      </c>
      <c r="F6216" s="195" t="s">
        <v>438</v>
      </c>
    </row>
    <row r="6217" spans="1:6" x14ac:dyDescent="0.25">
      <c r="A6217" s="189" t="str">
        <f t="shared" si="97"/>
        <v>HO-MD 10801.53E</v>
      </c>
      <c r="B6217" s="195" t="s">
        <v>554</v>
      </c>
      <c r="C6217" s="196">
        <v>0</v>
      </c>
      <c r="D6217" s="196">
        <v>1.53</v>
      </c>
      <c r="E6217" s="195" t="s">
        <v>583</v>
      </c>
      <c r="F6217" s="195" t="s">
        <v>19</v>
      </c>
    </row>
    <row r="6218" spans="1:6" x14ac:dyDescent="0.25">
      <c r="A6218" s="189" t="str">
        <f t="shared" si="97"/>
        <v>HO-MD 10801.53W</v>
      </c>
      <c r="B6218" s="195" t="s">
        <v>554</v>
      </c>
      <c r="C6218" s="196">
        <v>0</v>
      </c>
      <c r="D6218" s="196">
        <v>1.53</v>
      </c>
      <c r="E6218" s="195" t="s">
        <v>583</v>
      </c>
      <c r="F6218" s="195" t="s">
        <v>432</v>
      </c>
    </row>
    <row r="6219" spans="1:6" x14ac:dyDescent="0.25">
      <c r="A6219" s="189" t="str">
        <f t="shared" si="97"/>
        <v>HO-MD 1081.531.59E</v>
      </c>
      <c r="B6219" s="195" t="s">
        <v>554</v>
      </c>
      <c r="C6219" s="196">
        <v>1.53</v>
      </c>
      <c r="D6219" s="196">
        <v>1.59</v>
      </c>
      <c r="E6219" s="195" t="s">
        <v>583</v>
      </c>
      <c r="F6219" s="195" t="s">
        <v>19</v>
      </c>
    </row>
    <row r="6220" spans="1:6" x14ac:dyDescent="0.25">
      <c r="A6220" s="189" t="str">
        <f t="shared" si="97"/>
        <v>HO-MD 1081.531.59W</v>
      </c>
      <c r="B6220" s="195" t="s">
        <v>554</v>
      </c>
      <c r="C6220" s="196">
        <v>1.53</v>
      </c>
      <c r="D6220" s="196">
        <v>1.59</v>
      </c>
      <c r="E6220" s="195" t="s">
        <v>583</v>
      </c>
      <c r="F6220" s="195" t="s">
        <v>432</v>
      </c>
    </row>
    <row r="6221" spans="1:6" x14ac:dyDescent="0.25">
      <c r="A6221" s="189" t="str">
        <f t="shared" si="97"/>
        <v>HO-MD 1081.593.35E</v>
      </c>
      <c r="B6221" s="195" t="s">
        <v>554</v>
      </c>
      <c r="C6221" s="196">
        <v>1.59</v>
      </c>
      <c r="D6221" s="196">
        <v>3.35</v>
      </c>
      <c r="E6221" s="195" t="s">
        <v>583</v>
      </c>
      <c r="F6221" s="195" t="s">
        <v>19</v>
      </c>
    </row>
    <row r="6222" spans="1:6" x14ac:dyDescent="0.25">
      <c r="A6222" s="189" t="str">
        <f t="shared" si="97"/>
        <v>HO-MD 1081.593.35W</v>
      </c>
      <c r="B6222" s="195" t="s">
        <v>554</v>
      </c>
      <c r="C6222" s="196">
        <v>1.59</v>
      </c>
      <c r="D6222" s="196">
        <v>3.35</v>
      </c>
      <c r="E6222" s="195" t="s">
        <v>583</v>
      </c>
      <c r="F6222" s="195" t="s">
        <v>432</v>
      </c>
    </row>
    <row r="6223" spans="1:6" x14ac:dyDescent="0.25">
      <c r="A6223" s="189" t="str">
        <f t="shared" si="97"/>
        <v>HO-MD 1083.353.65E</v>
      </c>
      <c r="B6223" s="195" t="s">
        <v>554</v>
      </c>
      <c r="C6223" s="196">
        <v>3.35</v>
      </c>
      <c r="D6223" s="196">
        <v>3.65</v>
      </c>
      <c r="E6223" s="195" t="s">
        <v>583</v>
      </c>
      <c r="F6223" s="195" t="s">
        <v>19</v>
      </c>
    </row>
    <row r="6224" spans="1:6" x14ac:dyDescent="0.25">
      <c r="A6224" s="189" t="str">
        <f t="shared" si="97"/>
        <v>HO-MD 1083.353.65W</v>
      </c>
      <c r="B6224" s="195" t="s">
        <v>554</v>
      </c>
      <c r="C6224" s="196">
        <v>3.35</v>
      </c>
      <c r="D6224" s="196">
        <v>3.65</v>
      </c>
      <c r="E6224" s="195" t="s">
        <v>583</v>
      </c>
      <c r="F6224" s="195" t="s">
        <v>432</v>
      </c>
    </row>
    <row r="6225" spans="1:6" x14ac:dyDescent="0.25">
      <c r="A6225" s="189" t="str">
        <f t="shared" si="97"/>
        <v>HO-MD 1083.653.69E</v>
      </c>
      <c r="B6225" s="195" t="s">
        <v>554</v>
      </c>
      <c r="C6225" s="196">
        <v>3.65</v>
      </c>
      <c r="D6225" s="196">
        <v>3.69</v>
      </c>
      <c r="E6225" s="195" t="s">
        <v>598</v>
      </c>
      <c r="F6225" s="195" t="s">
        <v>19</v>
      </c>
    </row>
    <row r="6226" spans="1:6" x14ac:dyDescent="0.25">
      <c r="A6226" s="189" t="str">
        <f t="shared" si="97"/>
        <v>HO-MD 1083.653.74W</v>
      </c>
      <c r="B6226" s="195" t="s">
        <v>554</v>
      </c>
      <c r="C6226" s="196">
        <v>3.65</v>
      </c>
      <c r="D6226" s="196">
        <v>3.74</v>
      </c>
      <c r="E6226" s="195" t="s">
        <v>593</v>
      </c>
      <c r="F6226" s="195" t="s">
        <v>432</v>
      </c>
    </row>
    <row r="6227" spans="1:6" x14ac:dyDescent="0.25">
      <c r="A6227" s="189" t="str">
        <f t="shared" si="97"/>
        <v>HO-MD 1083.693.74E</v>
      </c>
      <c r="B6227" s="195" t="s">
        <v>554</v>
      </c>
      <c r="C6227" s="196">
        <v>3.69</v>
      </c>
      <c r="D6227" s="196">
        <v>3.74</v>
      </c>
      <c r="E6227" s="195" t="s">
        <v>598</v>
      </c>
      <c r="F6227" s="195" t="s">
        <v>19</v>
      </c>
    </row>
    <row r="6228" spans="1:6" x14ac:dyDescent="0.25">
      <c r="A6228" s="189" t="str">
        <f t="shared" si="97"/>
        <v>HO-MD 1083.743.78E</v>
      </c>
      <c r="B6228" s="195" t="s">
        <v>554</v>
      </c>
      <c r="C6228" s="196">
        <v>3.74</v>
      </c>
      <c r="D6228" s="196">
        <v>3.78</v>
      </c>
      <c r="E6228" s="195" t="s">
        <v>598</v>
      </c>
      <c r="F6228" s="195" t="s">
        <v>19</v>
      </c>
    </row>
    <row r="6229" spans="1:6" x14ac:dyDescent="0.25">
      <c r="A6229" s="189" t="str">
        <f t="shared" si="97"/>
        <v>HO-MD 1083.743.9W</v>
      </c>
      <c r="B6229" s="195" t="s">
        <v>554</v>
      </c>
      <c r="C6229" s="196">
        <v>3.74</v>
      </c>
      <c r="D6229" s="196">
        <v>3.9</v>
      </c>
      <c r="E6229" s="195" t="s">
        <v>593</v>
      </c>
      <c r="F6229" s="195" t="s">
        <v>432</v>
      </c>
    </row>
    <row r="6230" spans="1:6" x14ac:dyDescent="0.25">
      <c r="A6230" s="189" t="str">
        <f t="shared" si="97"/>
        <v>HO-MD 1083.94.22E</v>
      </c>
      <c r="B6230" s="195" t="s">
        <v>554</v>
      </c>
      <c r="C6230" s="196">
        <v>3.9</v>
      </c>
      <c r="D6230" s="196">
        <v>4.22</v>
      </c>
      <c r="E6230" s="195" t="s">
        <v>583</v>
      </c>
      <c r="F6230" s="195" t="s">
        <v>19</v>
      </c>
    </row>
    <row r="6231" spans="1:6" x14ac:dyDescent="0.25">
      <c r="A6231" s="189" t="str">
        <f t="shared" si="97"/>
        <v>HO-MD 1083.94.22W</v>
      </c>
      <c r="B6231" s="195" t="s">
        <v>554</v>
      </c>
      <c r="C6231" s="196">
        <v>3.9</v>
      </c>
      <c r="D6231" s="196">
        <v>4.22</v>
      </c>
      <c r="E6231" s="195" t="s">
        <v>583</v>
      </c>
      <c r="F6231" s="195" t="s">
        <v>432</v>
      </c>
    </row>
    <row r="6232" spans="1:6" x14ac:dyDescent="0.25">
      <c r="A6232" s="189" t="str">
        <f t="shared" si="97"/>
        <v>HO-MD 1084.225.4E</v>
      </c>
      <c r="B6232" s="195" t="s">
        <v>554</v>
      </c>
      <c r="C6232" s="196">
        <v>4.22</v>
      </c>
      <c r="D6232" s="196">
        <v>5.4</v>
      </c>
      <c r="E6232" s="195" t="s">
        <v>583</v>
      </c>
      <c r="F6232" s="195" t="s">
        <v>19</v>
      </c>
    </row>
    <row r="6233" spans="1:6" x14ac:dyDescent="0.25">
      <c r="A6233" s="189" t="str">
        <f t="shared" si="97"/>
        <v>HO-MD 1084.225.4W</v>
      </c>
      <c r="B6233" s="195" t="s">
        <v>554</v>
      </c>
      <c r="C6233" s="196">
        <v>4.22</v>
      </c>
      <c r="D6233" s="196">
        <v>5.4</v>
      </c>
      <c r="E6233" s="195" t="s">
        <v>583</v>
      </c>
      <c r="F6233" s="195" t="s">
        <v>432</v>
      </c>
    </row>
    <row r="6234" spans="1:6" x14ac:dyDescent="0.25">
      <c r="A6234" s="189" t="str">
        <f t="shared" si="97"/>
        <v>HO-MD 1085.45.95E</v>
      </c>
      <c r="B6234" s="195" t="s">
        <v>554</v>
      </c>
      <c r="C6234" s="196">
        <v>5.4</v>
      </c>
      <c r="D6234" s="196">
        <v>5.95</v>
      </c>
      <c r="E6234" s="195" t="s">
        <v>583</v>
      </c>
      <c r="F6234" s="195" t="s">
        <v>19</v>
      </c>
    </row>
    <row r="6235" spans="1:6" x14ac:dyDescent="0.25">
      <c r="A6235" s="189" t="str">
        <f t="shared" si="97"/>
        <v>HO-MD 1085.45.95W</v>
      </c>
      <c r="B6235" s="195" t="s">
        <v>554</v>
      </c>
      <c r="C6235" s="196">
        <v>5.4</v>
      </c>
      <c r="D6235" s="196">
        <v>5.95</v>
      </c>
      <c r="E6235" s="195" t="s">
        <v>583</v>
      </c>
      <c r="F6235" s="195" t="s">
        <v>432</v>
      </c>
    </row>
    <row r="6236" spans="1:6" x14ac:dyDescent="0.25">
      <c r="A6236" s="189" t="str">
        <f t="shared" si="97"/>
        <v>HO-MD 1086.87.45E</v>
      </c>
      <c r="B6236" s="195" t="s">
        <v>554</v>
      </c>
      <c r="C6236" s="196">
        <v>6.8</v>
      </c>
      <c r="D6236" s="196">
        <v>7.45</v>
      </c>
      <c r="E6236" s="195" t="s">
        <v>583</v>
      </c>
      <c r="F6236" s="195" t="s">
        <v>19</v>
      </c>
    </row>
    <row r="6237" spans="1:6" x14ac:dyDescent="0.25">
      <c r="A6237" s="189" t="str">
        <f t="shared" si="97"/>
        <v>HO-MD 1086.87.45W</v>
      </c>
      <c r="B6237" s="195" t="s">
        <v>554</v>
      </c>
      <c r="C6237" s="196">
        <v>6.8</v>
      </c>
      <c r="D6237" s="196">
        <v>7.45</v>
      </c>
      <c r="E6237" s="195" t="s">
        <v>583</v>
      </c>
      <c r="F6237" s="195" t="s">
        <v>432</v>
      </c>
    </row>
    <row r="6238" spans="1:6" x14ac:dyDescent="0.25">
      <c r="A6238" s="189" t="str">
        <f t="shared" si="97"/>
        <v>HO-MD 1087.459.3E</v>
      </c>
      <c r="B6238" s="195" t="s">
        <v>554</v>
      </c>
      <c r="C6238" s="196">
        <v>7.45</v>
      </c>
      <c r="D6238" s="196">
        <v>9.3000000000000007</v>
      </c>
      <c r="E6238" s="195" t="s">
        <v>583</v>
      </c>
      <c r="F6238" s="195" t="s">
        <v>19</v>
      </c>
    </row>
    <row r="6239" spans="1:6" x14ac:dyDescent="0.25">
      <c r="A6239" s="189" t="str">
        <f t="shared" si="97"/>
        <v>HO-MD 1087.459.3W</v>
      </c>
      <c r="B6239" s="195" t="s">
        <v>554</v>
      </c>
      <c r="C6239" s="196">
        <v>7.45</v>
      </c>
      <c r="D6239" s="196">
        <v>9.3000000000000007</v>
      </c>
      <c r="E6239" s="195" t="s">
        <v>583</v>
      </c>
      <c r="F6239" s="195" t="s">
        <v>432</v>
      </c>
    </row>
    <row r="6240" spans="1:6" x14ac:dyDescent="0.25">
      <c r="A6240" s="189" t="str">
        <f t="shared" si="97"/>
        <v>HO-MD 10811.812.5E</v>
      </c>
      <c r="B6240" s="195" t="s">
        <v>554</v>
      </c>
      <c r="C6240" s="196">
        <v>11.8</v>
      </c>
      <c r="D6240" s="196">
        <v>12.5</v>
      </c>
      <c r="E6240" s="195" t="s">
        <v>583</v>
      </c>
      <c r="F6240" s="195" t="s">
        <v>19</v>
      </c>
    </row>
    <row r="6241" spans="1:6" x14ac:dyDescent="0.25">
      <c r="A6241" s="189" t="str">
        <f t="shared" si="97"/>
        <v>HO-MD 10811.812.5W</v>
      </c>
      <c r="B6241" s="195" t="s">
        <v>554</v>
      </c>
      <c r="C6241" s="196">
        <v>11.8</v>
      </c>
      <c r="D6241" s="196">
        <v>12.5</v>
      </c>
      <c r="E6241" s="195" t="s">
        <v>583</v>
      </c>
      <c r="F6241" s="195" t="s">
        <v>432</v>
      </c>
    </row>
    <row r="6242" spans="1:6" x14ac:dyDescent="0.25">
      <c r="A6242" s="189" t="str">
        <f t="shared" si="97"/>
        <v>HO-MD 10812.513.29E</v>
      </c>
      <c r="B6242" s="195" t="s">
        <v>554</v>
      </c>
      <c r="C6242" s="196">
        <v>12.5</v>
      </c>
      <c r="D6242" s="196">
        <v>13.29</v>
      </c>
      <c r="E6242" s="195" t="s">
        <v>583</v>
      </c>
      <c r="F6242" s="195" t="s">
        <v>19</v>
      </c>
    </row>
    <row r="6243" spans="1:6" x14ac:dyDescent="0.25">
      <c r="A6243" s="189" t="str">
        <f t="shared" si="97"/>
        <v>HO-MD 10812.513.29W</v>
      </c>
      <c r="B6243" s="195" t="s">
        <v>554</v>
      </c>
      <c r="C6243" s="196">
        <v>12.5</v>
      </c>
      <c r="D6243" s="196">
        <v>13.29</v>
      </c>
      <c r="E6243" s="195" t="s">
        <v>583</v>
      </c>
      <c r="F6243" s="195" t="s">
        <v>432</v>
      </c>
    </row>
    <row r="6244" spans="1:6" x14ac:dyDescent="0.25">
      <c r="A6244" s="189" t="str">
        <f t="shared" si="97"/>
        <v>HO-MD 10813.2915.24E</v>
      </c>
      <c r="B6244" s="195" t="s">
        <v>554</v>
      </c>
      <c r="C6244" s="196">
        <v>13.29</v>
      </c>
      <c r="D6244" s="196">
        <v>15.24</v>
      </c>
      <c r="E6244" s="195" t="s">
        <v>583</v>
      </c>
      <c r="F6244" s="195" t="s">
        <v>19</v>
      </c>
    </row>
    <row r="6245" spans="1:6" x14ac:dyDescent="0.25">
      <c r="A6245" s="189" t="str">
        <f t="shared" si="97"/>
        <v>HO-MD 10813.2915.24W</v>
      </c>
      <c r="B6245" s="195" t="s">
        <v>554</v>
      </c>
      <c r="C6245" s="196">
        <v>13.29</v>
      </c>
      <c r="D6245" s="196">
        <v>15.24</v>
      </c>
      <c r="E6245" s="195" t="s">
        <v>583</v>
      </c>
      <c r="F6245" s="195" t="s">
        <v>432</v>
      </c>
    </row>
    <row r="6246" spans="1:6" x14ac:dyDescent="0.25">
      <c r="A6246" s="189" t="str">
        <f t="shared" si="97"/>
        <v>HO-MD 108A00.14E</v>
      </c>
      <c r="B6246" s="195" t="s">
        <v>2886</v>
      </c>
      <c r="C6246" s="196">
        <v>0</v>
      </c>
      <c r="D6246" s="196">
        <v>0.14000000000000001</v>
      </c>
      <c r="E6246" s="195" t="s">
        <v>598</v>
      </c>
      <c r="F6246" s="195" t="s">
        <v>19</v>
      </c>
    </row>
    <row r="6247" spans="1:6" x14ac:dyDescent="0.25">
      <c r="A6247" s="189" t="str">
        <f t="shared" si="97"/>
        <v>HO-MD 108A00.14W</v>
      </c>
      <c r="B6247" s="195" t="s">
        <v>2886</v>
      </c>
      <c r="C6247" s="196">
        <v>0</v>
      </c>
      <c r="D6247" s="196">
        <v>0.14000000000000001</v>
      </c>
      <c r="E6247" s="195" t="s">
        <v>593</v>
      </c>
      <c r="F6247" s="195" t="s">
        <v>432</v>
      </c>
    </row>
    <row r="6248" spans="1:6" x14ac:dyDescent="0.25">
      <c r="A6248" s="189" t="str">
        <f t="shared" si="97"/>
        <v>HO-MD 108H00.22N</v>
      </c>
      <c r="B6248" s="195" t="s">
        <v>2887</v>
      </c>
      <c r="C6248" s="196">
        <v>0</v>
      </c>
      <c r="D6248" s="196">
        <v>0.22</v>
      </c>
      <c r="E6248" s="195" t="s">
        <v>589</v>
      </c>
      <c r="F6248" s="195" t="s">
        <v>430</v>
      </c>
    </row>
    <row r="6249" spans="1:6" x14ac:dyDescent="0.25">
      <c r="A6249" s="189" t="str">
        <f t="shared" si="97"/>
        <v>HO-MD 108H00.22S</v>
      </c>
      <c r="B6249" s="195" t="s">
        <v>2887</v>
      </c>
      <c r="C6249" s="196">
        <v>0</v>
      </c>
      <c r="D6249" s="196">
        <v>0.22</v>
      </c>
      <c r="E6249" s="195" t="s">
        <v>595</v>
      </c>
      <c r="F6249" s="195" t="s">
        <v>438</v>
      </c>
    </row>
    <row r="6250" spans="1:6" x14ac:dyDescent="0.25">
      <c r="A6250" s="189" t="str">
        <f t="shared" si="97"/>
        <v>HO-MD 12500.09E</v>
      </c>
      <c r="B6250" s="195" t="s">
        <v>2888</v>
      </c>
      <c r="C6250" s="196">
        <v>0</v>
      </c>
      <c r="D6250" s="196">
        <v>0.09</v>
      </c>
      <c r="E6250" s="195" t="s">
        <v>598</v>
      </c>
      <c r="F6250" s="195" t="s">
        <v>19</v>
      </c>
    </row>
    <row r="6251" spans="1:6" x14ac:dyDescent="0.25">
      <c r="A6251" s="189" t="str">
        <f t="shared" si="97"/>
        <v>HO-MD 12500.09W</v>
      </c>
      <c r="B6251" s="195" t="s">
        <v>2888</v>
      </c>
      <c r="C6251" s="196">
        <v>0</v>
      </c>
      <c r="D6251" s="196">
        <v>0.09</v>
      </c>
      <c r="E6251" s="195" t="s">
        <v>593</v>
      </c>
      <c r="F6251" s="195" t="s">
        <v>432</v>
      </c>
    </row>
    <row r="6252" spans="1:6" x14ac:dyDescent="0.25">
      <c r="A6252" s="189" t="str">
        <f t="shared" si="97"/>
        <v>HO-MD 144A00.54E</v>
      </c>
      <c r="B6252" s="195" t="s">
        <v>2889</v>
      </c>
      <c r="C6252" s="196">
        <v>0</v>
      </c>
      <c r="D6252" s="196">
        <v>0.54</v>
      </c>
      <c r="E6252" s="195" t="s">
        <v>583</v>
      </c>
      <c r="F6252" s="195" t="s">
        <v>19</v>
      </c>
    </row>
    <row r="6253" spans="1:6" x14ac:dyDescent="0.25">
      <c r="A6253" s="189" t="str">
        <f t="shared" si="97"/>
        <v>HO-MD 144A00.54W</v>
      </c>
      <c r="B6253" s="195" t="s">
        <v>2889</v>
      </c>
      <c r="C6253" s="196">
        <v>0</v>
      </c>
      <c r="D6253" s="196">
        <v>0.54</v>
      </c>
      <c r="E6253" s="195" t="s">
        <v>583</v>
      </c>
      <c r="F6253" s="195" t="s">
        <v>432</v>
      </c>
    </row>
    <row r="6254" spans="1:6" x14ac:dyDescent="0.25">
      <c r="A6254" s="189" t="str">
        <f t="shared" si="97"/>
        <v>HO-MD 144A0.543.84E</v>
      </c>
      <c r="B6254" s="195" t="s">
        <v>2889</v>
      </c>
      <c r="C6254" s="196">
        <v>0.54</v>
      </c>
      <c r="D6254" s="196">
        <v>3.84</v>
      </c>
      <c r="E6254" s="195" t="s">
        <v>583</v>
      </c>
      <c r="F6254" s="195" t="s">
        <v>19</v>
      </c>
    </row>
    <row r="6255" spans="1:6" x14ac:dyDescent="0.25">
      <c r="A6255" s="189" t="str">
        <f t="shared" si="97"/>
        <v>HO-MD 144A0.543.84W</v>
      </c>
      <c r="B6255" s="195" t="s">
        <v>2889</v>
      </c>
      <c r="C6255" s="196">
        <v>0.54</v>
      </c>
      <c r="D6255" s="196">
        <v>3.84</v>
      </c>
      <c r="E6255" s="195" t="s">
        <v>583</v>
      </c>
      <c r="F6255" s="195" t="s">
        <v>432</v>
      </c>
    </row>
    <row r="6256" spans="1:6" x14ac:dyDescent="0.25">
      <c r="A6256" s="189" t="str">
        <f t="shared" si="97"/>
        <v>HO-MD 144A3.866.98E</v>
      </c>
      <c r="B6256" s="195" t="s">
        <v>2889</v>
      </c>
      <c r="C6256" s="196">
        <v>3.86</v>
      </c>
      <c r="D6256" s="196">
        <v>6.98</v>
      </c>
      <c r="E6256" s="195" t="s">
        <v>583</v>
      </c>
      <c r="F6256" s="195" t="s">
        <v>19</v>
      </c>
    </row>
    <row r="6257" spans="1:6" x14ac:dyDescent="0.25">
      <c r="A6257" s="189" t="str">
        <f t="shared" si="97"/>
        <v>HO-MD 144A3.866.98W</v>
      </c>
      <c r="B6257" s="195" t="s">
        <v>2889</v>
      </c>
      <c r="C6257" s="196">
        <v>3.86</v>
      </c>
      <c r="D6257" s="196">
        <v>6.98</v>
      </c>
      <c r="E6257" s="195" t="s">
        <v>583</v>
      </c>
      <c r="F6257" s="195" t="s">
        <v>432</v>
      </c>
    </row>
    <row r="6258" spans="1:6" x14ac:dyDescent="0.25">
      <c r="A6258" s="189" t="str">
        <f t="shared" si="97"/>
        <v>HO-MD 144A6.9810.8E</v>
      </c>
      <c r="B6258" s="195" t="s">
        <v>2889</v>
      </c>
      <c r="C6258" s="196">
        <v>6.98</v>
      </c>
      <c r="D6258" s="196">
        <v>10.8</v>
      </c>
      <c r="E6258" s="195" t="s">
        <v>583</v>
      </c>
      <c r="F6258" s="195" t="s">
        <v>19</v>
      </c>
    </row>
    <row r="6259" spans="1:6" x14ac:dyDescent="0.25">
      <c r="A6259" s="189" t="str">
        <f t="shared" si="97"/>
        <v>HO-MD 144A6.9810.8W</v>
      </c>
      <c r="B6259" s="195" t="s">
        <v>2889</v>
      </c>
      <c r="C6259" s="196">
        <v>6.98</v>
      </c>
      <c r="D6259" s="196">
        <v>10.8</v>
      </c>
      <c r="E6259" s="195" t="s">
        <v>583</v>
      </c>
      <c r="F6259" s="195" t="s">
        <v>432</v>
      </c>
    </row>
    <row r="6260" spans="1:6" x14ac:dyDescent="0.25">
      <c r="A6260" s="189" t="str">
        <f t="shared" si="97"/>
        <v>HO-MD 144A10.814.46E</v>
      </c>
      <c r="B6260" s="195" t="s">
        <v>2889</v>
      </c>
      <c r="C6260" s="196">
        <v>10.8</v>
      </c>
      <c r="D6260" s="196">
        <v>14.46</v>
      </c>
      <c r="E6260" s="195" t="s">
        <v>583</v>
      </c>
      <c r="F6260" s="195" t="s">
        <v>19</v>
      </c>
    </row>
    <row r="6261" spans="1:6" x14ac:dyDescent="0.25">
      <c r="A6261" s="189" t="str">
        <f t="shared" si="97"/>
        <v>HO-MD 144A10.814.46W</v>
      </c>
      <c r="B6261" s="195" t="s">
        <v>2889</v>
      </c>
      <c r="C6261" s="196">
        <v>10.8</v>
      </c>
      <c r="D6261" s="196">
        <v>14.46</v>
      </c>
      <c r="E6261" s="195" t="s">
        <v>583</v>
      </c>
      <c r="F6261" s="195" t="s">
        <v>432</v>
      </c>
    </row>
    <row r="6262" spans="1:6" x14ac:dyDescent="0.25">
      <c r="A6262" s="189" t="str">
        <f t="shared" si="97"/>
        <v>HO-MD 144A14.4615.3E</v>
      </c>
      <c r="B6262" s="195" t="s">
        <v>2889</v>
      </c>
      <c r="C6262" s="196">
        <v>14.46</v>
      </c>
      <c r="D6262" s="196">
        <v>15.3</v>
      </c>
      <c r="E6262" s="195" t="s">
        <v>583</v>
      </c>
      <c r="F6262" s="195" t="s">
        <v>19</v>
      </c>
    </row>
    <row r="6263" spans="1:6" x14ac:dyDescent="0.25">
      <c r="A6263" s="189" t="str">
        <f t="shared" si="97"/>
        <v>HO-MD 144A14.4615.3W</v>
      </c>
      <c r="B6263" s="195" t="s">
        <v>2889</v>
      </c>
      <c r="C6263" s="196">
        <v>14.46</v>
      </c>
      <c r="D6263" s="196">
        <v>15.3</v>
      </c>
      <c r="E6263" s="195" t="s">
        <v>583</v>
      </c>
      <c r="F6263" s="195" t="s">
        <v>432</v>
      </c>
    </row>
    <row r="6264" spans="1:6" x14ac:dyDescent="0.25">
      <c r="A6264" s="189" t="str">
        <f t="shared" si="97"/>
        <v>HO-MD 144HB00.12E</v>
      </c>
      <c r="B6264" s="195" t="s">
        <v>2890</v>
      </c>
      <c r="C6264" s="196">
        <v>0</v>
      </c>
      <c r="D6264" s="196">
        <v>0.12</v>
      </c>
      <c r="E6264" s="195" t="s">
        <v>598</v>
      </c>
      <c r="F6264" s="195" t="s">
        <v>19</v>
      </c>
    </row>
    <row r="6265" spans="1:6" x14ac:dyDescent="0.25">
      <c r="A6265" s="189" t="str">
        <f t="shared" si="97"/>
        <v>HO-MD 144HB00.12W</v>
      </c>
      <c r="B6265" s="195" t="s">
        <v>2890</v>
      </c>
      <c r="C6265" s="196">
        <v>0</v>
      </c>
      <c r="D6265" s="196">
        <v>0.12</v>
      </c>
      <c r="E6265" s="195" t="s">
        <v>593</v>
      </c>
      <c r="F6265" s="195" t="s">
        <v>432</v>
      </c>
    </row>
    <row r="6266" spans="1:6" x14ac:dyDescent="0.25">
      <c r="A6266" s="189" t="str">
        <f t="shared" si="97"/>
        <v>HO-MD 144HC00.04N</v>
      </c>
      <c r="B6266" s="195" t="s">
        <v>2891</v>
      </c>
      <c r="C6266" s="196">
        <v>0</v>
      </c>
      <c r="D6266" s="196">
        <v>0.04</v>
      </c>
      <c r="E6266" s="195" t="s">
        <v>589</v>
      </c>
      <c r="F6266" s="195" t="s">
        <v>430</v>
      </c>
    </row>
    <row r="6267" spans="1:6" x14ac:dyDescent="0.25">
      <c r="A6267" s="189" t="str">
        <f t="shared" si="97"/>
        <v>HO-MD 144HC00.04S</v>
      </c>
      <c r="B6267" s="195" t="s">
        <v>2891</v>
      </c>
      <c r="C6267" s="196">
        <v>0</v>
      </c>
      <c r="D6267" s="196">
        <v>0.04</v>
      </c>
      <c r="E6267" s="195" t="s">
        <v>595</v>
      </c>
      <c r="F6267" s="195" t="s">
        <v>438</v>
      </c>
    </row>
    <row r="6268" spans="1:6" x14ac:dyDescent="0.25">
      <c r="A6268" s="189" t="str">
        <f t="shared" si="97"/>
        <v>HO-MD 17500.54N</v>
      </c>
      <c r="B6268" s="195" t="s">
        <v>555</v>
      </c>
      <c r="C6268" s="196">
        <v>0</v>
      </c>
      <c r="D6268" s="196">
        <v>0.54</v>
      </c>
      <c r="E6268" s="195" t="s">
        <v>583</v>
      </c>
      <c r="F6268" s="195" t="s">
        <v>430</v>
      </c>
    </row>
    <row r="6269" spans="1:6" x14ac:dyDescent="0.25">
      <c r="A6269" s="189" t="str">
        <f t="shared" si="97"/>
        <v>HO-MD 17500.54S</v>
      </c>
      <c r="B6269" s="195" t="s">
        <v>555</v>
      </c>
      <c r="C6269" s="196">
        <v>0</v>
      </c>
      <c r="D6269" s="196">
        <v>0.54</v>
      </c>
      <c r="E6269" s="195" t="s">
        <v>583</v>
      </c>
      <c r="F6269" s="195" t="s">
        <v>438</v>
      </c>
    </row>
    <row r="6270" spans="1:6" x14ac:dyDescent="0.25">
      <c r="A6270" s="189" t="str">
        <f t="shared" si="97"/>
        <v>HO-MD 175 RP1-1300.19N</v>
      </c>
      <c r="B6270" s="195" t="s">
        <v>2892</v>
      </c>
      <c r="C6270" s="196">
        <v>0</v>
      </c>
      <c r="D6270" s="196">
        <v>0.19</v>
      </c>
      <c r="E6270" s="195" t="s">
        <v>589</v>
      </c>
      <c r="F6270" s="195" t="s">
        <v>430</v>
      </c>
    </row>
    <row r="6271" spans="1:6" x14ac:dyDescent="0.25">
      <c r="A6271" s="189" t="str">
        <f t="shared" si="97"/>
        <v>HO-MD 175 RP2-1300.02N</v>
      </c>
      <c r="B6271" s="195" t="s">
        <v>2893</v>
      </c>
      <c r="C6271" s="196">
        <v>0</v>
      </c>
      <c r="D6271" s="196">
        <v>0.02</v>
      </c>
      <c r="E6271" s="195" t="s">
        <v>589</v>
      </c>
      <c r="F6271" s="195" t="s">
        <v>430</v>
      </c>
    </row>
    <row r="6272" spans="1:6" x14ac:dyDescent="0.25">
      <c r="A6272" s="189" t="str">
        <f t="shared" si="97"/>
        <v>HO-MD 175 RP4-1300.22N</v>
      </c>
      <c r="B6272" s="195" t="s">
        <v>2894</v>
      </c>
      <c r="C6272" s="196">
        <v>0</v>
      </c>
      <c r="D6272" s="196">
        <v>0.22</v>
      </c>
      <c r="E6272" s="195" t="s">
        <v>589</v>
      </c>
      <c r="F6272" s="195" t="s">
        <v>430</v>
      </c>
    </row>
    <row r="6273" spans="1:6" x14ac:dyDescent="0.25">
      <c r="A6273" s="189" t="str">
        <f t="shared" si="97"/>
        <v>HO-MD 175 RP7-1300.2S</v>
      </c>
      <c r="B6273" s="195" t="s">
        <v>2895</v>
      </c>
      <c r="C6273" s="196">
        <v>0</v>
      </c>
      <c r="D6273" s="196">
        <v>0.2</v>
      </c>
      <c r="E6273" s="195" t="s">
        <v>595</v>
      </c>
      <c r="F6273" s="195" t="s">
        <v>438</v>
      </c>
    </row>
    <row r="6274" spans="1:6" x14ac:dyDescent="0.25">
      <c r="A6274" s="189" t="str">
        <f t="shared" si="97"/>
        <v>HO-MD 175 RP8-1300.3S</v>
      </c>
      <c r="B6274" s="195" t="s">
        <v>2896</v>
      </c>
      <c r="C6274" s="196">
        <v>0</v>
      </c>
      <c r="D6274" s="196">
        <v>0.3</v>
      </c>
      <c r="E6274" s="195" t="s">
        <v>595</v>
      </c>
      <c r="F6274" s="195" t="s">
        <v>438</v>
      </c>
    </row>
    <row r="6275" spans="1:6" x14ac:dyDescent="0.25">
      <c r="A6275" s="189" t="str">
        <f t="shared" ref="A6275:A6338" si="98">B6275&amp;C6275&amp;D6275&amp;F6275</f>
        <v>HO-MD 175 RP9-1300.08S</v>
      </c>
      <c r="B6275" s="195" t="s">
        <v>2897</v>
      </c>
      <c r="C6275" s="196">
        <v>0</v>
      </c>
      <c r="D6275" s="196">
        <v>0.08</v>
      </c>
      <c r="E6275" s="195" t="s">
        <v>595</v>
      </c>
      <c r="F6275" s="195" t="s">
        <v>438</v>
      </c>
    </row>
    <row r="6276" spans="1:6" x14ac:dyDescent="0.25">
      <c r="A6276" s="189" t="str">
        <f t="shared" si="98"/>
        <v>HO-MD 175HC00.37S</v>
      </c>
      <c r="B6276" s="195" t="s">
        <v>2898</v>
      </c>
      <c r="C6276" s="196">
        <v>0</v>
      </c>
      <c r="D6276" s="196">
        <v>0.37</v>
      </c>
      <c r="E6276" s="195" t="s">
        <v>595</v>
      </c>
      <c r="F6276" s="195" t="s">
        <v>438</v>
      </c>
    </row>
    <row r="6277" spans="1:6" x14ac:dyDescent="0.25">
      <c r="A6277" s="189" t="str">
        <f t="shared" si="98"/>
        <v>HO-MD 176C00.15N</v>
      </c>
      <c r="B6277" s="195" t="s">
        <v>2899</v>
      </c>
      <c r="C6277" s="196">
        <v>0</v>
      </c>
      <c r="D6277" s="196">
        <v>0.15</v>
      </c>
      <c r="E6277" s="195" t="s">
        <v>589</v>
      </c>
      <c r="F6277" s="195" t="s">
        <v>430</v>
      </c>
    </row>
    <row r="6278" spans="1:6" x14ac:dyDescent="0.25">
      <c r="A6278" s="189" t="str">
        <f t="shared" si="98"/>
        <v>HO-MD 176C00.15S</v>
      </c>
      <c r="B6278" s="195" t="s">
        <v>2899</v>
      </c>
      <c r="C6278" s="196">
        <v>0</v>
      </c>
      <c r="D6278" s="196">
        <v>0.15</v>
      </c>
      <c r="E6278" s="195" t="s">
        <v>595</v>
      </c>
      <c r="F6278" s="195" t="s">
        <v>438</v>
      </c>
    </row>
    <row r="6279" spans="1:6" x14ac:dyDescent="0.25">
      <c r="A6279" s="189" t="str">
        <f t="shared" si="98"/>
        <v>HO-MD 2164.468.11S</v>
      </c>
      <c r="B6279" s="195" t="s">
        <v>2900</v>
      </c>
      <c r="C6279" s="196">
        <v>4.46</v>
      </c>
      <c r="D6279" s="196">
        <v>8.11</v>
      </c>
      <c r="E6279" s="195" t="s">
        <v>595</v>
      </c>
      <c r="F6279" s="195" t="s">
        <v>438</v>
      </c>
    </row>
    <row r="6280" spans="1:6" x14ac:dyDescent="0.25">
      <c r="A6280" s="189" t="str">
        <f t="shared" si="98"/>
        <v>HO-MD 2164.488.11N</v>
      </c>
      <c r="B6280" s="195" t="s">
        <v>2900</v>
      </c>
      <c r="C6280" s="196">
        <v>4.4800000000000004</v>
      </c>
      <c r="D6280" s="196">
        <v>8.11</v>
      </c>
      <c r="E6280" s="195" t="s">
        <v>589</v>
      </c>
      <c r="F6280" s="195" t="s">
        <v>430</v>
      </c>
    </row>
    <row r="6281" spans="1:6" x14ac:dyDescent="0.25">
      <c r="A6281" s="189" t="str">
        <f t="shared" si="98"/>
        <v>HO-MD 2168.118.11N</v>
      </c>
      <c r="B6281" s="195" t="s">
        <v>2900</v>
      </c>
      <c r="C6281" s="196">
        <v>8.11</v>
      </c>
      <c r="D6281" s="196">
        <v>8.11</v>
      </c>
      <c r="E6281" s="195" t="s">
        <v>583</v>
      </c>
      <c r="F6281" s="195" t="s">
        <v>430</v>
      </c>
    </row>
    <row r="6282" spans="1:6" x14ac:dyDescent="0.25">
      <c r="A6282" s="189" t="str">
        <f t="shared" si="98"/>
        <v>HO-MD 2168.118.11S</v>
      </c>
      <c r="B6282" s="195" t="s">
        <v>2900</v>
      </c>
      <c r="C6282" s="196">
        <v>8.11</v>
      </c>
      <c r="D6282" s="196">
        <v>8.11</v>
      </c>
      <c r="E6282" s="195" t="s">
        <v>583</v>
      </c>
      <c r="F6282" s="195" t="s">
        <v>438</v>
      </c>
    </row>
    <row r="6283" spans="1:6" x14ac:dyDescent="0.25">
      <c r="A6283" s="189" t="str">
        <f t="shared" si="98"/>
        <v>HO-MD 216 RP2-100.15W</v>
      </c>
      <c r="B6283" s="195" t="s">
        <v>2901</v>
      </c>
      <c r="C6283" s="196">
        <v>0</v>
      </c>
      <c r="D6283" s="196">
        <v>0.15</v>
      </c>
      <c r="E6283" s="195" t="s">
        <v>593</v>
      </c>
      <c r="F6283" s="195" t="s">
        <v>432</v>
      </c>
    </row>
    <row r="6284" spans="1:6" x14ac:dyDescent="0.25">
      <c r="A6284" s="189" t="str">
        <f t="shared" si="98"/>
        <v>HO-MD 216 RP4-100.12N</v>
      </c>
      <c r="B6284" s="195" t="s">
        <v>2902</v>
      </c>
      <c r="C6284" s="196">
        <v>0</v>
      </c>
      <c r="D6284" s="196">
        <v>0.12</v>
      </c>
      <c r="E6284" s="195" t="s">
        <v>589</v>
      </c>
      <c r="F6284" s="195" t="s">
        <v>430</v>
      </c>
    </row>
    <row r="6285" spans="1:6" x14ac:dyDescent="0.25">
      <c r="A6285" s="189" t="str">
        <f t="shared" si="98"/>
        <v>HO-MD 216 RP8-100.24S</v>
      </c>
      <c r="B6285" s="195" t="s">
        <v>2903</v>
      </c>
      <c r="C6285" s="196">
        <v>0</v>
      </c>
      <c r="D6285" s="196">
        <v>0.24</v>
      </c>
      <c r="E6285" s="195" t="s">
        <v>595</v>
      </c>
      <c r="F6285" s="195" t="s">
        <v>438</v>
      </c>
    </row>
    <row r="6286" spans="1:6" x14ac:dyDescent="0.25">
      <c r="A6286" s="189" t="str">
        <f t="shared" si="98"/>
        <v>HO-MD 216D00.07E</v>
      </c>
      <c r="B6286" s="195" t="s">
        <v>2904</v>
      </c>
      <c r="C6286" s="196">
        <v>0</v>
      </c>
      <c r="D6286" s="196">
        <v>7.0000000000000007E-2</v>
      </c>
      <c r="E6286" s="195" t="s">
        <v>598</v>
      </c>
      <c r="F6286" s="195" t="s">
        <v>19</v>
      </c>
    </row>
    <row r="6287" spans="1:6" x14ac:dyDescent="0.25">
      <c r="A6287" s="189" t="str">
        <f t="shared" si="98"/>
        <v>HO-MD 216D00.07W</v>
      </c>
      <c r="B6287" s="195" t="s">
        <v>2904</v>
      </c>
      <c r="C6287" s="196">
        <v>0</v>
      </c>
      <c r="D6287" s="196">
        <v>7.0000000000000007E-2</v>
      </c>
      <c r="E6287" s="195" t="s">
        <v>593</v>
      </c>
      <c r="F6287" s="195" t="s">
        <v>432</v>
      </c>
    </row>
    <row r="6288" spans="1:6" x14ac:dyDescent="0.25">
      <c r="A6288" s="189" t="str">
        <f t="shared" si="98"/>
        <v>HO-MD 216E01.21E</v>
      </c>
      <c r="B6288" s="195" t="s">
        <v>2905</v>
      </c>
      <c r="C6288" s="196">
        <v>0</v>
      </c>
      <c r="D6288" s="196">
        <v>1.21</v>
      </c>
      <c r="E6288" s="195" t="s">
        <v>583</v>
      </c>
      <c r="F6288" s="195" t="s">
        <v>19</v>
      </c>
    </row>
    <row r="6289" spans="1:6" x14ac:dyDescent="0.25">
      <c r="A6289" s="189" t="str">
        <f t="shared" si="98"/>
        <v>HO-MD 216E01.21W</v>
      </c>
      <c r="B6289" s="195" t="s">
        <v>2905</v>
      </c>
      <c r="C6289" s="196">
        <v>0</v>
      </c>
      <c r="D6289" s="196">
        <v>1.21</v>
      </c>
      <c r="E6289" s="195" t="s">
        <v>583</v>
      </c>
      <c r="F6289" s="195" t="s">
        <v>432</v>
      </c>
    </row>
    <row r="6290" spans="1:6" x14ac:dyDescent="0.25">
      <c r="A6290" s="189" t="str">
        <f t="shared" si="98"/>
        <v>HO-MD 216F00.16E</v>
      </c>
      <c r="B6290" s="195" t="s">
        <v>2906</v>
      </c>
      <c r="C6290" s="196">
        <v>0</v>
      </c>
      <c r="D6290" s="196">
        <v>0.16</v>
      </c>
      <c r="E6290" s="195" t="s">
        <v>598</v>
      </c>
      <c r="F6290" s="195" t="s">
        <v>19</v>
      </c>
    </row>
    <row r="6291" spans="1:6" x14ac:dyDescent="0.25">
      <c r="A6291" s="189" t="str">
        <f t="shared" si="98"/>
        <v>HO-MD 216F00.16W</v>
      </c>
      <c r="B6291" s="195" t="s">
        <v>2906</v>
      </c>
      <c r="C6291" s="196">
        <v>0</v>
      </c>
      <c r="D6291" s="196">
        <v>0.16</v>
      </c>
      <c r="E6291" s="195" t="s">
        <v>593</v>
      </c>
      <c r="F6291" s="195" t="s">
        <v>432</v>
      </c>
    </row>
    <row r="6292" spans="1:6" x14ac:dyDescent="0.25">
      <c r="A6292" s="189" t="str">
        <f t="shared" si="98"/>
        <v>HO-MD 216F0.160.17E</v>
      </c>
      <c r="B6292" s="195" t="s">
        <v>2906</v>
      </c>
      <c r="C6292" s="196">
        <v>0.16</v>
      </c>
      <c r="D6292" s="196">
        <v>0.17</v>
      </c>
      <c r="E6292" s="195" t="s">
        <v>598</v>
      </c>
      <c r="F6292" s="195" t="s">
        <v>19</v>
      </c>
    </row>
    <row r="6293" spans="1:6" x14ac:dyDescent="0.25">
      <c r="A6293" s="189" t="str">
        <f t="shared" si="98"/>
        <v>HO-MD 216F0.160.17W</v>
      </c>
      <c r="B6293" s="195" t="s">
        <v>2906</v>
      </c>
      <c r="C6293" s="196">
        <v>0.16</v>
      </c>
      <c r="D6293" s="196">
        <v>0.17</v>
      </c>
      <c r="E6293" s="195" t="s">
        <v>593</v>
      </c>
      <c r="F6293" s="195" t="s">
        <v>432</v>
      </c>
    </row>
    <row r="6294" spans="1:6" x14ac:dyDescent="0.25">
      <c r="A6294" s="189" t="str">
        <f t="shared" si="98"/>
        <v>HO-MD 216H0.381.01N</v>
      </c>
      <c r="B6294" s="195" t="s">
        <v>2907</v>
      </c>
      <c r="C6294" s="196">
        <v>0.38</v>
      </c>
      <c r="D6294" s="196">
        <v>1.01</v>
      </c>
      <c r="E6294" s="195" t="s">
        <v>589</v>
      </c>
      <c r="F6294" s="195" t="s">
        <v>430</v>
      </c>
    </row>
    <row r="6295" spans="1:6" x14ac:dyDescent="0.25">
      <c r="A6295" s="189" t="str">
        <f t="shared" si="98"/>
        <v>HO-MD 216H0.381.01S</v>
      </c>
      <c r="B6295" s="195" t="s">
        <v>2907</v>
      </c>
      <c r="C6295" s="196">
        <v>0.38</v>
      </c>
      <c r="D6295" s="196">
        <v>1.01</v>
      </c>
      <c r="E6295" s="195" t="s">
        <v>595</v>
      </c>
      <c r="F6295" s="195" t="s">
        <v>438</v>
      </c>
    </row>
    <row r="6296" spans="1:6" x14ac:dyDescent="0.25">
      <c r="A6296" s="189" t="str">
        <f t="shared" si="98"/>
        <v>HO-MD 2701.26N</v>
      </c>
      <c r="B6296" s="195" t="s">
        <v>556</v>
      </c>
      <c r="C6296" s="196">
        <v>0</v>
      </c>
      <c r="D6296" s="196">
        <v>1.26</v>
      </c>
      <c r="E6296" s="195" t="s">
        <v>583</v>
      </c>
      <c r="F6296" s="195" t="s">
        <v>430</v>
      </c>
    </row>
    <row r="6297" spans="1:6" x14ac:dyDescent="0.25">
      <c r="A6297" s="189" t="str">
        <f t="shared" si="98"/>
        <v>HO-MD 2701.26S</v>
      </c>
      <c r="B6297" s="195" t="s">
        <v>556</v>
      </c>
      <c r="C6297" s="196">
        <v>0</v>
      </c>
      <c r="D6297" s="196">
        <v>1.26</v>
      </c>
      <c r="E6297" s="195" t="s">
        <v>583</v>
      </c>
      <c r="F6297" s="195" t="s">
        <v>438</v>
      </c>
    </row>
    <row r="6298" spans="1:6" x14ac:dyDescent="0.25">
      <c r="A6298" s="189" t="str">
        <f t="shared" si="98"/>
        <v>HO-MD 3210.6812.36N</v>
      </c>
      <c r="B6298" s="195" t="s">
        <v>557</v>
      </c>
      <c r="C6298" s="196">
        <v>10.68</v>
      </c>
      <c r="D6298" s="196">
        <v>12.36</v>
      </c>
      <c r="E6298" s="195" t="s">
        <v>583</v>
      </c>
      <c r="F6298" s="195" t="s">
        <v>430</v>
      </c>
    </row>
    <row r="6299" spans="1:6" x14ac:dyDescent="0.25">
      <c r="A6299" s="189" t="str">
        <f t="shared" si="98"/>
        <v>HO-MD 3210.6812.36S</v>
      </c>
      <c r="B6299" s="195" t="s">
        <v>557</v>
      </c>
      <c r="C6299" s="196">
        <v>10.68</v>
      </c>
      <c r="D6299" s="196">
        <v>12.36</v>
      </c>
      <c r="E6299" s="195" t="s">
        <v>583</v>
      </c>
      <c r="F6299" s="195" t="s">
        <v>438</v>
      </c>
    </row>
    <row r="6300" spans="1:6" x14ac:dyDescent="0.25">
      <c r="A6300" s="189" t="str">
        <f t="shared" si="98"/>
        <v>HO-MD 3212.3613.26N</v>
      </c>
      <c r="B6300" s="195" t="s">
        <v>557</v>
      </c>
      <c r="C6300" s="196">
        <v>12.36</v>
      </c>
      <c r="D6300" s="196">
        <v>13.26</v>
      </c>
      <c r="E6300" s="195" t="s">
        <v>583</v>
      </c>
      <c r="F6300" s="195" t="s">
        <v>430</v>
      </c>
    </row>
    <row r="6301" spans="1:6" x14ac:dyDescent="0.25">
      <c r="A6301" s="189" t="str">
        <f t="shared" si="98"/>
        <v>HO-MD 3212.3613.26S</v>
      </c>
      <c r="B6301" s="195" t="s">
        <v>557</v>
      </c>
      <c r="C6301" s="196">
        <v>12.36</v>
      </c>
      <c r="D6301" s="196">
        <v>13.26</v>
      </c>
      <c r="E6301" s="195" t="s">
        <v>583</v>
      </c>
      <c r="F6301" s="195" t="s">
        <v>438</v>
      </c>
    </row>
    <row r="6302" spans="1:6" x14ac:dyDescent="0.25">
      <c r="A6302" s="189" t="str">
        <f t="shared" si="98"/>
        <v>HO-MD 3213.2615.45N</v>
      </c>
      <c r="B6302" s="195" t="s">
        <v>557</v>
      </c>
      <c r="C6302" s="196">
        <v>13.26</v>
      </c>
      <c r="D6302" s="196">
        <v>15.45</v>
      </c>
      <c r="E6302" s="195" t="s">
        <v>583</v>
      </c>
      <c r="F6302" s="195" t="s">
        <v>430</v>
      </c>
    </row>
    <row r="6303" spans="1:6" x14ac:dyDescent="0.25">
      <c r="A6303" s="189" t="str">
        <f t="shared" si="98"/>
        <v>HO-MD 3213.2615.45S</v>
      </c>
      <c r="B6303" s="195" t="s">
        <v>557</v>
      </c>
      <c r="C6303" s="196">
        <v>13.26</v>
      </c>
      <c r="D6303" s="196">
        <v>15.45</v>
      </c>
      <c r="E6303" s="195" t="s">
        <v>583</v>
      </c>
      <c r="F6303" s="195" t="s">
        <v>438</v>
      </c>
    </row>
    <row r="6304" spans="1:6" x14ac:dyDescent="0.25">
      <c r="A6304" s="189" t="str">
        <f t="shared" si="98"/>
        <v>HO-MD 3216.516.53N</v>
      </c>
      <c r="B6304" s="195" t="s">
        <v>557</v>
      </c>
      <c r="C6304" s="196">
        <v>16.5</v>
      </c>
      <c r="D6304" s="196">
        <v>16.53</v>
      </c>
      <c r="E6304" s="195" t="s">
        <v>583</v>
      </c>
      <c r="F6304" s="195" t="s">
        <v>430</v>
      </c>
    </row>
    <row r="6305" spans="1:6" x14ac:dyDescent="0.25">
      <c r="A6305" s="189" t="str">
        <f t="shared" si="98"/>
        <v>HO-MD 3216.516.53S</v>
      </c>
      <c r="B6305" s="195" t="s">
        <v>557</v>
      </c>
      <c r="C6305" s="196">
        <v>16.5</v>
      </c>
      <c r="D6305" s="196">
        <v>16.53</v>
      </c>
      <c r="E6305" s="195" t="s">
        <v>583</v>
      </c>
      <c r="F6305" s="195" t="s">
        <v>438</v>
      </c>
    </row>
    <row r="6306" spans="1:6" x14ac:dyDescent="0.25">
      <c r="A6306" s="189" t="str">
        <f t="shared" si="98"/>
        <v>HO-MD 3216.5318.04N</v>
      </c>
      <c r="B6306" s="195" t="s">
        <v>557</v>
      </c>
      <c r="C6306" s="196">
        <v>16.53</v>
      </c>
      <c r="D6306" s="196">
        <v>18.04</v>
      </c>
      <c r="E6306" s="195" t="s">
        <v>583</v>
      </c>
      <c r="F6306" s="195" t="s">
        <v>430</v>
      </c>
    </row>
    <row r="6307" spans="1:6" x14ac:dyDescent="0.25">
      <c r="A6307" s="189" t="str">
        <f t="shared" si="98"/>
        <v>HO-MD 3216.5318.04S</v>
      </c>
      <c r="B6307" s="195" t="s">
        <v>557</v>
      </c>
      <c r="C6307" s="196">
        <v>16.53</v>
      </c>
      <c r="D6307" s="196">
        <v>18.04</v>
      </c>
      <c r="E6307" s="195" t="s">
        <v>583</v>
      </c>
      <c r="F6307" s="195" t="s">
        <v>438</v>
      </c>
    </row>
    <row r="6308" spans="1:6" x14ac:dyDescent="0.25">
      <c r="A6308" s="189" t="str">
        <f t="shared" si="98"/>
        <v>HO-MD 3218.0419.08N</v>
      </c>
      <c r="B6308" s="195" t="s">
        <v>557</v>
      </c>
      <c r="C6308" s="196">
        <v>18.04</v>
      </c>
      <c r="D6308" s="196">
        <v>19.079999999999998</v>
      </c>
      <c r="E6308" s="195" t="s">
        <v>589</v>
      </c>
      <c r="F6308" s="195" t="s">
        <v>430</v>
      </c>
    </row>
    <row r="6309" spans="1:6" x14ac:dyDescent="0.25">
      <c r="A6309" s="189" t="str">
        <f t="shared" si="98"/>
        <v>HO-MD 3218.0419.15S</v>
      </c>
      <c r="B6309" s="195" t="s">
        <v>557</v>
      </c>
      <c r="C6309" s="196">
        <v>18.04</v>
      </c>
      <c r="D6309" s="196">
        <v>19.149999999999999</v>
      </c>
      <c r="E6309" s="195" t="s">
        <v>595</v>
      </c>
      <c r="F6309" s="195" t="s">
        <v>438</v>
      </c>
    </row>
    <row r="6310" spans="1:6" x14ac:dyDescent="0.25">
      <c r="A6310" s="189" t="str">
        <f t="shared" si="98"/>
        <v>HO-MD 3219.8421.15N</v>
      </c>
      <c r="B6310" s="195" t="s">
        <v>557</v>
      </c>
      <c r="C6310" s="196">
        <v>19.84</v>
      </c>
      <c r="D6310" s="196">
        <v>21.15</v>
      </c>
      <c r="E6310" s="195" t="s">
        <v>583</v>
      </c>
      <c r="F6310" s="195" t="s">
        <v>430</v>
      </c>
    </row>
    <row r="6311" spans="1:6" x14ac:dyDescent="0.25">
      <c r="A6311" s="189" t="str">
        <f t="shared" si="98"/>
        <v>HO-MD 3219.8421.15S</v>
      </c>
      <c r="B6311" s="195" t="s">
        <v>557</v>
      </c>
      <c r="C6311" s="196">
        <v>19.84</v>
      </c>
      <c r="D6311" s="196">
        <v>21.15</v>
      </c>
      <c r="E6311" s="195" t="s">
        <v>583</v>
      </c>
      <c r="F6311" s="195" t="s">
        <v>438</v>
      </c>
    </row>
    <row r="6312" spans="1:6" x14ac:dyDescent="0.25">
      <c r="A6312" s="189" t="str">
        <f t="shared" si="98"/>
        <v>HO-MD 3221.1522N</v>
      </c>
      <c r="B6312" s="195" t="s">
        <v>557</v>
      </c>
      <c r="C6312" s="196">
        <v>21.15</v>
      </c>
      <c r="D6312" s="196">
        <v>22</v>
      </c>
      <c r="E6312" s="195" t="s">
        <v>583</v>
      </c>
      <c r="F6312" s="195" t="s">
        <v>430</v>
      </c>
    </row>
    <row r="6313" spans="1:6" x14ac:dyDescent="0.25">
      <c r="A6313" s="189" t="str">
        <f t="shared" si="98"/>
        <v>HO-MD 3221.1522S</v>
      </c>
      <c r="B6313" s="195" t="s">
        <v>557</v>
      </c>
      <c r="C6313" s="196">
        <v>21.15</v>
      </c>
      <c r="D6313" s="196">
        <v>22</v>
      </c>
      <c r="E6313" s="195" t="s">
        <v>583</v>
      </c>
      <c r="F6313" s="195" t="s">
        <v>438</v>
      </c>
    </row>
    <row r="6314" spans="1:6" x14ac:dyDescent="0.25">
      <c r="A6314" s="189" t="str">
        <f t="shared" si="98"/>
        <v>HO-MD 322222.3N</v>
      </c>
      <c r="B6314" s="195" t="s">
        <v>557</v>
      </c>
      <c r="C6314" s="196">
        <v>22</v>
      </c>
      <c r="D6314" s="196">
        <v>22.3</v>
      </c>
      <c r="E6314" s="195" t="s">
        <v>583</v>
      </c>
      <c r="F6314" s="195" t="s">
        <v>430</v>
      </c>
    </row>
    <row r="6315" spans="1:6" x14ac:dyDescent="0.25">
      <c r="A6315" s="189" t="str">
        <f t="shared" si="98"/>
        <v>HO-MD 322222.3S</v>
      </c>
      <c r="B6315" s="195" t="s">
        <v>557</v>
      </c>
      <c r="C6315" s="196">
        <v>22</v>
      </c>
      <c r="D6315" s="196">
        <v>22.3</v>
      </c>
      <c r="E6315" s="195" t="s">
        <v>583</v>
      </c>
      <c r="F6315" s="195" t="s">
        <v>438</v>
      </c>
    </row>
    <row r="6316" spans="1:6" x14ac:dyDescent="0.25">
      <c r="A6316" s="189" t="str">
        <f t="shared" si="98"/>
        <v>HO-MD 3222.323.59N</v>
      </c>
      <c r="B6316" s="195" t="s">
        <v>557</v>
      </c>
      <c r="C6316" s="196">
        <v>22.3</v>
      </c>
      <c r="D6316" s="196">
        <v>23.59</v>
      </c>
      <c r="E6316" s="195" t="s">
        <v>583</v>
      </c>
      <c r="F6316" s="195" t="s">
        <v>430</v>
      </c>
    </row>
    <row r="6317" spans="1:6" x14ac:dyDescent="0.25">
      <c r="A6317" s="189" t="str">
        <f t="shared" si="98"/>
        <v>HO-MD 3222.323.59S</v>
      </c>
      <c r="B6317" s="195" t="s">
        <v>557</v>
      </c>
      <c r="C6317" s="196">
        <v>22.3</v>
      </c>
      <c r="D6317" s="196">
        <v>23.59</v>
      </c>
      <c r="E6317" s="195" t="s">
        <v>583</v>
      </c>
      <c r="F6317" s="195" t="s">
        <v>438</v>
      </c>
    </row>
    <row r="6318" spans="1:6" x14ac:dyDescent="0.25">
      <c r="A6318" s="189" t="str">
        <f t="shared" si="98"/>
        <v>HO-MD 3223.5923.6N</v>
      </c>
      <c r="B6318" s="195" t="s">
        <v>557</v>
      </c>
      <c r="C6318" s="196">
        <v>23.59</v>
      </c>
      <c r="D6318" s="196">
        <v>23.6</v>
      </c>
      <c r="E6318" s="195" t="s">
        <v>583</v>
      </c>
      <c r="F6318" s="195" t="s">
        <v>430</v>
      </c>
    </row>
    <row r="6319" spans="1:6" x14ac:dyDescent="0.25">
      <c r="A6319" s="189" t="str">
        <f t="shared" si="98"/>
        <v>HO-MD 3223.5923.6S</v>
      </c>
      <c r="B6319" s="195" t="s">
        <v>557</v>
      </c>
      <c r="C6319" s="196">
        <v>23.59</v>
      </c>
      <c r="D6319" s="196">
        <v>23.6</v>
      </c>
      <c r="E6319" s="195" t="s">
        <v>583</v>
      </c>
      <c r="F6319" s="195" t="s">
        <v>438</v>
      </c>
    </row>
    <row r="6320" spans="1:6" x14ac:dyDescent="0.25">
      <c r="A6320" s="189" t="str">
        <f t="shared" si="98"/>
        <v>HO-MD 3223.623.61N</v>
      </c>
      <c r="B6320" s="195" t="s">
        <v>557</v>
      </c>
      <c r="C6320" s="196">
        <v>23.6</v>
      </c>
      <c r="D6320" s="196">
        <v>23.61</v>
      </c>
      <c r="E6320" s="195" t="s">
        <v>583</v>
      </c>
      <c r="F6320" s="195" t="s">
        <v>430</v>
      </c>
    </row>
    <row r="6321" spans="1:6" x14ac:dyDescent="0.25">
      <c r="A6321" s="189" t="str">
        <f t="shared" si="98"/>
        <v>HO-MD 3223.623.61S</v>
      </c>
      <c r="B6321" s="195" t="s">
        <v>557</v>
      </c>
      <c r="C6321" s="196">
        <v>23.6</v>
      </c>
      <c r="D6321" s="196">
        <v>23.61</v>
      </c>
      <c r="E6321" s="195" t="s">
        <v>583</v>
      </c>
      <c r="F6321" s="195" t="s">
        <v>438</v>
      </c>
    </row>
    <row r="6322" spans="1:6" x14ac:dyDescent="0.25">
      <c r="A6322" s="189" t="str">
        <f t="shared" si="98"/>
        <v>HO-MD 32 RP10-1200.87E</v>
      </c>
      <c r="B6322" s="195" t="s">
        <v>2908</v>
      </c>
      <c r="C6322" s="196">
        <v>0</v>
      </c>
      <c r="D6322" s="196">
        <v>0.87</v>
      </c>
      <c r="E6322" s="195" t="s">
        <v>598</v>
      </c>
      <c r="F6322" s="195" t="s">
        <v>19</v>
      </c>
    </row>
    <row r="6323" spans="1:6" x14ac:dyDescent="0.25">
      <c r="A6323" s="189" t="str">
        <f t="shared" si="98"/>
        <v>HO-MD 32 RP1-1100.29W</v>
      </c>
      <c r="B6323" s="195" t="s">
        <v>2909</v>
      </c>
      <c r="C6323" s="196">
        <v>0</v>
      </c>
      <c r="D6323" s="196">
        <v>0.28999999999999998</v>
      </c>
      <c r="E6323" s="195" t="s">
        <v>593</v>
      </c>
      <c r="F6323" s="195" t="s">
        <v>432</v>
      </c>
    </row>
    <row r="6324" spans="1:6" x14ac:dyDescent="0.25">
      <c r="A6324" s="189" t="str">
        <f t="shared" si="98"/>
        <v>HO-MD 32 RP1-1200.27N</v>
      </c>
      <c r="B6324" s="195" t="s">
        <v>2910</v>
      </c>
      <c r="C6324" s="196">
        <v>0</v>
      </c>
      <c r="D6324" s="196">
        <v>0.27</v>
      </c>
      <c r="E6324" s="195" t="s">
        <v>589</v>
      </c>
      <c r="F6324" s="195" t="s">
        <v>430</v>
      </c>
    </row>
    <row r="6325" spans="1:6" x14ac:dyDescent="0.25">
      <c r="A6325" s="189" t="str">
        <f t="shared" si="98"/>
        <v>HO-MD 32 RP1-1400.06W</v>
      </c>
      <c r="B6325" s="195" t="s">
        <v>2911</v>
      </c>
      <c r="C6325" s="196">
        <v>0</v>
      </c>
      <c r="D6325" s="196">
        <v>0.06</v>
      </c>
      <c r="E6325" s="195" t="s">
        <v>593</v>
      </c>
      <c r="F6325" s="195" t="s">
        <v>432</v>
      </c>
    </row>
    <row r="6326" spans="1:6" x14ac:dyDescent="0.25">
      <c r="A6326" s="189" t="str">
        <f t="shared" si="98"/>
        <v>HO-MD 32 RP1-1500.17N</v>
      </c>
      <c r="B6326" s="195" t="s">
        <v>2912</v>
      </c>
      <c r="C6326" s="196">
        <v>0</v>
      </c>
      <c r="D6326" s="196">
        <v>0.17</v>
      </c>
      <c r="E6326" s="195" t="s">
        <v>589</v>
      </c>
      <c r="F6326" s="195" t="s">
        <v>430</v>
      </c>
    </row>
    <row r="6327" spans="1:6" x14ac:dyDescent="0.25">
      <c r="A6327" s="189" t="str">
        <f t="shared" si="98"/>
        <v>HO-MD 32 RP1-1600.27E</v>
      </c>
      <c r="B6327" s="195" t="s">
        <v>2913</v>
      </c>
      <c r="C6327" s="196">
        <v>0</v>
      </c>
      <c r="D6327" s="196">
        <v>0.27</v>
      </c>
      <c r="E6327" s="195" t="s">
        <v>598</v>
      </c>
      <c r="F6327" s="195" t="s">
        <v>19</v>
      </c>
    </row>
    <row r="6328" spans="1:6" x14ac:dyDescent="0.25">
      <c r="A6328" s="189" t="str">
        <f t="shared" si="98"/>
        <v>HO-MD 32 RP1-1700.07W</v>
      </c>
      <c r="B6328" s="195" t="s">
        <v>2914</v>
      </c>
      <c r="C6328" s="196">
        <v>0</v>
      </c>
      <c r="D6328" s="196">
        <v>7.0000000000000007E-2</v>
      </c>
      <c r="E6328" s="195" t="s">
        <v>593</v>
      </c>
      <c r="F6328" s="195" t="s">
        <v>432</v>
      </c>
    </row>
    <row r="6329" spans="1:6" x14ac:dyDescent="0.25">
      <c r="A6329" s="189" t="str">
        <f t="shared" si="98"/>
        <v>HO-MD 32 RP2-1100.01S</v>
      </c>
      <c r="B6329" s="195" t="s">
        <v>2915</v>
      </c>
      <c r="C6329" s="196">
        <v>0</v>
      </c>
      <c r="D6329" s="196">
        <v>0.01</v>
      </c>
      <c r="E6329" s="195" t="s">
        <v>595</v>
      </c>
      <c r="F6329" s="195" t="s">
        <v>438</v>
      </c>
    </row>
    <row r="6330" spans="1:6" x14ac:dyDescent="0.25">
      <c r="A6330" s="189" t="str">
        <f t="shared" si="98"/>
        <v>HO-MD 32 RP2-1200.43W</v>
      </c>
      <c r="B6330" s="195" t="s">
        <v>2916</v>
      </c>
      <c r="C6330" s="196">
        <v>0</v>
      </c>
      <c r="D6330" s="196">
        <v>0.43</v>
      </c>
      <c r="E6330" s="195" t="s">
        <v>593</v>
      </c>
      <c r="F6330" s="195" t="s">
        <v>432</v>
      </c>
    </row>
    <row r="6331" spans="1:6" x14ac:dyDescent="0.25">
      <c r="A6331" s="189" t="str">
        <f t="shared" si="98"/>
        <v>HO-MD 32 RP2-1400.27W</v>
      </c>
      <c r="B6331" s="195" t="s">
        <v>2917</v>
      </c>
      <c r="C6331" s="196">
        <v>0</v>
      </c>
      <c r="D6331" s="196">
        <v>0.27</v>
      </c>
      <c r="E6331" s="195" t="s">
        <v>593</v>
      </c>
      <c r="F6331" s="195" t="s">
        <v>432</v>
      </c>
    </row>
    <row r="6332" spans="1:6" x14ac:dyDescent="0.25">
      <c r="A6332" s="189" t="str">
        <f t="shared" si="98"/>
        <v>HO-MD 32 RP2-1500.02E</v>
      </c>
      <c r="B6332" s="195" t="s">
        <v>2918</v>
      </c>
      <c r="C6332" s="196">
        <v>0</v>
      </c>
      <c r="D6332" s="196">
        <v>0.02</v>
      </c>
      <c r="E6332" s="195" t="s">
        <v>598</v>
      </c>
      <c r="F6332" s="195" t="s">
        <v>19</v>
      </c>
    </row>
    <row r="6333" spans="1:6" x14ac:dyDescent="0.25">
      <c r="A6333" s="189" t="str">
        <f t="shared" si="98"/>
        <v>HO-MD 32 RP2-1600.64N</v>
      </c>
      <c r="B6333" s="195" t="s">
        <v>2919</v>
      </c>
      <c r="C6333" s="196">
        <v>0</v>
      </c>
      <c r="D6333" s="196">
        <v>0.64</v>
      </c>
      <c r="E6333" s="195" t="s">
        <v>589</v>
      </c>
      <c r="F6333" s="195" t="s">
        <v>430</v>
      </c>
    </row>
    <row r="6334" spans="1:6" x14ac:dyDescent="0.25">
      <c r="A6334" s="189" t="str">
        <f t="shared" si="98"/>
        <v>HO-MD 32 RP2-1700.2W</v>
      </c>
      <c r="B6334" s="195" t="s">
        <v>2920</v>
      </c>
      <c r="C6334" s="196">
        <v>0</v>
      </c>
      <c r="D6334" s="196">
        <v>0.2</v>
      </c>
      <c r="E6334" s="195" t="s">
        <v>593</v>
      </c>
      <c r="F6334" s="195" t="s">
        <v>432</v>
      </c>
    </row>
    <row r="6335" spans="1:6" x14ac:dyDescent="0.25">
      <c r="A6335" s="189" t="str">
        <f t="shared" si="98"/>
        <v>HO-MD 32 RP2-1900.16W</v>
      </c>
      <c r="B6335" s="195" t="s">
        <v>2921</v>
      </c>
      <c r="C6335" s="196">
        <v>0</v>
      </c>
      <c r="D6335" s="196">
        <v>0.16</v>
      </c>
      <c r="E6335" s="195" t="s">
        <v>593</v>
      </c>
      <c r="F6335" s="195" t="s">
        <v>432</v>
      </c>
    </row>
    <row r="6336" spans="1:6" x14ac:dyDescent="0.25">
      <c r="A6336" s="189" t="str">
        <f t="shared" si="98"/>
        <v>HO-MD 32 RP2-2000.26W</v>
      </c>
      <c r="B6336" s="195" t="s">
        <v>2922</v>
      </c>
      <c r="C6336" s="196">
        <v>0</v>
      </c>
      <c r="D6336" s="196">
        <v>0.26</v>
      </c>
      <c r="E6336" s="195" t="s">
        <v>593</v>
      </c>
      <c r="F6336" s="195" t="s">
        <v>432</v>
      </c>
    </row>
    <row r="6337" spans="1:6" x14ac:dyDescent="0.25">
      <c r="A6337" s="189" t="str">
        <f t="shared" si="98"/>
        <v>HO-MD 32 RP2-2600.12N</v>
      </c>
      <c r="B6337" s="195" t="s">
        <v>2923</v>
      </c>
      <c r="C6337" s="196">
        <v>0</v>
      </c>
      <c r="D6337" s="196">
        <v>0.12</v>
      </c>
      <c r="E6337" s="195" t="s">
        <v>589</v>
      </c>
      <c r="F6337" s="195" t="s">
        <v>430</v>
      </c>
    </row>
    <row r="6338" spans="1:6" x14ac:dyDescent="0.25">
      <c r="A6338" s="189" t="str">
        <f t="shared" si="98"/>
        <v>HO-MD 32 RP3-1100.25E</v>
      </c>
      <c r="B6338" s="195" t="s">
        <v>2924</v>
      </c>
      <c r="C6338" s="196">
        <v>0</v>
      </c>
      <c r="D6338" s="196">
        <v>0.25</v>
      </c>
      <c r="E6338" s="195" t="s">
        <v>598</v>
      </c>
      <c r="F6338" s="195" t="s">
        <v>19</v>
      </c>
    </row>
    <row r="6339" spans="1:6" x14ac:dyDescent="0.25">
      <c r="A6339" s="189" t="str">
        <f t="shared" ref="A6339:A6402" si="99">B6339&amp;C6339&amp;D6339&amp;F6339</f>
        <v>HO-MD 32 RP3-1200.22S</v>
      </c>
      <c r="B6339" s="195" t="s">
        <v>2925</v>
      </c>
      <c r="C6339" s="196">
        <v>0</v>
      </c>
      <c r="D6339" s="196">
        <v>0.22</v>
      </c>
      <c r="E6339" s="195" t="s">
        <v>595</v>
      </c>
      <c r="F6339" s="195" t="s">
        <v>438</v>
      </c>
    </row>
    <row r="6340" spans="1:6" x14ac:dyDescent="0.25">
      <c r="A6340" s="189" t="str">
        <f t="shared" si="99"/>
        <v>HO-MD 32 RP3-1400.2S</v>
      </c>
      <c r="B6340" s="195" t="s">
        <v>2926</v>
      </c>
      <c r="C6340" s="196">
        <v>0</v>
      </c>
      <c r="D6340" s="196">
        <v>0.2</v>
      </c>
      <c r="E6340" s="195" t="s">
        <v>595</v>
      </c>
      <c r="F6340" s="195" t="s">
        <v>438</v>
      </c>
    </row>
    <row r="6341" spans="1:6" x14ac:dyDescent="0.25">
      <c r="A6341" s="189" t="str">
        <f t="shared" si="99"/>
        <v>HO-MD 32 RP3-1500.1S</v>
      </c>
      <c r="B6341" s="195" t="s">
        <v>2927</v>
      </c>
      <c r="C6341" s="196">
        <v>0</v>
      </c>
      <c r="D6341" s="196">
        <v>0.1</v>
      </c>
      <c r="E6341" s="195" t="s">
        <v>595</v>
      </c>
      <c r="F6341" s="195" t="s">
        <v>438</v>
      </c>
    </row>
    <row r="6342" spans="1:6" x14ac:dyDescent="0.25">
      <c r="A6342" s="189" t="str">
        <f t="shared" si="99"/>
        <v>HO-MD 32 RP3-1600.27E</v>
      </c>
      <c r="B6342" s="195" t="s">
        <v>2928</v>
      </c>
      <c r="C6342" s="196">
        <v>0</v>
      </c>
      <c r="D6342" s="196">
        <v>0.27</v>
      </c>
      <c r="E6342" s="195" t="s">
        <v>598</v>
      </c>
      <c r="F6342" s="195" t="s">
        <v>19</v>
      </c>
    </row>
    <row r="6343" spans="1:6" x14ac:dyDescent="0.25">
      <c r="A6343" s="189" t="str">
        <f t="shared" si="99"/>
        <v>HO-MD 32 RP3-1700.03E</v>
      </c>
      <c r="B6343" s="195" t="s">
        <v>2929</v>
      </c>
      <c r="C6343" s="196">
        <v>0</v>
      </c>
      <c r="D6343" s="196">
        <v>0.03</v>
      </c>
      <c r="E6343" s="195" t="s">
        <v>598</v>
      </c>
      <c r="F6343" s="195" t="s">
        <v>19</v>
      </c>
    </row>
    <row r="6344" spans="1:6" x14ac:dyDescent="0.25">
      <c r="A6344" s="189" t="str">
        <f t="shared" si="99"/>
        <v>HO-MD 32 RP4-1100.03N</v>
      </c>
      <c r="B6344" s="195" t="s">
        <v>2930</v>
      </c>
      <c r="C6344" s="196">
        <v>0</v>
      </c>
      <c r="D6344" s="196">
        <v>0.03</v>
      </c>
      <c r="E6344" s="195" t="s">
        <v>589</v>
      </c>
      <c r="F6344" s="195" t="s">
        <v>430</v>
      </c>
    </row>
    <row r="6345" spans="1:6" x14ac:dyDescent="0.25">
      <c r="A6345" s="189" t="str">
        <f t="shared" si="99"/>
        <v>HO-MD 32 RP4-1200.25E</v>
      </c>
      <c r="B6345" s="195" t="s">
        <v>2931</v>
      </c>
      <c r="C6345" s="196">
        <v>0</v>
      </c>
      <c r="D6345" s="196">
        <v>0.25</v>
      </c>
      <c r="E6345" s="195" t="s">
        <v>598</v>
      </c>
      <c r="F6345" s="195" t="s">
        <v>19</v>
      </c>
    </row>
    <row r="6346" spans="1:6" x14ac:dyDescent="0.25">
      <c r="A6346" s="189" t="str">
        <f t="shared" si="99"/>
        <v>HO-MD 32 RP4-1400.27N</v>
      </c>
      <c r="B6346" s="195" t="s">
        <v>2932</v>
      </c>
      <c r="C6346" s="196">
        <v>0</v>
      </c>
      <c r="D6346" s="196">
        <v>0.27</v>
      </c>
      <c r="E6346" s="195" t="s">
        <v>589</v>
      </c>
      <c r="F6346" s="195" t="s">
        <v>430</v>
      </c>
    </row>
    <row r="6347" spans="1:6" x14ac:dyDescent="0.25">
      <c r="A6347" s="189" t="str">
        <f t="shared" si="99"/>
        <v>HO-MD 32 RP4-1500.02N</v>
      </c>
      <c r="B6347" s="195" t="s">
        <v>2933</v>
      </c>
      <c r="C6347" s="196">
        <v>0</v>
      </c>
      <c r="D6347" s="196">
        <v>0.02</v>
      </c>
      <c r="E6347" s="195" t="s">
        <v>589</v>
      </c>
      <c r="F6347" s="195" t="s">
        <v>430</v>
      </c>
    </row>
    <row r="6348" spans="1:6" x14ac:dyDescent="0.25">
      <c r="A6348" s="189" t="str">
        <f t="shared" si="99"/>
        <v>HO-MD 32 RP4-1600.52N</v>
      </c>
      <c r="B6348" s="195" t="s">
        <v>2934</v>
      </c>
      <c r="C6348" s="196">
        <v>0</v>
      </c>
      <c r="D6348" s="196">
        <v>0.52</v>
      </c>
      <c r="E6348" s="195" t="s">
        <v>589</v>
      </c>
      <c r="F6348" s="195" t="s">
        <v>430</v>
      </c>
    </row>
    <row r="6349" spans="1:6" x14ac:dyDescent="0.25">
      <c r="A6349" s="189" t="str">
        <f t="shared" si="99"/>
        <v>HO-MD 32 RP4-1700.22E</v>
      </c>
      <c r="B6349" s="195" t="s">
        <v>2935</v>
      </c>
      <c r="C6349" s="196">
        <v>0</v>
      </c>
      <c r="D6349" s="196">
        <v>0.22</v>
      </c>
      <c r="E6349" s="195" t="s">
        <v>598</v>
      </c>
      <c r="F6349" s="195" t="s">
        <v>19</v>
      </c>
    </row>
    <row r="6350" spans="1:6" x14ac:dyDescent="0.25">
      <c r="A6350" s="189" t="str">
        <f t="shared" si="99"/>
        <v>HO-MD 32 RP4-1900.15E</v>
      </c>
      <c r="B6350" s="195" t="s">
        <v>2936</v>
      </c>
      <c r="C6350" s="196">
        <v>0</v>
      </c>
      <c r="D6350" s="196">
        <v>0.15</v>
      </c>
      <c r="E6350" s="195" t="s">
        <v>598</v>
      </c>
      <c r="F6350" s="195" t="s">
        <v>19</v>
      </c>
    </row>
    <row r="6351" spans="1:6" x14ac:dyDescent="0.25">
      <c r="A6351" s="189" t="str">
        <f t="shared" si="99"/>
        <v>HO-MD 32 RP4-2000.3E</v>
      </c>
      <c r="B6351" s="195" t="s">
        <v>2937</v>
      </c>
      <c r="C6351" s="196">
        <v>0</v>
      </c>
      <c r="D6351" s="196">
        <v>0.3</v>
      </c>
      <c r="E6351" s="195" t="s">
        <v>598</v>
      </c>
      <c r="F6351" s="195" t="s">
        <v>19</v>
      </c>
    </row>
    <row r="6352" spans="1:6" x14ac:dyDescent="0.25">
      <c r="A6352" s="189" t="str">
        <f t="shared" si="99"/>
        <v>HO-MD 32 RP4-2600.3N</v>
      </c>
      <c r="B6352" s="195" t="s">
        <v>2938</v>
      </c>
      <c r="C6352" s="196">
        <v>0</v>
      </c>
      <c r="D6352" s="196">
        <v>0.3</v>
      </c>
      <c r="E6352" s="195" t="s">
        <v>589</v>
      </c>
      <c r="F6352" s="195" t="s">
        <v>430</v>
      </c>
    </row>
    <row r="6353" spans="1:6" x14ac:dyDescent="0.25">
      <c r="A6353" s="189" t="str">
        <f t="shared" si="99"/>
        <v>HO-MD 32 RP5-1100.41E</v>
      </c>
      <c r="B6353" s="195" t="s">
        <v>2939</v>
      </c>
      <c r="C6353" s="196">
        <v>0</v>
      </c>
      <c r="D6353" s="196">
        <v>0.41</v>
      </c>
      <c r="E6353" s="195" t="s">
        <v>598</v>
      </c>
      <c r="F6353" s="195" t="s">
        <v>19</v>
      </c>
    </row>
    <row r="6354" spans="1:6" x14ac:dyDescent="0.25">
      <c r="A6354" s="189" t="str">
        <f t="shared" si="99"/>
        <v>HO-MD 32 RP5-1200.25S</v>
      </c>
      <c r="B6354" s="195" t="s">
        <v>2940</v>
      </c>
      <c r="C6354" s="196">
        <v>0</v>
      </c>
      <c r="D6354" s="196">
        <v>0.25</v>
      </c>
      <c r="E6354" s="195" t="s">
        <v>595</v>
      </c>
      <c r="F6354" s="195" t="s">
        <v>438</v>
      </c>
    </row>
    <row r="6355" spans="1:6" x14ac:dyDescent="0.25">
      <c r="A6355" s="189" t="str">
        <f t="shared" si="99"/>
        <v>HO-MD 32 RP5-1400.24S</v>
      </c>
      <c r="B6355" s="195" t="s">
        <v>2941</v>
      </c>
      <c r="C6355" s="196">
        <v>0</v>
      </c>
      <c r="D6355" s="196">
        <v>0.24</v>
      </c>
      <c r="E6355" s="195" t="s">
        <v>595</v>
      </c>
      <c r="F6355" s="195" t="s">
        <v>438</v>
      </c>
    </row>
    <row r="6356" spans="1:6" x14ac:dyDescent="0.25">
      <c r="A6356" s="189" t="str">
        <f t="shared" si="99"/>
        <v>HO-MD 32 RP5-1500.07N</v>
      </c>
      <c r="B6356" s="195" t="s">
        <v>2942</v>
      </c>
      <c r="C6356" s="196">
        <v>0</v>
      </c>
      <c r="D6356" s="196">
        <v>7.0000000000000007E-2</v>
      </c>
      <c r="E6356" s="195" t="s">
        <v>589</v>
      </c>
      <c r="F6356" s="195" t="s">
        <v>430</v>
      </c>
    </row>
    <row r="6357" spans="1:6" x14ac:dyDescent="0.25">
      <c r="A6357" s="189" t="str">
        <f t="shared" si="99"/>
        <v>HO-MD 32 RP5-1600.25S</v>
      </c>
      <c r="B6357" s="195" t="s">
        <v>2943</v>
      </c>
      <c r="C6357" s="196">
        <v>0</v>
      </c>
      <c r="D6357" s="196">
        <v>0.25</v>
      </c>
      <c r="E6357" s="195" t="s">
        <v>595</v>
      </c>
      <c r="F6357" s="195" t="s">
        <v>438</v>
      </c>
    </row>
    <row r="6358" spans="1:6" x14ac:dyDescent="0.25">
      <c r="A6358" s="189" t="str">
        <f t="shared" si="99"/>
        <v>HO-MD 32 RP5-1700.04E</v>
      </c>
      <c r="B6358" s="195" t="s">
        <v>2944</v>
      </c>
      <c r="C6358" s="196">
        <v>0</v>
      </c>
      <c r="D6358" s="196">
        <v>0.04</v>
      </c>
      <c r="E6358" s="195" t="s">
        <v>598</v>
      </c>
      <c r="F6358" s="195" t="s">
        <v>19</v>
      </c>
    </row>
    <row r="6359" spans="1:6" x14ac:dyDescent="0.25">
      <c r="A6359" s="189" t="str">
        <f t="shared" si="99"/>
        <v>HO-MD 32 RP6-1100.24W</v>
      </c>
      <c r="B6359" s="195" t="s">
        <v>2945</v>
      </c>
      <c r="C6359" s="196">
        <v>0</v>
      </c>
      <c r="D6359" s="196">
        <v>0.24</v>
      </c>
      <c r="E6359" s="195" t="s">
        <v>593</v>
      </c>
      <c r="F6359" s="195" t="s">
        <v>432</v>
      </c>
    </row>
    <row r="6360" spans="1:6" x14ac:dyDescent="0.25">
      <c r="A6360" s="189" t="str">
        <f t="shared" si="99"/>
        <v>HO-MD 32 RP6-1200.26E</v>
      </c>
      <c r="B6360" s="195" t="s">
        <v>2946</v>
      </c>
      <c r="C6360" s="196">
        <v>0</v>
      </c>
      <c r="D6360" s="196">
        <v>0.26</v>
      </c>
      <c r="E6360" s="195" t="s">
        <v>598</v>
      </c>
      <c r="F6360" s="195" t="s">
        <v>19</v>
      </c>
    </row>
    <row r="6361" spans="1:6" x14ac:dyDescent="0.25">
      <c r="A6361" s="189" t="str">
        <f t="shared" si="99"/>
        <v>HO-MD 32 RP6-1400.25S</v>
      </c>
      <c r="B6361" s="195" t="s">
        <v>2947</v>
      </c>
      <c r="C6361" s="196">
        <v>0</v>
      </c>
      <c r="D6361" s="196">
        <v>0.25</v>
      </c>
      <c r="E6361" s="195" t="s">
        <v>595</v>
      </c>
      <c r="F6361" s="195" t="s">
        <v>438</v>
      </c>
    </row>
    <row r="6362" spans="1:6" x14ac:dyDescent="0.25">
      <c r="A6362" s="189" t="str">
        <f t="shared" si="99"/>
        <v>HO-MD 32 RP6-1500.02N</v>
      </c>
      <c r="B6362" s="195" t="s">
        <v>2948</v>
      </c>
      <c r="C6362" s="196">
        <v>0</v>
      </c>
      <c r="D6362" s="196">
        <v>0.02</v>
      </c>
      <c r="E6362" s="195" t="s">
        <v>589</v>
      </c>
      <c r="F6362" s="195" t="s">
        <v>430</v>
      </c>
    </row>
    <row r="6363" spans="1:6" x14ac:dyDescent="0.25">
      <c r="A6363" s="189" t="str">
        <f t="shared" si="99"/>
        <v>HO-MD 32 RP6-1600.55S</v>
      </c>
      <c r="B6363" s="195" t="s">
        <v>2949</v>
      </c>
      <c r="C6363" s="196">
        <v>0</v>
      </c>
      <c r="D6363" s="196">
        <v>0.55000000000000004</v>
      </c>
      <c r="E6363" s="195" t="s">
        <v>595</v>
      </c>
      <c r="F6363" s="195" t="s">
        <v>438</v>
      </c>
    </row>
    <row r="6364" spans="1:6" x14ac:dyDescent="0.25">
      <c r="A6364" s="189" t="str">
        <f t="shared" si="99"/>
        <v>HO-MD 32 RP6-1700.31E</v>
      </c>
      <c r="B6364" s="195" t="s">
        <v>2950</v>
      </c>
      <c r="C6364" s="196">
        <v>0</v>
      </c>
      <c r="D6364" s="196">
        <v>0.31</v>
      </c>
      <c r="E6364" s="195" t="s">
        <v>598</v>
      </c>
      <c r="F6364" s="195" t="s">
        <v>19</v>
      </c>
    </row>
    <row r="6365" spans="1:6" x14ac:dyDescent="0.25">
      <c r="A6365" s="189" t="str">
        <f t="shared" si="99"/>
        <v>HO-MD 32 RP6-2000.27E</v>
      </c>
      <c r="B6365" s="195" t="s">
        <v>2951</v>
      </c>
      <c r="C6365" s="196">
        <v>0</v>
      </c>
      <c r="D6365" s="196">
        <v>0.27</v>
      </c>
      <c r="E6365" s="195" t="s">
        <v>598</v>
      </c>
      <c r="F6365" s="195" t="s">
        <v>19</v>
      </c>
    </row>
    <row r="6366" spans="1:6" x14ac:dyDescent="0.25">
      <c r="A6366" s="189" t="str">
        <f t="shared" si="99"/>
        <v>HO-MD 32 RP6-2600.07S</v>
      </c>
      <c r="B6366" s="195" t="s">
        <v>2952</v>
      </c>
      <c r="C6366" s="196">
        <v>0</v>
      </c>
      <c r="D6366" s="196">
        <v>7.0000000000000007E-2</v>
      </c>
      <c r="E6366" s="195" t="s">
        <v>595</v>
      </c>
      <c r="F6366" s="195" t="s">
        <v>438</v>
      </c>
    </row>
    <row r="6367" spans="1:6" x14ac:dyDescent="0.25">
      <c r="A6367" s="189" t="str">
        <f t="shared" si="99"/>
        <v>HO-MD 32 RP7-1100.05S</v>
      </c>
      <c r="B6367" s="195" t="s">
        <v>2953</v>
      </c>
      <c r="C6367" s="196">
        <v>0</v>
      </c>
      <c r="D6367" s="196">
        <v>0.05</v>
      </c>
      <c r="E6367" s="195" t="s">
        <v>595</v>
      </c>
      <c r="F6367" s="195" t="s">
        <v>438</v>
      </c>
    </row>
    <row r="6368" spans="1:6" x14ac:dyDescent="0.25">
      <c r="A6368" s="189" t="str">
        <f t="shared" si="99"/>
        <v>HO-MD 32 RP7-1200.25W</v>
      </c>
      <c r="B6368" s="195" t="s">
        <v>2954</v>
      </c>
      <c r="C6368" s="196">
        <v>0</v>
      </c>
      <c r="D6368" s="196">
        <v>0.25</v>
      </c>
      <c r="E6368" s="195" t="s">
        <v>593</v>
      </c>
      <c r="F6368" s="195" t="s">
        <v>432</v>
      </c>
    </row>
    <row r="6369" spans="1:6" x14ac:dyDescent="0.25">
      <c r="A6369" s="189" t="str">
        <f t="shared" si="99"/>
        <v>HO-MD 32 RP7-1400.04W</v>
      </c>
      <c r="B6369" s="195" t="s">
        <v>2955</v>
      </c>
      <c r="C6369" s="196">
        <v>0</v>
      </c>
      <c r="D6369" s="196">
        <v>0.04</v>
      </c>
      <c r="E6369" s="195" t="s">
        <v>593</v>
      </c>
      <c r="F6369" s="195" t="s">
        <v>432</v>
      </c>
    </row>
    <row r="6370" spans="1:6" x14ac:dyDescent="0.25">
      <c r="A6370" s="189" t="str">
        <f t="shared" si="99"/>
        <v>HO-MD 32 RP7-1500.19N</v>
      </c>
      <c r="B6370" s="195" t="s">
        <v>2956</v>
      </c>
      <c r="C6370" s="196">
        <v>0</v>
      </c>
      <c r="D6370" s="196">
        <v>0.19</v>
      </c>
      <c r="E6370" s="195" t="s">
        <v>589</v>
      </c>
      <c r="F6370" s="195" t="s">
        <v>430</v>
      </c>
    </row>
    <row r="6371" spans="1:6" x14ac:dyDescent="0.25">
      <c r="A6371" s="189" t="str">
        <f t="shared" si="99"/>
        <v>HO-MD 32 RP7-1600.27W</v>
      </c>
      <c r="B6371" s="195" t="s">
        <v>2957</v>
      </c>
      <c r="C6371" s="196">
        <v>0</v>
      </c>
      <c r="D6371" s="196">
        <v>0.27</v>
      </c>
      <c r="E6371" s="195" t="s">
        <v>593</v>
      </c>
      <c r="F6371" s="195" t="s">
        <v>432</v>
      </c>
    </row>
    <row r="6372" spans="1:6" x14ac:dyDescent="0.25">
      <c r="A6372" s="189" t="str">
        <f t="shared" si="99"/>
        <v>HO-MD 32 RP7-1700.06W</v>
      </c>
      <c r="B6372" s="195" t="s">
        <v>2958</v>
      </c>
      <c r="C6372" s="196">
        <v>0</v>
      </c>
      <c r="D6372" s="196">
        <v>0.06</v>
      </c>
      <c r="E6372" s="195" t="s">
        <v>593</v>
      </c>
      <c r="F6372" s="195" t="s">
        <v>432</v>
      </c>
    </row>
    <row r="6373" spans="1:6" x14ac:dyDescent="0.25">
      <c r="A6373" s="189" t="str">
        <f t="shared" si="99"/>
        <v>HO-MD 32 RP8-1100.05E</v>
      </c>
      <c r="B6373" s="195" t="s">
        <v>2959</v>
      </c>
      <c r="C6373" s="196">
        <v>0</v>
      </c>
      <c r="D6373" s="196">
        <v>0.05</v>
      </c>
      <c r="E6373" s="195" t="s">
        <v>598</v>
      </c>
      <c r="F6373" s="195" t="s">
        <v>19</v>
      </c>
    </row>
    <row r="6374" spans="1:6" x14ac:dyDescent="0.25">
      <c r="A6374" s="189" t="str">
        <f t="shared" si="99"/>
        <v>HO-MD 32 RP8-1200.28W</v>
      </c>
      <c r="B6374" s="195" t="s">
        <v>2960</v>
      </c>
      <c r="C6374" s="196">
        <v>0</v>
      </c>
      <c r="D6374" s="196">
        <v>0.28000000000000003</v>
      </c>
      <c r="E6374" s="195" t="s">
        <v>593</v>
      </c>
      <c r="F6374" s="195" t="s">
        <v>432</v>
      </c>
    </row>
    <row r="6375" spans="1:6" x14ac:dyDescent="0.25">
      <c r="A6375" s="189" t="str">
        <f t="shared" si="99"/>
        <v>HO-MD 32 RP8-1400.29S</v>
      </c>
      <c r="B6375" s="195" t="s">
        <v>2961</v>
      </c>
      <c r="C6375" s="196">
        <v>0</v>
      </c>
      <c r="D6375" s="196">
        <v>0.28999999999999998</v>
      </c>
      <c r="E6375" s="195" t="s">
        <v>595</v>
      </c>
      <c r="F6375" s="195" t="s">
        <v>438</v>
      </c>
    </row>
    <row r="6376" spans="1:6" x14ac:dyDescent="0.25">
      <c r="A6376" s="189" t="str">
        <f t="shared" si="99"/>
        <v>HO-MD 32 RP8-1500.02E</v>
      </c>
      <c r="B6376" s="195" t="s">
        <v>2962</v>
      </c>
      <c r="C6376" s="196">
        <v>0</v>
      </c>
      <c r="D6376" s="196">
        <v>0.02</v>
      </c>
      <c r="E6376" s="195" t="s">
        <v>598</v>
      </c>
      <c r="F6376" s="195" t="s">
        <v>19</v>
      </c>
    </row>
    <row r="6377" spans="1:6" x14ac:dyDescent="0.25">
      <c r="A6377" s="189" t="str">
        <f t="shared" si="99"/>
        <v>HO-MD 32 RP8-1600.57S</v>
      </c>
      <c r="B6377" s="195" t="s">
        <v>2963</v>
      </c>
      <c r="C6377" s="196">
        <v>0</v>
      </c>
      <c r="D6377" s="196">
        <v>0.56999999999999995</v>
      </c>
      <c r="E6377" s="195" t="s">
        <v>595</v>
      </c>
      <c r="F6377" s="195" t="s">
        <v>438</v>
      </c>
    </row>
    <row r="6378" spans="1:6" x14ac:dyDescent="0.25">
      <c r="A6378" s="189" t="str">
        <f t="shared" si="99"/>
        <v>HO-MD 32 RP8-1700.4E</v>
      </c>
      <c r="B6378" s="195" t="s">
        <v>2964</v>
      </c>
      <c r="C6378" s="196">
        <v>0</v>
      </c>
      <c r="D6378" s="196">
        <v>0.4</v>
      </c>
      <c r="E6378" s="195" t="s">
        <v>598</v>
      </c>
      <c r="F6378" s="195" t="s">
        <v>19</v>
      </c>
    </row>
    <row r="6379" spans="1:6" x14ac:dyDescent="0.25">
      <c r="A6379" s="189" t="str">
        <f t="shared" si="99"/>
        <v>HO-MD 32 RP8-2000.2W</v>
      </c>
      <c r="B6379" s="195" t="s">
        <v>2965</v>
      </c>
      <c r="C6379" s="196">
        <v>0</v>
      </c>
      <c r="D6379" s="196">
        <v>0.2</v>
      </c>
      <c r="E6379" s="195" t="s">
        <v>593</v>
      </c>
      <c r="F6379" s="195" t="s">
        <v>432</v>
      </c>
    </row>
    <row r="6380" spans="1:6" x14ac:dyDescent="0.25">
      <c r="A6380" s="189" t="str">
        <f t="shared" si="99"/>
        <v>HO-MD 32 RP8-2600.07S</v>
      </c>
      <c r="B6380" s="195" t="s">
        <v>2966</v>
      </c>
      <c r="C6380" s="196">
        <v>0</v>
      </c>
      <c r="D6380" s="196">
        <v>7.0000000000000007E-2</v>
      </c>
      <c r="E6380" s="195" t="s">
        <v>595</v>
      </c>
      <c r="F6380" s="195" t="s">
        <v>438</v>
      </c>
    </row>
    <row r="6381" spans="1:6" x14ac:dyDescent="0.25">
      <c r="A6381" s="189" t="str">
        <f t="shared" si="99"/>
        <v>HO-MD 32 RP9-1200.95W</v>
      </c>
      <c r="B6381" s="195" t="s">
        <v>2967</v>
      </c>
      <c r="C6381" s="196">
        <v>0</v>
      </c>
      <c r="D6381" s="196">
        <v>0.95</v>
      </c>
      <c r="E6381" s="195" t="s">
        <v>593</v>
      </c>
      <c r="F6381" s="195" t="s">
        <v>432</v>
      </c>
    </row>
    <row r="6382" spans="1:6" x14ac:dyDescent="0.25">
      <c r="A6382" s="189" t="str">
        <f t="shared" si="99"/>
        <v>HO-MD 32B00.02E</v>
      </c>
      <c r="B6382" s="195" t="s">
        <v>2968</v>
      </c>
      <c r="C6382" s="196">
        <v>0</v>
      </c>
      <c r="D6382" s="196">
        <v>0.02</v>
      </c>
      <c r="E6382" s="195" t="s">
        <v>598</v>
      </c>
      <c r="F6382" s="195" t="s">
        <v>19</v>
      </c>
    </row>
    <row r="6383" spans="1:6" x14ac:dyDescent="0.25">
      <c r="A6383" s="189" t="str">
        <f t="shared" si="99"/>
        <v>HO-MD 32B00.02W</v>
      </c>
      <c r="B6383" s="195" t="s">
        <v>2968</v>
      </c>
      <c r="C6383" s="196">
        <v>0</v>
      </c>
      <c r="D6383" s="196">
        <v>0.02</v>
      </c>
      <c r="E6383" s="195" t="s">
        <v>593</v>
      </c>
      <c r="F6383" s="195" t="s">
        <v>432</v>
      </c>
    </row>
    <row r="6384" spans="1:6" x14ac:dyDescent="0.25">
      <c r="A6384" s="189" t="str">
        <f t="shared" si="99"/>
        <v>HO-MD 43200.25E</v>
      </c>
      <c r="B6384" s="195" t="s">
        <v>2969</v>
      </c>
      <c r="C6384" s="196">
        <v>0</v>
      </c>
      <c r="D6384" s="196">
        <v>0.25</v>
      </c>
      <c r="E6384" s="195" t="s">
        <v>598</v>
      </c>
      <c r="F6384" s="195" t="s">
        <v>19</v>
      </c>
    </row>
    <row r="6385" spans="1:6" x14ac:dyDescent="0.25">
      <c r="A6385" s="189" t="str">
        <f t="shared" si="99"/>
        <v>HO-MD 43200.25W</v>
      </c>
      <c r="B6385" s="195" t="s">
        <v>2969</v>
      </c>
      <c r="C6385" s="196">
        <v>0</v>
      </c>
      <c r="D6385" s="196">
        <v>0.25</v>
      </c>
      <c r="E6385" s="195" t="s">
        <v>593</v>
      </c>
      <c r="F6385" s="195" t="s">
        <v>432</v>
      </c>
    </row>
    <row r="6386" spans="1:6" x14ac:dyDescent="0.25">
      <c r="A6386" s="189" t="str">
        <f t="shared" si="99"/>
        <v>HO-MD 732R00.02N</v>
      </c>
      <c r="B6386" s="195" t="s">
        <v>2970</v>
      </c>
      <c r="C6386" s="196">
        <v>0</v>
      </c>
      <c r="D6386" s="196">
        <v>0.02</v>
      </c>
      <c r="E6386" s="195" t="s">
        <v>583</v>
      </c>
      <c r="F6386" s="195" t="s">
        <v>430</v>
      </c>
    </row>
    <row r="6387" spans="1:6" x14ac:dyDescent="0.25">
      <c r="A6387" s="189" t="str">
        <f t="shared" si="99"/>
        <v>HO-MD 732R00.02S</v>
      </c>
      <c r="B6387" s="195" t="s">
        <v>2970</v>
      </c>
      <c r="C6387" s="196">
        <v>0</v>
      </c>
      <c r="D6387" s="196">
        <v>0.02</v>
      </c>
      <c r="E6387" s="195" t="s">
        <v>583</v>
      </c>
      <c r="F6387" s="195" t="s">
        <v>438</v>
      </c>
    </row>
    <row r="6388" spans="1:6" x14ac:dyDescent="0.25">
      <c r="A6388" s="189" t="str">
        <f t="shared" si="99"/>
        <v>HO-MD 732R0.020.28N</v>
      </c>
      <c r="B6388" s="195" t="s">
        <v>2970</v>
      </c>
      <c r="C6388" s="196">
        <v>0.02</v>
      </c>
      <c r="D6388" s="196">
        <v>0.28000000000000003</v>
      </c>
      <c r="E6388" s="195" t="s">
        <v>583</v>
      </c>
      <c r="F6388" s="195" t="s">
        <v>430</v>
      </c>
    </row>
    <row r="6389" spans="1:6" x14ac:dyDescent="0.25">
      <c r="A6389" s="189" t="str">
        <f t="shared" si="99"/>
        <v>HO-MD 732R0.020.28S</v>
      </c>
      <c r="B6389" s="195" t="s">
        <v>2970</v>
      </c>
      <c r="C6389" s="196">
        <v>0.02</v>
      </c>
      <c r="D6389" s="196">
        <v>0.28000000000000003</v>
      </c>
      <c r="E6389" s="195" t="s">
        <v>583</v>
      </c>
      <c r="F6389" s="195" t="s">
        <v>438</v>
      </c>
    </row>
    <row r="6390" spans="1:6" x14ac:dyDescent="0.25">
      <c r="A6390" s="189" t="str">
        <f t="shared" si="99"/>
        <v>HO-MD 732R0.280.46N</v>
      </c>
      <c r="B6390" s="195" t="s">
        <v>2970</v>
      </c>
      <c r="C6390" s="196">
        <v>0.28000000000000003</v>
      </c>
      <c r="D6390" s="196">
        <v>0.46</v>
      </c>
      <c r="E6390" s="195" t="s">
        <v>583</v>
      </c>
      <c r="F6390" s="195" t="s">
        <v>430</v>
      </c>
    </row>
    <row r="6391" spans="1:6" x14ac:dyDescent="0.25">
      <c r="A6391" s="189" t="str">
        <f t="shared" si="99"/>
        <v>HO-MD 732R0.280.46S</v>
      </c>
      <c r="B6391" s="195" t="s">
        <v>2970</v>
      </c>
      <c r="C6391" s="196">
        <v>0.28000000000000003</v>
      </c>
      <c r="D6391" s="196">
        <v>0.46</v>
      </c>
      <c r="E6391" s="195" t="s">
        <v>583</v>
      </c>
      <c r="F6391" s="195" t="s">
        <v>438</v>
      </c>
    </row>
    <row r="6392" spans="1:6" x14ac:dyDescent="0.25">
      <c r="A6392" s="189" t="str">
        <f t="shared" si="99"/>
        <v>HO-MD 85100.42N</v>
      </c>
      <c r="B6392" s="195" t="s">
        <v>2971</v>
      </c>
      <c r="C6392" s="196">
        <v>0</v>
      </c>
      <c r="D6392" s="196">
        <v>0.42</v>
      </c>
      <c r="E6392" s="195" t="s">
        <v>589</v>
      </c>
      <c r="F6392" s="195" t="s">
        <v>430</v>
      </c>
    </row>
    <row r="6393" spans="1:6" x14ac:dyDescent="0.25">
      <c r="A6393" s="189" t="str">
        <f t="shared" si="99"/>
        <v>HO-MD 85100.42S</v>
      </c>
      <c r="B6393" s="195" t="s">
        <v>2971</v>
      </c>
      <c r="C6393" s="196">
        <v>0</v>
      </c>
      <c r="D6393" s="196">
        <v>0.42</v>
      </c>
      <c r="E6393" s="195" t="s">
        <v>595</v>
      </c>
      <c r="F6393" s="195" t="s">
        <v>438</v>
      </c>
    </row>
    <row r="6394" spans="1:6" x14ac:dyDescent="0.25">
      <c r="A6394" s="189" t="str">
        <f t="shared" si="99"/>
        <v>HO-MD 851D00.15N</v>
      </c>
      <c r="B6394" s="195" t="s">
        <v>2972</v>
      </c>
      <c r="C6394" s="196">
        <v>0</v>
      </c>
      <c r="D6394" s="196">
        <v>0.15</v>
      </c>
      <c r="E6394" s="195" t="s">
        <v>589</v>
      </c>
      <c r="F6394" s="195" t="s">
        <v>430</v>
      </c>
    </row>
    <row r="6395" spans="1:6" x14ac:dyDescent="0.25">
      <c r="A6395" s="189" t="str">
        <f t="shared" si="99"/>
        <v>HO-MD 851D00.15S</v>
      </c>
      <c r="B6395" s="195" t="s">
        <v>2972</v>
      </c>
      <c r="C6395" s="196">
        <v>0</v>
      </c>
      <c r="D6395" s="196">
        <v>0.15</v>
      </c>
      <c r="E6395" s="195" t="s">
        <v>595</v>
      </c>
      <c r="F6395" s="195" t="s">
        <v>438</v>
      </c>
    </row>
    <row r="6396" spans="1:6" x14ac:dyDescent="0.25">
      <c r="A6396" s="189" t="str">
        <f t="shared" si="99"/>
        <v>HO-MD 851F00.15E</v>
      </c>
      <c r="B6396" s="195" t="s">
        <v>2973</v>
      </c>
      <c r="C6396" s="196">
        <v>0</v>
      </c>
      <c r="D6396" s="196">
        <v>0.15</v>
      </c>
      <c r="E6396" s="195" t="s">
        <v>598</v>
      </c>
      <c r="F6396" s="195" t="s">
        <v>19</v>
      </c>
    </row>
    <row r="6397" spans="1:6" x14ac:dyDescent="0.25">
      <c r="A6397" s="189" t="str">
        <f t="shared" si="99"/>
        <v>HO-MD 851F00.15W</v>
      </c>
      <c r="B6397" s="195" t="s">
        <v>2973</v>
      </c>
      <c r="C6397" s="196">
        <v>0</v>
      </c>
      <c r="D6397" s="196">
        <v>0.15</v>
      </c>
      <c r="E6397" s="195" t="s">
        <v>593</v>
      </c>
      <c r="F6397" s="195" t="s">
        <v>432</v>
      </c>
    </row>
    <row r="6398" spans="1:6" x14ac:dyDescent="0.25">
      <c r="A6398" s="189" t="str">
        <f t="shared" si="99"/>
        <v>HO-MD 851H00.21N</v>
      </c>
      <c r="B6398" s="195" t="s">
        <v>2974</v>
      </c>
      <c r="C6398" s="196">
        <v>0</v>
      </c>
      <c r="D6398" s="196">
        <v>0.21</v>
      </c>
      <c r="E6398" s="195" t="s">
        <v>589</v>
      </c>
      <c r="F6398" s="195" t="s">
        <v>430</v>
      </c>
    </row>
    <row r="6399" spans="1:6" x14ac:dyDescent="0.25">
      <c r="A6399" s="189" t="str">
        <f t="shared" si="99"/>
        <v>HO-MD 851H00.21S</v>
      </c>
      <c r="B6399" s="195" t="s">
        <v>2974</v>
      </c>
      <c r="C6399" s="196">
        <v>0</v>
      </c>
      <c r="D6399" s="196">
        <v>0.21</v>
      </c>
      <c r="E6399" s="195" t="s">
        <v>595</v>
      </c>
      <c r="F6399" s="195" t="s">
        <v>438</v>
      </c>
    </row>
    <row r="6400" spans="1:6" x14ac:dyDescent="0.25">
      <c r="A6400" s="189" t="str">
        <f t="shared" si="99"/>
        <v>HO-MD 851J00.17N</v>
      </c>
      <c r="B6400" s="195" t="s">
        <v>2975</v>
      </c>
      <c r="C6400" s="196">
        <v>0</v>
      </c>
      <c r="D6400" s="196">
        <v>0.17</v>
      </c>
      <c r="E6400" s="195" t="s">
        <v>589</v>
      </c>
      <c r="F6400" s="195" t="s">
        <v>430</v>
      </c>
    </row>
    <row r="6401" spans="1:6" x14ac:dyDescent="0.25">
      <c r="A6401" s="189" t="str">
        <f t="shared" si="99"/>
        <v>HO-MD 851J00.17S</v>
      </c>
      <c r="B6401" s="195" t="s">
        <v>2975</v>
      </c>
      <c r="C6401" s="196">
        <v>0</v>
      </c>
      <c r="D6401" s="196">
        <v>0.17</v>
      </c>
      <c r="E6401" s="195" t="s">
        <v>595</v>
      </c>
      <c r="F6401" s="195" t="s">
        <v>438</v>
      </c>
    </row>
    <row r="6402" spans="1:6" x14ac:dyDescent="0.25">
      <c r="A6402" s="189" t="str">
        <f t="shared" si="99"/>
        <v>HO-MD 932B2.82.95N</v>
      </c>
      <c r="B6402" s="195" t="s">
        <v>2976</v>
      </c>
      <c r="C6402" s="196">
        <v>2.8</v>
      </c>
      <c r="D6402" s="196">
        <v>2.95</v>
      </c>
      <c r="E6402" s="195" t="s">
        <v>589</v>
      </c>
      <c r="F6402" s="195" t="s">
        <v>430</v>
      </c>
    </row>
    <row r="6403" spans="1:6" x14ac:dyDescent="0.25">
      <c r="A6403" s="189" t="str">
        <f t="shared" ref="A6403:A6466" si="100">B6403&amp;C6403&amp;D6403&amp;F6403</f>
        <v>HO-MD 932B2.82.95S</v>
      </c>
      <c r="B6403" s="195" t="s">
        <v>2976</v>
      </c>
      <c r="C6403" s="196">
        <v>2.8</v>
      </c>
      <c r="D6403" s="196">
        <v>2.95</v>
      </c>
      <c r="E6403" s="195" t="s">
        <v>595</v>
      </c>
      <c r="F6403" s="195" t="s">
        <v>438</v>
      </c>
    </row>
    <row r="6404" spans="1:6" x14ac:dyDescent="0.25">
      <c r="A6404" s="189" t="str">
        <f t="shared" si="100"/>
        <v>HO-MD 932B2.952.96N</v>
      </c>
      <c r="B6404" s="195" t="s">
        <v>2976</v>
      </c>
      <c r="C6404" s="196">
        <v>2.95</v>
      </c>
      <c r="D6404" s="196">
        <v>2.96</v>
      </c>
      <c r="E6404" s="195" t="s">
        <v>589</v>
      </c>
      <c r="F6404" s="195" t="s">
        <v>430</v>
      </c>
    </row>
    <row r="6405" spans="1:6" x14ac:dyDescent="0.25">
      <c r="A6405" s="189" t="str">
        <f t="shared" si="100"/>
        <v>HO-MD 932B2.952.96S</v>
      </c>
      <c r="B6405" s="195" t="s">
        <v>2976</v>
      </c>
      <c r="C6405" s="196">
        <v>2.95</v>
      </c>
      <c r="D6405" s="196">
        <v>2.96</v>
      </c>
      <c r="E6405" s="195" t="s">
        <v>595</v>
      </c>
      <c r="F6405" s="195" t="s">
        <v>438</v>
      </c>
    </row>
    <row r="6406" spans="1:6" x14ac:dyDescent="0.25">
      <c r="A6406" s="189" t="str">
        <f t="shared" si="100"/>
        <v>HO-MD 932C5.916.45N</v>
      </c>
      <c r="B6406" s="195" t="s">
        <v>2977</v>
      </c>
      <c r="C6406" s="196">
        <v>5.91</v>
      </c>
      <c r="D6406" s="196">
        <v>6.45</v>
      </c>
      <c r="E6406" s="195" t="s">
        <v>589</v>
      </c>
      <c r="F6406" s="195" t="s">
        <v>430</v>
      </c>
    </row>
    <row r="6407" spans="1:6" x14ac:dyDescent="0.25">
      <c r="A6407" s="189" t="str">
        <f t="shared" si="100"/>
        <v>HO-MD 932C5.916.45S</v>
      </c>
      <c r="B6407" s="195" t="s">
        <v>2977</v>
      </c>
      <c r="C6407" s="196">
        <v>5.91</v>
      </c>
      <c r="D6407" s="196">
        <v>6.45</v>
      </c>
      <c r="E6407" s="195" t="s">
        <v>595</v>
      </c>
      <c r="F6407" s="195" t="s">
        <v>438</v>
      </c>
    </row>
    <row r="6408" spans="1:6" x14ac:dyDescent="0.25">
      <c r="A6408" s="189" t="str">
        <f t="shared" si="100"/>
        <v>HO-MD 932D0.550.62N</v>
      </c>
      <c r="B6408" s="195" t="s">
        <v>2978</v>
      </c>
      <c r="C6408" s="196">
        <v>0.55000000000000004</v>
      </c>
      <c r="D6408" s="196">
        <v>0.62</v>
      </c>
      <c r="E6408" s="195" t="s">
        <v>589</v>
      </c>
      <c r="F6408" s="195" t="s">
        <v>430</v>
      </c>
    </row>
    <row r="6409" spans="1:6" x14ac:dyDescent="0.25">
      <c r="A6409" s="189" t="str">
        <f t="shared" si="100"/>
        <v>HO-MD 932D0.550.62S</v>
      </c>
      <c r="B6409" s="195" t="s">
        <v>2978</v>
      </c>
      <c r="C6409" s="196">
        <v>0.55000000000000004</v>
      </c>
      <c r="D6409" s="196">
        <v>0.62</v>
      </c>
      <c r="E6409" s="195" t="s">
        <v>595</v>
      </c>
      <c r="F6409" s="195" t="s">
        <v>438</v>
      </c>
    </row>
    <row r="6410" spans="1:6" x14ac:dyDescent="0.25">
      <c r="A6410" s="189" t="str">
        <f t="shared" si="100"/>
        <v>HO-MD 932E00.1N</v>
      </c>
      <c r="B6410" s="195" t="s">
        <v>2979</v>
      </c>
      <c r="C6410" s="196">
        <v>0</v>
      </c>
      <c r="D6410" s="196">
        <v>0.1</v>
      </c>
      <c r="E6410" s="195" t="s">
        <v>589</v>
      </c>
      <c r="F6410" s="195" t="s">
        <v>430</v>
      </c>
    </row>
    <row r="6411" spans="1:6" x14ac:dyDescent="0.25">
      <c r="A6411" s="189" t="str">
        <f t="shared" si="100"/>
        <v>HO-MD 932E00.1S</v>
      </c>
      <c r="B6411" s="195" t="s">
        <v>2979</v>
      </c>
      <c r="C6411" s="196">
        <v>0</v>
      </c>
      <c r="D6411" s="196">
        <v>0.1</v>
      </c>
      <c r="E6411" s="195" t="s">
        <v>595</v>
      </c>
      <c r="F6411" s="195" t="s">
        <v>438</v>
      </c>
    </row>
    <row r="6412" spans="1:6" x14ac:dyDescent="0.25">
      <c r="A6412" s="189" t="str">
        <f t="shared" si="100"/>
        <v>HO-MD 9401.65N</v>
      </c>
      <c r="B6412" s="195" t="s">
        <v>558</v>
      </c>
      <c r="C6412" s="196">
        <v>0</v>
      </c>
      <c r="D6412" s="196">
        <v>1.65</v>
      </c>
      <c r="E6412" s="195" t="s">
        <v>583</v>
      </c>
      <c r="F6412" s="195" t="s">
        <v>430</v>
      </c>
    </row>
    <row r="6413" spans="1:6" x14ac:dyDescent="0.25">
      <c r="A6413" s="189" t="str">
        <f t="shared" si="100"/>
        <v>HO-MD 9401.65S</v>
      </c>
      <c r="B6413" s="195" t="s">
        <v>558</v>
      </c>
      <c r="C6413" s="196">
        <v>0</v>
      </c>
      <c r="D6413" s="196">
        <v>1.65</v>
      </c>
      <c r="E6413" s="195" t="s">
        <v>583</v>
      </c>
      <c r="F6413" s="195" t="s">
        <v>438</v>
      </c>
    </row>
    <row r="6414" spans="1:6" x14ac:dyDescent="0.25">
      <c r="A6414" s="189" t="str">
        <f t="shared" si="100"/>
        <v>HO-MD 941.654.46N</v>
      </c>
      <c r="B6414" s="195" t="s">
        <v>558</v>
      </c>
      <c r="C6414" s="196">
        <v>1.65</v>
      </c>
      <c r="D6414" s="196">
        <v>4.46</v>
      </c>
      <c r="E6414" s="195" t="s">
        <v>583</v>
      </c>
      <c r="F6414" s="195" t="s">
        <v>430</v>
      </c>
    </row>
    <row r="6415" spans="1:6" x14ac:dyDescent="0.25">
      <c r="A6415" s="189" t="str">
        <f t="shared" si="100"/>
        <v>HO-MD 941.654.46S</v>
      </c>
      <c r="B6415" s="195" t="s">
        <v>558</v>
      </c>
      <c r="C6415" s="196">
        <v>1.65</v>
      </c>
      <c r="D6415" s="196">
        <v>4.46</v>
      </c>
      <c r="E6415" s="195" t="s">
        <v>583</v>
      </c>
      <c r="F6415" s="195" t="s">
        <v>438</v>
      </c>
    </row>
    <row r="6416" spans="1:6" x14ac:dyDescent="0.25">
      <c r="A6416" s="189" t="str">
        <f t="shared" si="100"/>
        <v>HO-MD 944.465.25N</v>
      </c>
      <c r="B6416" s="195" t="s">
        <v>558</v>
      </c>
      <c r="C6416" s="196">
        <v>4.46</v>
      </c>
      <c r="D6416" s="196">
        <v>5.25</v>
      </c>
      <c r="E6416" s="195" t="s">
        <v>583</v>
      </c>
      <c r="F6416" s="195" t="s">
        <v>430</v>
      </c>
    </row>
    <row r="6417" spans="1:6" x14ac:dyDescent="0.25">
      <c r="A6417" s="189" t="str">
        <f t="shared" si="100"/>
        <v>HO-MD 944.465.25S</v>
      </c>
      <c r="B6417" s="195" t="s">
        <v>558</v>
      </c>
      <c r="C6417" s="196">
        <v>4.46</v>
      </c>
      <c r="D6417" s="196">
        <v>5.25</v>
      </c>
      <c r="E6417" s="195" t="s">
        <v>583</v>
      </c>
      <c r="F6417" s="195" t="s">
        <v>438</v>
      </c>
    </row>
    <row r="6418" spans="1:6" x14ac:dyDescent="0.25">
      <c r="A6418" s="189" t="str">
        <f t="shared" si="100"/>
        <v>HO-MD 945.255.44N</v>
      </c>
      <c r="B6418" s="195" t="s">
        <v>558</v>
      </c>
      <c r="C6418" s="196">
        <v>5.25</v>
      </c>
      <c r="D6418" s="196">
        <v>5.44</v>
      </c>
      <c r="E6418" s="195" t="s">
        <v>583</v>
      </c>
      <c r="F6418" s="195" t="s">
        <v>430</v>
      </c>
    </row>
    <row r="6419" spans="1:6" x14ac:dyDescent="0.25">
      <c r="A6419" s="189" t="str">
        <f t="shared" si="100"/>
        <v>HO-MD 945.255.44S</v>
      </c>
      <c r="B6419" s="195" t="s">
        <v>558</v>
      </c>
      <c r="C6419" s="196">
        <v>5.25</v>
      </c>
      <c r="D6419" s="196">
        <v>5.44</v>
      </c>
      <c r="E6419" s="195" t="s">
        <v>583</v>
      </c>
      <c r="F6419" s="195" t="s">
        <v>438</v>
      </c>
    </row>
    <row r="6420" spans="1:6" x14ac:dyDescent="0.25">
      <c r="A6420" s="189" t="str">
        <f t="shared" si="100"/>
        <v>HO-MD 945.456.25N</v>
      </c>
      <c r="B6420" s="195" t="s">
        <v>558</v>
      </c>
      <c r="C6420" s="196">
        <v>5.45</v>
      </c>
      <c r="D6420" s="196">
        <v>6.25</v>
      </c>
      <c r="E6420" s="195" t="s">
        <v>583</v>
      </c>
      <c r="F6420" s="195" t="s">
        <v>430</v>
      </c>
    </row>
    <row r="6421" spans="1:6" x14ac:dyDescent="0.25">
      <c r="A6421" s="189" t="str">
        <f t="shared" si="100"/>
        <v>HO-MD 945.456.25S</v>
      </c>
      <c r="B6421" s="195" t="s">
        <v>558</v>
      </c>
      <c r="C6421" s="196">
        <v>5.45</v>
      </c>
      <c r="D6421" s="196">
        <v>6.25</v>
      </c>
      <c r="E6421" s="195" t="s">
        <v>583</v>
      </c>
      <c r="F6421" s="195" t="s">
        <v>438</v>
      </c>
    </row>
    <row r="6422" spans="1:6" x14ac:dyDescent="0.25">
      <c r="A6422" s="189" t="str">
        <f t="shared" si="100"/>
        <v>HO-MD 958P00.21N</v>
      </c>
      <c r="B6422" s="195" t="s">
        <v>2980</v>
      </c>
      <c r="C6422" s="196">
        <v>0</v>
      </c>
      <c r="D6422" s="196">
        <v>0.21</v>
      </c>
      <c r="E6422" s="195" t="s">
        <v>589</v>
      </c>
      <c r="F6422" s="195" t="s">
        <v>430</v>
      </c>
    </row>
    <row r="6423" spans="1:6" x14ac:dyDescent="0.25">
      <c r="A6423" s="189" t="str">
        <f t="shared" si="100"/>
        <v>HO-MD 958P00.21S</v>
      </c>
      <c r="B6423" s="195" t="s">
        <v>2980</v>
      </c>
      <c r="C6423" s="196">
        <v>0</v>
      </c>
      <c r="D6423" s="196">
        <v>0.21</v>
      </c>
      <c r="E6423" s="195" t="s">
        <v>595</v>
      </c>
      <c r="F6423" s="195" t="s">
        <v>438</v>
      </c>
    </row>
    <row r="6424" spans="1:6" x14ac:dyDescent="0.25">
      <c r="A6424" s="189" t="str">
        <f t="shared" si="100"/>
        <v>HO-MD 9700.25N</v>
      </c>
      <c r="B6424" s="195" t="s">
        <v>2981</v>
      </c>
      <c r="C6424" s="196">
        <v>0</v>
      </c>
      <c r="D6424" s="196">
        <v>0.25</v>
      </c>
      <c r="E6424" s="195" t="s">
        <v>583</v>
      </c>
      <c r="F6424" s="195" t="s">
        <v>430</v>
      </c>
    </row>
    <row r="6425" spans="1:6" x14ac:dyDescent="0.25">
      <c r="A6425" s="189" t="str">
        <f t="shared" si="100"/>
        <v>HO-MD 9700.25S</v>
      </c>
      <c r="B6425" s="195" t="s">
        <v>2981</v>
      </c>
      <c r="C6425" s="196">
        <v>0</v>
      </c>
      <c r="D6425" s="196">
        <v>0.25</v>
      </c>
      <c r="E6425" s="195" t="s">
        <v>583</v>
      </c>
      <c r="F6425" s="195" t="s">
        <v>438</v>
      </c>
    </row>
    <row r="6426" spans="1:6" x14ac:dyDescent="0.25">
      <c r="A6426" s="189" t="str">
        <f t="shared" si="100"/>
        <v>HO-MD 970.253.34N</v>
      </c>
      <c r="B6426" s="195" t="s">
        <v>2981</v>
      </c>
      <c r="C6426" s="196">
        <v>0.25</v>
      </c>
      <c r="D6426" s="196">
        <v>3.34</v>
      </c>
      <c r="E6426" s="195" t="s">
        <v>583</v>
      </c>
      <c r="F6426" s="195" t="s">
        <v>430</v>
      </c>
    </row>
    <row r="6427" spans="1:6" x14ac:dyDescent="0.25">
      <c r="A6427" s="189" t="str">
        <f t="shared" si="100"/>
        <v>HO-MD 970.253.34S</v>
      </c>
      <c r="B6427" s="195" t="s">
        <v>2981</v>
      </c>
      <c r="C6427" s="196">
        <v>0.25</v>
      </c>
      <c r="D6427" s="196">
        <v>3.34</v>
      </c>
      <c r="E6427" s="195" t="s">
        <v>583</v>
      </c>
      <c r="F6427" s="195" t="s">
        <v>438</v>
      </c>
    </row>
    <row r="6428" spans="1:6" x14ac:dyDescent="0.25">
      <c r="A6428" s="189" t="str">
        <f t="shared" si="100"/>
        <v>HO-MD 973.343.74N</v>
      </c>
      <c r="B6428" s="195" t="s">
        <v>2981</v>
      </c>
      <c r="C6428" s="196">
        <v>3.34</v>
      </c>
      <c r="D6428" s="196">
        <v>3.74</v>
      </c>
      <c r="E6428" s="195" t="s">
        <v>583</v>
      </c>
      <c r="F6428" s="195" t="s">
        <v>430</v>
      </c>
    </row>
    <row r="6429" spans="1:6" x14ac:dyDescent="0.25">
      <c r="A6429" s="189" t="str">
        <f t="shared" si="100"/>
        <v>HO-MD 973.343.74S</v>
      </c>
      <c r="B6429" s="195" t="s">
        <v>2981</v>
      </c>
      <c r="C6429" s="196">
        <v>3.34</v>
      </c>
      <c r="D6429" s="196">
        <v>3.74</v>
      </c>
      <c r="E6429" s="195" t="s">
        <v>583</v>
      </c>
      <c r="F6429" s="195" t="s">
        <v>438</v>
      </c>
    </row>
    <row r="6430" spans="1:6" x14ac:dyDescent="0.25">
      <c r="A6430" s="189" t="str">
        <f t="shared" si="100"/>
        <v>HO-MD 973.744.51N</v>
      </c>
      <c r="B6430" s="195" t="s">
        <v>2981</v>
      </c>
      <c r="C6430" s="196">
        <v>3.74</v>
      </c>
      <c r="D6430" s="196">
        <v>4.51</v>
      </c>
      <c r="E6430" s="195" t="s">
        <v>583</v>
      </c>
      <c r="F6430" s="195" t="s">
        <v>430</v>
      </c>
    </row>
    <row r="6431" spans="1:6" x14ac:dyDescent="0.25">
      <c r="A6431" s="189" t="str">
        <f t="shared" si="100"/>
        <v>HO-MD 973.744.51S</v>
      </c>
      <c r="B6431" s="195" t="s">
        <v>2981</v>
      </c>
      <c r="C6431" s="196">
        <v>3.74</v>
      </c>
      <c r="D6431" s="196">
        <v>4.51</v>
      </c>
      <c r="E6431" s="195" t="s">
        <v>583</v>
      </c>
      <c r="F6431" s="195" t="s">
        <v>438</v>
      </c>
    </row>
    <row r="6432" spans="1:6" x14ac:dyDescent="0.25">
      <c r="A6432" s="189" t="str">
        <f t="shared" si="100"/>
        <v>HO-MD 974.516.36N</v>
      </c>
      <c r="B6432" s="195" t="s">
        <v>2981</v>
      </c>
      <c r="C6432" s="196">
        <v>4.51</v>
      </c>
      <c r="D6432" s="196">
        <v>6.36</v>
      </c>
      <c r="E6432" s="195" t="s">
        <v>583</v>
      </c>
      <c r="F6432" s="195" t="s">
        <v>430</v>
      </c>
    </row>
    <row r="6433" spans="1:6" x14ac:dyDescent="0.25">
      <c r="A6433" s="189" t="str">
        <f t="shared" si="100"/>
        <v>HO-MD 974.516.36S</v>
      </c>
      <c r="B6433" s="195" t="s">
        <v>2981</v>
      </c>
      <c r="C6433" s="196">
        <v>4.51</v>
      </c>
      <c r="D6433" s="196">
        <v>6.36</v>
      </c>
      <c r="E6433" s="195" t="s">
        <v>583</v>
      </c>
      <c r="F6433" s="195" t="s">
        <v>438</v>
      </c>
    </row>
    <row r="6434" spans="1:6" x14ac:dyDescent="0.25">
      <c r="A6434" s="189" t="str">
        <f t="shared" si="100"/>
        <v>HO-MD 976.366.45N</v>
      </c>
      <c r="B6434" s="195" t="s">
        <v>2981</v>
      </c>
      <c r="C6434" s="196">
        <v>6.36</v>
      </c>
      <c r="D6434" s="196">
        <v>6.45</v>
      </c>
      <c r="E6434" s="195" t="s">
        <v>583</v>
      </c>
      <c r="F6434" s="195" t="s">
        <v>430</v>
      </c>
    </row>
    <row r="6435" spans="1:6" x14ac:dyDescent="0.25">
      <c r="A6435" s="189" t="str">
        <f t="shared" si="100"/>
        <v>HO-MD 976.366.45S</v>
      </c>
      <c r="B6435" s="195" t="s">
        <v>2981</v>
      </c>
      <c r="C6435" s="196">
        <v>6.36</v>
      </c>
      <c r="D6435" s="196">
        <v>6.45</v>
      </c>
      <c r="E6435" s="195" t="s">
        <v>583</v>
      </c>
      <c r="F6435" s="195" t="s">
        <v>438</v>
      </c>
    </row>
    <row r="6436" spans="1:6" x14ac:dyDescent="0.25">
      <c r="A6436" s="189" t="str">
        <f t="shared" si="100"/>
        <v>HO-MD 977.157.45N</v>
      </c>
      <c r="B6436" s="195" t="s">
        <v>2981</v>
      </c>
      <c r="C6436" s="196">
        <v>7.15</v>
      </c>
      <c r="D6436" s="196">
        <v>7.45</v>
      </c>
      <c r="E6436" s="195" t="s">
        <v>583</v>
      </c>
      <c r="F6436" s="195" t="s">
        <v>430</v>
      </c>
    </row>
    <row r="6437" spans="1:6" x14ac:dyDescent="0.25">
      <c r="A6437" s="189" t="str">
        <f t="shared" si="100"/>
        <v>HO-MD 977.157.45S</v>
      </c>
      <c r="B6437" s="195" t="s">
        <v>2981</v>
      </c>
      <c r="C6437" s="196">
        <v>7.15</v>
      </c>
      <c r="D6437" s="196">
        <v>7.45</v>
      </c>
      <c r="E6437" s="195" t="s">
        <v>583</v>
      </c>
      <c r="F6437" s="195" t="s">
        <v>438</v>
      </c>
    </row>
    <row r="6438" spans="1:6" x14ac:dyDescent="0.25">
      <c r="A6438" s="189" t="str">
        <f t="shared" si="100"/>
        <v>HO-MD 977.458.74N</v>
      </c>
      <c r="B6438" s="195" t="s">
        <v>2981</v>
      </c>
      <c r="C6438" s="196">
        <v>7.45</v>
      </c>
      <c r="D6438" s="196">
        <v>8.74</v>
      </c>
      <c r="E6438" s="195" t="s">
        <v>583</v>
      </c>
      <c r="F6438" s="195" t="s">
        <v>430</v>
      </c>
    </row>
    <row r="6439" spans="1:6" x14ac:dyDescent="0.25">
      <c r="A6439" s="189" t="str">
        <f t="shared" si="100"/>
        <v>HO-MD 977.458.74S</v>
      </c>
      <c r="B6439" s="195" t="s">
        <v>2981</v>
      </c>
      <c r="C6439" s="196">
        <v>7.45</v>
      </c>
      <c r="D6439" s="196">
        <v>8.74</v>
      </c>
      <c r="E6439" s="195" t="s">
        <v>583</v>
      </c>
      <c r="F6439" s="195" t="s">
        <v>438</v>
      </c>
    </row>
    <row r="6440" spans="1:6" x14ac:dyDescent="0.25">
      <c r="A6440" s="189" t="str">
        <f t="shared" si="100"/>
        <v>HO-MD 98100.11N</v>
      </c>
      <c r="B6440" s="195" t="s">
        <v>2982</v>
      </c>
      <c r="C6440" s="196">
        <v>0</v>
      </c>
      <c r="D6440" s="196">
        <v>0.11</v>
      </c>
      <c r="E6440" s="195" t="s">
        <v>589</v>
      </c>
      <c r="F6440" s="195" t="s">
        <v>430</v>
      </c>
    </row>
    <row r="6441" spans="1:6" x14ac:dyDescent="0.25">
      <c r="A6441" s="189" t="str">
        <f t="shared" si="100"/>
        <v>HO-MD 98100.11S</v>
      </c>
      <c r="B6441" s="195" t="s">
        <v>2982</v>
      </c>
      <c r="C6441" s="196">
        <v>0</v>
      </c>
      <c r="D6441" s="196">
        <v>0.11</v>
      </c>
      <c r="E6441" s="195" t="s">
        <v>595</v>
      </c>
      <c r="F6441" s="195" t="s">
        <v>438</v>
      </c>
    </row>
    <row r="6442" spans="1:6" x14ac:dyDescent="0.25">
      <c r="A6442" s="189" t="str">
        <f t="shared" si="100"/>
        <v>HO-MD 98301.02N</v>
      </c>
      <c r="B6442" s="195" t="s">
        <v>2983</v>
      </c>
      <c r="C6442" s="196">
        <v>0</v>
      </c>
      <c r="D6442" s="196">
        <v>1.02</v>
      </c>
      <c r="E6442" s="195" t="s">
        <v>583</v>
      </c>
      <c r="F6442" s="195" t="s">
        <v>430</v>
      </c>
    </row>
    <row r="6443" spans="1:6" x14ac:dyDescent="0.25">
      <c r="A6443" s="189" t="str">
        <f t="shared" si="100"/>
        <v>HO-MD 98301.02S</v>
      </c>
      <c r="B6443" s="195" t="s">
        <v>2983</v>
      </c>
      <c r="C6443" s="196">
        <v>0</v>
      </c>
      <c r="D6443" s="196">
        <v>1.02</v>
      </c>
      <c r="E6443" s="195" t="s">
        <v>583</v>
      </c>
      <c r="F6443" s="195" t="s">
        <v>438</v>
      </c>
    </row>
    <row r="6444" spans="1:6" x14ac:dyDescent="0.25">
      <c r="A6444" s="189" t="str">
        <f t="shared" si="100"/>
        <v>HO-MD 9831.021.02N</v>
      </c>
      <c r="B6444" s="195" t="s">
        <v>2983</v>
      </c>
      <c r="C6444" s="196">
        <v>1.02</v>
      </c>
      <c r="D6444" s="196">
        <v>1.02</v>
      </c>
      <c r="E6444" s="195" t="s">
        <v>583</v>
      </c>
      <c r="F6444" s="195" t="s">
        <v>430</v>
      </c>
    </row>
    <row r="6445" spans="1:6" x14ac:dyDescent="0.25">
      <c r="A6445" s="189" t="str">
        <f t="shared" si="100"/>
        <v>HO-MD 9831.021.02S</v>
      </c>
      <c r="B6445" s="195" t="s">
        <v>2983</v>
      </c>
      <c r="C6445" s="196">
        <v>1.02</v>
      </c>
      <c r="D6445" s="196">
        <v>1.02</v>
      </c>
      <c r="E6445" s="195" t="s">
        <v>583</v>
      </c>
      <c r="F6445" s="195" t="s">
        <v>438</v>
      </c>
    </row>
    <row r="6446" spans="1:6" x14ac:dyDescent="0.25">
      <c r="A6446" s="189" t="str">
        <f t="shared" si="100"/>
        <v>HO-MD 983A00.71N</v>
      </c>
      <c r="B6446" s="195" t="s">
        <v>2984</v>
      </c>
      <c r="C6446" s="196">
        <v>0</v>
      </c>
      <c r="D6446" s="196">
        <v>0.71</v>
      </c>
      <c r="E6446" s="195" t="s">
        <v>589</v>
      </c>
      <c r="F6446" s="195" t="s">
        <v>430</v>
      </c>
    </row>
    <row r="6447" spans="1:6" x14ac:dyDescent="0.25">
      <c r="A6447" s="189" t="str">
        <f t="shared" si="100"/>
        <v>HO-MD 983A00.71S</v>
      </c>
      <c r="B6447" s="195" t="s">
        <v>2984</v>
      </c>
      <c r="C6447" s="196">
        <v>0</v>
      </c>
      <c r="D6447" s="196">
        <v>0.71</v>
      </c>
      <c r="E6447" s="195" t="s">
        <v>595</v>
      </c>
      <c r="F6447" s="195" t="s">
        <v>438</v>
      </c>
    </row>
    <row r="6448" spans="1:6" x14ac:dyDescent="0.25">
      <c r="A6448" s="189" t="str">
        <f t="shared" si="100"/>
        <v>HO-MD 98400.22E</v>
      </c>
      <c r="B6448" s="195" t="s">
        <v>2985</v>
      </c>
      <c r="C6448" s="196">
        <v>0</v>
      </c>
      <c r="D6448" s="196">
        <v>0.22</v>
      </c>
      <c r="E6448" s="195" t="s">
        <v>598</v>
      </c>
      <c r="F6448" s="195" t="s">
        <v>19</v>
      </c>
    </row>
    <row r="6449" spans="1:6" x14ac:dyDescent="0.25">
      <c r="A6449" s="189" t="str">
        <f t="shared" si="100"/>
        <v>HO-MD 9840.020.22W</v>
      </c>
      <c r="B6449" s="195" t="s">
        <v>2985</v>
      </c>
      <c r="C6449" s="196">
        <v>0.02</v>
      </c>
      <c r="D6449" s="196">
        <v>0.22</v>
      </c>
      <c r="E6449" s="195" t="s">
        <v>593</v>
      </c>
      <c r="F6449" s="195" t="s">
        <v>432</v>
      </c>
    </row>
    <row r="6450" spans="1:6" x14ac:dyDescent="0.25">
      <c r="A6450" s="189" t="str">
        <f t="shared" si="100"/>
        <v>HO-MD 98500.55E</v>
      </c>
      <c r="B6450" s="195" t="s">
        <v>2986</v>
      </c>
      <c r="C6450" s="196">
        <v>0</v>
      </c>
      <c r="D6450" s="196">
        <v>0.55000000000000004</v>
      </c>
      <c r="E6450" s="195" t="s">
        <v>598</v>
      </c>
      <c r="F6450" s="195" t="s">
        <v>19</v>
      </c>
    </row>
    <row r="6451" spans="1:6" x14ac:dyDescent="0.25">
      <c r="A6451" s="189" t="str">
        <f t="shared" si="100"/>
        <v>HO-MD 98500.55W</v>
      </c>
      <c r="B6451" s="195" t="s">
        <v>2986</v>
      </c>
      <c r="C6451" s="196">
        <v>0</v>
      </c>
      <c r="D6451" s="196">
        <v>0.55000000000000004</v>
      </c>
      <c r="E6451" s="195" t="s">
        <v>593</v>
      </c>
      <c r="F6451" s="195" t="s">
        <v>432</v>
      </c>
    </row>
    <row r="6452" spans="1:6" x14ac:dyDescent="0.25">
      <c r="A6452" s="189" t="str">
        <f t="shared" si="100"/>
        <v>HO-MD 985A00.13E</v>
      </c>
      <c r="B6452" s="195" t="s">
        <v>2987</v>
      </c>
      <c r="C6452" s="196">
        <v>0</v>
      </c>
      <c r="D6452" s="196">
        <v>0.13</v>
      </c>
      <c r="E6452" s="195" t="s">
        <v>598</v>
      </c>
      <c r="F6452" s="195" t="s">
        <v>19</v>
      </c>
    </row>
    <row r="6453" spans="1:6" x14ac:dyDescent="0.25">
      <c r="A6453" s="189" t="str">
        <f t="shared" si="100"/>
        <v>HO-MD 985A00.13W</v>
      </c>
      <c r="B6453" s="195" t="s">
        <v>2987</v>
      </c>
      <c r="C6453" s="196">
        <v>0</v>
      </c>
      <c r="D6453" s="196">
        <v>0.13</v>
      </c>
      <c r="E6453" s="195" t="s">
        <v>593</v>
      </c>
      <c r="F6453" s="195" t="s">
        <v>432</v>
      </c>
    </row>
    <row r="6454" spans="1:6" x14ac:dyDescent="0.25">
      <c r="A6454" s="189" t="str">
        <f t="shared" si="100"/>
        <v>HO-MD 985A0.130.3E</v>
      </c>
      <c r="B6454" s="195" t="s">
        <v>2987</v>
      </c>
      <c r="C6454" s="196">
        <v>0.13</v>
      </c>
      <c r="D6454" s="196">
        <v>0.3</v>
      </c>
      <c r="E6454" s="195" t="s">
        <v>598</v>
      </c>
      <c r="F6454" s="195" t="s">
        <v>19</v>
      </c>
    </row>
    <row r="6455" spans="1:6" x14ac:dyDescent="0.25">
      <c r="A6455" s="189" t="str">
        <f t="shared" si="100"/>
        <v>HO-MD 985A0.130.3W</v>
      </c>
      <c r="B6455" s="195" t="s">
        <v>2987</v>
      </c>
      <c r="C6455" s="196">
        <v>0.13</v>
      </c>
      <c r="D6455" s="196">
        <v>0.3</v>
      </c>
      <c r="E6455" s="195" t="s">
        <v>593</v>
      </c>
      <c r="F6455" s="195" t="s">
        <v>432</v>
      </c>
    </row>
    <row r="6456" spans="1:6" x14ac:dyDescent="0.25">
      <c r="A6456" s="189" t="str">
        <f t="shared" si="100"/>
        <v>HO-MD 986M00.06E</v>
      </c>
      <c r="B6456" s="195" t="s">
        <v>2988</v>
      </c>
      <c r="C6456" s="196">
        <v>0</v>
      </c>
      <c r="D6456" s="196">
        <v>0.06</v>
      </c>
      <c r="E6456" s="195" t="s">
        <v>598</v>
      </c>
      <c r="F6456" s="195" t="s">
        <v>19</v>
      </c>
    </row>
    <row r="6457" spans="1:6" x14ac:dyDescent="0.25">
      <c r="A6457" s="189" t="str">
        <f t="shared" si="100"/>
        <v>HO-MD 986M00.06W</v>
      </c>
      <c r="B6457" s="195" t="s">
        <v>2988</v>
      </c>
      <c r="C6457" s="196">
        <v>0</v>
      </c>
      <c r="D6457" s="196">
        <v>0.06</v>
      </c>
      <c r="E6457" s="195" t="s">
        <v>593</v>
      </c>
      <c r="F6457" s="195" t="s">
        <v>432</v>
      </c>
    </row>
    <row r="6458" spans="1:6" x14ac:dyDescent="0.25">
      <c r="A6458" s="189" t="str">
        <f t="shared" si="100"/>
        <v>HO-MD 9902.32E</v>
      </c>
      <c r="B6458" s="195" t="s">
        <v>559</v>
      </c>
      <c r="C6458" s="196">
        <v>0</v>
      </c>
      <c r="D6458" s="196">
        <v>2.3199999999999998</v>
      </c>
      <c r="E6458" s="195" t="s">
        <v>583</v>
      </c>
      <c r="F6458" s="195" t="s">
        <v>19</v>
      </c>
    </row>
    <row r="6459" spans="1:6" x14ac:dyDescent="0.25">
      <c r="A6459" s="189" t="str">
        <f t="shared" si="100"/>
        <v>HO-MD 9902.32W</v>
      </c>
      <c r="B6459" s="195" t="s">
        <v>559</v>
      </c>
      <c r="C6459" s="196">
        <v>0</v>
      </c>
      <c r="D6459" s="196">
        <v>2.3199999999999998</v>
      </c>
      <c r="E6459" s="195" t="s">
        <v>583</v>
      </c>
      <c r="F6459" s="195" t="s">
        <v>432</v>
      </c>
    </row>
    <row r="6460" spans="1:6" x14ac:dyDescent="0.25">
      <c r="A6460" s="189" t="str">
        <f t="shared" si="100"/>
        <v>HO-MD 992.322.56E</v>
      </c>
      <c r="B6460" s="195" t="s">
        <v>559</v>
      </c>
      <c r="C6460" s="196">
        <v>2.3199999999999998</v>
      </c>
      <c r="D6460" s="196">
        <v>2.56</v>
      </c>
      <c r="E6460" s="195" t="s">
        <v>598</v>
      </c>
      <c r="F6460" s="195" t="s">
        <v>19</v>
      </c>
    </row>
    <row r="6461" spans="1:6" x14ac:dyDescent="0.25">
      <c r="A6461" s="189" t="str">
        <f t="shared" si="100"/>
        <v>HO-MD 992.322.85W</v>
      </c>
      <c r="B6461" s="195" t="s">
        <v>559</v>
      </c>
      <c r="C6461" s="196">
        <v>2.3199999999999998</v>
      </c>
      <c r="D6461" s="196">
        <v>2.85</v>
      </c>
      <c r="E6461" s="195" t="s">
        <v>593</v>
      </c>
      <c r="F6461" s="195" t="s">
        <v>432</v>
      </c>
    </row>
    <row r="6462" spans="1:6" x14ac:dyDescent="0.25">
      <c r="A6462" s="189" t="str">
        <f t="shared" si="100"/>
        <v>HO-MD 992.562.85E</v>
      </c>
      <c r="B6462" s="195" t="s">
        <v>559</v>
      </c>
      <c r="C6462" s="196">
        <v>2.56</v>
      </c>
      <c r="D6462" s="196">
        <v>2.85</v>
      </c>
      <c r="E6462" s="195" t="s">
        <v>598</v>
      </c>
      <c r="F6462" s="195" t="s">
        <v>19</v>
      </c>
    </row>
    <row r="6463" spans="1:6" x14ac:dyDescent="0.25">
      <c r="A6463" s="189" t="str">
        <f t="shared" si="100"/>
        <v>HO-MD 992.853.72E</v>
      </c>
      <c r="B6463" s="195" t="s">
        <v>559</v>
      </c>
      <c r="C6463" s="196">
        <v>2.85</v>
      </c>
      <c r="D6463" s="196">
        <v>3.72</v>
      </c>
      <c r="E6463" s="195" t="s">
        <v>583</v>
      </c>
      <c r="F6463" s="195" t="s">
        <v>19</v>
      </c>
    </row>
    <row r="6464" spans="1:6" x14ac:dyDescent="0.25">
      <c r="A6464" s="189" t="str">
        <f t="shared" si="100"/>
        <v>HO-MD 992.853.72W</v>
      </c>
      <c r="B6464" s="195" t="s">
        <v>559</v>
      </c>
      <c r="C6464" s="196">
        <v>2.85</v>
      </c>
      <c r="D6464" s="196">
        <v>3.72</v>
      </c>
      <c r="E6464" s="195" t="s">
        <v>583</v>
      </c>
      <c r="F6464" s="195" t="s">
        <v>432</v>
      </c>
    </row>
    <row r="6465" spans="1:6" x14ac:dyDescent="0.25">
      <c r="A6465" s="189" t="str">
        <f t="shared" si="100"/>
        <v>HO-MD 993.725.71W</v>
      </c>
      <c r="B6465" s="195" t="s">
        <v>559</v>
      </c>
      <c r="C6465" s="196">
        <v>3.72</v>
      </c>
      <c r="D6465" s="196">
        <v>5.71</v>
      </c>
      <c r="E6465" s="195" t="s">
        <v>593</v>
      </c>
      <c r="F6465" s="195" t="s">
        <v>432</v>
      </c>
    </row>
    <row r="6466" spans="1:6" x14ac:dyDescent="0.25">
      <c r="A6466" s="189" t="str">
        <f t="shared" si="100"/>
        <v>HO-MD 993.725.75E</v>
      </c>
      <c r="B6466" s="195" t="s">
        <v>559</v>
      </c>
      <c r="C6466" s="196">
        <v>3.72</v>
      </c>
      <c r="D6466" s="196">
        <v>5.75</v>
      </c>
      <c r="E6466" s="195" t="s">
        <v>598</v>
      </c>
      <c r="F6466" s="195" t="s">
        <v>19</v>
      </c>
    </row>
    <row r="6467" spans="1:6" x14ac:dyDescent="0.25">
      <c r="A6467" s="189" t="str">
        <f t="shared" ref="A6467:A6530" si="101">B6467&amp;C6467&amp;D6467&amp;F6467</f>
        <v>HO-MD 995.715.81W</v>
      </c>
      <c r="B6467" s="195" t="s">
        <v>559</v>
      </c>
      <c r="C6467" s="196">
        <v>5.71</v>
      </c>
      <c r="D6467" s="196">
        <v>5.81</v>
      </c>
      <c r="E6467" s="195" t="s">
        <v>593</v>
      </c>
      <c r="F6467" s="195" t="s">
        <v>432</v>
      </c>
    </row>
    <row r="6468" spans="1:6" x14ac:dyDescent="0.25">
      <c r="A6468" s="189" t="str">
        <f t="shared" si="101"/>
        <v>HO-MD 995.755.93E</v>
      </c>
      <c r="B6468" s="195" t="s">
        <v>559</v>
      </c>
      <c r="C6468" s="196">
        <v>5.75</v>
      </c>
      <c r="D6468" s="196">
        <v>5.93</v>
      </c>
      <c r="E6468" s="195" t="s">
        <v>598</v>
      </c>
      <c r="F6468" s="195" t="s">
        <v>19</v>
      </c>
    </row>
    <row r="6469" spans="1:6" x14ac:dyDescent="0.25">
      <c r="A6469" s="189" t="str">
        <f t="shared" si="101"/>
        <v>HO-MD 995.815.93W</v>
      </c>
      <c r="B6469" s="195" t="s">
        <v>559</v>
      </c>
      <c r="C6469" s="196">
        <v>5.81</v>
      </c>
      <c r="D6469" s="196">
        <v>5.93</v>
      </c>
      <c r="E6469" s="195" t="s">
        <v>593</v>
      </c>
      <c r="F6469" s="195" t="s">
        <v>432</v>
      </c>
    </row>
    <row r="6470" spans="1:6" x14ac:dyDescent="0.25">
      <c r="A6470" s="189" t="str">
        <f t="shared" si="101"/>
        <v>HO-MD 995.936.01E</v>
      </c>
      <c r="B6470" s="195" t="s">
        <v>559</v>
      </c>
      <c r="C6470" s="196">
        <v>5.93</v>
      </c>
      <c r="D6470" s="196">
        <v>6.01</v>
      </c>
      <c r="E6470" s="195" t="s">
        <v>598</v>
      </c>
      <c r="F6470" s="195" t="s">
        <v>19</v>
      </c>
    </row>
    <row r="6471" spans="1:6" x14ac:dyDescent="0.25">
      <c r="A6471" s="189" t="str">
        <f t="shared" si="101"/>
        <v>HO-MD 995.936.3W</v>
      </c>
      <c r="B6471" s="195" t="s">
        <v>559</v>
      </c>
      <c r="C6471" s="196">
        <v>5.93</v>
      </c>
      <c r="D6471" s="196">
        <v>6.3</v>
      </c>
      <c r="E6471" s="195" t="s">
        <v>593</v>
      </c>
      <c r="F6471" s="195" t="s">
        <v>432</v>
      </c>
    </row>
    <row r="6472" spans="1:6" x14ac:dyDescent="0.25">
      <c r="A6472" s="189" t="str">
        <f t="shared" si="101"/>
        <v>HO-MD 996.017.05E</v>
      </c>
      <c r="B6472" s="195" t="s">
        <v>559</v>
      </c>
      <c r="C6472" s="196">
        <v>6.01</v>
      </c>
      <c r="D6472" s="196">
        <v>7.05</v>
      </c>
      <c r="E6472" s="195" t="s">
        <v>598</v>
      </c>
      <c r="F6472" s="195" t="s">
        <v>19</v>
      </c>
    </row>
    <row r="6473" spans="1:6" x14ac:dyDescent="0.25">
      <c r="A6473" s="189" t="str">
        <f t="shared" si="101"/>
        <v>HO-MD 996.36.44W</v>
      </c>
      <c r="B6473" s="195" t="s">
        <v>559</v>
      </c>
      <c r="C6473" s="196">
        <v>6.3</v>
      </c>
      <c r="D6473" s="196">
        <v>6.44</v>
      </c>
      <c r="E6473" s="195" t="s">
        <v>593</v>
      </c>
      <c r="F6473" s="195" t="s">
        <v>432</v>
      </c>
    </row>
    <row r="6474" spans="1:6" x14ac:dyDescent="0.25">
      <c r="A6474" s="189" t="str">
        <f t="shared" si="101"/>
        <v>HO-MD 996.617.05W</v>
      </c>
      <c r="B6474" s="195" t="s">
        <v>559</v>
      </c>
      <c r="C6474" s="196">
        <v>6.61</v>
      </c>
      <c r="D6474" s="196">
        <v>7.05</v>
      </c>
      <c r="E6474" s="195" t="s">
        <v>593</v>
      </c>
      <c r="F6474" s="195" t="s">
        <v>432</v>
      </c>
    </row>
    <row r="6475" spans="1:6" x14ac:dyDescent="0.25">
      <c r="A6475" s="189" t="str">
        <f t="shared" si="101"/>
        <v>HO-MD 997.057.4W</v>
      </c>
      <c r="B6475" s="195" t="s">
        <v>559</v>
      </c>
      <c r="C6475" s="196">
        <v>7.05</v>
      </c>
      <c r="D6475" s="196">
        <v>7.4</v>
      </c>
      <c r="E6475" s="195" t="s">
        <v>593</v>
      </c>
      <c r="F6475" s="195" t="s">
        <v>432</v>
      </c>
    </row>
    <row r="6476" spans="1:6" x14ac:dyDescent="0.25">
      <c r="A6476" s="189" t="str">
        <f t="shared" si="101"/>
        <v>HO-MD 997.057.57E</v>
      </c>
      <c r="B6476" s="195" t="s">
        <v>559</v>
      </c>
      <c r="C6476" s="196">
        <v>7.05</v>
      </c>
      <c r="D6476" s="196">
        <v>7.57</v>
      </c>
      <c r="E6476" s="195" t="s">
        <v>598</v>
      </c>
      <c r="F6476" s="195" t="s">
        <v>19</v>
      </c>
    </row>
    <row r="6477" spans="1:6" x14ac:dyDescent="0.25">
      <c r="A6477" s="189" t="str">
        <f t="shared" si="101"/>
        <v>HO-MD 997.47.57W</v>
      </c>
      <c r="B6477" s="195" t="s">
        <v>559</v>
      </c>
      <c r="C6477" s="196">
        <v>7.4</v>
      </c>
      <c r="D6477" s="196">
        <v>7.57</v>
      </c>
      <c r="E6477" s="195" t="s">
        <v>593</v>
      </c>
      <c r="F6477" s="195" t="s">
        <v>432</v>
      </c>
    </row>
    <row r="6478" spans="1:6" x14ac:dyDescent="0.25">
      <c r="A6478" s="189" t="str">
        <f t="shared" si="101"/>
        <v>HO-US 100.84N</v>
      </c>
      <c r="B6478" s="195" t="s">
        <v>560</v>
      </c>
      <c r="C6478" s="196">
        <v>0</v>
      </c>
      <c r="D6478" s="196">
        <v>0.84</v>
      </c>
      <c r="E6478" s="195" t="s">
        <v>589</v>
      </c>
      <c r="F6478" s="195" t="s">
        <v>430</v>
      </c>
    </row>
    <row r="6479" spans="1:6" x14ac:dyDescent="0.25">
      <c r="A6479" s="189" t="str">
        <f t="shared" si="101"/>
        <v>HO-US 10.110.52S</v>
      </c>
      <c r="B6479" s="195" t="s">
        <v>560</v>
      </c>
      <c r="C6479" s="196">
        <v>0.11</v>
      </c>
      <c r="D6479" s="196">
        <v>0.52</v>
      </c>
      <c r="E6479" s="195" t="s">
        <v>595</v>
      </c>
      <c r="F6479" s="195" t="s">
        <v>438</v>
      </c>
    </row>
    <row r="6480" spans="1:6" x14ac:dyDescent="0.25">
      <c r="A6480" s="189" t="str">
        <f t="shared" si="101"/>
        <v>HO-US 10.650.84S</v>
      </c>
      <c r="B6480" s="195" t="s">
        <v>560</v>
      </c>
      <c r="C6480" s="196">
        <v>0.65</v>
      </c>
      <c r="D6480" s="196">
        <v>0.84</v>
      </c>
      <c r="E6480" s="195" t="s">
        <v>595</v>
      </c>
      <c r="F6480" s="195" t="s">
        <v>438</v>
      </c>
    </row>
    <row r="6481" spans="1:6" x14ac:dyDescent="0.25">
      <c r="A6481" s="189" t="str">
        <f t="shared" si="101"/>
        <v>HO-US 10.840.95N</v>
      </c>
      <c r="B6481" s="195" t="s">
        <v>560</v>
      </c>
      <c r="C6481" s="196">
        <v>0.84</v>
      </c>
      <c r="D6481" s="196">
        <v>0.95</v>
      </c>
      <c r="E6481" s="195" t="s">
        <v>583</v>
      </c>
      <c r="F6481" s="195" t="s">
        <v>430</v>
      </c>
    </row>
    <row r="6482" spans="1:6" x14ac:dyDescent="0.25">
      <c r="A6482" s="189" t="str">
        <f t="shared" si="101"/>
        <v>HO-US 10.840.95S</v>
      </c>
      <c r="B6482" s="195" t="s">
        <v>560</v>
      </c>
      <c r="C6482" s="196">
        <v>0.84</v>
      </c>
      <c r="D6482" s="196">
        <v>0.95</v>
      </c>
      <c r="E6482" s="195" t="s">
        <v>583</v>
      </c>
      <c r="F6482" s="195" t="s">
        <v>438</v>
      </c>
    </row>
    <row r="6483" spans="1:6" x14ac:dyDescent="0.25">
      <c r="A6483" s="189" t="str">
        <f t="shared" si="101"/>
        <v>HO-US 13.24.5N</v>
      </c>
      <c r="B6483" s="195" t="s">
        <v>560</v>
      </c>
      <c r="C6483" s="196">
        <v>3.2</v>
      </c>
      <c r="D6483" s="196">
        <v>4.5</v>
      </c>
      <c r="E6483" s="195" t="s">
        <v>583</v>
      </c>
      <c r="F6483" s="195" t="s">
        <v>430</v>
      </c>
    </row>
    <row r="6484" spans="1:6" x14ac:dyDescent="0.25">
      <c r="A6484" s="189" t="str">
        <f t="shared" si="101"/>
        <v>HO-US 13.24.5S</v>
      </c>
      <c r="B6484" s="195" t="s">
        <v>560</v>
      </c>
      <c r="C6484" s="196">
        <v>3.2</v>
      </c>
      <c r="D6484" s="196">
        <v>4.5</v>
      </c>
      <c r="E6484" s="195" t="s">
        <v>583</v>
      </c>
      <c r="F6484" s="195" t="s">
        <v>438</v>
      </c>
    </row>
    <row r="6485" spans="1:6" x14ac:dyDescent="0.25">
      <c r="A6485" s="189" t="str">
        <f t="shared" si="101"/>
        <v>HO-US 14.55.4N</v>
      </c>
      <c r="B6485" s="195" t="s">
        <v>560</v>
      </c>
      <c r="C6485" s="196">
        <v>4.5</v>
      </c>
      <c r="D6485" s="196">
        <v>5.4</v>
      </c>
      <c r="E6485" s="195" t="s">
        <v>583</v>
      </c>
      <c r="F6485" s="195" t="s">
        <v>430</v>
      </c>
    </row>
    <row r="6486" spans="1:6" x14ac:dyDescent="0.25">
      <c r="A6486" s="189" t="str">
        <f t="shared" si="101"/>
        <v>HO-US 14.55.4S</v>
      </c>
      <c r="B6486" s="195" t="s">
        <v>560</v>
      </c>
      <c r="C6486" s="196">
        <v>4.5</v>
      </c>
      <c r="D6486" s="196">
        <v>5.4</v>
      </c>
      <c r="E6486" s="195" t="s">
        <v>583</v>
      </c>
      <c r="F6486" s="195" t="s">
        <v>438</v>
      </c>
    </row>
    <row r="6487" spans="1:6" x14ac:dyDescent="0.25">
      <c r="A6487" s="189" t="str">
        <f t="shared" si="101"/>
        <v>HO-US 15.656S</v>
      </c>
      <c r="B6487" s="195" t="s">
        <v>560</v>
      </c>
      <c r="C6487" s="196">
        <v>5.65</v>
      </c>
      <c r="D6487" s="196">
        <v>6</v>
      </c>
      <c r="E6487" s="195" t="s">
        <v>595</v>
      </c>
      <c r="F6487" s="195" t="s">
        <v>438</v>
      </c>
    </row>
    <row r="6488" spans="1:6" x14ac:dyDescent="0.25">
      <c r="A6488" s="189" t="str">
        <f t="shared" si="101"/>
        <v>HO-US 15.657.05N</v>
      </c>
      <c r="B6488" s="195" t="s">
        <v>560</v>
      </c>
      <c r="C6488" s="196">
        <v>5.65</v>
      </c>
      <c r="D6488" s="196">
        <v>7.05</v>
      </c>
      <c r="E6488" s="195" t="s">
        <v>589</v>
      </c>
      <c r="F6488" s="195" t="s">
        <v>430</v>
      </c>
    </row>
    <row r="6489" spans="1:6" x14ac:dyDescent="0.25">
      <c r="A6489" s="189" t="str">
        <f t="shared" si="101"/>
        <v>HO-US 167.05S</v>
      </c>
      <c r="B6489" s="195" t="s">
        <v>560</v>
      </c>
      <c r="C6489" s="196">
        <v>6</v>
      </c>
      <c r="D6489" s="196">
        <v>7.05</v>
      </c>
      <c r="E6489" s="195" t="s">
        <v>595</v>
      </c>
      <c r="F6489" s="195" t="s">
        <v>438</v>
      </c>
    </row>
    <row r="6490" spans="1:6" x14ac:dyDescent="0.25">
      <c r="A6490" s="189" t="str">
        <f t="shared" si="101"/>
        <v>HO-US 17.89.6N</v>
      </c>
      <c r="B6490" s="195" t="s">
        <v>560</v>
      </c>
      <c r="C6490" s="196">
        <v>7.8</v>
      </c>
      <c r="D6490" s="196">
        <v>9.6</v>
      </c>
      <c r="E6490" s="195" t="s">
        <v>583</v>
      </c>
      <c r="F6490" s="195" t="s">
        <v>430</v>
      </c>
    </row>
    <row r="6491" spans="1:6" x14ac:dyDescent="0.25">
      <c r="A6491" s="189" t="str">
        <f t="shared" si="101"/>
        <v>HO-US 17.89.6S</v>
      </c>
      <c r="B6491" s="195" t="s">
        <v>560</v>
      </c>
      <c r="C6491" s="196">
        <v>7.8</v>
      </c>
      <c r="D6491" s="196">
        <v>9.6</v>
      </c>
      <c r="E6491" s="195" t="s">
        <v>583</v>
      </c>
      <c r="F6491" s="195" t="s">
        <v>438</v>
      </c>
    </row>
    <row r="6492" spans="1:6" x14ac:dyDescent="0.25">
      <c r="A6492" s="189" t="str">
        <f t="shared" si="101"/>
        <v>HO-US 19.611.01N</v>
      </c>
      <c r="B6492" s="195" t="s">
        <v>560</v>
      </c>
      <c r="C6492" s="196">
        <v>9.6</v>
      </c>
      <c r="D6492" s="196">
        <v>11.01</v>
      </c>
      <c r="E6492" s="195" t="s">
        <v>583</v>
      </c>
      <c r="F6492" s="195" t="s">
        <v>430</v>
      </c>
    </row>
    <row r="6493" spans="1:6" x14ac:dyDescent="0.25">
      <c r="A6493" s="189" t="str">
        <f t="shared" si="101"/>
        <v>HO-US 19.611.01S</v>
      </c>
      <c r="B6493" s="195" t="s">
        <v>560</v>
      </c>
      <c r="C6493" s="196">
        <v>9.6</v>
      </c>
      <c r="D6493" s="196">
        <v>11.01</v>
      </c>
      <c r="E6493" s="195" t="s">
        <v>583</v>
      </c>
      <c r="F6493" s="195" t="s">
        <v>438</v>
      </c>
    </row>
    <row r="6494" spans="1:6" x14ac:dyDescent="0.25">
      <c r="A6494" s="189" t="str">
        <f t="shared" si="101"/>
        <v>HO-US 29 RP10-2400.13S</v>
      </c>
      <c r="B6494" s="195" t="s">
        <v>2989</v>
      </c>
      <c r="C6494" s="196">
        <v>0</v>
      </c>
      <c r="D6494" s="196">
        <v>0.13</v>
      </c>
      <c r="E6494" s="195" t="s">
        <v>595</v>
      </c>
      <c r="F6494" s="195" t="s">
        <v>438</v>
      </c>
    </row>
    <row r="6495" spans="1:6" x14ac:dyDescent="0.25">
      <c r="A6495" s="189" t="str">
        <f t="shared" si="101"/>
        <v>HO-US 29 RP10-240.130.15S</v>
      </c>
      <c r="B6495" s="195" t="s">
        <v>2989</v>
      </c>
      <c r="C6495" s="196">
        <v>0.13</v>
      </c>
      <c r="D6495" s="196">
        <v>0.15</v>
      </c>
      <c r="E6495" s="195" t="s">
        <v>595</v>
      </c>
      <c r="F6495" s="195" t="s">
        <v>438</v>
      </c>
    </row>
    <row r="6496" spans="1:6" x14ac:dyDescent="0.25">
      <c r="A6496" s="189" t="str">
        <f t="shared" si="101"/>
        <v>HO-US 29 RP11-2400.12W</v>
      </c>
      <c r="B6496" s="195" t="s">
        <v>2990</v>
      </c>
      <c r="C6496" s="196">
        <v>0</v>
      </c>
      <c r="D6496" s="196">
        <v>0.12</v>
      </c>
      <c r="E6496" s="195" t="s">
        <v>593</v>
      </c>
      <c r="F6496" s="195" t="s">
        <v>432</v>
      </c>
    </row>
    <row r="6497" spans="1:6" x14ac:dyDescent="0.25">
      <c r="A6497" s="189" t="str">
        <f t="shared" si="101"/>
        <v>HO-US 29 RP1-1300.28N</v>
      </c>
      <c r="B6497" s="195" t="s">
        <v>2991</v>
      </c>
      <c r="C6497" s="196">
        <v>0</v>
      </c>
      <c r="D6497" s="196">
        <v>0.28000000000000003</v>
      </c>
      <c r="E6497" s="195" t="s">
        <v>589</v>
      </c>
      <c r="F6497" s="195" t="s">
        <v>430</v>
      </c>
    </row>
    <row r="6498" spans="1:6" x14ac:dyDescent="0.25">
      <c r="A6498" s="189" t="str">
        <f t="shared" si="101"/>
        <v>HO-US 29 RP1-1700.02E</v>
      </c>
      <c r="B6498" s="195" t="s">
        <v>2992</v>
      </c>
      <c r="C6498" s="196">
        <v>0</v>
      </c>
      <c r="D6498" s="196">
        <v>0.02</v>
      </c>
      <c r="E6498" s="195" t="s">
        <v>598</v>
      </c>
      <c r="F6498" s="195" t="s">
        <v>19</v>
      </c>
    </row>
    <row r="6499" spans="1:6" x14ac:dyDescent="0.25">
      <c r="A6499" s="189" t="str">
        <f t="shared" si="101"/>
        <v>HO-US 29 RP1-1800.85N</v>
      </c>
      <c r="B6499" s="195" t="s">
        <v>2993</v>
      </c>
      <c r="C6499" s="196">
        <v>0</v>
      </c>
      <c r="D6499" s="196">
        <v>0.85</v>
      </c>
      <c r="E6499" s="195" t="s">
        <v>589</v>
      </c>
      <c r="F6499" s="195" t="s">
        <v>430</v>
      </c>
    </row>
    <row r="6500" spans="1:6" x14ac:dyDescent="0.25">
      <c r="A6500" s="189" t="str">
        <f t="shared" si="101"/>
        <v>HO-US 29 RP1-2000.26N</v>
      </c>
      <c r="B6500" s="195" t="s">
        <v>2994</v>
      </c>
      <c r="C6500" s="196">
        <v>0</v>
      </c>
      <c r="D6500" s="196">
        <v>0.26</v>
      </c>
      <c r="E6500" s="195" t="s">
        <v>589</v>
      </c>
      <c r="F6500" s="195" t="s">
        <v>430</v>
      </c>
    </row>
    <row r="6501" spans="1:6" x14ac:dyDescent="0.25">
      <c r="A6501" s="189" t="str">
        <f t="shared" si="101"/>
        <v>HO-US 29 RP1-2100.28N</v>
      </c>
      <c r="B6501" s="195" t="s">
        <v>2995</v>
      </c>
      <c r="C6501" s="196">
        <v>0</v>
      </c>
      <c r="D6501" s="196">
        <v>0.28000000000000003</v>
      </c>
      <c r="E6501" s="195" t="s">
        <v>589</v>
      </c>
      <c r="F6501" s="195" t="s">
        <v>430</v>
      </c>
    </row>
    <row r="6502" spans="1:6" x14ac:dyDescent="0.25">
      <c r="A6502" s="189" t="str">
        <f t="shared" si="101"/>
        <v>HO-US 29 RP1-2400.23N</v>
      </c>
      <c r="B6502" s="195" t="s">
        <v>2996</v>
      </c>
      <c r="C6502" s="196">
        <v>0</v>
      </c>
      <c r="D6502" s="196">
        <v>0.23</v>
      </c>
      <c r="E6502" s="195" t="s">
        <v>589</v>
      </c>
      <c r="F6502" s="195" t="s">
        <v>430</v>
      </c>
    </row>
    <row r="6503" spans="1:6" x14ac:dyDescent="0.25">
      <c r="A6503" s="189" t="str">
        <f t="shared" si="101"/>
        <v>HO-US 29 RP2-1300.37W</v>
      </c>
      <c r="B6503" s="195" t="s">
        <v>2997</v>
      </c>
      <c r="C6503" s="196">
        <v>0</v>
      </c>
      <c r="D6503" s="196">
        <v>0.37</v>
      </c>
      <c r="E6503" s="195" t="s">
        <v>593</v>
      </c>
      <c r="F6503" s="195" t="s">
        <v>432</v>
      </c>
    </row>
    <row r="6504" spans="1:6" x14ac:dyDescent="0.25">
      <c r="A6504" s="189" t="str">
        <f t="shared" si="101"/>
        <v>HO-US 29 RP2-1500.25W</v>
      </c>
      <c r="B6504" s="195" t="s">
        <v>2998</v>
      </c>
      <c r="C6504" s="196">
        <v>0</v>
      </c>
      <c r="D6504" s="196">
        <v>0.25</v>
      </c>
      <c r="E6504" s="195" t="s">
        <v>593</v>
      </c>
      <c r="F6504" s="195" t="s">
        <v>432</v>
      </c>
    </row>
    <row r="6505" spans="1:6" x14ac:dyDescent="0.25">
      <c r="A6505" s="189" t="str">
        <f t="shared" si="101"/>
        <v>HO-US 29 RP2-1800.19N</v>
      </c>
      <c r="B6505" s="195" t="s">
        <v>2999</v>
      </c>
      <c r="C6505" s="196">
        <v>0</v>
      </c>
      <c r="D6505" s="196">
        <v>0.19</v>
      </c>
      <c r="E6505" s="195" t="s">
        <v>589</v>
      </c>
      <c r="F6505" s="195" t="s">
        <v>430</v>
      </c>
    </row>
    <row r="6506" spans="1:6" x14ac:dyDescent="0.25">
      <c r="A6506" s="189" t="str">
        <f t="shared" si="101"/>
        <v>HO-US 29 RP2-2000.41N</v>
      </c>
      <c r="B6506" s="195" t="s">
        <v>3000</v>
      </c>
      <c r="C6506" s="196">
        <v>0</v>
      </c>
      <c r="D6506" s="196">
        <v>0.41</v>
      </c>
      <c r="E6506" s="195" t="s">
        <v>589</v>
      </c>
      <c r="F6506" s="195" t="s">
        <v>430</v>
      </c>
    </row>
    <row r="6507" spans="1:6" x14ac:dyDescent="0.25">
      <c r="A6507" s="189" t="str">
        <f t="shared" si="101"/>
        <v>HO-US 29 RP2-2100.31N</v>
      </c>
      <c r="B6507" s="195" t="s">
        <v>3001</v>
      </c>
      <c r="C6507" s="196">
        <v>0</v>
      </c>
      <c r="D6507" s="196">
        <v>0.31</v>
      </c>
      <c r="E6507" s="195" t="s">
        <v>589</v>
      </c>
      <c r="F6507" s="195" t="s">
        <v>430</v>
      </c>
    </row>
    <row r="6508" spans="1:6" x14ac:dyDescent="0.25">
      <c r="A6508" s="189" t="str">
        <f t="shared" si="101"/>
        <v>HO-US 29 RP2-2300.39N</v>
      </c>
      <c r="B6508" s="195" t="s">
        <v>3002</v>
      </c>
      <c r="C6508" s="196">
        <v>0</v>
      </c>
      <c r="D6508" s="196">
        <v>0.39</v>
      </c>
      <c r="E6508" s="195" t="s">
        <v>589</v>
      </c>
      <c r="F6508" s="195" t="s">
        <v>430</v>
      </c>
    </row>
    <row r="6509" spans="1:6" x14ac:dyDescent="0.25">
      <c r="A6509" s="189" t="str">
        <f t="shared" si="101"/>
        <v>HO-US 29 RP2-2400.34W</v>
      </c>
      <c r="B6509" s="195" t="s">
        <v>3003</v>
      </c>
      <c r="C6509" s="196">
        <v>0</v>
      </c>
      <c r="D6509" s="196">
        <v>0.34</v>
      </c>
      <c r="E6509" s="195" t="s">
        <v>593</v>
      </c>
      <c r="F6509" s="195" t="s">
        <v>432</v>
      </c>
    </row>
    <row r="6510" spans="1:6" x14ac:dyDescent="0.25">
      <c r="A6510" s="189" t="str">
        <f t="shared" si="101"/>
        <v>HO-US 29 RP3-1300.04N</v>
      </c>
      <c r="B6510" s="195" t="s">
        <v>3004</v>
      </c>
      <c r="C6510" s="196">
        <v>0</v>
      </c>
      <c r="D6510" s="196">
        <v>0.04</v>
      </c>
      <c r="E6510" s="195" t="s">
        <v>589</v>
      </c>
      <c r="F6510" s="195" t="s">
        <v>430</v>
      </c>
    </row>
    <row r="6511" spans="1:6" x14ac:dyDescent="0.25">
      <c r="A6511" s="189" t="str">
        <f t="shared" si="101"/>
        <v>HO-US 29 RP3-1500.25S</v>
      </c>
      <c r="B6511" s="195" t="s">
        <v>3005</v>
      </c>
      <c r="C6511" s="196">
        <v>0</v>
      </c>
      <c r="D6511" s="196">
        <v>0.25</v>
      </c>
      <c r="E6511" s="195" t="s">
        <v>595</v>
      </c>
      <c r="F6511" s="195" t="s">
        <v>438</v>
      </c>
    </row>
    <row r="6512" spans="1:6" x14ac:dyDescent="0.25">
      <c r="A6512" s="189" t="str">
        <f t="shared" si="101"/>
        <v>HO-US 29 RP3-1700.06W</v>
      </c>
      <c r="B6512" s="195" t="s">
        <v>3006</v>
      </c>
      <c r="C6512" s="196">
        <v>0</v>
      </c>
      <c r="D6512" s="196">
        <v>0.06</v>
      </c>
      <c r="E6512" s="195" t="s">
        <v>593</v>
      </c>
      <c r="F6512" s="195" t="s">
        <v>432</v>
      </c>
    </row>
    <row r="6513" spans="1:6" x14ac:dyDescent="0.25">
      <c r="A6513" s="189" t="str">
        <f t="shared" si="101"/>
        <v>HO-US 29 RP3-1800.23E</v>
      </c>
      <c r="B6513" s="195" t="s">
        <v>3007</v>
      </c>
      <c r="C6513" s="196">
        <v>0</v>
      </c>
      <c r="D6513" s="196">
        <v>0.23</v>
      </c>
      <c r="E6513" s="195" t="s">
        <v>598</v>
      </c>
      <c r="F6513" s="195" t="s">
        <v>19</v>
      </c>
    </row>
    <row r="6514" spans="1:6" x14ac:dyDescent="0.25">
      <c r="A6514" s="189" t="str">
        <f t="shared" si="101"/>
        <v>HO-US 29 RP3-2000.23S</v>
      </c>
      <c r="B6514" s="195" t="s">
        <v>3008</v>
      </c>
      <c r="C6514" s="196">
        <v>0</v>
      </c>
      <c r="D6514" s="196">
        <v>0.23</v>
      </c>
      <c r="E6514" s="195" t="s">
        <v>595</v>
      </c>
      <c r="F6514" s="195" t="s">
        <v>438</v>
      </c>
    </row>
    <row r="6515" spans="1:6" x14ac:dyDescent="0.25">
      <c r="A6515" s="189" t="str">
        <f t="shared" si="101"/>
        <v>HO-US 29 RP3-2100.26S</v>
      </c>
      <c r="B6515" s="195" t="s">
        <v>3009</v>
      </c>
      <c r="C6515" s="196">
        <v>0</v>
      </c>
      <c r="D6515" s="196">
        <v>0.26</v>
      </c>
      <c r="E6515" s="195" t="s">
        <v>595</v>
      </c>
      <c r="F6515" s="195" t="s">
        <v>438</v>
      </c>
    </row>
    <row r="6516" spans="1:6" x14ac:dyDescent="0.25">
      <c r="A6516" s="189" t="str">
        <f t="shared" si="101"/>
        <v>HO-US 29 RP3-2300.03N</v>
      </c>
      <c r="B6516" s="195" t="s">
        <v>3010</v>
      </c>
      <c r="C6516" s="196">
        <v>0</v>
      </c>
      <c r="D6516" s="196">
        <v>0.03</v>
      </c>
      <c r="E6516" s="195" t="s">
        <v>589</v>
      </c>
      <c r="F6516" s="195" t="s">
        <v>430</v>
      </c>
    </row>
    <row r="6517" spans="1:6" x14ac:dyDescent="0.25">
      <c r="A6517" s="189" t="str">
        <f t="shared" si="101"/>
        <v>HO-US 29 RP3-2400.26S</v>
      </c>
      <c r="B6517" s="195" t="s">
        <v>3011</v>
      </c>
      <c r="C6517" s="196">
        <v>0</v>
      </c>
      <c r="D6517" s="196">
        <v>0.26</v>
      </c>
      <c r="E6517" s="195" t="s">
        <v>595</v>
      </c>
      <c r="F6517" s="195" t="s">
        <v>438</v>
      </c>
    </row>
    <row r="6518" spans="1:6" x14ac:dyDescent="0.25">
      <c r="A6518" s="189" t="str">
        <f t="shared" si="101"/>
        <v>HO-US 29 RP4-1300.04N</v>
      </c>
      <c r="B6518" s="195" t="s">
        <v>3012</v>
      </c>
      <c r="C6518" s="196">
        <v>0</v>
      </c>
      <c r="D6518" s="196">
        <v>0.04</v>
      </c>
      <c r="E6518" s="195" t="s">
        <v>589</v>
      </c>
      <c r="F6518" s="195" t="s">
        <v>430</v>
      </c>
    </row>
    <row r="6519" spans="1:6" x14ac:dyDescent="0.25">
      <c r="A6519" s="189" t="str">
        <f t="shared" si="101"/>
        <v>HO-US 29 RP4-1500.32N</v>
      </c>
      <c r="B6519" s="195" t="s">
        <v>3013</v>
      </c>
      <c r="C6519" s="196">
        <v>0</v>
      </c>
      <c r="D6519" s="196">
        <v>0.32</v>
      </c>
      <c r="E6519" s="195" t="s">
        <v>589</v>
      </c>
      <c r="F6519" s="195" t="s">
        <v>430</v>
      </c>
    </row>
    <row r="6520" spans="1:6" x14ac:dyDescent="0.25">
      <c r="A6520" s="189" t="str">
        <f t="shared" si="101"/>
        <v>HO-US 29 RP4-1700.06N</v>
      </c>
      <c r="B6520" s="195" t="s">
        <v>3014</v>
      </c>
      <c r="C6520" s="196">
        <v>0</v>
      </c>
      <c r="D6520" s="196">
        <v>0.06</v>
      </c>
      <c r="E6520" s="195" t="s">
        <v>589</v>
      </c>
      <c r="F6520" s="195" t="s">
        <v>430</v>
      </c>
    </row>
    <row r="6521" spans="1:6" x14ac:dyDescent="0.25">
      <c r="A6521" s="189" t="str">
        <f t="shared" si="101"/>
        <v>HO-US 29 RP4-1800.28E</v>
      </c>
      <c r="B6521" s="195" t="s">
        <v>3015</v>
      </c>
      <c r="C6521" s="196">
        <v>0</v>
      </c>
      <c r="D6521" s="196">
        <v>0.28000000000000003</v>
      </c>
      <c r="E6521" s="195" t="s">
        <v>598</v>
      </c>
      <c r="F6521" s="195" t="s">
        <v>19</v>
      </c>
    </row>
    <row r="6522" spans="1:6" x14ac:dyDescent="0.25">
      <c r="A6522" s="189" t="str">
        <f t="shared" si="101"/>
        <v>HO-US 29 RP4-2000.45E</v>
      </c>
      <c r="B6522" s="195" t="s">
        <v>3016</v>
      </c>
      <c r="C6522" s="196">
        <v>0</v>
      </c>
      <c r="D6522" s="196">
        <v>0.45</v>
      </c>
      <c r="E6522" s="195" t="s">
        <v>598</v>
      </c>
      <c r="F6522" s="195" t="s">
        <v>19</v>
      </c>
    </row>
    <row r="6523" spans="1:6" x14ac:dyDescent="0.25">
      <c r="A6523" s="189" t="str">
        <f t="shared" si="101"/>
        <v>HO-US 29 RP4-2100.33N</v>
      </c>
      <c r="B6523" s="195" t="s">
        <v>3017</v>
      </c>
      <c r="C6523" s="196">
        <v>0</v>
      </c>
      <c r="D6523" s="196">
        <v>0.33</v>
      </c>
      <c r="E6523" s="195" t="s">
        <v>589</v>
      </c>
      <c r="F6523" s="195" t="s">
        <v>430</v>
      </c>
    </row>
    <row r="6524" spans="1:6" x14ac:dyDescent="0.25">
      <c r="A6524" s="189" t="str">
        <f t="shared" si="101"/>
        <v>HO-US 29 RP4-2200.4E</v>
      </c>
      <c r="B6524" s="195" t="s">
        <v>3018</v>
      </c>
      <c r="C6524" s="196">
        <v>0</v>
      </c>
      <c r="D6524" s="196">
        <v>0.4</v>
      </c>
      <c r="E6524" s="195" t="s">
        <v>598</v>
      </c>
      <c r="F6524" s="195" t="s">
        <v>19</v>
      </c>
    </row>
    <row r="6525" spans="1:6" x14ac:dyDescent="0.25">
      <c r="A6525" s="189" t="str">
        <f t="shared" si="101"/>
        <v>HO-US 29 RP4-2400.7E</v>
      </c>
      <c r="B6525" s="195" t="s">
        <v>3019</v>
      </c>
      <c r="C6525" s="196">
        <v>0</v>
      </c>
      <c r="D6525" s="196">
        <v>0.7</v>
      </c>
      <c r="E6525" s="195" t="s">
        <v>598</v>
      </c>
      <c r="F6525" s="195" t="s">
        <v>19</v>
      </c>
    </row>
    <row r="6526" spans="1:6" x14ac:dyDescent="0.25">
      <c r="A6526" s="189" t="str">
        <f t="shared" si="101"/>
        <v>HO-US 29 RP5-1300.35S</v>
      </c>
      <c r="B6526" s="195" t="s">
        <v>3020</v>
      </c>
      <c r="C6526" s="196">
        <v>0</v>
      </c>
      <c r="D6526" s="196">
        <v>0.35</v>
      </c>
      <c r="E6526" s="195" t="s">
        <v>595</v>
      </c>
      <c r="F6526" s="195" t="s">
        <v>438</v>
      </c>
    </row>
    <row r="6527" spans="1:6" x14ac:dyDescent="0.25">
      <c r="A6527" s="189" t="str">
        <f t="shared" si="101"/>
        <v>HO-US 29 RP5-1500.05S</v>
      </c>
      <c r="B6527" s="195" t="s">
        <v>3021</v>
      </c>
      <c r="C6527" s="196">
        <v>0</v>
      </c>
      <c r="D6527" s="196">
        <v>0.05</v>
      </c>
      <c r="E6527" s="195" t="s">
        <v>595</v>
      </c>
      <c r="F6527" s="195" t="s">
        <v>438</v>
      </c>
    </row>
    <row r="6528" spans="1:6" x14ac:dyDescent="0.25">
      <c r="A6528" s="189" t="str">
        <f t="shared" si="101"/>
        <v>HO-US 29 RP5-1800.24W</v>
      </c>
      <c r="B6528" s="195" t="s">
        <v>3022</v>
      </c>
      <c r="C6528" s="196">
        <v>0</v>
      </c>
      <c r="D6528" s="196">
        <v>0.24</v>
      </c>
      <c r="E6528" s="195" t="s">
        <v>593</v>
      </c>
      <c r="F6528" s="195" t="s">
        <v>432</v>
      </c>
    </row>
    <row r="6529" spans="1:6" x14ac:dyDescent="0.25">
      <c r="A6529" s="189" t="str">
        <f t="shared" si="101"/>
        <v>HO-US 29 RP5-2000.26S</v>
      </c>
      <c r="B6529" s="195" t="s">
        <v>3023</v>
      </c>
      <c r="C6529" s="196">
        <v>0</v>
      </c>
      <c r="D6529" s="196">
        <v>0.26</v>
      </c>
      <c r="E6529" s="195" t="s">
        <v>595</v>
      </c>
      <c r="F6529" s="195" t="s">
        <v>438</v>
      </c>
    </row>
    <row r="6530" spans="1:6" x14ac:dyDescent="0.25">
      <c r="A6530" s="189" t="str">
        <f t="shared" si="101"/>
        <v>HO-US 29 RP5-2100.27S</v>
      </c>
      <c r="B6530" s="195" t="s">
        <v>3024</v>
      </c>
      <c r="C6530" s="196">
        <v>0</v>
      </c>
      <c r="D6530" s="196">
        <v>0.27</v>
      </c>
      <c r="E6530" s="195" t="s">
        <v>595</v>
      </c>
      <c r="F6530" s="195" t="s">
        <v>438</v>
      </c>
    </row>
    <row r="6531" spans="1:6" x14ac:dyDescent="0.25">
      <c r="A6531" s="189" t="str">
        <f t="shared" ref="A6531:A6594" si="102">B6531&amp;C6531&amp;D6531&amp;F6531</f>
        <v>HO-US 29 RP5-2400.25S</v>
      </c>
      <c r="B6531" s="195" t="s">
        <v>3025</v>
      </c>
      <c r="C6531" s="196">
        <v>0</v>
      </c>
      <c r="D6531" s="196">
        <v>0.25</v>
      </c>
      <c r="E6531" s="195" t="s">
        <v>595</v>
      </c>
      <c r="F6531" s="195" t="s">
        <v>438</v>
      </c>
    </row>
    <row r="6532" spans="1:6" x14ac:dyDescent="0.25">
      <c r="A6532" s="189" t="str">
        <f t="shared" si="102"/>
        <v>HO-US 29 RP6-1300.34E</v>
      </c>
      <c r="B6532" s="195" t="s">
        <v>3026</v>
      </c>
      <c r="C6532" s="196">
        <v>0</v>
      </c>
      <c r="D6532" s="196">
        <v>0.34</v>
      </c>
      <c r="E6532" s="195" t="s">
        <v>598</v>
      </c>
      <c r="F6532" s="195" t="s">
        <v>19</v>
      </c>
    </row>
    <row r="6533" spans="1:6" x14ac:dyDescent="0.25">
      <c r="A6533" s="189" t="str">
        <f t="shared" si="102"/>
        <v>HO-US 29 RP6-1500.36E</v>
      </c>
      <c r="B6533" s="195" t="s">
        <v>3027</v>
      </c>
      <c r="C6533" s="196">
        <v>0</v>
      </c>
      <c r="D6533" s="196">
        <v>0.36</v>
      </c>
      <c r="E6533" s="195" t="s">
        <v>598</v>
      </c>
      <c r="F6533" s="195" t="s">
        <v>19</v>
      </c>
    </row>
    <row r="6534" spans="1:6" x14ac:dyDescent="0.25">
      <c r="A6534" s="189" t="str">
        <f t="shared" si="102"/>
        <v>HO-US 29 RP6-1800.38N</v>
      </c>
      <c r="B6534" s="195" t="s">
        <v>3028</v>
      </c>
      <c r="C6534" s="196">
        <v>0</v>
      </c>
      <c r="D6534" s="196">
        <v>0.38</v>
      </c>
      <c r="E6534" s="195" t="s">
        <v>589</v>
      </c>
      <c r="F6534" s="195" t="s">
        <v>430</v>
      </c>
    </row>
    <row r="6535" spans="1:6" x14ac:dyDescent="0.25">
      <c r="A6535" s="189" t="str">
        <f t="shared" si="102"/>
        <v>HO-US 29 RP6-2000.49E</v>
      </c>
      <c r="B6535" s="195" t="s">
        <v>3029</v>
      </c>
      <c r="C6535" s="196">
        <v>0</v>
      </c>
      <c r="D6535" s="196">
        <v>0.49</v>
      </c>
      <c r="E6535" s="195" t="s">
        <v>598</v>
      </c>
      <c r="F6535" s="195" t="s">
        <v>19</v>
      </c>
    </row>
    <row r="6536" spans="1:6" x14ac:dyDescent="0.25">
      <c r="A6536" s="189" t="str">
        <f t="shared" si="102"/>
        <v>HO-US 29 RP6-2100.29S</v>
      </c>
      <c r="B6536" s="195" t="s">
        <v>3030</v>
      </c>
      <c r="C6536" s="196">
        <v>0</v>
      </c>
      <c r="D6536" s="196">
        <v>0.28999999999999998</v>
      </c>
      <c r="E6536" s="195" t="s">
        <v>595</v>
      </c>
      <c r="F6536" s="195" t="s">
        <v>438</v>
      </c>
    </row>
    <row r="6537" spans="1:6" x14ac:dyDescent="0.25">
      <c r="A6537" s="189" t="str">
        <f t="shared" si="102"/>
        <v>HO-US 29 RP6-2300.03S</v>
      </c>
      <c r="B6537" s="195" t="s">
        <v>3031</v>
      </c>
      <c r="C6537" s="196">
        <v>0</v>
      </c>
      <c r="D6537" s="196">
        <v>0.03</v>
      </c>
      <c r="E6537" s="195" t="s">
        <v>595</v>
      </c>
      <c r="F6537" s="195" t="s">
        <v>438</v>
      </c>
    </row>
    <row r="6538" spans="1:6" x14ac:dyDescent="0.25">
      <c r="A6538" s="189" t="str">
        <f t="shared" si="102"/>
        <v>HO-US 29 RP6-2400.09S</v>
      </c>
      <c r="B6538" s="195" t="s">
        <v>3032</v>
      </c>
      <c r="C6538" s="196">
        <v>0</v>
      </c>
      <c r="D6538" s="196">
        <v>0.09</v>
      </c>
      <c r="E6538" s="195" t="s">
        <v>595</v>
      </c>
      <c r="F6538" s="195" t="s">
        <v>438</v>
      </c>
    </row>
    <row r="6539" spans="1:6" x14ac:dyDescent="0.25">
      <c r="A6539" s="189" t="str">
        <f t="shared" si="102"/>
        <v>HO-US 29 RP7-1300.07W</v>
      </c>
      <c r="B6539" s="195" t="s">
        <v>3033</v>
      </c>
      <c r="C6539" s="196">
        <v>0</v>
      </c>
      <c r="D6539" s="196">
        <v>7.0000000000000007E-2</v>
      </c>
      <c r="E6539" s="195" t="s">
        <v>593</v>
      </c>
      <c r="F6539" s="195" t="s">
        <v>432</v>
      </c>
    </row>
    <row r="6540" spans="1:6" x14ac:dyDescent="0.25">
      <c r="A6540" s="189" t="str">
        <f t="shared" si="102"/>
        <v>HO-US 29 RP7-1500.09S</v>
      </c>
      <c r="B6540" s="195" t="s">
        <v>3034</v>
      </c>
      <c r="C6540" s="196">
        <v>0</v>
      </c>
      <c r="D6540" s="196">
        <v>0.09</v>
      </c>
      <c r="E6540" s="195" t="s">
        <v>595</v>
      </c>
      <c r="F6540" s="195" t="s">
        <v>438</v>
      </c>
    </row>
    <row r="6541" spans="1:6" x14ac:dyDescent="0.25">
      <c r="A6541" s="189" t="str">
        <f t="shared" si="102"/>
        <v>HO-US 29 RP7-1700.13N</v>
      </c>
      <c r="B6541" s="195" t="s">
        <v>3035</v>
      </c>
      <c r="C6541" s="196">
        <v>0</v>
      </c>
      <c r="D6541" s="196">
        <v>0.13</v>
      </c>
      <c r="E6541" s="195" t="s">
        <v>589</v>
      </c>
      <c r="F6541" s="195" t="s">
        <v>430</v>
      </c>
    </row>
    <row r="6542" spans="1:6" x14ac:dyDescent="0.25">
      <c r="A6542" s="189" t="str">
        <f t="shared" si="102"/>
        <v>HO-US 29 RP7-1800.23W</v>
      </c>
      <c r="B6542" s="195" t="s">
        <v>3036</v>
      </c>
      <c r="C6542" s="196">
        <v>0</v>
      </c>
      <c r="D6542" s="196">
        <v>0.23</v>
      </c>
      <c r="E6542" s="195" t="s">
        <v>593</v>
      </c>
      <c r="F6542" s="195" t="s">
        <v>432</v>
      </c>
    </row>
    <row r="6543" spans="1:6" x14ac:dyDescent="0.25">
      <c r="A6543" s="189" t="str">
        <f t="shared" si="102"/>
        <v>HO-US 29 RP7-2000.25W</v>
      </c>
      <c r="B6543" s="195" t="s">
        <v>3037</v>
      </c>
      <c r="C6543" s="196">
        <v>0</v>
      </c>
      <c r="D6543" s="196">
        <v>0.25</v>
      </c>
      <c r="E6543" s="195" t="s">
        <v>593</v>
      </c>
      <c r="F6543" s="195" t="s">
        <v>432</v>
      </c>
    </row>
    <row r="6544" spans="1:6" x14ac:dyDescent="0.25">
      <c r="A6544" s="189" t="str">
        <f t="shared" si="102"/>
        <v>HO-US 29 RP7-2100.32W</v>
      </c>
      <c r="B6544" s="195" t="s">
        <v>3038</v>
      </c>
      <c r="C6544" s="196">
        <v>0</v>
      </c>
      <c r="D6544" s="196">
        <v>0.32</v>
      </c>
      <c r="E6544" s="195" t="s">
        <v>593</v>
      </c>
      <c r="F6544" s="195" t="s">
        <v>432</v>
      </c>
    </row>
    <row r="6545" spans="1:6" x14ac:dyDescent="0.25">
      <c r="A6545" s="189" t="str">
        <f t="shared" si="102"/>
        <v>HO-US 29 RP7-2200.46W</v>
      </c>
      <c r="B6545" s="195" t="s">
        <v>3039</v>
      </c>
      <c r="C6545" s="196">
        <v>0</v>
      </c>
      <c r="D6545" s="196">
        <v>0.46</v>
      </c>
      <c r="E6545" s="195" t="s">
        <v>593</v>
      </c>
      <c r="F6545" s="195" t="s">
        <v>432</v>
      </c>
    </row>
    <row r="6546" spans="1:6" x14ac:dyDescent="0.25">
      <c r="A6546" s="189" t="str">
        <f t="shared" si="102"/>
        <v>HO-US 29 RP7-2300.18S</v>
      </c>
      <c r="B6546" s="195" t="s">
        <v>3040</v>
      </c>
      <c r="C6546" s="196">
        <v>0</v>
      </c>
      <c r="D6546" s="196">
        <v>0.18</v>
      </c>
      <c r="E6546" s="195" t="s">
        <v>595</v>
      </c>
      <c r="F6546" s="195" t="s">
        <v>438</v>
      </c>
    </row>
    <row r="6547" spans="1:6" x14ac:dyDescent="0.25">
      <c r="A6547" s="189" t="str">
        <f t="shared" si="102"/>
        <v>HO-US 29 RP7-2400.33S</v>
      </c>
      <c r="B6547" s="195" t="s">
        <v>3041</v>
      </c>
      <c r="C6547" s="196">
        <v>0</v>
      </c>
      <c r="D6547" s="196">
        <v>0.33</v>
      </c>
      <c r="E6547" s="195" t="s">
        <v>595</v>
      </c>
      <c r="F6547" s="195" t="s">
        <v>438</v>
      </c>
    </row>
    <row r="6548" spans="1:6" x14ac:dyDescent="0.25">
      <c r="A6548" s="189" t="str">
        <f t="shared" si="102"/>
        <v>HO-US 29 RP7-240.330.53S</v>
      </c>
      <c r="B6548" s="195" t="s">
        <v>3041</v>
      </c>
      <c r="C6548" s="196">
        <v>0.33</v>
      </c>
      <c r="D6548" s="196">
        <v>0.53</v>
      </c>
      <c r="E6548" s="195" t="s">
        <v>595</v>
      </c>
      <c r="F6548" s="195" t="s">
        <v>438</v>
      </c>
    </row>
    <row r="6549" spans="1:6" x14ac:dyDescent="0.25">
      <c r="A6549" s="189" t="str">
        <f t="shared" si="102"/>
        <v>HO-US 29 RP8-1300.06S</v>
      </c>
      <c r="B6549" s="195" t="s">
        <v>3042</v>
      </c>
      <c r="C6549" s="196">
        <v>0</v>
      </c>
      <c r="D6549" s="196">
        <v>0.06</v>
      </c>
      <c r="E6549" s="195" t="s">
        <v>595</v>
      </c>
      <c r="F6549" s="195" t="s">
        <v>438</v>
      </c>
    </row>
    <row r="6550" spans="1:6" x14ac:dyDescent="0.25">
      <c r="A6550" s="189" t="str">
        <f t="shared" si="102"/>
        <v>HO-US 29 RP8-1500.33S</v>
      </c>
      <c r="B6550" s="195" t="s">
        <v>3043</v>
      </c>
      <c r="C6550" s="196">
        <v>0</v>
      </c>
      <c r="D6550" s="196">
        <v>0.33</v>
      </c>
      <c r="E6550" s="195" t="s">
        <v>595</v>
      </c>
      <c r="F6550" s="195" t="s">
        <v>438</v>
      </c>
    </row>
    <row r="6551" spans="1:6" x14ac:dyDescent="0.25">
      <c r="A6551" s="189" t="str">
        <f t="shared" si="102"/>
        <v>HO-US 29 RP8-1700.2S</v>
      </c>
      <c r="B6551" s="195" t="s">
        <v>3044</v>
      </c>
      <c r="C6551" s="196">
        <v>0</v>
      </c>
      <c r="D6551" s="196">
        <v>0.2</v>
      </c>
      <c r="E6551" s="195" t="s">
        <v>595</v>
      </c>
      <c r="F6551" s="195" t="s">
        <v>438</v>
      </c>
    </row>
    <row r="6552" spans="1:6" x14ac:dyDescent="0.25">
      <c r="A6552" s="189" t="str">
        <f t="shared" si="102"/>
        <v>HO-US 29 RP8-1800.1N</v>
      </c>
      <c r="B6552" s="195" t="s">
        <v>3045</v>
      </c>
      <c r="C6552" s="196">
        <v>0</v>
      </c>
      <c r="D6552" s="196">
        <v>0.1</v>
      </c>
      <c r="E6552" s="195" t="s">
        <v>589</v>
      </c>
      <c r="F6552" s="195" t="s">
        <v>430</v>
      </c>
    </row>
    <row r="6553" spans="1:6" x14ac:dyDescent="0.25">
      <c r="A6553" s="189" t="str">
        <f t="shared" si="102"/>
        <v>HO-US 29 RP8-2000.57S</v>
      </c>
      <c r="B6553" s="195" t="s">
        <v>3046</v>
      </c>
      <c r="C6553" s="196">
        <v>0</v>
      </c>
      <c r="D6553" s="196">
        <v>0.56999999999999995</v>
      </c>
      <c r="E6553" s="195" t="s">
        <v>595</v>
      </c>
      <c r="F6553" s="195" t="s">
        <v>438</v>
      </c>
    </row>
    <row r="6554" spans="1:6" x14ac:dyDescent="0.25">
      <c r="A6554" s="189" t="str">
        <f t="shared" si="102"/>
        <v>HO-US 29 RP8-2100.33W</v>
      </c>
      <c r="B6554" s="195" t="s">
        <v>3047</v>
      </c>
      <c r="C6554" s="196">
        <v>0</v>
      </c>
      <c r="D6554" s="196">
        <v>0.33</v>
      </c>
      <c r="E6554" s="195" t="s">
        <v>593</v>
      </c>
      <c r="F6554" s="195" t="s">
        <v>432</v>
      </c>
    </row>
    <row r="6555" spans="1:6" x14ac:dyDescent="0.25">
      <c r="A6555" s="189" t="str">
        <f t="shared" si="102"/>
        <v>HO-US 29 RP8-2300.25S</v>
      </c>
      <c r="B6555" s="195" t="s">
        <v>3048</v>
      </c>
      <c r="C6555" s="196">
        <v>0</v>
      </c>
      <c r="D6555" s="196">
        <v>0.25</v>
      </c>
      <c r="E6555" s="195" t="s">
        <v>595</v>
      </c>
      <c r="F6555" s="195" t="s">
        <v>438</v>
      </c>
    </row>
    <row r="6556" spans="1:6" x14ac:dyDescent="0.25">
      <c r="A6556" s="189" t="str">
        <f t="shared" si="102"/>
        <v>HO-US 29 RP8-2400.16S</v>
      </c>
      <c r="B6556" s="195" t="s">
        <v>3049</v>
      </c>
      <c r="C6556" s="196">
        <v>0</v>
      </c>
      <c r="D6556" s="196">
        <v>0.16</v>
      </c>
      <c r="E6556" s="195" t="s">
        <v>595</v>
      </c>
      <c r="F6556" s="195" t="s">
        <v>438</v>
      </c>
    </row>
    <row r="6557" spans="1:6" x14ac:dyDescent="0.25">
      <c r="A6557" s="189" t="str">
        <f t="shared" si="102"/>
        <v>HO-US 29 RP9-2400.22E</v>
      </c>
      <c r="B6557" s="195" t="s">
        <v>3050</v>
      </c>
      <c r="C6557" s="196">
        <v>0</v>
      </c>
      <c r="D6557" s="196">
        <v>0.22</v>
      </c>
      <c r="E6557" s="195" t="s">
        <v>598</v>
      </c>
      <c r="F6557" s="195" t="s">
        <v>19</v>
      </c>
    </row>
    <row r="6558" spans="1:6" x14ac:dyDescent="0.25">
      <c r="A6558" s="189" t="str">
        <f t="shared" si="102"/>
        <v>HO-US 29 RP9-240.10.22W</v>
      </c>
      <c r="B6558" s="195" t="s">
        <v>3050</v>
      </c>
      <c r="C6558" s="196">
        <v>0.1</v>
      </c>
      <c r="D6558" s="196">
        <v>0.22</v>
      </c>
      <c r="E6558" s="195" t="s">
        <v>593</v>
      </c>
      <c r="F6558" s="195" t="s">
        <v>432</v>
      </c>
    </row>
    <row r="6559" spans="1:6" x14ac:dyDescent="0.25">
      <c r="A6559" s="189" t="str">
        <f t="shared" si="102"/>
        <v>KE-MD 2001.38E</v>
      </c>
      <c r="B6559" s="195" t="s">
        <v>3051</v>
      </c>
      <c r="C6559" s="196">
        <v>0</v>
      </c>
      <c r="D6559" s="196">
        <v>1.38</v>
      </c>
      <c r="E6559" s="195" t="s">
        <v>583</v>
      </c>
      <c r="F6559" s="195" t="s">
        <v>19</v>
      </c>
    </row>
    <row r="6560" spans="1:6" x14ac:dyDescent="0.25">
      <c r="A6560" s="189" t="str">
        <f t="shared" si="102"/>
        <v>KE-MD 2001.38W</v>
      </c>
      <c r="B6560" s="195" t="s">
        <v>3051</v>
      </c>
      <c r="C6560" s="196">
        <v>0</v>
      </c>
      <c r="D6560" s="196">
        <v>1.38</v>
      </c>
      <c r="E6560" s="195" t="s">
        <v>583</v>
      </c>
      <c r="F6560" s="195" t="s">
        <v>432</v>
      </c>
    </row>
    <row r="6561" spans="1:6" x14ac:dyDescent="0.25">
      <c r="A6561" s="189" t="str">
        <f t="shared" si="102"/>
        <v>KE-MD 201.381.4E</v>
      </c>
      <c r="B6561" s="195" t="s">
        <v>3051</v>
      </c>
      <c r="C6561" s="196">
        <v>1.38</v>
      </c>
      <c r="D6561" s="196">
        <v>1.4</v>
      </c>
      <c r="E6561" s="195" t="s">
        <v>583</v>
      </c>
      <c r="F6561" s="195" t="s">
        <v>19</v>
      </c>
    </row>
    <row r="6562" spans="1:6" x14ac:dyDescent="0.25">
      <c r="A6562" s="189" t="str">
        <f t="shared" si="102"/>
        <v>KE-MD 201.381.4W</v>
      </c>
      <c r="B6562" s="195" t="s">
        <v>3051</v>
      </c>
      <c r="C6562" s="196">
        <v>1.38</v>
      </c>
      <c r="D6562" s="196">
        <v>1.4</v>
      </c>
      <c r="E6562" s="195" t="s">
        <v>583</v>
      </c>
      <c r="F6562" s="195" t="s">
        <v>432</v>
      </c>
    </row>
    <row r="6563" spans="1:6" x14ac:dyDescent="0.25">
      <c r="A6563" s="189" t="str">
        <f t="shared" si="102"/>
        <v>KE-MD 201.42.03E</v>
      </c>
      <c r="B6563" s="195" t="s">
        <v>3051</v>
      </c>
      <c r="C6563" s="196">
        <v>1.4</v>
      </c>
      <c r="D6563" s="196">
        <v>2.0299999999999998</v>
      </c>
      <c r="E6563" s="195" t="s">
        <v>583</v>
      </c>
      <c r="F6563" s="195" t="s">
        <v>19</v>
      </c>
    </row>
    <row r="6564" spans="1:6" x14ac:dyDescent="0.25">
      <c r="A6564" s="189" t="str">
        <f t="shared" si="102"/>
        <v>KE-MD 201.42.03W</v>
      </c>
      <c r="B6564" s="195" t="s">
        <v>3051</v>
      </c>
      <c r="C6564" s="196">
        <v>1.4</v>
      </c>
      <c r="D6564" s="196">
        <v>2.0299999999999998</v>
      </c>
      <c r="E6564" s="195" t="s">
        <v>583</v>
      </c>
      <c r="F6564" s="195" t="s">
        <v>432</v>
      </c>
    </row>
    <row r="6565" spans="1:6" x14ac:dyDescent="0.25">
      <c r="A6565" s="189" t="str">
        <f t="shared" si="102"/>
        <v>KE-MD 202.032.05E</v>
      </c>
      <c r="B6565" s="195" t="s">
        <v>3051</v>
      </c>
      <c r="C6565" s="196">
        <v>2.0299999999999998</v>
      </c>
      <c r="D6565" s="196">
        <v>2.0499999999999998</v>
      </c>
      <c r="E6565" s="195" t="s">
        <v>583</v>
      </c>
      <c r="F6565" s="195" t="s">
        <v>19</v>
      </c>
    </row>
    <row r="6566" spans="1:6" x14ac:dyDescent="0.25">
      <c r="A6566" s="189" t="str">
        <f t="shared" si="102"/>
        <v>KE-MD 202.032.05W</v>
      </c>
      <c r="B6566" s="195" t="s">
        <v>3051</v>
      </c>
      <c r="C6566" s="196">
        <v>2.0299999999999998</v>
      </c>
      <c r="D6566" s="196">
        <v>2.0499999999999998</v>
      </c>
      <c r="E6566" s="195" t="s">
        <v>583</v>
      </c>
      <c r="F6566" s="195" t="s">
        <v>432</v>
      </c>
    </row>
    <row r="6567" spans="1:6" x14ac:dyDescent="0.25">
      <c r="A6567" s="189" t="str">
        <f t="shared" si="102"/>
        <v>KE-MD 202.057.8E</v>
      </c>
      <c r="B6567" s="195" t="s">
        <v>3051</v>
      </c>
      <c r="C6567" s="196">
        <v>2.0499999999999998</v>
      </c>
      <c r="D6567" s="196">
        <v>7.8</v>
      </c>
      <c r="E6567" s="195" t="s">
        <v>583</v>
      </c>
      <c r="F6567" s="195" t="s">
        <v>19</v>
      </c>
    </row>
    <row r="6568" spans="1:6" x14ac:dyDescent="0.25">
      <c r="A6568" s="189" t="str">
        <f t="shared" si="102"/>
        <v>KE-MD 202.057.8W</v>
      </c>
      <c r="B6568" s="195" t="s">
        <v>3051</v>
      </c>
      <c r="C6568" s="196">
        <v>2.0499999999999998</v>
      </c>
      <c r="D6568" s="196">
        <v>7.8</v>
      </c>
      <c r="E6568" s="195" t="s">
        <v>583</v>
      </c>
      <c r="F6568" s="195" t="s">
        <v>432</v>
      </c>
    </row>
    <row r="6569" spans="1:6" x14ac:dyDescent="0.25">
      <c r="A6569" s="189" t="str">
        <f t="shared" si="102"/>
        <v>KE-MD 207.88.47E</v>
      </c>
      <c r="B6569" s="195" t="s">
        <v>3051</v>
      </c>
      <c r="C6569" s="196">
        <v>7.8</v>
      </c>
      <c r="D6569" s="196">
        <v>8.4700000000000006</v>
      </c>
      <c r="E6569" s="195" t="s">
        <v>583</v>
      </c>
      <c r="F6569" s="195" t="s">
        <v>19</v>
      </c>
    </row>
    <row r="6570" spans="1:6" x14ac:dyDescent="0.25">
      <c r="A6570" s="189" t="str">
        <f t="shared" si="102"/>
        <v>KE-MD 207.88.47W</v>
      </c>
      <c r="B6570" s="195" t="s">
        <v>3051</v>
      </c>
      <c r="C6570" s="196">
        <v>7.8</v>
      </c>
      <c r="D6570" s="196">
        <v>8.4700000000000006</v>
      </c>
      <c r="E6570" s="195" t="s">
        <v>583</v>
      </c>
      <c r="F6570" s="195" t="s">
        <v>432</v>
      </c>
    </row>
    <row r="6571" spans="1:6" x14ac:dyDescent="0.25">
      <c r="A6571" s="189" t="str">
        <f t="shared" si="102"/>
        <v>KE-MD 208.478.8E</v>
      </c>
      <c r="B6571" s="195" t="s">
        <v>3051</v>
      </c>
      <c r="C6571" s="196">
        <v>8.4700000000000006</v>
      </c>
      <c r="D6571" s="196">
        <v>8.8000000000000007</v>
      </c>
      <c r="E6571" s="195" t="s">
        <v>583</v>
      </c>
      <c r="F6571" s="195" t="s">
        <v>19</v>
      </c>
    </row>
    <row r="6572" spans="1:6" x14ac:dyDescent="0.25">
      <c r="A6572" s="189" t="str">
        <f t="shared" si="102"/>
        <v>KE-MD 208.478.8W</v>
      </c>
      <c r="B6572" s="195" t="s">
        <v>3051</v>
      </c>
      <c r="C6572" s="196">
        <v>8.4700000000000006</v>
      </c>
      <c r="D6572" s="196">
        <v>8.8000000000000007</v>
      </c>
      <c r="E6572" s="195" t="s">
        <v>583</v>
      </c>
      <c r="F6572" s="195" t="s">
        <v>432</v>
      </c>
    </row>
    <row r="6573" spans="1:6" x14ac:dyDescent="0.25">
      <c r="A6573" s="189" t="str">
        <f t="shared" si="102"/>
        <v>KE-MD 208.813.55E</v>
      </c>
      <c r="B6573" s="195" t="s">
        <v>3051</v>
      </c>
      <c r="C6573" s="196">
        <v>8.8000000000000007</v>
      </c>
      <c r="D6573" s="196">
        <v>13.55</v>
      </c>
      <c r="E6573" s="195" t="s">
        <v>583</v>
      </c>
      <c r="F6573" s="195" t="s">
        <v>19</v>
      </c>
    </row>
    <row r="6574" spans="1:6" x14ac:dyDescent="0.25">
      <c r="A6574" s="189" t="str">
        <f t="shared" si="102"/>
        <v>KE-MD 208.813.55W</v>
      </c>
      <c r="B6574" s="195" t="s">
        <v>3051</v>
      </c>
      <c r="C6574" s="196">
        <v>8.8000000000000007</v>
      </c>
      <c r="D6574" s="196">
        <v>13.55</v>
      </c>
      <c r="E6574" s="195" t="s">
        <v>583</v>
      </c>
      <c r="F6574" s="195" t="s">
        <v>432</v>
      </c>
    </row>
    <row r="6575" spans="1:6" x14ac:dyDescent="0.25">
      <c r="A6575" s="189" t="str">
        <f t="shared" si="102"/>
        <v>KE-MD 2013.5513.63E</v>
      </c>
      <c r="B6575" s="195" t="s">
        <v>3051</v>
      </c>
      <c r="C6575" s="196">
        <v>13.55</v>
      </c>
      <c r="D6575" s="196">
        <v>13.63</v>
      </c>
      <c r="E6575" s="195" t="s">
        <v>583</v>
      </c>
      <c r="F6575" s="195" t="s">
        <v>19</v>
      </c>
    </row>
    <row r="6576" spans="1:6" x14ac:dyDescent="0.25">
      <c r="A6576" s="189" t="str">
        <f t="shared" si="102"/>
        <v>KE-MD 2013.5513.63W</v>
      </c>
      <c r="B6576" s="195" t="s">
        <v>3051</v>
      </c>
      <c r="C6576" s="196">
        <v>13.55</v>
      </c>
      <c r="D6576" s="196">
        <v>13.63</v>
      </c>
      <c r="E6576" s="195" t="s">
        <v>583</v>
      </c>
      <c r="F6576" s="195" t="s">
        <v>432</v>
      </c>
    </row>
    <row r="6577" spans="1:6" x14ac:dyDescent="0.25">
      <c r="A6577" s="189" t="str">
        <f t="shared" si="102"/>
        <v>KE-MD 2013.6313.74E</v>
      </c>
      <c r="B6577" s="195" t="s">
        <v>3051</v>
      </c>
      <c r="C6577" s="196">
        <v>13.63</v>
      </c>
      <c r="D6577" s="196">
        <v>13.74</v>
      </c>
      <c r="E6577" s="195" t="s">
        <v>583</v>
      </c>
      <c r="F6577" s="195" t="s">
        <v>19</v>
      </c>
    </row>
    <row r="6578" spans="1:6" x14ac:dyDescent="0.25">
      <c r="A6578" s="189" t="str">
        <f t="shared" si="102"/>
        <v>KE-MD 2013.6313.74W</v>
      </c>
      <c r="B6578" s="195" t="s">
        <v>3051</v>
      </c>
      <c r="C6578" s="196">
        <v>13.63</v>
      </c>
      <c r="D6578" s="196">
        <v>13.74</v>
      </c>
      <c r="E6578" s="195" t="s">
        <v>583</v>
      </c>
      <c r="F6578" s="195" t="s">
        <v>432</v>
      </c>
    </row>
    <row r="6579" spans="1:6" x14ac:dyDescent="0.25">
      <c r="A6579" s="189" t="str">
        <f t="shared" si="102"/>
        <v>KE-MD 2102.42E</v>
      </c>
      <c r="B6579" s="195" t="s">
        <v>3052</v>
      </c>
      <c r="C6579" s="196">
        <v>0</v>
      </c>
      <c r="D6579" s="196">
        <v>2.42</v>
      </c>
      <c r="E6579" s="195" t="s">
        <v>583</v>
      </c>
      <c r="F6579" s="195" t="s">
        <v>19</v>
      </c>
    </row>
    <row r="6580" spans="1:6" x14ac:dyDescent="0.25">
      <c r="A6580" s="189" t="str">
        <f t="shared" si="102"/>
        <v>KE-MD 2102.42W</v>
      </c>
      <c r="B6580" s="195" t="s">
        <v>3052</v>
      </c>
      <c r="C6580" s="196">
        <v>0</v>
      </c>
      <c r="D6580" s="196">
        <v>2.42</v>
      </c>
      <c r="E6580" s="195" t="s">
        <v>583</v>
      </c>
      <c r="F6580" s="195" t="s">
        <v>432</v>
      </c>
    </row>
    <row r="6581" spans="1:6" x14ac:dyDescent="0.25">
      <c r="A6581" s="189" t="str">
        <f t="shared" si="102"/>
        <v>KE-MD 21300.49S</v>
      </c>
      <c r="B6581" s="195" t="s">
        <v>451</v>
      </c>
      <c r="C6581" s="196">
        <v>0</v>
      </c>
      <c r="D6581" s="196">
        <v>0.49</v>
      </c>
      <c r="E6581" s="195" t="s">
        <v>595</v>
      </c>
      <c r="F6581" s="195" t="s">
        <v>438</v>
      </c>
    </row>
    <row r="6582" spans="1:6" x14ac:dyDescent="0.25">
      <c r="A6582" s="189" t="str">
        <f t="shared" si="102"/>
        <v>KE-MD 21301N</v>
      </c>
      <c r="B6582" s="195" t="s">
        <v>451</v>
      </c>
      <c r="C6582" s="196">
        <v>0</v>
      </c>
      <c r="D6582" s="196">
        <v>1</v>
      </c>
      <c r="E6582" s="195" t="s">
        <v>589</v>
      </c>
      <c r="F6582" s="195" t="s">
        <v>430</v>
      </c>
    </row>
    <row r="6583" spans="1:6" x14ac:dyDescent="0.25">
      <c r="A6583" s="189" t="str">
        <f t="shared" si="102"/>
        <v>KE-MD 2130.491S</v>
      </c>
      <c r="B6583" s="195" t="s">
        <v>451</v>
      </c>
      <c r="C6583" s="196">
        <v>0.49</v>
      </c>
      <c r="D6583" s="196">
        <v>1</v>
      </c>
      <c r="E6583" s="195" t="s">
        <v>595</v>
      </c>
      <c r="F6583" s="195" t="s">
        <v>438</v>
      </c>
    </row>
    <row r="6584" spans="1:6" x14ac:dyDescent="0.25">
      <c r="A6584" s="189" t="str">
        <f t="shared" si="102"/>
        <v>KE-MD 21311.78N</v>
      </c>
      <c r="B6584" s="195" t="s">
        <v>451</v>
      </c>
      <c r="C6584" s="196">
        <v>1</v>
      </c>
      <c r="D6584" s="196">
        <v>1.78</v>
      </c>
      <c r="E6584" s="195" t="s">
        <v>583</v>
      </c>
      <c r="F6584" s="195" t="s">
        <v>430</v>
      </c>
    </row>
    <row r="6585" spans="1:6" x14ac:dyDescent="0.25">
      <c r="A6585" s="189" t="str">
        <f t="shared" si="102"/>
        <v>KE-MD 21311.78S</v>
      </c>
      <c r="B6585" s="195" t="s">
        <v>451</v>
      </c>
      <c r="C6585" s="196">
        <v>1</v>
      </c>
      <c r="D6585" s="196">
        <v>1.78</v>
      </c>
      <c r="E6585" s="195" t="s">
        <v>583</v>
      </c>
      <c r="F6585" s="195" t="s">
        <v>438</v>
      </c>
    </row>
    <row r="6586" spans="1:6" x14ac:dyDescent="0.25">
      <c r="A6586" s="189" t="str">
        <f t="shared" si="102"/>
        <v>KE-MD 2131.784.05N</v>
      </c>
      <c r="B6586" s="195" t="s">
        <v>451</v>
      </c>
      <c r="C6586" s="196">
        <v>1.78</v>
      </c>
      <c r="D6586" s="196">
        <v>4.05</v>
      </c>
      <c r="E6586" s="195" t="s">
        <v>583</v>
      </c>
      <c r="F6586" s="195" t="s">
        <v>430</v>
      </c>
    </row>
    <row r="6587" spans="1:6" x14ac:dyDescent="0.25">
      <c r="A6587" s="189" t="str">
        <f t="shared" si="102"/>
        <v>KE-MD 2131.784.05S</v>
      </c>
      <c r="B6587" s="195" t="s">
        <v>451</v>
      </c>
      <c r="C6587" s="196">
        <v>1.78</v>
      </c>
      <c r="D6587" s="196">
        <v>4.05</v>
      </c>
      <c r="E6587" s="195" t="s">
        <v>583</v>
      </c>
      <c r="F6587" s="195" t="s">
        <v>438</v>
      </c>
    </row>
    <row r="6588" spans="1:6" x14ac:dyDescent="0.25">
      <c r="A6588" s="189" t="str">
        <f t="shared" si="102"/>
        <v>KE-MD 2134.054.67N</v>
      </c>
      <c r="B6588" s="195" t="s">
        <v>451</v>
      </c>
      <c r="C6588" s="196">
        <v>4.05</v>
      </c>
      <c r="D6588" s="196">
        <v>4.67</v>
      </c>
      <c r="E6588" s="195" t="s">
        <v>583</v>
      </c>
      <c r="F6588" s="195" t="s">
        <v>430</v>
      </c>
    </row>
    <row r="6589" spans="1:6" x14ac:dyDescent="0.25">
      <c r="A6589" s="189" t="str">
        <f t="shared" si="102"/>
        <v>KE-MD 2134.054.67S</v>
      </c>
      <c r="B6589" s="195" t="s">
        <v>451</v>
      </c>
      <c r="C6589" s="196">
        <v>4.05</v>
      </c>
      <c r="D6589" s="196">
        <v>4.67</v>
      </c>
      <c r="E6589" s="195" t="s">
        <v>583</v>
      </c>
      <c r="F6589" s="195" t="s">
        <v>438</v>
      </c>
    </row>
    <row r="6590" spans="1:6" x14ac:dyDescent="0.25">
      <c r="A6590" s="189" t="str">
        <f t="shared" si="102"/>
        <v>KE-MD 2134.678.7N</v>
      </c>
      <c r="B6590" s="195" t="s">
        <v>451</v>
      </c>
      <c r="C6590" s="196">
        <v>4.67</v>
      </c>
      <c r="D6590" s="196">
        <v>8.6999999999999993</v>
      </c>
      <c r="E6590" s="195" t="s">
        <v>583</v>
      </c>
      <c r="F6590" s="195" t="s">
        <v>430</v>
      </c>
    </row>
    <row r="6591" spans="1:6" x14ac:dyDescent="0.25">
      <c r="A6591" s="189" t="str">
        <f t="shared" si="102"/>
        <v>KE-MD 2134.678.7S</v>
      </c>
      <c r="B6591" s="195" t="s">
        <v>451</v>
      </c>
      <c r="C6591" s="196">
        <v>4.67</v>
      </c>
      <c r="D6591" s="196">
        <v>8.6999999999999993</v>
      </c>
      <c r="E6591" s="195" t="s">
        <v>583</v>
      </c>
      <c r="F6591" s="195" t="s">
        <v>438</v>
      </c>
    </row>
    <row r="6592" spans="1:6" x14ac:dyDescent="0.25">
      <c r="A6592" s="189" t="str">
        <f t="shared" si="102"/>
        <v>KE-MD 2138.78.77N</v>
      </c>
      <c r="B6592" s="195" t="s">
        <v>451</v>
      </c>
      <c r="C6592" s="196">
        <v>8.6999999999999993</v>
      </c>
      <c r="D6592" s="196">
        <v>8.77</v>
      </c>
      <c r="E6592" s="195" t="s">
        <v>583</v>
      </c>
      <c r="F6592" s="195" t="s">
        <v>430</v>
      </c>
    </row>
    <row r="6593" spans="1:6" x14ac:dyDescent="0.25">
      <c r="A6593" s="189" t="str">
        <f t="shared" si="102"/>
        <v>KE-MD 2138.78.77S</v>
      </c>
      <c r="B6593" s="195" t="s">
        <v>451</v>
      </c>
      <c r="C6593" s="196">
        <v>8.6999999999999993</v>
      </c>
      <c r="D6593" s="196">
        <v>8.77</v>
      </c>
      <c r="E6593" s="195" t="s">
        <v>583</v>
      </c>
      <c r="F6593" s="195" t="s">
        <v>438</v>
      </c>
    </row>
    <row r="6594" spans="1:6" x14ac:dyDescent="0.25">
      <c r="A6594" s="189" t="str">
        <f t="shared" si="102"/>
        <v>KE-MD 2138.7712N</v>
      </c>
      <c r="B6594" s="195" t="s">
        <v>451</v>
      </c>
      <c r="C6594" s="196">
        <v>8.77</v>
      </c>
      <c r="D6594" s="196">
        <v>12</v>
      </c>
      <c r="E6594" s="195" t="s">
        <v>583</v>
      </c>
      <c r="F6594" s="195" t="s">
        <v>430</v>
      </c>
    </row>
    <row r="6595" spans="1:6" x14ac:dyDescent="0.25">
      <c r="A6595" s="189" t="str">
        <f t="shared" ref="A6595:A6658" si="103">B6595&amp;C6595&amp;D6595&amp;F6595</f>
        <v>KE-MD 2138.7712S</v>
      </c>
      <c r="B6595" s="195" t="s">
        <v>451</v>
      </c>
      <c r="C6595" s="196">
        <v>8.77</v>
      </c>
      <c r="D6595" s="196">
        <v>12</v>
      </c>
      <c r="E6595" s="195" t="s">
        <v>583</v>
      </c>
      <c r="F6595" s="195" t="s">
        <v>438</v>
      </c>
    </row>
    <row r="6596" spans="1:6" x14ac:dyDescent="0.25">
      <c r="A6596" s="189" t="str">
        <f t="shared" si="103"/>
        <v>KE-MD 2131213.68N</v>
      </c>
      <c r="B6596" s="195" t="s">
        <v>451</v>
      </c>
      <c r="C6596" s="196">
        <v>12</v>
      </c>
      <c r="D6596" s="196">
        <v>13.68</v>
      </c>
      <c r="E6596" s="195" t="s">
        <v>583</v>
      </c>
      <c r="F6596" s="195" t="s">
        <v>430</v>
      </c>
    </row>
    <row r="6597" spans="1:6" x14ac:dyDescent="0.25">
      <c r="A6597" s="189" t="str">
        <f t="shared" si="103"/>
        <v>KE-MD 2131213.68S</v>
      </c>
      <c r="B6597" s="195" t="s">
        <v>451</v>
      </c>
      <c r="C6597" s="196">
        <v>12</v>
      </c>
      <c r="D6597" s="196">
        <v>13.68</v>
      </c>
      <c r="E6597" s="195" t="s">
        <v>583</v>
      </c>
      <c r="F6597" s="195" t="s">
        <v>438</v>
      </c>
    </row>
    <row r="6598" spans="1:6" x14ac:dyDescent="0.25">
      <c r="A6598" s="189" t="str">
        <f t="shared" si="103"/>
        <v>KE-MD 21313.6815.85N</v>
      </c>
      <c r="B6598" s="195" t="s">
        <v>451</v>
      </c>
      <c r="C6598" s="196">
        <v>13.68</v>
      </c>
      <c r="D6598" s="196">
        <v>15.85</v>
      </c>
      <c r="E6598" s="195" t="s">
        <v>583</v>
      </c>
      <c r="F6598" s="195" t="s">
        <v>430</v>
      </c>
    </row>
    <row r="6599" spans="1:6" x14ac:dyDescent="0.25">
      <c r="A6599" s="189" t="str">
        <f t="shared" si="103"/>
        <v>KE-MD 21313.6815.85S</v>
      </c>
      <c r="B6599" s="195" t="s">
        <v>451</v>
      </c>
      <c r="C6599" s="196">
        <v>13.68</v>
      </c>
      <c r="D6599" s="196">
        <v>15.85</v>
      </c>
      <c r="E6599" s="195" t="s">
        <v>583</v>
      </c>
      <c r="F6599" s="195" t="s">
        <v>438</v>
      </c>
    </row>
    <row r="6600" spans="1:6" x14ac:dyDescent="0.25">
      <c r="A6600" s="189" t="str">
        <f t="shared" si="103"/>
        <v>KE-MD 21315.8517.41N</v>
      </c>
      <c r="B6600" s="195" t="s">
        <v>451</v>
      </c>
      <c r="C6600" s="196">
        <v>15.85</v>
      </c>
      <c r="D6600" s="196">
        <v>17.41</v>
      </c>
      <c r="E6600" s="195" t="s">
        <v>589</v>
      </c>
      <c r="F6600" s="195" t="s">
        <v>430</v>
      </c>
    </row>
    <row r="6601" spans="1:6" x14ac:dyDescent="0.25">
      <c r="A6601" s="189" t="str">
        <f t="shared" si="103"/>
        <v>KE-MD 21315.8517.87S</v>
      </c>
      <c r="B6601" s="195" t="s">
        <v>451</v>
      </c>
      <c r="C6601" s="196">
        <v>15.85</v>
      </c>
      <c r="D6601" s="196">
        <v>17.87</v>
      </c>
      <c r="E6601" s="195" t="s">
        <v>595</v>
      </c>
      <c r="F6601" s="195" t="s">
        <v>438</v>
      </c>
    </row>
    <row r="6602" spans="1:6" x14ac:dyDescent="0.25">
      <c r="A6602" s="189" t="str">
        <f t="shared" si="103"/>
        <v>KE-MD 21317.4117.87N</v>
      </c>
      <c r="B6602" s="195" t="s">
        <v>451</v>
      </c>
      <c r="C6602" s="196">
        <v>17.41</v>
      </c>
      <c r="D6602" s="196">
        <v>17.87</v>
      </c>
      <c r="E6602" s="195" t="s">
        <v>589</v>
      </c>
      <c r="F6602" s="195" t="s">
        <v>430</v>
      </c>
    </row>
    <row r="6603" spans="1:6" x14ac:dyDescent="0.25">
      <c r="A6603" s="189" t="str">
        <f t="shared" si="103"/>
        <v>KE-MD 28803.33E</v>
      </c>
      <c r="B6603" s="195" t="s">
        <v>3053</v>
      </c>
      <c r="C6603" s="196">
        <v>0</v>
      </c>
      <c r="D6603" s="196">
        <v>3.33</v>
      </c>
      <c r="E6603" s="195" t="s">
        <v>583</v>
      </c>
      <c r="F6603" s="195" t="s">
        <v>19</v>
      </c>
    </row>
    <row r="6604" spans="1:6" x14ac:dyDescent="0.25">
      <c r="A6604" s="189" t="str">
        <f t="shared" si="103"/>
        <v>KE-MD 28803.33W</v>
      </c>
      <c r="B6604" s="195" t="s">
        <v>3053</v>
      </c>
      <c r="C6604" s="196">
        <v>0</v>
      </c>
      <c r="D6604" s="196">
        <v>3.33</v>
      </c>
      <c r="E6604" s="195" t="s">
        <v>583</v>
      </c>
      <c r="F6604" s="195" t="s">
        <v>432</v>
      </c>
    </row>
    <row r="6605" spans="1:6" x14ac:dyDescent="0.25">
      <c r="A6605" s="189" t="str">
        <f t="shared" si="103"/>
        <v>KE-MD 28902.47N</v>
      </c>
      <c r="B6605" s="195" t="s">
        <v>3054</v>
      </c>
      <c r="C6605" s="196">
        <v>0</v>
      </c>
      <c r="D6605" s="196">
        <v>2.4700000000000002</v>
      </c>
      <c r="E6605" s="195" t="s">
        <v>583</v>
      </c>
      <c r="F6605" s="195" t="s">
        <v>430</v>
      </c>
    </row>
    <row r="6606" spans="1:6" x14ac:dyDescent="0.25">
      <c r="A6606" s="189" t="str">
        <f t="shared" si="103"/>
        <v>KE-MD 28902.47S</v>
      </c>
      <c r="B6606" s="195" t="s">
        <v>3054</v>
      </c>
      <c r="C6606" s="196">
        <v>0</v>
      </c>
      <c r="D6606" s="196">
        <v>2.4700000000000002</v>
      </c>
      <c r="E6606" s="195" t="s">
        <v>583</v>
      </c>
      <c r="F6606" s="195" t="s">
        <v>438</v>
      </c>
    </row>
    <row r="6607" spans="1:6" x14ac:dyDescent="0.25">
      <c r="A6607" s="189" t="str">
        <f t="shared" si="103"/>
        <v>KE-MD 2892.474.3N</v>
      </c>
      <c r="B6607" s="195" t="s">
        <v>3054</v>
      </c>
      <c r="C6607" s="196">
        <v>2.4700000000000002</v>
      </c>
      <c r="D6607" s="196">
        <v>4.3</v>
      </c>
      <c r="E6607" s="195" t="s">
        <v>583</v>
      </c>
      <c r="F6607" s="195" t="s">
        <v>430</v>
      </c>
    </row>
    <row r="6608" spans="1:6" x14ac:dyDescent="0.25">
      <c r="A6608" s="189" t="str">
        <f t="shared" si="103"/>
        <v>KE-MD 2892.474.3S</v>
      </c>
      <c r="B6608" s="195" t="s">
        <v>3054</v>
      </c>
      <c r="C6608" s="196">
        <v>2.4700000000000002</v>
      </c>
      <c r="D6608" s="196">
        <v>4.3</v>
      </c>
      <c r="E6608" s="195" t="s">
        <v>583</v>
      </c>
      <c r="F6608" s="195" t="s">
        <v>438</v>
      </c>
    </row>
    <row r="6609" spans="1:6" x14ac:dyDescent="0.25">
      <c r="A6609" s="189" t="str">
        <f t="shared" si="103"/>
        <v>KE-MD 2894.34.32N</v>
      </c>
      <c r="B6609" s="195" t="s">
        <v>3054</v>
      </c>
      <c r="C6609" s="196">
        <v>4.3</v>
      </c>
      <c r="D6609" s="196">
        <v>4.32</v>
      </c>
      <c r="E6609" s="195" t="s">
        <v>583</v>
      </c>
      <c r="F6609" s="195" t="s">
        <v>430</v>
      </c>
    </row>
    <row r="6610" spans="1:6" x14ac:dyDescent="0.25">
      <c r="A6610" s="189" t="str">
        <f t="shared" si="103"/>
        <v>KE-MD 2894.34.32S</v>
      </c>
      <c r="B6610" s="195" t="s">
        <v>3054</v>
      </c>
      <c r="C6610" s="196">
        <v>4.3</v>
      </c>
      <c r="D6610" s="196">
        <v>4.32</v>
      </c>
      <c r="E6610" s="195" t="s">
        <v>583</v>
      </c>
      <c r="F6610" s="195" t="s">
        <v>438</v>
      </c>
    </row>
    <row r="6611" spans="1:6" x14ac:dyDescent="0.25">
      <c r="A6611" s="189" t="str">
        <f t="shared" si="103"/>
        <v>KE-MD 2894.327.22N</v>
      </c>
      <c r="B6611" s="195" t="s">
        <v>3054</v>
      </c>
      <c r="C6611" s="196">
        <v>4.32</v>
      </c>
      <c r="D6611" s="196">
        <v>7.22</v>
      </c>
      <c r="E6611" s="195" t="s">
        <v>583</v>
      </c>
      <c r="F6611" s="195" t="s">
        <v>430</v>
      </c>
    </row>
    <row r="6612" spans="1:6" x14ac:dyDescent="0.25">
      <c r="A6612" s="189" t="str">
        <f t="shared" si="103"/>
        <v>KE-MD 2894.327.22S</v>
      </c>
      <c r="B6612" s="195" t="s">
        <v>3054</v>
      </c>
      <c r="C6612" s="196">
        <v>4.32</v>
      </c>
      <c r="D6612" s="196">
        <v>7.22</v>
      </c>
      <c r="E6612" s="195" t="s">
        <v>583</v>
      </c>
      <c r="F6612" s="195" t="s">
        <v>438</v>
      </c>
    </row>
    <row r="6613" spans="1:6" x14ac:dyDescent="0.25">
      <c r="A6613" s="189" t="str">
        <f t="shared" si="103"/>
        <v>KE-MD 2897.228.45N</v>
      </c>
      <c r="B6613" s="195" t="s">
        <v>3054</v>
      </c>
      <c r="C6613" s="196">
        <v>7.22</v>
      </c>
      <c r="D6613" s="196">
        <v>8.4499999999999993</v>
      </c>
      <c r="E6613" s="195" t="s">
        <v>583</v>
      </c>
      <c r="F6613" s="195" t="s">
        <v>430</v>
      </c>
    </row>
    <row r="6614" spans="1:6" x14ac:dyDescent="0.25">
      <c r="A6614" s="189" t="str">
        <f t="shared" si="103"/>
        <v>KE-MD 2897.228.45S</v>
      </c>
      <c r="B6614" s="195" t="s">
        <v>3054</v>
      </c>
      <c r="C6614" s="196">
        <v>7.22</v>
      </c>
      <c r="D6614" s="196">
        <v>8.4499999999999993</v>
      </c>
      <c r="E6614" s="195" t="s">
        <v>583</v>
      </c>
      <c r="F6614" s="195" t="s">
        <v>438</v>
      </c>
    </row>
    <row r="6615" spans="1:6" x14ac:dyDescent="0.25">
      <c r="A6615" s="189" t="str">
        <f t="shared" si="103"/>
        <v>KE-MD 2898.458.83N</v>
      </c>
      <c r="B6615" s="195" t="s">
        <v>3054</v>
      </c>
      <c r="C6615" s="196">
        <v>8.4499999999999993</v>
      </c>
      <c r="D6615" s="196">
        <v>8.83</v>
      </c>
      <c r="E6615" s="195" t="s">
        <v>583</v>
      </c>
      <c r="F6615" s="195" t="s">
        <v>430</v>
      </c>
    </row>
    <row r="6616" spans="1:6" x14ac:dyDescent="0.25">
      <c r="A6616" s="189" t="str">
        <f t="shared" si="103"/>
        <v>KE-MD 2898.458.83S</v>
      </c>
      <c r="B6616" s="195" t="s">
        <v>3054</v>
      </c>
      <c r="C6616" s="196">
        <v>8.4499999999999993</v>
      </c>
      <c r="D6616" s="196">
        <v>8.83</v>
      </c>
      <c r="E6616" s="195" t="s">
        <v>583</v>
      </c>
      <c r="F6616" s="195" t="s">
        <v>438</v>
      </c>
    </row>
    <row r="6617" spans="1:6" x14ac:dyDescent="0.25">
      <c r="A6617" s="189" t="str">
        <f t="shared" si="103"/>
        <v>KE-MD 29000.02S</v>
      </c>
      <c r="B6617" s="195" t="s">
        <v>3055</v>
      </c>
      <c r="C6617" s="196">
        <v>0</v>
      </c>
      <c r="D6617" s="196">
        <v>0.02</v>
      </c>
      <c r="E6617" s="195" t="s">
        <v>595</v>
      </c>
      <c r="F6617" s="195" t="s">
        <v>438</v>
      </c>
    </row>
    <row r="6618" spans="1:6" x14ac:dyDescent="0.25">
      <c r="A6618" s="189" t="str">
        <f t="shared" si="103"/>
        <v>KE-MD 29001.11N</v>
      </c>
      <c r="B6618" s="195" t="s">
        <v>3055</v>
      </c>
      <c r="C6618" s="196">
        <v>0</v>
      </c>
      <c r="D6618" s="196">
        <v>1.1100000000000001</v>
      </c>
      <c r="E6618" s="195" t="s">
        <v>589</v>
      </c>
      <c r="F6618" s="195" t="s">
        <v>430</v>
      </c>
    </row>
    <row r="6619" spans="1:6" x14ac:dyDescent="0.25">
      <c r="A6619" s="189" t="str">
        <f t="shared" si="103"/>
        <v>KE-MD 2900.020.16S</v>
      </c>
      <c r="B6619" s="195" t="s">
        <v>3055</v>
      </c>
      <c r="C6619" s="196">
        <v>0.02</v>
      </c>
      <c r="D6619" s="196">
        <v>0.16</v>
      </c>
      <c r="E6619" s="195" t="s">
        <v>595</v>
      </c>
      <c r="F6619" s="195" t="s">
        <v>438</v>
      </c>
    </row>
    <row r="6620" spans="1:6" x14ac:dyDescent="0.25">
      <c r="A6620" s="189" t="str">
        <f t="shared" si="103"/>
        <v>KE-MD 2900.161.11S</v>
      </c>
      <c r="B6620" s="195" t="s">
        <v>3055</v>
      </c>
      <c r="C6620" s="196">
        <v>0.16</v>
      </c>
      <c r="D6620" s="196">
        <v>1.1100000000000001</v>
      </c>
      <c r="E6620" s="195" t="s">
        <v>595</v>
      </c>
      <c r="F6620" s="195" t="s">
        <v>438</v>
      </c>
    </row>
    <row r="6621" spans="1:6" x14ac:dyDescent="0.25">
      <c r="A6621" s="189" t="str">
        <f t="shared" si="103"/>
        <v>KE-MD 2901.111.78N</v>
      </c>
      <c r="B6621" s="195" t="s">
        <v>3055</v>
      </c>
      <c r="C6621" s="196">
        <v>1.1100000000000001</v>
      </c>
      <c r="D6621" s="196">
        <v>1.78</v>
      </c>
      <c r="E6621" s="195" t="s">
        <v>583</v>
      </c>
      <c r="F6621" s="195" t="s">
        <v>430</v>
      </c>
    </row>
    <row r="6622" spans="1:6" x14ac:dyDescent="0.25">
      <c r="A6622" s="189" t="str">
        <f t="shared" si="103"/>
        <v>KE-MD 2901.111.78S</v>
      </c>
      <c r="B6622" s="195" t="s">
        <v>3055</v>
      </c>
      <c r="C6622" s="196">
        <v>1.1100000000000001</v>
      </c>
      <c r="D6622" s="196">
        <v>1.78</v>
      </c>
      <c r="E6622" s="195" t="s">
        <v>583</v>
      </c>
      <c r="F6622" s="195" t="s">
        <v>438</v>
      </c>
    </row>
    <row r="6623" spans="1:6" x14ac:dyDescent="0.25">
      <c r="A6623" s="189" t="str">
        <f t="shared" si="103"/>
        <v>KE-MD 2901.786.98N</v>
      </c>
      <c r="B6623" s="195" t="s">
        <v>3055</v>
      </c>
      <c r="C6623" s="196">
        <v>1.78</v>
      </c>
      <c r="D6623" s="196">
        <v>6.98</v>
      </c>
      <c r="E6623" s="195" t="s">
        <v>583</v>
      </c>
      <c r="F6623" s="195" t="s">
        <v>430</v>
      </c>
    </row>
    <row r="6624" spans="1:6" x14ac:dyDescent="0.25">
      <c r="A6624" s="189" t="str">
        <f t="shared" si="103"/>
        <v>KE-MD 2901.786.98S</v>
      </c>
      <c r="B6624" s="195" t="s">
        <v>3055</v>
      </c>
      <c r="C6624" s="196">
        <v>1.78</v>
      </c>
      <c r="D6624" s="196">
        <v>6.98</v>
      </c>
      <c r="E6624" s="195" t="s">
        <v>583</v>
      </c>
      <c r="F6624" s="195" t="s">
        <v>438</v>
      </c>
    </row>
    <row r="6625" spans="1:6" x14ac:dyDescent="0.25">
      <c r="A6625" s="189" t="str">
        <f t="shared" si="103"/>
        <v>KE-MD 2906.987.24N</v>
      </c>
      <c r="B6625" s="195" t="s">
        <v>3055</v>
      </c>
      <c r="C6625" s="196">
        <v>6.98</v>
      </c>
      <c r="D6625" s="196">
        <v>7.24</v>
      </c>
      <c r="E6625" s="195" t="s">
        <v>583</v>
      </c>
      <c r="F6625" s="195" t="s">
        <v>430</v>
      </c>
    </row>
    <row r="6626" spans="1:6" x14ac:dyDescent="0.25">
      <c r="A6626" s="189" t="str">
        <f t="shared" si="103"/>
        <v>KE-MD 2906.987.24S</v>
      </c>
      <c r="B6626" s="195" t="s">
        <v>3055</v>
      </c>
      <c r="C6626" s="196">
        <v>6.98</v>
      </c>
      <c r="D6626" s="196">
        <v>7.24</v>
      </c>
      <c r="E6626" s="195" t="s">
        <v>583</v>
      </c>
      <c r="F6626" s="195" t="s">
        <v>438</v>
      </c>
    </row>
    <row r="6627" spans="1:6" x14ac:dyDescent="0.25">
      <c r="A6627" s="189" t="str">
        <f t="shared" si="103"/>
        <v>KE-MD 2907.247.96N</v>
      </c>
      <c r="B6627" s="195" t="s">
        <v>3055</v>
      </c>
      <c r="C6627" s="196">
        <v>7.24</v>
      </c>
      <c r="D6627" s="196">
        <v>7.96</v>
      </c>
      <c r="E6627" s="195" t="s">
        <v>583</v>
      </c>
      <c r="F6627" s="195" t="s">
        <v>430</v>
      </c>
    </row>
    <row r="6628" spans="1:6" x14ac:dyDescent="0.25">
      <c r="A6628" s="189" t="str">
        <f t="shared" si="103"/>
        <v>KE-MD 2907.247.96S</v>
      </c>
      <c r="B6628" s="195" t="s">
        <v>3055</v>
      </c>
      <c r="C6628" s="196">
        <v>7.24</v>
      </c>
      <c r="D6628" s="196">
        <v>7.96</v>
      </c>
      <c r="E6628" s="195" t="s">
        <v>583</v>
      </c>
      <c r="F6628" s="195" t="s">
        <v>438</v>
      </c>
    </row>
    <row r="6629" spans="1:6" x14ac:dyDescent="0.25">
      <c r="A6629" s="189" t="str">
        <f t="shared" si="103"/>
        <v>KE-MD 2907.9612.04N</v>
      </c>
      <c r="B6629" s="195" t="s">
        <v>3055</v>
      </c>
      <c r="C6629" s="196">
        <v>7.96</v>
      </c>
      <c r="D6629" s="196">
        <v>12.04</v>
      </c>
      <c r="E6629" s="195" t="s">
        <v>583</v>
      </c>
      <c r="F6629" s="195" t="s">
        <v>430</v>
      </c>
    </row>
    <row r="6630" spans="1:6" x14ac:dyDescent="0.25">
      <c r="A6630" s="189" t="str">
        <f t="shared" si="103"/>
        <v>KE-MD 2907.9612.04S</v>
      </c>
      <c r="B6630" s="195" t="s">
        <v>3055</v>
      </c>
      <c r="C6630" s="196">
        <v>7.96</v>
      </c>
      <c r="D6630" s="196">
        <v>12.04</v>
      </c>
      <c r="E6630" s="195" t="s">
        <v>583</v>
      </c>
      <c r="F6630" s="195" t="s">
        <v>438</v>
      </c>
    </row>
    <row r="6631" spans="1:6" x14ac:dyDescent="0.25">
      <c r="A6631" s="189" t="str">
        <f t="shared" si="103"/>
        <v>KE-MD 29012.0412.4N</v>
      </c>
      <c r="B6631" s="195" t="s">
        <v>3055</v>
      </c>
      <c r="C6631" s="196">
        <v>12.04</v>
      </c>
      <c r="D6631" s="196">
        <v>12.4</v>
      </c>
      <c r="E6631" s="195" t="s">
        <v>583</v>
      </c>
      <c r="F6631" s="195" t="s">
        <v>430</v>
      </c>
    </row>
    <row r="6632" spans="1:6" x14ac:dyDescent="0.25">
      <c r="A6632" s="189" t="str">
        <f t="shared" si="103"/>
        <v>KE-MD 29012.0412.4S</v>
      </c>
      <c r="B6632" s="195" t="s">
        <v>3055</v>
      </c>
      <c r="C6632" s="196">
        <v>12.04</v>
      </c>
      <c r="D6632" s="196">
        <v>12.4</v>
      </c>
      <c r="E6632" s="195" t="s">
        <v>583</v>
      </c>
      <c r="F6632" s="195" t="s">
        <v>438</v>
      </c>
    </row>
    <row r="6633" spans="1:6" x14ac:dyDescent="0.25">
      <c r="A6633" s="189" t="str">
        <f t="shared" si="103"/>
        <v>KE-MD 29100.6E</v>
      </c>
      <c r="B6633" s="195" t="s">
        <v>3056</v>
      </c>
      <c r="C6633" s="196">
        <v>0</v>
      </c>
      <c r="D6633" s="196">
        <v>0.6</v>
      </c>
      <c r="E6633" s="195" t="s">
        <v>583</v>
      </c>
      <c r="F6633" s="195" t="s">
        <v>19</v>
      </c>
    </row>
    <row r="6634" spans="1:6" x14ac:dyDescent="0.25">
      <c r="A6634" s="189" t="str">
        <f t="shared" si="103"/>
        <v>KE-MD 29100.6W</v>
      </c>
      <c r="B6634" s="195" t="s">
        <v>3056</v>
      </c>
      <c r="C6634" s="196">
        <v>0</v>
      </c>
      <c r="D6634" s="196">
        <v>0.6</v>
      </c>
      <c r="E6634" s="195" t="s">
        <v>583</v>
      </c>
      <c r="F6634" s="195" t="s">
        <v>432</v>
      </c>
    </row>
    <row r="6635" spans="1:6" x14ac:dyDescent="0.25">
      <c r="A6635" s="189" t="str">
        <f t="shared" si="103"/>
        <v>KE-MD 2910.761.01E</v>
      </c>
      <c r="B6635" s="195" t="s">
        <v>3056</v>
      </c>
      <c r="C6635" s="196">
        <v>0.76</v>
      </c>
      <c r="D6635" s="196">
        <v>1.01</v>
      </c>
      <c r="E6635" s="195" t="s">
        <v>583</v>
      </c>
      <c r="F6635" s="195" t="s">
        <v>19</v>
      </c>
    </row>
    <row r="6636" spans="1:6" x14ac:dyDescent="0.25">
      <c r="A6636" s="189" t="str">
        <f t="shared" si="103"/>
        <v>KE-MD 2910.761.01W</v>
      </c>
      <c r="B6636" s="195" t="s">
        <v>3056</v>
      </c>
      <c r="C6636" s="196">
        <v>0.76</v>
      </c>
      <c r="D6636" s="196">
        <v>1.01</v>
      </c>
      <c r="E6636" s="195" t="s">
        <v>583</v>
      </c>
      <c r="F6636" s="195" t="s">
        <v>432</v>
      </c>
    </row>
    <row r="6637" spans="1:6" x14ac:dyDescent="0.25">
      <c r="A6637" s="189" t="str">
        <f t="shared" si="103"/>
        <v>KE-MD 2911.0112.05E</v>
      </c>
      <c r="B6637" s="195" t="s">
        <v>3056</v>
      </c>
      <c r="C6637" s="196">
        <v>1.01</v>
      </c>
      <c r="D6637" s="196">
        <v>12.05</v>
      </c>
      <c r="E6637" s="195" t="s">
        <v>583</v>
      </c>
      <c r="F6637" s="195" t="s">
        <v>19</v>
      </c>
    </row>
    <row r="6638" spans="1:6" x14ac:dyDescent="0.25">
      <c r="A6638" s="189" t="str">
        <f t="shared" si="103"/>
        <v>KE-MD 2911.0112.05W</v>
      </c>
      <c r="B6638" s="195" t="s">
        <v>3056</v>
      </c>
      <c r="C6638" s="196">
        <v>1.01</v>
      </c>
      <c r="D6638" s="196">
        <v>12.05</v>
      </c>
      <c r="E6638" s="195" t="s">
        <v>583</v>
      </c>
      <c r="F6638" s="195" t="s">
        <v>432</v>
      </c>
    </row>
    <row r="6639" spans="1:6" x14ac:dyDescent="0.25">
      <c r="A6639" s="189" t="str">
        <f t="shared" si="103"/>
        <v>KE-MD 29112.0512.35E</v>
      </c>
      <c r="B6639" s="195" t="s">
        <v>3056</v>
      </c>
      <c r="C6639" s="196">
        <v>12.05</v>
      </c>
      <c r="D6639" s="196">
        <v>12.35</v>
      </c>
      <c r="E6639" s="195" t="s">
        <v>583</v>
      </c>
      <c r="F6639" s="195" t="s">
        <v>19</v>
      </c>
    </row>
    <row r="6640" spans="1:6" x14ac:dyDescent="0.25">
      <c r="A6640" s="189" t="str">
        <f t="shared" si="103"/>
        <v>KE-MD 29112.0512.35W</v>
      </c>
      <c r="B6640" s="195" t="s">
        <v>3056</v>
      </c>
      <c r="C6640" s="196">
        <v>12.05</v>
      </c>
      <c r="D6640" s="196">
        <v>12.35</v>
      </c>
      <c r="E6640" s="195" t="s">
        <v>583</v>
      </c>
      <c r="F6640" s="195" t="s">
        <v>432</v>
      </c>
    </row>
    <row r="6641" spans="1:6" x14ac:dyDescent="0.25">
      <c r="A6641" s="189" t="str">
        <f t="shared" si="103"/>
        <v>KE-MD 29112.3512.65E</v>
      </c>
      <c r="B6641" s="195" t="s">
        <v>3056</v>
      </c>
      <c r="C6641" s="196">
        <v>12.35</v>
      </c>
      <c r="D6641" s="196">
        <v>12.65</v>
      </c>
      <c r="E6641" s="195" t="s">
        <v>583</v>
      </c>
      <c r="F6641" s="195" t="s">
        <v>19</v>
      </c>
    </row>
    <row r="6642" spans="1:6" x14ac:dyDescent="0.25">
      <c r="A6642" s="189" t="str">
        <f t="shared" si="103"/>
        <v>KE-MD 29112.3512.65W</v>
      </c>
      <c r="B6642" s="195" t="s">
        <v>3056</v>
      </c>
      <c r="C6642" s="196">
        <v>12.35</v>
      </c>
      <c r="D6642" s="196">
        <v>12.65</v>
      </c>
      <c r="E6642" s="195" t="s">
        <v>583</v>
      </c>
      <c r="F6642" s="195" t="s">
        <v>432</v>
      </c>
    </row>
    <row r="6643" spans="1:6" x14ac:dyDescent="0.25">
      <c r="A6643" s="189" t="str">
        <f t="shared" si="103"/>
        <v>KE-MD 29112.6513.65E</v>
      </c>
      <c r="B6643" s="195" t="s">
        <v>3056</v>
      </c>
      <c r="C6643" s="196">
        <v>12.65</v>
      </c>
      <c r="D6643" s="196">
        <v>13.65</v>
      </c>
      <c r="E6643" s="195" t="s">
        <v>583</v>
      </c>
      <c r="F6643" s="195" t="s">
        <v>19</v>
      </c>
    </row>
    <row r="6644" spans="1:6" x14ac:dyDescent="0.25">
      <c r="A6644" s="189" t="str">
        <f t="shared" si="103"/>
        <v>KE-MD 29112.6513.65W</v>
      </c>
      <c r="B6644" s="195" t="s">
        <v>3056</v>
      </c>
      <c r="C6644" s="196">
        <v>12.65</v>
      </c>
      <c r="D6644" s="196">
        <v>13.65</v>
      </c>
      <c r="E6644" s="195" t="s">
        <v>583</v>
      </c>
      <c r="F6644" s="195" t="s">
        <v>432</v>
      </c>
    </row>
    <row r="6645" spans="1:6" x14ac:dyDescent="0.25">
      <c r="A6645" s="189" t="str">
        <f t="shared" si="103"/>
        <v>KE-MD 29113.6514.3E</v>
      </c>
      <c r="B6645" s="195" t="s">
        <v>3056</v>
      </c>
      <c r="C6645" s="196">
        <v>13.65</v>
      </c>
      <c r="D6645" s="196">
        <v>14.3</v>
      </c>
      <c r="E6645" s="195" t="s">
        <v>583</v>
      </c>
      <c r="F6645" s="195" t="s">
        <v>19</v>
      </c>
    </row>
    <row r="6646" spans="1:6" x14ac:dyDescent="0.25">
      <c r="A6646" s="189" t="str">
        <f t="shared" si="103"/>
        <v>KE-MD 29113.6514.3W</v>
      </c>
      <c r="B6646" s="195" t="s">
        <v>3056</v>
      </c>
      <c r="C6646" s="196">
        <v>13.65</v>
      </c>
      <c r="D6646" s="196">
        <v>14.3</v>
      </c>
      <c r="E6646" s="195" t="s">
        <v>583</v>
      </c>
      <c r="F6646" s="195" t="s">
        <v>432</v>
      </c>
    </row>
    <row r="6647" spans="1:6" x14ac:dyDescent="0.25">
      <c r="A6647" s="189" t="str">
        <f t="shared" si="103"/>
        <v>KE-MD 29114.316.5E</v>
      </c>
      <c r="B6647" s="195" t="s">
        <v>3056</v>
      </c>
      <c r="C6647" s="196">
        <v>14.3</v>
      </c>
      <c r="D6647" s="196">
        <v>16.5</v>
      </c>
      <c r="E6647" s="195" t="s">
        <v>583</v>
      </c>
      <c r="F6647" s="195" t="s">
        <v>19</v>
      </c>
    </row>
    <row r="6648" spans="1:6" x14ac:dyDescent="0.25">
      <c r="A6648" s="189" t="str">
        <f t="shared" si="103"/>
        <v>KE-MD 29114.316.5W</v>
      </c>
      <c r="B6648" s="195" t="s">
        <v>3056</v>
      </c>
      <c r="C6648" s="196">
        <v>14.3</v>
      </c>
      <c r="D6648" s="196">
        <v>16.5</v>
      </c>
      <c r="E6648" s="195" t="s">
        <v>583</v>
      </c>
      <c r="F6648" s="195" t="s">
        <v>432</v>
      </c>
    </row>
    <row r="6649" spans="1:6" x14ac:dyDescent="0.25">
      <c r="A6649" s="189" t="str">
        <f t="shared" si="103"/>
        <v>KE-MD 29116.516.6E</v>
      </c>
      <c r="B6649" s="195" t="s">
        <v>3056</v>
      </c>
      <c r="C6649" s="196">
        <v>16.5</v>
      </c>
      <c r="D6649" s="196">
        <v>16.600000000000001</v>
      </c>
      <c r="E6649" s="195" t="s">
        <v>583</v>
      </c>
      <c r="F6649" s="195" t="s">
        <v>19</v>
      </c>
    </row>
    <row r="6650" spans="1:6" x14ac:dyDescent="0.25">
      <c r="A6650" s="189" t="str">
        <f t="shared" si="103"/>
        <v>KE-MD 29116.516.6W</v>
      </c>
      <c r="B6650" s="195" t="s">
        <v>3056</v>
      </c>
      <c r="C6650" s="196">
        <v>16.5</v>
      </c>
      <c r="D6650" s="196">
        <v>16.600000000000001</v>
      </c>
      <c r="E6650" s="195" t="s">
        <v>583</v>
      </c>
      <c r="F6650" s="195" t="s">
        <v>432</v>
      </c>
    </row>
    <row r="6651" spans="1:6" x14ac:dyDescent="0.25">
      <c r="A6651" s="189" t="str">
        <f t="shared" si="103"/>
        <v>KE-MD 29116.618.57E</v>
      </c>
      <c r="B6651" s="195" t="s">
        <v>3056</v>
      </c>
      <c r="C6651" s="196">
        <v>16.600000000000001</v>
      </c>
      <c r="D6651" s="196">
        <v>18.57</v>
      </c>
      <c r="E6651" s="195" t="s">
        <v>583</v>
      </c>
      <c r="F6651" s="195" t="s">
        <v>19</v>
      </c>
    </row>
    <row r="6652" spans="1:6" x14ac:dyDescent="0.25">
      <c r="A6652" s="189" t="str">
        <f t="shared" si="103"/>
        <v>KE-MD 29116.618.57W</v>
      </c>
      <c r="B6652" s="195" t="s">
        <v>3056</v>
      </c>
      <c r="C6652" s="196">
        <v>16.600000000000001</v>
      </c>
      <c r="D6652" s="196">
        <v>18.57</v>
      </c>
      <c r="E6652" s="195" t="s">
        <v>583</v>
      </c>
      <c r="F6652" s="195" t="s">
        <v>432</v>
      </c>
    </row>
    <row r="6653" spans="1:6" x14ac:dyDescent="0.25">
      <c r="A6653" s="189" t="str">
        <f t="shared" si="103"/>
        <v>KE-MD 29200.6N</v>
      </c>
      <c r="B6653" s="195" t="s">
        <v>3057</v>
      </c>
      <c r="C6653" s="196">
        <v>0</v>
      </c>
      <c r="D6653" s="196">
        <v>0.6</v>
      </c>
      <c r="E6653" s="195" t="s">
        <v>583</v>
      </c>
      <c r="F6653" s="195" t="s">
        <v>430</v>
      </c>
    </row>
    <row r="6654" spans="1:6" x14ac:dyDescent="0.25">
      <c r="A6654" s="189" t="str">
        <f t="shared" si="103"/>
        <v>KE-MD 29200.6S</v>
      </c>
      <c r="B6654" s="195" t="s">
        <v>3057</v>
      </c>
      <c r="C6654" s="196">
        <v>0</v>
      </c>
      <c r="D6654" s="196">
        <v>0.6</v>
      </c>
      <c r="E6654" s="195" t="s">
        <v>583</v>
      </c>
      <c r="F6654" s="195" t="s">
        <v>438</v>
      </c>
    </row>
    <row r="6655" spans="1:6" x14ac:dyDescent="0.25">
      <c r="A6655" s="189" t="str">
        <f t="shared" si="103"/>
        <v>KE-MD 2920.61.4N</v>
      </c>
      <c r="B6655" s="195" t="s">
        <v>3057</v>
      </c>
      <c r="C6655" s="196">
        <v>0.6</v>
      </c>
      <c r="D6655" s="196">
        <v>1.4</v>
      </c>
      <c r="E6655" s="195" t="s">
        <v>583</v>
      </c>
      <c r="F6655" s="195" t="s">
        <v>430</v>
      </c>
    </row>
    <row r="6656" spans="1:6" x14ac:dyDescent="0.25">
      <c r="A6656" s="189" t="str">
        <f t="shared" si="103"/>
        <v>KE-MD 2920.61.4S</v>
      </c>
      <c r="B6656" s="195" t="s">
        <v>3057</v>
      </c>
      <c r="C6656" s="196">
        <v>0.6</v>
      </c>
      <c r="D6656" s="196">
        <v>1.4</v>
      </c>
      <c r="E6656" s="195" t="s">
        <v>583</v>
      </c>
      <c r="F6656" s="195" t="s">
        <v>438</v>
      </c>
    </row>
    <row r="6657" spans="1:6" x14ac:dyDescent="0.25">
      <c r="A6657" s="189" t="str">
        <f t="shared" si="103"/>
        <v>KE-MD 2921.44.04N</v>
      </c>
      <c r="B6657" s="195" t="s">
        <v>3057</v>
      </c>
      <c r="C6657" s="196">
        <v>1.4</v>
      </c>
      <c r="D6657" s="196">
        <v>4.04</v>
      </c>
      <c r="E6657" s="195" t="s">
        <v>583</v>
      </c>
      <c r="F6657" s="195" t="s">
        <v>430</v>
      </c>
    </row>
    <row r="6658" spans="1:6" x14ac:dyDescent="0.25">
      <c r="A6658" s="189" t="str">
        <f t="shared" si="103"/>
        <v>KE-MD 2921.44.04S</v>
      </c>
      <c r="B6658" s="195" t="s">
        <v>3057</v>
      </c>
      <c r="C6658" s="196">
        <v>1.4</v>
      </c>
      <c r="D6658" s="196">
        <v>4.04</v>
      </c>
      <c r="E6658" s="195" t="s">
        <v>583</v>
      </c>
      <c r="F6658" s="195" t="s">
        <v>438</v>
      </c>
    </row>
    <row r="6659" spans="1:6" x14ac:dyDescent="0.25">
      <c r="A6659" s="189" t="str">
        <f t="shared" ref="A6659:A6722" si="104">B6659&amp;C6659&amp;D6659&amp;F6659</f>
        <v>KE-MD 2924.044.05N</v>
      </c>
      <c r="B6659" s="195" t="s">
        <v>3057</v>
      </c>
      <c r="C6659" s="196">
        <v>4.04</v>
      </c>
      <c r="D6659" s="196">
        <v>4.05</v>
      </c>
      <c r="E6659" s="195" t="s">
        <v>583</v>
      </c>
      <c r="F6659" s="195" t="s">
        <v>430</v>
      </c>
    </row>
    <row r="6660" spans="1:6" x14ac:dyDescent="0.25">
      <c r="A6660" s="189" t="str">
        <f t="shared" si="104"/>
        <v>KE-MD 2924.044.05S</v>
      </c>
      <c r="B6660" s="195" t="s">
        <v>3057</v>
      </c>
      <c r="C6660" s="196">
        <v>4.04</v>
      </c>
      <c r="D6660" s="196">
        <v>4.05</v>
      </c>
      <c r="E6660" s="195" t="s">
        <v>583</v>
      </c>
      <c r="F6660" s="195" t="s">
        <v>438</v>
      </c>
    </row>
    <row r="6661" spans="1:6" x14ac:dyDescent="0.25">
      <c r="A6661" s="189" t="str">
        <f t="shared" si="104"/>
        <v>KE-MD 2924.054.47N</v>
      </c>
      <c r="B6661" s="195" t="s">
        <v>3057</v>
      </c>
      <c r="C6661" s="196">
        <v>4.05</v>
      </c>
      <c r="D6661" s="196">
        <v>4.47</v>
      </c>
      <c r="E6661" s="195" t="s">
        <v>583</v>
      </c>
      <c r="F6661" s="195" t="s">
        <v>430</v>
      </c>
    </row>
    <row r="6662" spans="1:6" x14ac:dyDescent="0.25">
      <c r="A6662" s="189" t="str">
        <f t="shared" si="104"/>
        <v>KE-MD 2924.054.47S</v>
      </c>
      <c r="B6662" s="195" t="s">
        <v>3057</v>
      </c>
      <c r="C6662" s="196">
        <v>4.05</v>
      </c>
      <c r="D6662" s="196">
        <v>4.47</v>
      </c>
      <c r="E6662" s="195" t="s">
        <v>583</v>
      </c>
      <c r="F6662" s="195" t="s">
        <v>438</v>
      </c>
    </row>
    <row r="6663" spans="1:6" x14ac:dyDescent="0.25">
      <c r="A6663" s="189" t="str">
        <f t="shared" si="104"/>
        <v>KE-MD 2924.474.56N</v>
      </c>
      <c r="B6663" s="195" t="s">
        <v>3057</v>
      </c>
      <c r="C6663" s="196">
        <v>4.47</v>
      </c>
      <c r="D6663" s="196">
        <v>4.5599999999999996</v>
      </c>
      <c r="E6663" s="195" t="s">
        <v>583</v>
      </c>
      <c r="F6663" s="195" t="s">
        <v>430</v>
      </c>
    </row>
    <row r="6664" spans="1:6" x14ac:dyDescent="0.25">
      <c r="A6664" s="189" t="str">
        <f t="shared" si="104"/>
        <v>KE-MD 2924.474.56S</v>
      </c>
      <c r="B6664" s="195" t="s">
        <v>3057</v>
      </c>
      <c r="C6664" s="196">
        <v>4.47</v>
      </c>
      <c r="D6664" s="196">
        <v>4.5599999999999996</v>
      </c>
      <c r="E6664" s="195" t="s">
        <v>583</v>
      </c>
      <c r="F6664" s="195" t="s">
        <v>438</v>
      </c>
    </row>
    <row r="6665" spans="1:6" x14ac:dyDescent="0.25">
      <c r="A6665" s="189" t="str">
        <f t="shared" si="104"/>
        <v>KE-MD 2924.564.61N</v>
      </c>
      <c r="B6665" s="195" t="s">
        <v>3057</v>
      </c>
      <c r="C6665" s="196">
        <v>4.5599999999999996</v>
      </c>
      <c r="D6665" s="196">
        <v>4.6100000000000003</v>
      </c>
      <c r="E6665" s="195" t="s">
        <v>583</v>
      </c>
      <c r="F6665" s="195" t="s">
        <v>430</v>
      </c>
    </row>
    <row r="6666" spans="1:6" x14ac:dyDescent="0.25">
      <c r="A6666" s="189" t="str">
        <f t="shared" si="104"/>
        <v>KE-MD 2924.564.61S</v>
      </c>
      <c r="B6666" s="195" t="s">
        <v>3057</v>
      </c>
      <c r="C6666" s="196">
        <v>4.5599999999999996</v>
      </c>
      <c r="D6666" s="196">
        <v>4.6100000000000003</v>
      </c>
      <c r="E6666" s="195" t="s">
        <v>583</v>
      </c>
      <c r="F6666" s="195" t="s">
        <v>438</v>
      </c>
    </row>
    <row r="6667" spans="1:6" x14ac:dyDescent="0.25">
      <c r="A6667" s="189" t="str">
        <f t="shared" si="104"/>
        <v>KE-MD 29700.55N</v>
      </c>
      <c r="B6667" s="195" t="s">
        <v>3058</v>
      </c>
      <c r="C6667" s="196">
        <v>0</v>
      </c>
      <c r="D6667" s="196">
        <v>0.55000000000000004</v>
      </c>
      <c r="E6667" s="195" t="s">
        <v>583</v>
      </c>
      <c r="F6667" s="195" t="s">
        <v>430</v>
      </c>
    </row>
    <row r="6668" spans="1:6" x14ac:dyDescent="0.25">
      <c r="A6668" s="189" t="str">
        <f t="shared" si="104"/>
        <v>KE-MD 29700.55S</v>
      </c>
      <c r="B6668" s="195" t="s">
        <v>3058</v>
      </c>
      <c r="C6668" s="196">
        <v>0</v>
      </c>
      <c r="D6668" s="196">
        <v>0.55000000000000004</v>
      </c>
      <c r="E6668" s="195" t="s">
        <v>583</v>
      </c>
      <c r="F6668" s="195" t="s">
        <v>438</v>
      </c>
    </row>
    <row r="6669" spans="1:6" x14ac:dyDescent="0.25">
      <c r="A6669" s="189" t="str">
        <f t="shared" si="104"/>
        <v>KE-MD 2970.550.95N</v>
      </c>
      <c r="B6669" s="195" t="s">
        <v>3058</v>
      </c>
      <c r="C6669" s="196">
        <v>0.55000000000000004</v>
      </c>
      <c r="D6669" s="196">
        <v>0.95</v>
      </c>
      <c r="E6669" s="195" t="s">
        <v>583</v>
      </c>
      <c r="F6669" s="195" t="s">
        <v>430</v>
      </c>
    </row>
    <row r="6670" spans="1:6" x14ac:dyDescent="0.25">
      <c r="A6670" s="189" t="str">
        <f t="shared" si="104"/>
        <v>KE-MD 2970.550.95S</v>
      </c>
      <c r="B6670" s="195" t="s">
        <v>3058</v>
      </c>
      <c r="C6670" s="196">
        <v>0.55000000000000004</v>
      </c>
      <c r="D6670" s="196">
        <v>0.95</v>
      </c>
      <c r="E6670" s="195" t="s">
        <v>583</v>
      </c>
      <c r="F6670" s="195" t="s">
        <v>438</v>
      </c>
    </row>
    <row r="6671" spans="1:6" x14ac:dyDescent="0.25">
      <c r="A6671" s="189" t="str">
        <f t="shared" si="104"/>
        <v>KE-MD 2970.953.25N</v>
      </c>
      <c r="B6671" s="195" t="s">
        <v>3058</v>
      </c>
      <c r="C6671" s="196">
        <v>0.95</v>
      </c>
      <c r="D6671" s="196">
        <v>3.25</v>
      </c>
      <c r="E6671" s="195" t="s">
        <v>583</v>
      </c>
      <c r="F6671" s="195" t="s">
        <v>430</v>
      </c>
    </row>
    <row r="6672" spans="1:6" x14ac:dyDescent="0.25">
      <c r="A6672" s="189" t="str">
        <f t="shared" si="104"/>
        <v>KE-MD 2970.953.25S</v>
      </c>
      <c r="B6672" s="195" t="s">
        <v>3058</v>
      </c>
      <c r="C6672" s="196">
        <v>0.95</v>
      </c>
      <c r="D6672" s="196">
        <v>3.25</v>
      </c>
      <c r="E6672" s="195" t="s">
        <v>583</v>
      </c>
      <c r="F6672" s="195" t="s">
        <v>438</v>
      </c>
    </row>
    <row r="6673" spans="1:6" x14ac:dyDescent="0.25">
      <c r="A6673" s="189" t="str">
        <f t="shared" si="104"/>
        <v>KE-MD 2973.253.59N</v>
      </c>
      <c r="B6673" s="195" t="s">
        <v>3058</v>
      </c>
      <c r="C6673" s="196">
        <v>3.25</v>
      </c>
      <c r="D6673" s="196">
        <v>3.59</v>
      </c>
      <c r="E6673" s="195" t="s">
        <v>583</v>
      </c>
      <c r="F6673" s="195" t="s">
        <v>430</v>
      </c>
    </row>
    <row r="6674" spans="1:6" x14ac:dyDescent="0.25">
      <c r="A6674" s="189" t="str">
        <f t="shared" si="104"/>
        <v>KE-MD 2973.253.59S</v>
      </c>
      <c r="B6674" s="195" t="s">
        <v>3058</v>
      </c>
      <c r="C6674" s="196">
        <v>3.25</v>
      </c>
      <c r="D6674" s="196">
        <v>3.59</v>
      </c>
      <c r="E6674" s="195" t="s">
        <v>583</v>
      </c>
      <c r="F6674" s="195" t="s">
        <v>438</v>
      </c>
    </row>
    <row r="6675" spans="1:6" x14ac:dyDescent="0.25">
      <c r="A6675" s="189" t="str">
        <f t="shared" si="104"/>
        <v>KE-MD 298011E</v>
      </c>
      <c r="B6675" s="195" t="s">
        <v>3059</v>
      </c>
      <c r="C6675" s="196">
        <v>0</v>
      </c>
      <c r="D6675" s="196">
        <v>11</v>
      </c>
      <c r="E6675" s="195" t="s">
        <v>583</v>
      </c>
      <c r="F6675" s="195" t="s">
        <v>19</v>
      </c>
    </row>
    <row r="6676" spans="1:6" x14ac:dyDescent="0.25">
      <c r="A6676" s="189" t="str">
        <f t="shared" si="104"/>
        <v>KE-MD 298011W</v>
      </c>
      <c r="B6676" s="195" t="s">
        <v>3059</v>
      </c>
      <c r="C6676" s="196">
        <v>0</v>
      </c>
      <c r="D6676" s="196">
        <v>11</v>
      </c>
      <c r="E6676" s="195" t="s">
        <v>583</v>
      </c>
      <c r="F6676" s="195" t="s">
        <v>432</v>
      </c>
    </row>
    <row r="6677" spans="1:6" x14ac:dyDescent="0.25">
      <c r="A6677" s="189" t="str">
        <f t="shared" si="104"/>
        <v>KE-MD 2981114.91E</v>
      </c>
      <c r="B6677" s="195" t="s">
        <v>3059</v>
      </c>
      <c r="C6677" s="196">
        <v>11</v>
      </c>
      <c r="D6677" s="196">
        <v>14.91</v>
      </c>
      <c r="E6677" s="195" t="s">
        <v>583</v>
      </c>
      <c r="F6677" s="195" t="s">
        <v>19</v>
      </c>
    </row>
    <row r="6678" spans="1:6" x14ac:dyDescent="0.25">
      <c r="A6678" s="189" t="str">
        <f t="shared" si="104"/>
        <v>KE-MD 2981114.91W</v>
      </c>
      <c r="B6678" s="195" t="s">
        <v>3059</v>
      </c>
      <c r="C6678" s="196">
        <v>11</v>
      </c>
      <c r="D6678" s="196">
        <v>14.91</v>
      </c>
      <c r="E6678" s="195" t="s">
        <v>583</v>
      </c>
      <c r="F6678" s="195" t="s">
        <v>432</v>
      </c>
    </row>
    <row r="6679" spans="1:6" x14ac:dyDescent="0.25">
      <c r="A6679" s="189" t="str">
        <f t="shared" si="104"/>
        <v>KE-MD 29814.9118.6E</v>
      </c>
      <c r="B6679" s="195" t="s">
        <v>3059</v>
      </c>
      <c r="C6679" s="196">
        <v>14.91</v>
      </c>
      <c r="D6679" s="196">
        <v>18.600000000000001</v>
      </c>
      <c r="E6679" s="195" t="s">
        <v>598</v>
      </c>
      <c r="F6679" s="195" t="s">
        <v>19</v>
      </c>
    </row>
    <row r="6680" spans="1:6" x14ac:dyDescent="0.25">
      <c r="A6680" s="189" t="str">
        <f t="shared" si="104"/>
        <v>KE-MD 29814.9120.14W</v>
      </c>
      <c r="B6680" s="195" t="s">
        <v>3059</v>
      </c>
      <c r="C6680" s="196">
        <v>14.91</v>
      </c>
      <c r="D6680" s="196">
        <v>20.14</v>
      </c>
      <c r="E6680" s="195" t="s">
        <v>593</v>
      </c>
      <c r="F6680" s="195" t="s">
        <v>432</v>
      </c>
    </row>
    <row r="6681" spans="1:6" x14ac:dyDescent="0.25">
      <c r="A6681" s="189" t="str">
        <f t="shared" si="104"/>
        <v>KE-MD 29818.618.95E</v>
      </c>
      <c r="B6681" s="195" t="s">
        <v>3059</v>
      </c>
      <c r="C6681" s="196">
        <v>18.600000000000001</v>
      </c>
      <c r="D6681" s="196">
        <v>18.95</v>
      </c>
      <c r="E6681" s="195" t="s">
        <v>598</v>
      </c>
      <c r="F6681" s="195" t="s">
        <v>19</v>
      </c>
    </row>
    <row r="6682" spans="1:6" x14ac:dyDescent="0.25">
      <c r="A6682" s="189" t="str">
        <f t="shared" si="104"/>
        <v>KE-MD 29818.9520.14E</v>
      </c>
      <c r="B6682" s="195" t="s">
        <v>3059</v>
      </c>
      <c r="C6682" s="196">
        <v>18.95</v>
      </c>
      <c r="D6682" s="196">
        <v>20.14</v>
      </c>
      <c r="E6682" s="195" t="s">
        <v>598</v>
      </c>
      <c r="F6682" s="195" t="s">
        <v>19</v>
      </c>
    </row>
    <row r="6683" spans="1:6" x14ac:dyDescent="0.25">
      <c r="A6683" s="189" t="str">
        <f t="shared" si="104"/>
        <v>KE-MD 298B00.08S</v>
      </c>
      <c r="B6683" s="195" t="s">
        <v>3060</v>
      </c>
      <c r="C6683" s="196">
        <v>0</v>
      </c>
      <c r="D6683" s="196">
        <v>0.08</v>
      </c>
      <c r="E6683" s="195" t="s">
        <v>595</v>
      </c>
      <c r="F6683" s="195" t="s">
        <v>438</v>
      </c>
    </row>
    <row r="6684" spans="1:6" x14ac:dyDescent="0.25">
      <c r="A6684" s="189" t="str">
        <f t="shared" si="104"/>
        <v>KE-MD 29905.18N</v>
      </c>
      <c r="B6684" s="195" t="s">
        <v>3061</v>
      </c>
      <c r="C6684" s="196">
        <v>0</v>
      </c>
      <c r="D6684" s="196">
        <v>5.18</v>
      </c>
      <c r="E6684" s="195" t="s">
        <v>583</v>
      </c>
      <c r="F6684" s="195" t="s">
        <v>430</v>
      </c>
    </row>
    <row r="6685" spans="1:6" x14ac:dyDescent="0.25">
      <c r="A6685" s="189" t="str">
        <f t="shared" si="104"/>
        <v>KE-MD 29905.18S</v>
      </c>
      <c r="B6685" s="195" t="s">
        <v>3061</v>
      </c>
      <c r="C6685" s="196">
        <v>0</v>
      </c>
      <c r="D6685" s="196">
        <v>5.18</v>
      </c>
      <c r="E6685" s="195" t="s">
        <v>583</v>
      </c>
      <c r="F6685" s="195" t="s">
        <v>438</v>
      </c>
    </row>
    <row r="6686" spans="1:6" x14ac:dyDescent="0.25">
      <c r="A6686" s="189" t="str">
        <f t="shared" si="104"/>
        <v>KE-MD 299A00.06N</v>
      </c>
      <c r="B6686" s="195" t="s">
        <v>3062</v>
      </c>
      <c r="C6686" s="196">
        <v>0</v>
      </c>
      <c r="D6686" s="196">
        <v>0.06</v>
      </c>
      <c r="E6686" s="195" t="s">
        <v>589</v>
      </c>
      <c r="F6686" s="195" t="s">
        <v>430</v>
      </c>
    </row>
    <row r="6687" spans="1:6" x14ac:dyDescent="0.25">
      <c r="A6687" s="189" t="str">
        <f t="shared" si="104"/>
        <v>KE-MD 299A00.06S</v>
      </c>
      <c r="B6687" s="195" t="s">
        <v>3062</v>
      </c>
      <c r="C6687" s="196">
        <v>0</v>
      </c>
      <c r="D6687" s="196">
        <v>0.06</v>
      </c>
      <c r="E6687" s="195" t="s">
        <v>595</v>
      </c>
      <c r="F6687" s="195" t="s">
        <v>438</v>
      </c>
    </row>
    <row r="6688" spans="1:6" x14ac:dyDescent="0.25">
      <c r="A6688" s="189" t="str">
        <f t="shared" si="104"/>
        <v>KE-MD 31300.11S</v>
      </c>
      <c r="B6688" s="195" t="s">
        <v>3063</v>
      </c>
      <c r="C6688" s="196">
        <v>0</v>
      </c>
      <c r="D6688" s="196">
        <v>0.11</v>
      </c>
      <c r="E6688" s="195" t="s">
        <v>595</v>
      </c>
      <c r="F6688" s="195" t="s">
        <v>438</v>
      </c>
    </row>
    <row r="6689" spans="1:6" x14ac:dyDescent="0.25">
      <c r="A6689" s="189" t="str">
        <f t="shared" si="104"/>
        <v>KE-MD 31305.33N</v>
      </c>
      <c r="B6689" s="195" t="s">
        <v>3063</v>
      </c>
      <c r="C6689" s="196">
        <v>0</v>
      </c>
      <c r="D6689" s="196">
        <v>5.33</v>
      </c>
      <c r="E6689" s="195" t="s">
        <v>589</v>
      </c>
      <c r="F6689" s="195" t="s">
        <v>430</v>
      </c>
    </row>
    <row r="6690" spans="1:6" x14ac:dyDescent="0.25">
      <c r="A6690" s="189" t="str">
        <f t="shared" si="104"/>
        <v>KE-MD 3130.115.33S</v>
      </c>
      <c r="B6690" s="195" t="s">
        <v>3063</v>
      </c>
      <c r="C6690" s="196">
        <v>0.11</v>
      </c>
      <c r="D6690" s="196">
        <v>5.33</v>
      </c>
      <c r="E6690" s="195" t="s">
        <v>595</v>
      </c>
      <c r="F6690" s="195" t="s">
        <v>438</v>
      </c>
    </row>
    <row r="6691" spans="1:6" x14ac:dyDescent="0.25">
      <c r="A6691" s="189" t="str">
        <f t="shared" si="104"/>
        <v>KE-MD 313A01.35N</v>
      </c>
      <c r="B6691" s="195" t="s">
        <v>3064</v>
      </c>
      <c r="C6691" s="196">
        <v>0</v>
      </c>
      <c r="D6691" s="196">
        <v>1.35</v>
      </c>
      <c r="E6691" s="195" t="s">
        <v>583</v>
      </c>
      <c r="F6691" s="195" t="s">
        <v>430</v>
      </c>
    </row>
    <row r="6692" spans="1:6" x14ac:dyDescent="0.25">
      <c r="A6692" s="189" t="str">
        <f t="shared" si="104"/>
        <v>KE-MD 313A01.35S</v>
      </c>
      <c r="B6692" s="195" t="s">
        <v>3064</v>
      </c>
      <c r="C6692" s="196">
        <v>0</v>
      </c>
      <c r="D6692" s="196">
        <v>1.35</v>
      </c>
      <c r="E6692" s="195" t="s">
        <v>583</v>
      </c>
      <c r="F6692" s="195" t="s">
        <v>438</v>
      </c>
    </row>
    <row r="6693" spans="1:6" x14ac:dyDescent="0.25">
      <c r="A6693" s="189" t="str">
        <f t="shared" si="104"/>
        <v>KE-MD 313A1.352.25N</v>
      </c>
      <c r="B6693" s="195" t="s">
        <v>3064</v>
      </c>
      <c r="C6693" s="196">
        <v>1.35</v>
      </c>
      <c r="D6693" s="196">
        <v>2.25</v>
      </c>
      <c r="E6693" s="195" t="s">
        <v>583</v>
      </c>
      <c r="F6693" s="195" t="s">
        <v>430</v>
      </c>
    </row>
    <row r="6694" spans="1:6" x14ac:dyDescent="0.25">
      <c r="A6694" s="189" t="str">
        <f t="shared" si="104"/>
        <v>KE-MD 313A1.352.25S</v>
      </c>
      <c r="B6694" s="195" t="s">
        <v>3064</v>
      </c>
      <c r="C6694" s="196">
        <v>1.35</v>
      </c>
      <c r="D6694" s="196">
        <v>2.25</v>
      </c>
      <c r="E6694" s="195" t="s">
        <v>583</v>
      </c>
      <c r="F6694" s="195" t="s">
        <v>438</v>
      </c>
    </row>
    <row r="6695" spans="1:6" x14ac:dyDescent="0.25">
      <c r="A6695" s="189" t="str">
        <f t="shared" si="104"/>
        <v>KE-MD 313A2.252.53N</v>
      </c>
      <c r="B6695" s="195" t="s">
        <v>3064</v>
      </c>
      <c r="C6695" s="196">
        <v>2.25</v>
      </c>
      <c r="D6695" s="196">
        <v>2.5299999999999998</v>
      </c>
      <c r="E6695" s="195" t="s">
        <v>583</v>
      </c>
      <c r="F6695" s="195" t="s">
        <v>430</v>
      </c>
    </row>
    <row r="6696" spans="1:6" x14ac:dyDescent="0.25">
      <c r="A6696" s="189" t="str">
        <f t="shared" si="104"/>
        <v>KE-MD 313A2.252.53S</v>
      </c>
      <c r="B6696" s="195" t="s">
        <v>3064</v>
      </c>
      <c r="C6696" s="196">
        <v>2.25</v>
      </c>
      <c r="D6696" s="196">
        <v>2.5299999999999998</v>
      </c>
      <c r="E6696" s="195" t="s">
        <v>583</v>
      </c>
      <c r="F6696" s="195" t="s">
        <v>438</v>
      </c>
    </row>
    <row r="6697" spans="1:6" x14ac:dyDescent="0.25">
      <c r="A6697" s="189" t="str">
        <f t="shared" si="104"/>
        <v>KE-MD 33003.72E</v>
      </c>
      <c r="B6697" s="195" t="s">
        <v>3065</v>
      </c>
      <c r="C6697" s="196">
        <v>0</v>
      </c>
      <c r="D6697" s="196">
        <v>3.72</v>
      </c>
      <c r="E6697" s="195" t="s">
        <v>583</v>
      </c>
      <c r="F6697" s="195" t="s">
        <v>19</v>
      </c>
    </row>
    <row r="6698" spans="1:6" x14ac:dyDescent="0.25">
      <c r="A6698" s="189" t="str">
        <f t="shared" si="104"/>
        <v>KE-MD 33003.72W</v>
      </c>
      <c r="B6698" s="195" t="s">
        <v>3065</v>
      </c>
      <c r="C6698" s="196">
        <v>0</v>
      </c>
      <c r="D6698" s="196">
        <v>3.72</v>
      </c>
      <c r="E6698" s="195" t="s">
        <v>583</v>
      </c>
      <c r="F6698" s="195" t="s">
        <v>432</v>
      </c>
    </row>
    <row r="6699" spans="1:6" x14ac:dyDescent="0.25">
      <c r="A6699" s="189" t="str">
        <f t="shared" si="104"/>
        <v>KE-MD 44400.3S</v>
      </c>
      <c r="B6699" s="195" t="s">
        <v>3066</v>
      </c>
      <c r="C6699" s="196">
        <v>0</v>
      </c>
      <c r="D6699" s="196">
        <v>0.3</v>
      </c>
      <c r="E6699" s="195" t="s">
        <v>595</v>
      </c>
      <c r="F6699" s="195" t="s">
        <v>438</v>
      </c>
    </row>
    <row r="6700" spans="1:6" x14ac:dyDescent="0.25">
      <c r="A6700" s="189" t="str">
        <f t="shared" si="104"/>
        <v>KE-MD 44402.67N</v>
      </c>
      <c r="B6700" s="195" t="s">
        <v>3066</v>
      </c>
      <c r="C6700" s="196">
        <v>0</v>
      </c>
      <c r="D6700" s="196">
        <v>2.67</v>
      </c>
      <c r="E6700" s="195" t="s">
        <v>589</v>
      </c>
      <c r="F6700" s="195" t="s">
        <v>430</v>
      </c>
    </row>
    <row r="6701" spans="1:6" x14ac:dyDescent="0.25">
      <c r="A6701" s="189" t="str">
        <f t="shared" si="104"/>
        <v>KE-MD 4440.32.67S</v>
      </c>
      <c r="B6701" s="195" t="s">
        <v>3066</v>
      </c>
      <c r="C6701" s="196">
        <v>0.3</v>
      </c>
      <c r="D6701" s="196">
        <v>2.67</v>
      </c>
      <c r="E6701" s="195" t="s">
        <v>595</v>
      </c>
      <c r="F6701" s="195" t="s">
        <v>438</v>
      </c>
    </row>
    <row r="6702" spans="1:6" x14ac:dyDescent="0.25">
      <c r="A6702" s="189" t="str">
        <f t="shared" si="104"/>
        <v>KE-MD 4442.674.2N</v>
      </c>
      <c r="B6702" s="195" t="s">
        <v>3066</v>
      </c>
      <c r="C6702" s="196">
        <v>2.67</v>
      </c>
      <c r="D6702" s="196">
        <v>4.2</v>
      </c>
      <c r="E6702" s="195" t="s">
        <v>583</v>
      </c>
      <c r="F6702" s="195" t="s">
        <v>430</v>
      </c>
    </row>
    <row r="6703" spans="1:6" x14ac:dyDescent="0.25">
      <c r="A6703" s="189" t="str">
        <f t="shared" si="104"/>
        <v>KE-MD 4442.674.2S</v>
      </c>
      <c r="B6703" s="195" t="s">
        <v>3066</v>
      </c>
      <c r="C6703" s="196">
        <v>2.67</v>
      </c>
      <c r="D6703" s="196">
        <v>4.2</v>
      </c>
      <c r="E6703" s="195" t="s">
        <v>583</v>
      </c>
      <c r="F6703" s="195" t="s">
        <v>438</v>
      </c>
    </row>
    <row r="6704" spans="1:6" x14ac:dyDescent="0.25">
      <c r="A6704" s="189" t="str">
        <f t="shared" si="104"/>
        <v>KE-MD 4444.26.96N</v>
      </c>
      <c r="B6704" s="195" t="s">
        <v>3066</v>
      </c>
      <c r="C6704" s="196">
        <v>4.2</v>
      </c>
      <c r="D6704" s="196">
        <v>6.96</v>
      </c>
      <c r="E6704" s="195" t="s">
        <v>583</v>
      </c>
      <c r="F6704" s="195" t="s">
        <v>430</v>
      </c>
    </row>
    <row r="6705" spans="1:6" x14ac:dyDescent="0.25">
      <c r="A6705" s="189" t="str">
        <f t="shared" si="104"/>
        <v>KE-MD 4444.26.96S</v>
      </c>
      <c r="B6705" s="195" t="s">
        <v>3066</v>
      </c>
      <c r="C6705" s="196">
        <v>4.2</v>
      </c>
      <c r="D6705" s="196">
        <v>6.96</v>
      </c>
      <c r="E6705" s="195" t="s">
        <v>583</v>
      </c>
      <c r="F6705" s="195" t="s">
        <v>438</v>
      </c>
    </row>
    <row r="6706" spans="1:6" x14ac:dyDescent="0.25">
      <c r="A6706" s="189" t="str">
        <f t="shared" si="104"/>
        <v>KE-MD 4446.967.29N</v>
      </c>
      <c r="B6706" s="195" t="s">
        <v>3066</v>
      </c>
      <c r="C6706" s="196">
        <v>6.96</v>
      </c>
      <c r="D6706" s="196">
        <v>7.29</v>
      </c>
      <c r="E6706" s="195" t="s">
        <v>583</v>
      </c>
      <c r="F6706" s="195" t="s">
        <v>430</v>
      </c>
    </row>
    <row r="6707" spans="1:6" x14ac:dyDescent="0.25">
      <c r="A6707" s="189" t="str">
        <f t="shared" si="104"/>
        <v>KE-MD 4446.967.29S</v>
      </c>
      <c r="B6707" s="195" t="s">
        <v>3066</v>
      </c>
      <c r="C6707" s="196">
        <v>6.96</v>
      </c>
      <c r="D6707" s="196">
        <v>7.29</v>
      </c>
      <c r="E6707" s="195" t="s">
        <v>583</v>
      </c>
      <c r="F6707" s="195" t="s">
        <v>438</v>
      </c>
    </row>
    <row r="6708" spans="1:6" x14ac:dyDescent="0.25">
      <c r="A6708" s="189" t="str">
        <f t="shared" si="104"/>
        <v>KE-MD 444A00.01S</v>
      </c>
      <c r="B6708" s="195" t="s">
        <v>3067</v>
      </c>
      <c r="C6708" s="196">
        <v>0</v>
      </c>
      <c r="D6708" s="196">
        <v>0.01</v>
      </c>
      <c r="E6708" s="195" t="s">
        <v>595</v>
      </c>
      <c r="F6708" s="195" t="s">
        <v>438</v>
      </c>
    </row>
    <row r="6709" spans="1:6" x14ac:dyDescent="0.25">
      <c r="A6709" s="189" t="str">
        <f t="shared" si="104"/>
        <v>KE-MD 44506N</v>
      </c>
      <c r="B6709" s="195" t="s">
        <v>3068</v>
      </c>
      <c r="C6709" s="196">
        <v>0</v>
      </c>
      <c r="D6709" s="196">
        <v>6</v>
      </c>
      <c r="E6709" s="195" t="s">
        <v>589</v>
      </c>
      <c r="F6709" s="195" t="s">
        <v>430</v>
      </c>
    </row>
    <row r="6710" spans="1:6" x14ac:dyDescent="0.25">
      <c r="A6710" s="189" t="str">
        <f t="shared" si="104"/>
        <v>KE-MD 44506.4S</v>
      </c>
      <c r="B6710" s="195" t="s">
        <v>3068</v>
      </c>
      <c r="C6710" s="196">
        <v>0</v>
      </c>
      <c r="D6710" s="196">
        <v>6.4</v>
      </c>
      <c r="E6710" s="195" t="s">
        <v>595</v>
      </c>
      <c r="F6710" s="195" t="s">
        <v>438</v>
      </c>
    </row>
    <row r="6711" spans="1:6" x14ac:dyDescent="0.25">
      <c r="A6711" s="189" t="str">
        <f t="shared" si="104"/>
        <v>KE-MD 44566.4N</v>
      </c>
      <c r="B6711" s="195" t="s">
        <v>3068</v>
      </c>
      <c r="C6711" s="196">
        <v>6</v>
      </c>
      <c r="D6711" s="196">
        <v>6.4</v>
      </c>
      <c r="E6711" s="195" t="s">
        <v>589</v>
      </c>
      <c r="F6711" s="195" t="s">
        <v>430</v>
      </c>
    </row>
    <row r="6712" spans="1:6" x14ac:dyDescent="0.25">
      <c r="A6712" s="189" t="str">
        <f t="shared" si="104"/>
        <v>KE-MD 4456.411.96N</v>
      </c>
      <c r="B6712" s="195" t="s">
        <v>3068</v>
      </c>
      <c r="C6712" s="196">
        <v>6.4</v>
      </c>
      <c r="D6712" s="196">
        <v>11.96</v>
      </c>
      <c r="E6712" s="195" t="s">
        <v>583</v>
      </c>
      <c r="F6712" s="195" t="s">
        <v>430</v>
      </c>
    </row>
    <row r="6713" spans="1:6" x14ac:dyDescent="0.25">
      <c r="A6713" s="189" t="str">
        <f t="shared" si="104"/>
        <v>KE-MD 4456.411.96S</v>
      </c>
      <c r="B6713" s="195" t="s">
        <v>3068</v>
      </c>
      <c r="C6713" s="196">
        <v>6.4</v>
      </c>
      <c r="D6713" s="196">
        <v>11.96</v>
      </c>
      <c r="E6713" s="195" t="s">
        <v>583</v>
      </c>
      <c r="F6713" s="195" t="s">
        <v>438</v>
      </c>
    </row>
    <row r="6714" spans="1:6" x14ac:dyDescent="0.25">
      <c r="A6714" s="189" t="str">
        <f t="shared" si="104"/>
        <v>KE-MD 44602.45N</v>
      </c>
      <c r="B6714" s="195" t="s">
        <v>3069</v>
      </c>
      <c r="C6714" s="196">
        <v>0</v>
      </c>
      <c r="D6714" s="196">
        <v>2.4500000000000002</v>
      </c>
      <c r="E6714" s="195" t="s">
        <v>583</v>
      </c>
      <c r="F6714" s="195" t="s">
        <v>430</v>
      </c>
    </row>
    <row r="6715" spans="1:6" x14ac:dyDescent="0.25">
      <c r="A6715" s="189" t="str">
        <f t="shared" si="104"/>
        <v>KE-MD 44602.45S</v>
      </c>
      <c r="B6715" s="195" t="s">
        <v>3069</v>
      </c>
      <c r="C6715" s="196">
        <v>0</v>
      </c>
      <c r="D6715" s="196">
        <v>2.4500000000000002</v>
      </c>
      <c r="E6715" s="195" t="s">
        <v>583</v>
      </c>
      <c r="F6715" s="195" t="s">
        <v>438</v>
      </c>
    </row>
    <row r="6716" spans="1:6" x14ac:dyDescent="0.25">
      <c r="A6716" s="189" t="str">
        <f t="shared" si="104"/>
        <v>KE-MD 4462.456.03N</v>
      </c>
      <c r="B6716" s="195" t="s">
        <v>3069</v>
      </c>
      <c r="C6716" s="196">
        <v>2.4500000000000002</v>
      </c>
      <c r="D6716" s="196">
        <v>6.03</v>
      </c>
      <c r="E6716" s="195" t="s">
        <v>583</v>
      </c>
      <c r="F6716" s="195" t="s">
        <v>430</v>
      </c>
    </row>
    <row r="6717" spans="1:6" x14ac:dyDescent="0.25">
      <c r="A6717" s="189" t="str">
        <f t="shared" si="104"/>
        <v>KE-MD 4462.456.03S</v>
      </c>
      <c r="B6717" s="195" t="s">
        <v>3069</v>
      </c>
      <c r="C6717" s="196">
        <v>2.4500000000000002</v>
      </c>
      <c r="D6717" s="196">
        <v>6.03</v>
      </c>
      <c r="E6717" s="195" t="s">
        <v>583</v>
      </c>
      <c r="F6717" s="195" t="s">
        <v>438</v>
      </c>
    </row>
    <row r="6718" spans="1:6" x14ac:dyDescent="0.25">
      <c r="A6718" s="189" t="str">
        <f t="shared" si="104"/>
        <v>KE-MD 44900.07E</v>
      </c>
      <c r="B6718" s="195" t="s">
        <v>3070</v>
      </c>
      <c r="C6718" s="196">
        <v>0</v>
      </c>
      <c r="D6718" s="196">
        <v>7.0000000000000007E-2</v>
      </c>
      <c r="E6718" s="195" t="s">
        <v>598</v>
      </c>
      <c r="F6718" s="195" t="s">
        <v>19</v>
      </c>
    </row>
    <row r="6719" spans="1:6" x14ac:dyDescent="0.25">
      <c r="A6719" s="189" t="str">
        <f t="shared" si="104"/>
        <v>KE-MD 44900.07W</v>
      </c>
      <c r="B6719" s="195" t="s">
        <v>3070</v>
      </c>
      <c r="C6719" s="196">
        <v>0</v>
      </c>
      <c r="D6719" s="196">
        <v>7.0000000000000007E-2</v>
      </c>
      <c r="E6719" s="195" t="s">
        <v>593</v>
      </c>
      <c r="F6719" s="195" t="s">
        <v>432</v>
      </c>
    </row>
    <row r="6720" spans="1:6" x14ac:dyDescent="0.25">
      <c r="A6720" s="189" t="str">
        <f t="shared" si="104"/>
        <v>KE-MD 51400.51N</v>
      </c>
      <c r="B6720" s="195" t="s">
        <v>3071</v>
      </c>
      <c r="C6720" s="196">
        <v>0</v>
      </c>
      <c r="D6720" s="196">
        <v>0.51</v>
      </c>
      <c r="E6720" s="195" t="s">
        <v>583</v>
      </c>
      <c r="F6720" s="195" t="s">
        <v>430</v>
      </c>
    </row>
    <row r="6721" spans="1:6" x14ac:dyDescent="0.25">
      <c r="A6721" s="189" t="str">
        <f t="shared" si="104"/>
        <v>KE-MD 51400.51S</v>
      </c>
      <c r="B6721" s="195" t="s">
        <v>3071</v>
      </c>
      <c r="C6721" s="196">
        <v>0</v>
      </c>
      <c r="D6721" s="196">
        <v>0.51</v>
      </c>
      <c r="E6721" s="195" t="s">
        <v>583</v>
      </c>
      <c r="F6721" s="195" t="s">
        <v>438</v>
      </c>
    </row>
    <row r="6722" spans="1:6" x14ac:dyDescent="0.25">
      <c r="A6722" s="189" t="str">
        <f t="shared" si="104"/>
        <v>KE-MD 5140.514.89N</v>
      </c>
      <c r="B6722" s="195" t="s">
        <v>3071</v>
      </c>
      <c r="C6722" s="196">
        <v>0.51</v>
      </c>
      <c r="D6722" s="196">
        <v>4.8899999999999997</v>
      </c>
      <c r="E6722" s="195" t="s">
        <v>583</v>
      </c>
      <c r="F6722" s="195" t="s">
        <v>430</v>
      </c>
    </row>
    <row r="6723" spans="1:6" x14ac:dyDescent="0.25">
      <c r="A6723" s="189" t="str">
        <f t="shared" ref="A6723:A6786" si="105">B6723&amp;C6723&amp;D6723&amp;F6723</f>
        <v>KE-MD 5140.514.89S</v>
      </c>
      <c r="B6723" s="195" t="s">
        <v>3071</v>
      </c>
      <c r="C6723" s="196">
        <v>0.51</v>
      </c>
      <c r="D6723" s="196">
        <v>4.8899999999999997</v>
      </c>
      <c r="E6723" s="195" t="s">
        <v>583</v>
      </c>
      <c r="F6723" s="195" t="s">
        <v>438</v>
      </c>
    </row>
    <row r="6724" spans="1:6" x14ac:dyDescent="0.25">
      <c r="A6724" s="189" t="str">
        <f t="shared" si="105"/>
        <v>KE-MD 56102.48N</v>
      </c>
      <c r="B6724" s="195" t="s">
        <v>3072</v>
      </c>
      <c r="C6724" s="196">
        <v>0</v>
      </c>
      <c r="D6724" s="196">
        <v>2.48</v>
      </c>
      <c r="E6724" s="195" t="s">
        <v>583</v>
      </c>
      <c r="F6724" s="195" t="s">
        <v>430</v>
      </c>
    </row>
    <row r="6725" spans="1:6" x14ac:dyDescent="0.25">
      <c r="A6725" s="189" t="str">
        <f t="shared" si="105"/>
        <v>KE-MD 56102.48S</v>
      </c>
      <c r="B6725" s="195" t="s">
        <v>3072</v>
      </c>
      <c r="C6725" s="196">
        <v>0</v>
      </c>
      <c r="D6725" s="196">
        <v>2.48</v>
      </c>
      <c r="E6725" s="195" t="s">
        <v>583</v>
      </c>
      <c r="F6725" s="195" t="s">
        <v>438</v>
      </c>
    </row>
    <row r="6726" spans="1:6" x14ac:dyDescent="0.25">
      <c r="A6726" s="189" t="str">
        <f t="shared" si="105"/>
        <v>KE-MD 56601.19E</v>
      </c>
      <c r="B6726" s="195" t="s">
        <v>3073</v>
      </c>
      <c r="C6726" s="196">
        <v>0</v>
      </c>
      <c r="D6726" s="196">
        <v>1.19</v>
      </c>
      <c r="E6726" s="195" t="s">
        <v>583</v>
      </c>
      <c r="F6726" s="195" t="s">
        <v>19</v>
      </c>
    </row>
    <row r="6727" spans="1:6" x14ac:dyDescent="0.25">
      <c r="A6727" s="189" t="str">
        <f t="shared" si="105"/>
        <v>KE-MD 56601.19W</v>
      </c>
      <c r="B6727" s="195" t="s">
        <v>3073</v>
      </c>
      <c r="C6727" s="196">
        <v>0</v>
      </c>
      <c r="D6727" s="196">
        <v>1.19</v>
      </c>
      <c r="E6727" s="195" t="s">
        <v>583</v>
      </c>
      <c r="F6727" s="195" t="s">
        <v>432</v>
      </c>
    </row>
    <row r="6728" spans="1:6" x14ac:dyDescent="0.25">
      <c r="A6728" s="189" t="str">
        <f t="shared" si="105"/>
        <v>KE-MD 6740.911.1E</v>
      </c>
      <c r="B6728" s="195" t="s">
        <v>3074</v>
      </c>
      <c r="C6728" s="196">
        <v>0.91</v>
      </c>
      <c r="D6728" s="196">
        <v>1.1000000000000001</v>
      </c>
      <c r="E6728" s="195" t="s">
        <v>598</v>
      </c>
      <c r="F6728" s="195" t="s">
        <v>19</v>
      </c>
    </row>
    <row r="6729" spans="1:6" x14ac:dyDescent="0.25">
      <c r="A6729" s="189" t="str">
        <f t="shared" si="105"/>
        <v>KE-MD 6740.911.1W</v>
      </c>
      <c r="B6729" s="195" t="s">
        <v>3074</v>
      </c>
      <c r="C6729" s="196">
        <v>0.91</v>
      </c>
      <c r="D6729" s="196">
        <v>1.1000000000000001</v>
      </c>
      <c r="E6729" s="195" t="s">
        <v>593</v>
      </c>
      <c r="F6729" s="195" t="s">
        <v>432</v>
      </c>
    </row>
    <row r="6730" spans="1:6" x14ac:dyDescent="0.25">
      <c r="A6730" s="189" t="str">
        <f t="shared" si="105"/>
        <v>KE-MD 6741.11.16E</v>
      </c>
      <c r="B6730" s="195" t="s">
        <v>3074</v>
      </c>
      <c r="C6730" s="196">
        <v>1.1000000000000001</v>
      </c>
      <c r="D6730" s="196">
        <v>1.1599999999999999</v>
      </c>
      <c r="E6730" s="195" t="s">
        <v>598</v>
      </c>
      <c r="F6730" s="195" t="s">
        <v>19</v>
      </c>
    </row>
    <row r="6731" spans="1:6" x14ac:dyDescent="0.25">
      <c r="A6731" s="189" t="str">
        <f t="shared" si="105"/>
        <v>KE-MD 6741.11.16W</v>
      </c>
      <c r="B6731" s="195" t="s">
        <v>3074</v>
      </c>
      <c r="C6731" s="196">
        <v>1.1000000000000001</v>
      </c>
      <c r="D6731" s="196">
        <v>1.1599999999999999</v>
      </c>
      <c r="E6731" s="195" t="s">
        <v>593</v>
      </c>
      <c r="F6731" s="195" t="s">
        <v>432</v>
      </c>
    </row>
    <row r="6732" spans="1:6" x14ac:dyDescent="0.25">
      <c r="A6732" s="189" t="str">
        <f t="shared" si="105"/>
        <v>KE-MD 70100.13N</v>
      </c>
      <c r="B6732" s="195" t="s">
        <v>3075</v>
      </c>
      <c r="C6732" s="196">
        <v>0</v>
      </c>
      <c r="D6732" s="196">
        <v>0.13</v>
      </c>
      <c r="E6732" s="195" t="s">
        <v>589</v>
      </c>
      <c r="F6732" s="195" t="s">
        <v>430</v>
      </c>
    </row>
    <row r="6733" spans="1:6" x14ac:dyDescent="0.25">
      <c r="A6733" s="189" t="str">
        <f t="shared" si="105"/>
        <v>KE-MD 70100.13S</v>
      </c>
      <c r="B6733" s="195" t="s">
        <v>3075</v>
      </c>
      <c r="C6733" s="196">
        <v>0</v>
      </c>
      <c r="D6733" s="196">
        <v>0.13</v>
      </c>
      <c r="E6733" s="195" t="s">
        <v>595</v>
      </c>
      <c r="F6733" s="195" t="s">
        <v>438</v>
      </c>
    </row>
    <row r="6734" spans="1:6" x14ac:dyDescent="0.25">
      <c r="A6734" s="189" t="str">
        <f t="shared" si="105"/>
        <v>KE-MD 701A00.14N</v>
      </c>
      <c r="B6734" s="195" t="s">
        <v>3076</v>
      </c>
      <c r="C6734" s="196">
        <v>0</v>
      </c>
      <c r="D6734" s="196">
        <v>0.14000000000000001</v>
      </c>
      <c r="E6734" s="195" t="s">
        <v>589</v>
      </c>
      <c r="F6734" s="195" t="s">
        <v>430</v>
      </c>
    </row>
    <row r="6735" spans="1:6" x14ac:dyDescent="0.25">
      <c r="A6735" s="189" t="str">
        <f t="shared" si="105"/>
        <v>KE-MD 701A00.14S</v>
      </c>
      <c r="B6735" s="195" t="s">
        <v>3076</v>
      </c>
      <c r="C6735" s="196">
        <v>0</v>
      </c>
      <c r="D6735" s="196">
        <v>0.14000000000000001</v>
      </c>
      <c r="E6735" s="195" t="s">
        <v>595</v>
      </c>
      <c r="F6735" s="195" t="s">
        <v>438</v>
      </c>
    </row>
    <row r="6736" spans="1:6" x14ac:dyDescent="0.25">
      <c r="A6736" s="189" t="str">
        <f t="shared" si="105"/>
        <v>KE-MD 85500.06E</v>
      </c>
      <c r="B6736" s="195" t="s">
        <v>3077</v>
      </c>
      <c r="C6736" s="196">
        <v>0</v>
      </c>
      <c r="D6736" s="196">
        <v>0.06</v>
      </c>
      <c r="E6736" s="195" t="s">
        <v>598</v>
      </c>
      <c r="F6736" s="195" t="s">
        <v>19</v>
      </c>
    </row>
    <row r="6737" spans="1:6" x14ac:dyDescent="0.25">
      <c r="A6737" s="189" t="str">
        <f t="shared" si="105"/>
        <v>KE-MD 85500.06W</v>
      </c>
      <c r="B6737" s="195" t="s">
        <v>3077</v>
      </c>
      <c r="C6737" s="196">
        <v>0</v>
      </c>
      <c r="D6737" s="196">
        <v>0.06</v>
      </c>
      <c r="E6737" s="195" t="s">
        <v>593</v>
      </c>
      <c r="F6737" s="195" t="s">
        <v>432</v>
      </c>
    </row>
    <row r="6738" spans="1:6" x14ac:dyDescent="0.25">
      <c r="A6738" s="189" t="str">
        <f t="shared" si="105"/>
        <v>KE-MD 855A00.07N</v>
      </c>
      <c r="B6738" s="195" t="s">
        <v>3078</v>
      </c>
      <c r="C6738" s="196">
        <v>0</v>
      </c>
      <c r="D6738" s="196">
        <v>7.0000000000000007E-2</v>
      </c>
      <c r="E6738" s="195" t="s">
        <v>589</v>
      </c>
      <c r="F6738" s="195" t="s">
        <v>430</v>
      </c>
    </row>
    <row r="6739" spans="1:6" x14ac:dyDescent="0.25">
      <c r="A6739" s="189" t="str">
        <f t="shared" si="105"/>
        <v>KE-MD 855A00.07S</v>
      </c>
      <c r="B6739" s="195" t="s">
        <v>3078</v>
      </c>
      <c r="C6739" s="196">
        <v>0</v>
      </c>
      <c r="D6739" s="196">
        <v>7.0000000000000007E-2</v>
      </c>
      <c r="E6739" s="195" t="s">
        <v>595</v>
      </c>
      <c r="F6739" s="195" t="s">
        <v>438</v>
      </c>
    </row>
    <row r="6740" spans="1:6" x14ac:dyDescent="0.25">
      <c r="A6740" s="189" t="str">
        <f t="shared" si="105"/>
        <v>KE-MD 85600.1N</v>
      </c>
      <c r="B6740" s="195" t="s">
        <v>3079</v>
      </c>
      <c r="C6740" s="196">
        <v>0</v>
      </c>
      <c r="D6740" s="196">
        <v>0.1</v>
      </c>
      <c r="E6740" s="195" t="s">
        <v>589</v>
      </c>
      <c r="F6740" s="195" t="s">
        <v>430</v>
      </c>
    </row>
    <row r="6741" spans="1:6" x14ac:dyDescent="0.25">
      <c r="A6741" s="189" t="str">
        <f t="shared" si="105"/>
        <v>KE-MD 85600.1S</v>
      </c>
      <c r="B6741" s="195" t="s">
        <v>3079</v>
      </c>
      <c r="C6741" s="196">
        <v>0</v>
      </c>
      <c r="D6741" s="196">
        <v>0.1</v>
      </c>
      <c r="E6741" s="195" t="s">
        <v>595</v>
      </c>
      <c r="F6741" s="195" t="s">
        <v>438</v>
      </c>
    </row>
    <row r="6742" spans="1:6" x14ac:dyDescent="0.25">
      <c r="A6742" s="189" t="str">
        <f t="shared" si="105"/>
        <v>KE-MD 86400.11N</v>
      </c>
      <c r="B6742" s="195" t="s">
        <v>3080</v>
      </c>
      <c r="C6742" s="196">
        <v>0</v>
      </c>
      <c r="D6742" s="196">
        <v>0.11</v>
      </c>
      <c r="E6742" s="195" t="s">
        <v>589</v>
      </c>
      <c r="F6742" s="195" t="s">
        <v>430</v>
      </c>
    </row>
    <row r="6743" spans="1:6" x14ac:dyDescent="0.25">
      <c r="A6743" s="189" t="str">
        <f t="shared" si="105"/>
        <v>KE-MD 86400.11S</v>
      </c>
      <c r="B6743" s="195" t="s">
        <v>3080</v>
      </c>
      <c r="C6743" s="196">
        <v>0</v>
      </c>
      <c r="D6743" s="196">
        <v>0.11</v>
      </c>
      <c r="E6743" s="195" t="s">
        <v>595</v>
      </c>
      <c r="F6743" s="195" t="s">
        <v>438</v>
      </c>
    </row>
    <row r="6744" spans="1:6" x14ac:dyDescent="0.25">
      <c r="A6744" s="189" t="str">
        <f t="shared" si="105"/>
        <v>KE-US 301 RP2-11200.05N</v>
      </c>
      <c r="B6744" s="195" t="s">
        <v>3081</v>
      </c>
      <c r="C6744" s="196">
        <v>0</v>
      </c>
      <c r="D6744" s="196">
        <v>0.05</v>
      </c>
      <c r="E6744" s="195" t="s">
        <v>589</v>
      </c>
      <c r="F6744" s="195" t="s">
        <v>430</v>
      </c>
    </row>
    <row r="6745" spans="1:6" x14ac:dyDescent="0.25">
      <c r="A6745" s="189" t="str">
        <f t="shared" si="105"/>
        <v>KE-US 301 RP2-11900.23N</v>
      </c>
      <c r="B6745" s="195" t="s">
        <v>3082</v>
      </c>
      <c r="C6745" s="196">
        <v>0</v>
      </c>
      <c r="D6745" s="196">
        <v>0.23</v>
      </c>
      <c r="E6745" s="195" t="s">
        <v>589</v>
      </c>
      <c r="F6745" s="195" t="s">
        <v>430</v>
      </c>
    </row>
    <row r="6746" spans="1:6" x14ac:dyDescent="0.25">
      <c r="A6746" s="189" t="str">
        <f t="shared" si="105"/>
        <v>KE-US 301 RP4-11200.08N</v>
      </c>
      <c r="B6746" s="195" t="s">
        <v>3083</v>
      </c>
      <c r="C6746" s="196">
        <v>0</v>
      </c>
      <c r="D6746" s="196">
        <v>0.08</v>
      </c>
      <c r="E6746" s="195" t="s">
        <v>589</v>
      </c>
      <c r="F6746" s="195" t="s">
        <v>430</v>
      </c>
    </row>
    <row r="6747" spans="1:6" x14ac:dyDescent="0.25">
      <c r="A6747" s="189" t="str">
        <f t="shared" si="105"/>
        <v>KE-US 301 RP4-11900.25N</v>
      </c>
      <c r="B6747" s="195" t="s">
        <v>3084</v>
      </c>
      <c r="C6747" s="196">
        <v>0</v>
      </c>
      <c r="D6747" s="196">
        <v>0.25</v>
      </c>
      <c r="E6747" s="195" t="s">
        <v>589</v>
      </c>
      <c r="F6747" s="195" t="s">
        <v>430</v>
      </c>
    </row>
    <row r="6748" spans="1:6" x14ac:dyDescent="0.25">
      <c r="A6748" s="189" t="str">
        <f t="shared" si="105"/>
        <v>KE-US 301 RP6-11200.07N</v>
      </c>
      <c r="B6748" s="195" t="s">
        <v>3085</v>
      </c>
      <c r="C6748" s="196">
        <v>0</v>
      </c>
      <c r="D6748" s="196">
        <v>7.0000000000000007E-2</v>
      </c>
      <c r="E6748" s="195" t="s">
        <v>589</v>
      </c>
      <c r="F6748" s="195" t="s">
        <v>430</v>
      </c>
    </row>
    <row r="6749" spans="1:6" x14ac:dyDescent="0.25">
      <c r="A6749" s="189" t="str">
        <f t="shared" si="105"/>
        <v>KE-US 301 RP6-11900.21S</v>
      </c>
      <c r="B6749" s="195" t="s">
        <v>3086</v>
      </c>
      <c r="C6749" s="196">
        <v>0</v>
      </c>
      <c r="D6749" s="196">
        <v>0.21</v>
      </c>
      <c r="E6749" s="195" t="s">
        <v>595</v>
      </c>
      <c r="F6749" s="195" t="s">
        <v>438</v>
      </c>
    </row>
    <row r="6750" spans="1:6" x14ac:dyDescent="0.25">
      <c r="A6750" s="189" t="str">
        <f t="shared" si="105"/>
        <v>KE-US 301 RP8-11200.07N</v>
      </c>
      <c r="B6750" s="195" t="s">
        <v>3087</v>
      </c>
      <c r="C6750" s="196">
        <v>0</v>
      </c>
      <c r="D6750" s="196">
        <v>7.0000000000000007E-2</v>
      </c>
      <c r="E6750" s="195" t="s">
        <v>589</v>
      </c>
      <c r="F6750" s="195" t="s">
        <v>430</v>
      </c>
    </row>
    <row r="6751" spans="1:6" x14ac:dyDescent="0.25">
      <c r="A6751" s="189" t="str">
        <f t="shared" si="105"/>
        <v>KE-US 301 RP8-11900.31S</v>
      </c>
      <c r="B6751" s="195" t="s">
        <v>3088</v>
      </c>
      <c r="C6751" s="196">
        <v>0</v>
      </c>
      <c r="D6751" s="196">
        <v>0.31</v>
      </c>
      <c r="E6751" s="195" t="s">
        <v>595</v>
      </c>
      <c r="F6751" s="195" t="s">
        <v>438</v>
      </c>
    </row>
    <row r="6752" spans="1:6" x14ac:dyDescent="0.25">
      <c r="A6752" s="189" t="str">
        <f t="shared" si="105"/>
        <v>MO-CO 537600.19N</v>
      </c>
      <c r="B6752" s="195" t="s">
        <v>3089</v>
      </c>
      <c r="C6752" s="196">
        <v>0</v>
      </c>
      <c r="D6752" s="196">
        <v>0.19</v>
      </c>
      <c r="E6752" s="195" t="s">
        <v>589</v>
      </c>
      <c r="F6752" s="195" t="s">
        <v>430</v>
      </c>
    </row>
    <row r="6753" spans="1:6" x14ac:dyDescent="0.25">
      <c r="A6753" s="189" t="str">
        <f t="shared" si="105"/>
        <v>MO-CO 537600.19S</v>
      </c>
      <c r="B6753" s="195" t="s">
        <v>3089</v>
      </c>
      <c r="C6753" s="196">
        <v>0</v>
      </c>
      <c r="D6753" s="196">
        <v>0.19</v>
      </c>
      <c r="E6753" s="195" t="s">
        <v>595</v>
      </c>
      <c r="F6753" s="195" t="s">
        <v>438</v>
      </c>
    </row>
    <row r="6754" spans="1:6" x14ac:dyDescent="0.25">
      <c r="A6754" s="189" t="str">
        <f t="shared" si="105"/>
        <v>MO-CO 55001.541.61E</v>
      </c>
      <c r="B6754" s="195" t="s">
        <v>3090</v>
      </c>
      <c r="C6754" s="196">
        <v>1.54</v>
      </c>
      <c r="D6754" s="196">
        <v>1.61</v>
      </c>
      <c r="E6754" s="195" t="s">
        <v>598</v>
      </c>
      <c r="F6754" s="195" t="s">
        <v>19</v>
      </c>
    </row>
    <row r="6755" spans="1:6" x14ac:dyDescent="0.25">
      <c r="A6755" s="189" t="str">
        <f t="shared" si="105"/>
        <v>MO-CO 55001.541.61W</v>
      </c>
      <c r="B6755" s="195" t="s">
        <v>3090</v>
      </c>
      <c r="C6755" s="196">
        <v>1.54</v>
      </c>
      <c r="D6755" s="196">
        <v>1.61</v>
      </c>
      <c r="E6755" s="195" t="s">
        <v>593</v>
      </c>
      <c r="F6755" s="195" t="s">
        <v>432</v>
      </c>
    </row>
    <row r="6756" spans="1:6" x14ac:dyDescent="0.25">
      <c r="A6756" s="189" t="str">
        <f t="shared" si="105"/>
        <v>MO-IS 270 RP10-1A00.29E</v>
      </c>
      <c r="B6756" s="195" t="s">
        <v>3091</v>
      </c>
      <c r="C6756" s="196">
        <v>0</v>
      </c>
      <c r="D6756" s="196">
        <v>0.28999999999999998</v>
      </c>
      <c r="E6756" s="195" t="s">
        <v>598</v>
      </c>
      <c r="F6756" s="195" t="s">
        <v>19</v>
      </c>
    </row>
    <row r="6757" spans="1:6" x14ac:dyDescent="0.25">
      <c r="A6757" s="189" t="str">
        <f t="shared" si="105"/>
        <v>MO-IS 270 RP10-400.25N</v>
      </c>
      <c r="B6757" s="195" t="s">
        <v>3092</v>
      </c>
      <c r="C6757" s="196">
        <v>0</v>
      </c>
      <c r="D6757" s="196">
        <v>0.25</v>
      </c>
      <c r="E6757" s="195" t="s">
        <v>589</v>
      </c>
      <c r="F6757" s="195" t="s">
        <v>430</v>
      </c>
    </row>
    <row r="6758" spans="1:6" x14ac:dyDescent="0.25">
      <c r="A6758" s="189" t="str">
        <f t="shared" si="105"/>
        <v>MO-IS 270 RP10-800.1W</v>
      </c>
      <c r="B6758" s="195" t="s">
        <v>3093</v>
      </c>
      <c r="C6758" s="196">
        <v>0</v>
      </c>
      <c r="D6758" s="196">
        <v>0.1</v>
      </c>
      <c r="E6758" s="195" t="s">
        <v>593</v>
      </c>
      <c r="F6758" s="195" t="s">
        <v>432</v>
      </c>
    </row>
    <row r="6759" spans="1:6" x14ac:dyDescent="0.25">
      <c r="A6759" s="189" t="str">
        <f t="shared" si="105"/>
        <v>MO-IS 270 RP1-1000.24N</v>
      </c>
      <c r="B6759" s="195" t="s">
        <v>3094</v>
      </c>
      <c r="C6759" s="196">
        <v>0</v>
      </c>
      <c r="D6759" s="196">
        <v>0.24</v>
      </c>
      <c r="E6759" s="195" t="s">
        <v>589</v>
      </c>
      <c r="F6759" s="195" t="s">
        <v>430</v>
      </c>
    </row>
    <row r="6760" spans="1:6" x14ac:dyDescent="0.25">
      <c r="A6760" s="189" t="str">
        <f t="shared" si="105"/>
        <v>MO-IS 270 RP1-1100.03S</v>
      </c>
      <c r="B6760" s="195" t="s">
        <v>3095</v>
      </c>
      <c r="C6760" s="196">
        <v>0</v>
      </c>
      <c r="D6760" s="196">
        <v>0.03</v>
      </c>
      <c r="E6760" s="195" t="s">
        <v>595</v>
      </c>
      <c r="F6760" s="195" t="s">
        <v>438</v>
      </c>
    </row>
    <row r="6761" spans="1:6" x14ac:dyDescent="0.25">
      <c r="A6761" s="189" t="str">
        <f t="shared" si="105"/>
        <v>MO-IS 270 RP1-1300.25N</v>
      </c>
      <c r="B6761" s="195" t="s">
        <v>3096</v>
      </c>
      <c r="C6761" s="196">
        <v>0</v>
      </c>
      <c r="D6761" s="196">
        <v>0.25</v>
      </c>
      <c r="E6761" s="195" t="s">
        <v>589</v>
      </c>
      <c r="F6761" s="195" t="s">
        <v>430</v>
      </c>
    </row>
    <row r="6762" spans="1:6" x14ac:dyDescent="0.25">
      <c r="A6762" s="189" t="str">
        <f t="shared" si="105"/>
        <v>MO-IS 270 RP1-1500.26N</v>
      </c>
      <c r="B6762" s="195" t="s">
        <v>3097</v>
      </c>
      <c r="C6762" s="196">
        <v>0</v>
      </c>
      <c r="D6762" s="196">
        <v>0.26</v>
      </c>
      <c r="E6762" s="195" t="s">
        <v>589</v>
      </c>
      <c r="F6762" s="195" t="s">
        <v>430</v>
      </c>
    </row>
    <row r="6763" spans="1:6" x14ac:dyDescent="0.25">
      <c r="A6763" s="189" t="str">
        <f t="shared" si="105"/>
        <v>MO-IS 270 RP1-1600.12N</v>
      </c>
      <c r="B6763" s="195" t="s">
        <v>3098</v>
      </c>
      <c r="C6763" s="196">
        <v>0</v>
      </c>
      <c r="D6763" s="196">
        <v>0.12</v>
      </c>
      <c r="E6763" s="195" t="s">
        <v>589</v>
      </c>
      <c r="F6763" s="195" t="s">
        <v>430</v>
      </c>
    </row>
    <row r="6764" spans="1:6" x14ac:dyDescent="0.25">
      <c r="A6764" s="189" t="str">
        <f t="shared" si="105"/>
        <v>MO-IS 270 RP1-1800.04N</v>
      </c>
      <c r="B6764" s="195" t="s">
        <v>3099</v>
      </c>
      <c r="C6764" s="196">
        <v>0</v>
      </c>
      <c r="D6764" s="196">
        <v>0.04</v>
      </c>
      <c r="E6764" s="195" t="s">
        <v>589</v>
      </c>
      <c r="F6764" s="195" t="s">
        <v>430</v>
      </c>
    </row>
    <row r="6765" spans="1:6" x14ac:dyDescent="0.25">
      <c r="A6765" s="189" t="str">
        <f t="shared" si="105"/>
        <v>MO-IS 270 RP1-2200.2N</v>
      </c>
      <c r="B6765" s="195" t="s">
        <v>3100</v>
      </c>
      <c r="C6765" s="196">
        <v>0</v>
      </c>
      <c r="D6765" s="196">
        <v>0.2</v>
      </c>
      <c r="E6765" s="195" t="s">
        <v>589</v>
      </c>
      <c r="F6765" s="195" t="s">
        <v>430</v>
      </c>
    </row>
    <row r="6766" spans="1:6" x14ac:dyDescent="0.25">
      <c r="A6766" s="189" t="str">
        <f t="shared" si="105"/>
        <v>MO-IS 270 RP1-3500.25N</v>
      </c>
      <c r="B6766" s="195" t="s">
        <v>3101</v>
      </c>
      <c r="C6766" s="196">
        <v>0</v>
      </c>
      <c r="D6766" s="196">
        <v>0.25</v>
      </c>
      <c r="E6766" s="195" t="s">
        <v>589</v>
      </c>
      <c r="F6766" s="195" t="s">
        <v>430</v>
      </c>
    </row>
    <row r="6767" spans="1:6" x14ac:dyDescent="0.25">
      <c r="A6767" s="189" t="str">
        <f t="shared" si="105"/>
        <v>MO-IS 270 RP1-400.26N</v>
      </c>
      <c r="B6767" s="195" t="s">
        <v>3102</v>
      </c>
      <c r="C6767" s="196">
        <v>0</v>
      </c>
      <c r="D6767" s="196">
        <v>0.26</v>
      </c>
      <c r="E6767" s="195" t="s">
        <v>589</v>
      </c>
      <c r="F6767" s="195" t="s">
        <v>430</v>
      </c>
    </row>
    <row r="6768" spans="1:6" x14ac:dyDescent="0.25">
      <c r="A6768" s="189" t="str">
        <f t="shared" si="105"/>
        <v>MO-IS 270 RP1-500.06W</v>
      </c>
      <c r="B6768" s="195" t="s">
        <v>3103</v>
      </c>
      <c r="C6768" s="196">
        <v>0</v>
      </c>
      <c r="D6768" s="196">
        <v>0.06</v>
      </c>
      <c r="E6768" s="195" t="s">
        <v>593</v>
      </c>
      <c r="F6768" s="195" t="s">
        <v>432</v>
      </c>
    </row>
    <row r="6769" spans="1:6" x14ac:dyDescent="0.25">
      <c r="A6769" s="189" t="str">
        <f t="shared" si="105"/>
        <v>MO-IS 270 RP1-600.22W</v>
      </c>
      <c r="B6769" s="195" t="s">
        <v>3104</v>
      </c>
      <c r="C6769" s="196">
        <v>0</v>
      </c>
      <c r="D6769" s="196">
        <v>0.22</v>
      </c>
      <c r="E6769" s="195" t="s">
        <v>593</v>
      </c>
      <c r="F6769" s="195" t="s">
        <v>432</v>
      </c>
    </row>
    <row r="6770" spans="1:6" x14ac:dyDescent="0.25">
      <c r="A6770" s="189" t="str">
        <f t="shared" si="105"/>
        <v>MO-IS 270 RP1-800.26W</v>
      </c>
      <c r="B6770" s="195" t="s">
        <v>3105</v>
      </c>
      <c r="C6770" s="196">
        <v>0</v>
      </c>
      <c r="D6770" s="196">
        <v>0.26</v>
      </c>
      <c r="E6770" s="195" t="s">
        <v>593</v>
      </c>
      <c r="F6770" s="195" t="s">
        <v>432</v>
      </c>
    </row>
    <row r="6771" spans="1:6" x14ac:dyDescent="0.25">
      <c r="A6771" s="189" t="str">
        <f t="shared" si="105"/>
        <v>MO-IS 270 RP1-900.9N</v>
      </c>
      <c r="B6771" s="195" t="s">
        <v>3106</v>
      </c>
      <c r="C6771" s="196">
        <v>0</v>
      </c>
      <c r="D6771" s="196">
        <v>0.9</v>
      </c>
      <c r="E6771" s="195" t="s">
        <v>589</v>
      </c>
      <c r="F6771" s="195" t="s">
        <v>430</v>
      </c>
    </row>
    <row r="6772" spans="1:6" x14ac:dyDescent="0.25">
      <c r="A6772" s="189" t="str">
        <f t="shared" si="105"/>
        <v>MO-IS 270 RP2-1100.19N</v>
      </c>
      <c r="B6772" s="195" t="s">
        <v>3107</v>
      </c>
      <c r="C6772" s="196">
        <v>0</v>
      </c>
      <c r="D6772" s="196">
        <v>0.19</v>
      </c>
      <c r="E6772" s="195" t="s">
        <v>589</v>
      </c>
      <c r="F6772" s="195" t="s">
        <v>430</v>
      </c>
    </row>
    <row r="6773" spans="1:6" x14ac:dyDescent="0.25">
      <c r="A6773" s="189" t="str">
        <f t="shared" si="105"/>
        <v>MO-IS 270 RP2-1500.26W</v>
      </c>
      <c r="B6773" s="195" t="s">
        <v>3108</v>
      </c>
      <c r="C6773" s="196">
        <v>0</v>
      </c>
      <c r="D6773" s="196">
        <v>0.26</v>
      </c>
      <c r="E6773" s="195" t="s">
        <v>593</v>
      </c>
      <c r="F6773" s="195" t="s">
        <v>432</v>
      </c>
    </row>
    <row r="6774" spans="1:6" x14ac:dyDescent="0.25">
      <c r="A6774" s="189" t="str">
        <f t="shared" si="105"/>
        <v>MO-IS 270 RP2-1600.35W</v>
      </c>
      <c r="B6774" s="195" t="s">
        <v>3109</v>
      </c>
      <c r="C6774" s="196">
        <v>0</v>
      </c>
      <c r="D6774" s="196">
        <v>0.35</v>
      </c>
      <c r="E6774" s="195" t="s">
        <v>593</v>
      </c>
      <c r="F6774" s="195" t="s">
        <v>432</v>
      </c>
    </row>
    <row r="6775" spans="1:6" x14ac:dyDescent="0.25">
      <c r="A6775" s="189" t="str">
        <f t="shared" si="105"/>
        <v>MO-IS 270 RP2-1800.04N</v>
      </c>
      <c r="B6775" s="195" t="s">
        <v>3110</v>
      </c>
      <c r="C6775" s="196">
        <v>0</v>
      </c>
      <c r="D6775" s="196">
        <v>0.04</v>
      </c>
      <c r="E6775" s="195" t="s">
        <v>589</v>
      </c>
      <c r="F6775" s="195" t="s">
        <v>430</v>
      </c>
    </row>
    <row r="6776" spans="1:6" x14ac:dyDescent="0.25">
      <c r="A6776" s="189" t="str">
        <f t="shared" si="105"/>
        <v>MO-IS 270 RP2-1A00.19W</v>
      </c>
      <c r="B6776" s="195" t="s">
        <v>3111</v>
      </c>
      <c r="C6776" s="196">
        <v>0</v>
      </c>
      <c r="D6776" s="196">
        <v>0.19</v>
      </c>
      <c r="E6776" s="195" t="s">
        <v>593</v>
      </c>
      <c r="F6776" s="195" t="s">
        <v>432</v>
      </c>
    </row>
    <row r="6777" spans="1:6" x14ac:dyDescent="0.25">
      <c r="A6777" s="189" t="str">
        <f t="shared" si="105"/>
        <v>MO-IS 270 RP2-1B00.11N</v>
      </c>
      <c r="B6777" s="195" t="s">
        <v>3112</v>
      </c>
      <c r="C6777" s="196">
        <v>0</v>
      </c>
      <c r="D6777" s="196">
        <v>0.11</v>
      </c>
      <c r="E6777" s="195" t="s">
        <v>589</v>
      </c>
      <c r="F6777" s="195" t="s">
        <v>430</v>
      </c>
    </row>
    <row r="6778" spans="1:6" x14ac:dyDescent="0.25">
      <c r="A6778" s="189" t="str">
        <f t="shared" si="105"/>
        <v>MO-IS 270 RP2-2200.17W</v>
      </c>
      <c r="B6778" s="195" t="s">
        <v>3113</v>
      </c>
      <c r="C6778" s="196">
        <v>0</v>
      </c>
      <c r="D6778" s="196">
        <v>0.17</v>
      </c>
      <c r="E6778" s="195" t="s">
        <v>593</v>
      </c>
      <c r="F6778" s="195" t="s">
        <v>432</v>
      </c>
    </row>
    <row r="6779" spans="1:6" x14ac:dyDescent="0.25">
      <c r="A6779" s="189" t="str">
        <f t="shared" si="105"/>
        <v>MO-IS 270 RP2-400.34W</v>
      </c>
      <c r="B6779" s="195" t="s">
        <v>3114</v>
      </c>
      <c r="C6779" s="196">
        <v>0</v>
      </c>
      <c r="D6779" s="196">
        <v>0.34</v>
      </c>
      <c r="E6779" s="195" t="s">
        <v>593</v>
      </c>
      <c r="F6779" s="195" t="s">
        <v>432</v>
      </c>
    </row>
    <row r="6780" spans="1:6" x14ac:dyDescent="0.25">
      <c r="A6780" s="189" t="str">
        <f t="shared" si="105"/>
        <v>MO-IS 270 RP2-500.07W</v>
      </c>
      <c r="B6780" s="195" t="s">
        <v>3115</v>
      </c>
      <c r="C6780" s="196">
        <v>0</v>
      </c>
      <c r="D6780" s="196">
        <v>7.0000000000000007E-2</v>
      </c>
      <c r="E6780" s="195" t="s">
        <v>593</v>
      </c>
      <c r="F6780" s="195" t="s">
        <v>432</v>
      </c>
    </row>
    <row r="6781" spans="1:6" x14ac:dyDescent="0.25">
      <c r="A6781" s="189" t="str">
        <f t="shared" si="105"/>
        <v>MO-IS 270 RP2-600.23N</v>
      </c>
      <c r="B6781" s="195" t="s">
        <v>3116</v>
      </c>
      <c r="C6781" s="196">
        <v>0</v>
      </c>
      <c r="D6781" s="196">
        <v>0.23</v>
      </c>
      <c r="E6781" s="195" t="s">
        <v>589</v>
      </c>
      <c r="F6781" s="195" t="s">
        <v>430</v>
      </c>
    </row>
    <row r="6782" spans="1:6" x14ac:dyDescent="0.25">
      <c r="A6782" s="189" t="str">
        <f t="shared" si="105"/>
        <v>MO-IS 270 RP2-800.18N</v>
      </c>
      <c r="B6782" s="195" t="s">
        <v>3117</v>
      </c>
      <c r="C6782" s="196">
        <v>0</v>
      </c>
      <c r="D6782" s="196">
        <v>0.18</v>
      </c>
      <c r="E6782" s="195" t="s">
        <v>589</v>
      </c>
      <c r="F6782" s="195" t="s">
        <v>430</v>
      </c>
    </row>
    <row r="6783" spans="1:6" x14ac:dyDescent="0.25">
      <c r="A6783" s="189" t="str">
        <f t="shared" si="105"/>
        <v>MO-IS 270 RP2-900.45W</v>
      </c>
      <c r="B6783" s="195" t="s">
        <v>3118</v>
      </c>
      <c r="C6783" s="196">
        <v>0</v>
      </c>
      <c r="D6783" s="196">
        <v>0.45</v>
      </c>
      <c r="E6783" s="195" t="s">
        <v>593</v>
      </c>
      <c r="F6783" s="195" t="s">
        <v>432</v>
      </c>
    </row>
    <row r="6784" spans="1:6" x14ac:dyDescent="0.25">
      <c r="A6784" s="189" t="str">
        <f t="shared" si="105"/>
        <v>MO-IS 270 RP3-1100.18N</v>
      </c>
      <c r="B6784" s="195" t="s">
        <v>3119</v>
      </c>
      <c r="C6784" s="196">
        <v>0</v>
      </c>
      <c r="D6784" s="196">
        <v>0.18</v>
      </c>
      <c r="E6784" s="195" t="s">
        <v>589</v>
      </c>
      <c r="F6784" s="195" t="s">
        <v>430</v>
      </c>
    </row>
    <row r="6785" spans="1:6" x14ac:dyDescent="0.25">
      <c r="A6785" s="189" t="str">
        <f t="shared" si="105"/>
        <v>MO-IS 270 RP3-1500.02E</v>
      </c>
      <c r="B6785" s="195" t="s">
        <v>3120</v>
      </c>
      <c r="C6785" s="196">
        <v>0</v>
      </c>
      <c r="D6785" s="196">
        <v>0.02</v>
      </c>
      <c r="E6785" s="195" t="s">
        <v>598</v>
      </c>
      <c r="F6785" s="195" t="s">
        <v>19</v>
      </c>
    </row>
    <row r="6786" spans="1:6" x14ac:dyDescent="0.25">
      <c r="A6786" s="189" t="str">
        <f t="shared" si="105"/>
        <v>MO-IS 270 RP3-1600.32E</v>
      </c>
      <c r="B6786" s="195" t="s">
        <v>3121</v>
      </c>
      <c r="C6786" s="196">
        <v>0</v>
      </c>
      <c r="D6786" s="196">
        <v>0.32</v>
      </c>
      <c r="E6786" s="195" t="s">
        <v>598</v>
      </c>
      <c r="F6786" s="195" t="s">
        <v>19</v>
      </c>
    </row>
    <row r="6787" spans="1:6" x14ac:dyDescent="0.25">
      <c r="A6787" s="189" t="str">
        <f t="shared" ref="A6787:A6850" si="106">B6787&amp;C6787&amp;D6787&amp;F6787</f>
        <v>MO-IS 270 RP3-1800.23W</v>
      </c>
      <c r="B6787" s="195" t="s">
        <v>3122</v>
      </c>
      <c r="C6787" s="196">
        <v>0</v>
      </c>
      <c r="D6787" s="196">
        <v>0.23</v>
      </c>
      <c r="E6787" s="195" t="s">
        <v>593</v>
      </c>
      <c r="F6787" s="195" t="s">
        <v>432</v>
      </c>
    </row>
    <row r="6788" spans="1:6" x14ac:dyDescent="0.25">
      <c r="A6788" s="189" t="str">
        <f t="shared" si="106"/>
        <v>MO-IS 270 RP3-1B00.03S</v>
      </c>
      <c r="B6788" s="195" t="s">
        <v>3123</v>
      </c>
      <c r="C6788" s="196">
        <v>0</v>
      </c>
      <c r="D6788" s="196">
        <v>0.03</v>
      </c>
      <c r="E6788" s="195" t="s">
        <v>595</v>
      </c>
      <c r="F6788" s="195" t="s">
        <v>438</v>
      </c>
    </row>
    <row r="6789" spans="1:6" x14ac:dyDescent="0.25">
      <c r="A6789" s="189" t="str">
        <f t="shared" si="106"/>
        <v>MO-IS 270 RP3-2200.01N</v>
      </c>
      <c r="B6789" s="195" t="s">
        <v>3124</v>
      </c>
      <c r="C6789" s="196">
        <v>0</v>
      </c>
      <c r="D6789" s="196">
        <v>0.01</v>
      </c>
      <c r="E6789" s="195" t="s">
        <v>589</v>
      </c>
      <c r="F6789" s="195" t="s">
        <v>430</v>
      </c>
    </row>
    <row r="6790" spans="1:6" x14ac:dyDescent="0.25">
      <c r="A6790" s="189" t="str">
        <f t="shared" si="106"/>
        <v>MO-IS 270 RP3-400.18E</v>
      </c>
      <c r="B6790" s="195" t="s">
        <v>3125</v>
      </c>
      <c r="C6790" s="196">
        <v>0</v>
      </c>
      <c r="D6790" s="196">
        <v>0.18</v>
      </c>
      <c r="E6790" s="195" t="s">
        <v>598</v>
      </c>
      <c r="F6790" s="195" t="s">
        <v>19</v>
      </c>
    </row>
    <row r="6791" spans="1:6" x14ac:dyDescent="0.25">
      <c r="A6791" s="189" t="str">
        <f t="shared" si="106"/>
        <v>MO-IS 270 RP3-500.2N</v>
      </c>
      <c r="B6791" s="195" t="s">
        <v>3126</v>
      </c>
      <c r="C6791" s="196">
        <v>0</v>
      </c>
      <c r="D6791" s="196">
        <v>0.2</v>
      </c>
      <c r="E6791" s="195" t="s">
        <v>589</v>
      </c>
      <c r="F6791" s="195" t="s">
        <v>430</v>
      </c>
    </row>
    <row r="6792" spans="1:6" x14ac:dyDescent="0.25">
      <c r="A6792" s="189" t="str">
        <f t="shared" si="106"/>
        <v>MO-IS 270 RP3-600.2N</v>
      </c>
      <c r="B6792" s="195" t="s">
        <v>3127</v>
      </c>
      <c r="C6792" s="196">
        <v>0</v>
      </c>
      <c r="D6792" s="196">
        <v>0.2</v>
      </c>
      <c r="E6792" s="195" t="s">
        <v>589</v>
      </c>
      <c r="F6792" s="195" t="s">
        <v>430</v>
      </c>
    </row>
    <row r="6793" spans="1:6" x14ac:dyDescent="0.25">
      <c r="A6793" s="189" t="str">
        <f t="shared" si="106"/>
        <v>MO-IS 270 RP3-800.26N</v>
      </c>
      <c r="B6793" s="195" t="s">
        <v>3128</v>
      </c>
      <c r="C6793" s="196">
        <v>0</v>
      </c>
      <c r="D6793" s="196">
        <v>0.26</v>
      </c>
      <c r="E6793" s="195" t="s">
        <v>589</v>
      </c>
      <c r="F6793" s="195" t="s">
        <v>430</v>
      </c>
    </row>
    <row r="6794" spans="1:6" x14ac:dyDescent="0.25">
      <c r="A6794" s="189" t="str">
        <f t="shared" si="106"/>
        <v>MO-IS 270 RP3-900.46S</v>
      </c>
      <c r="B6794" s="195" t="s">
        <v>3129</v>
      </c>
      <c r="C6794" s="196">
        <v>0</v>
      </c>
      <c r="D6794" s="196">
        <v>0.46</v>
      </c>
      <c r="E6794" s="195" t="s">
        <v>595</v>
      </c>
      <c r="F6794" s="195" t="s">
        <v>438</v>
      </c>
    </row>
    <row r="6795" spans="1:6" x14ac:dyDescent="0.25">
      <c r="A6795" s="189" t="str">
        <f t="shared" si="106"/>
        <v>MO-IS 270 RP4-1100.25E</v>
      </c>
      <c r="B6795" s="195" t="s">
        <v>3130</v>
      </c>
      <c r="C6795" s="196">
        <v>0</v>
      </c>
      <c r="D6795" s="196">
        <v>0.25</v>
      </c>
      <c r="E6795" s="195" t="s">
        <v>598</v>
      </c>
      <c r="F6795" s="195" t="s">
        <v>19</v>
      </c>
    </row>
    <row r="6796" spans="1:6" x14ac:dyDescent="0.25">
      <c r="A6796" s="189" t="str">
        <f t="shared" si="106"/>
        <v>MO-IS 270 RP4-1300.24N</v>
      </c>
      <c r="B6796" s="195" t="s">
        <v>3131</v>
      </c>
      <c r="C6796" s="196">
        <v>0</v>
      </c>
      <c r="D6796" s="196">
        <v>0.24</v>
      </c>
      <c r="E6796" s="195" t="s">
        <v>589</v>
      </c>
      <c r="F6796" s="195" t="s">
        <v>430</v>
      </c>
    </row>
    <row r="6797" spans="1:6" x14ac:dyDescent="0.25">
      <c r="A6797" s="189" t="str">
        <f t="shared" si="106"/>
        <v>MO-IS 270 RP4-1500.42N</v>
      </c>
      <c r="B6797" s="195" t="s">
        <v>3132</v>
      </c>
      <c r="C6797" s="196">
        <v>0</v>
      </c>
      <c r="D6797" s="196">
        <v>0.42</v>
      </c>
      <c r="E6797" s="195" t="s">
        <v>589</v>
      </c>
      <c r="F6797" s="195" t="s">
        <v>430</v>
      </c>
    </row>
    <row r="6798" spans="1:6" x14ac:dyDescent="0.25">
      <c r="A6798" s="189" t="str">
        <f t="shared" si="106"/>
        <v>MO-IS 270 RP4-1600.46N</v>
      </c>
      <c r="B6798" s="195" t="s">
        <v>3133</v>
      </c>
      <c r="C6798" s="196">
        <v>0</v>
      </c>
      <c r="D6798" s="196">
        <v>0.46</v>
      </c>
      <c r="E6798" s="195" t="s">
        <v>589</v>
      </c>
      <c r="F6798" s="195" t="s">
        <v>430</v>
      </c>
    </row>
    <row r="6799" spans="1:6" x14ac:dyDescent="0.25">
      <c r="A6799" s="189" t="str">
        <f t="shared" si="106"/>
        <v>MO-IS 270 RP4-1800.27S</v>
      </c>
      <c r="B6799" s="195" t="s">
        <v>3134</v>
      </c>
      <c r="C6799" s="196">
        <v>0</v>
      </c>
      <c r="D6799" s="196">
        <v>0.27</v>
      </c>
      <c r="E6799" s="195" t="s">
        <v>595</v>
      </c>
      <c r="F6799" s="195" t="s">
        <v>438</v>
      </c>
    </row>
    <row r="6800" spans="1:6" x14ac:dyDescent="0.25">
      <c r="A6800" s="189" t="str">
        <f t="shared" si="106"/>
        <v>MO-IS 270 RP4-1A00.16N</v>
      </c>
      <c r="B6800" s="195" t="s">
        <v>3135</v>
      </c>
      <c r="C6800" s="196">
        <v>0</v>
      </c>
      <c r="D6800" s="196">
        <v>0.16</v>
      </c>
      <c r="E6800" s="195" t="s">
        <v>589</v>
      </c>
      <c r="F6800" s="195" t="s">
        <v>430</v>
      </c>
    </row>
    <row r="6801" spans="1:6" x14ac:dyDescent="0.25">
      <c r="A6801" s="189" t="str">
        <f t="shared" si="106"/>
        <v>MO-IS 270 RP4-1B00.1S</v>
      </c>
      <c r="B6801" s="195" t="s">
        <v>3136</v>
      </c>
      <c r="C6801" s="196">
        <v>0</v>
      </c>
      <c r="D6801" s="196">
        <v>0.1</v>
      </c>
      <c r="E6801" s="195" t="s">
        <v>595</v>
      </c>
      <c r="F6801" s="195" t="s">
        <v>438</v>
      </c>
    </row>
    <row r="6802" spans="1:6" x14ac:dyDescent="0.25">
      <c r="A6802" s="189" t="str">
        <f t="shared" si="106"/>
        <v>MO-IS 270 RP4-2200.02S</v>
      </c>
      <c r="B6802" s="195" t="s">
        <v>3137</v>
      </c>
      <c r="C6802" s="196">
        <v>0</v>
      </c>
      <c r="D6802" s="196">
        <v>0.02</v>
      </c>
      <c r="E6802" s="195" t="s">
        <v>595</v>
      </c>
      <c r="F6802" s="195" t="s">
        <v>438</v>
      </c>
    </row>
    <row r="6803" spans="1:6" x14ac:dyDescent="0.25">
      <c r="A6803" s="189" t="str">
        <f t="shared" si="106"/>
        <v>MO-IS 270 RP4-400.35N</v>
      </c>
      <c r="B6803" s="195" t="s">
        <v>3138</v>
      </c>
      <c r="C6803" s="196">
        <v>0</v>
      </c>
      <c r="D6803" s="196">
        <v>0.35</v>
      </c>
      <c r="E6803" s="195" t="s">
        <v>589</v>
      </c>
      <c r="F6803" s="195" t="s">
        <v>430</v>
      </c>
    </row>
    <row r="6804" spans="1:6" x14ac:dyDescent="0.25">
      <c r="A6804" s="189" t="str">
        <f t="shared" si="106"/>
        <v>MO-IS 270 RP4-500.17N</v>
      </c>
      <c r="B6804" s="195" t="s">
        <v>3139</v>
      </c>
      <c r="C6804" s="196">
        <v>0</v>
      </c>
      <c r="D6804" s="196">
        <v>0.17</v>
      </c>
      <c r="E6804" s="195" t="s">
        <v>589</v>
      </c>
      <c r="F6804" s="195" t="s">
        <v>430</v>
      </c>
    </row>
    <row r="6805" spans="1:6" x14ac:dyDescent="0.25">
      <c r="A6805" s="189" t="str">
        <f t="shared" si="106"/>
        <v>MO-IS 270 RP4-600.19E</v>
      </c>
      <c r="B6805" s="195" t="s">
        <v>3140</v>
      </c>
      <c r="C6805" s="196">
        <v>0</v>
      </c>
      <c r="D6805" s="196">
        <v>0.19</v>
      </c>
      <c r="E6805" s="195" t="s">
        <v>598</v>
      </c>
      <c r="F6805" s="195" t="s">
        <v>19</v>
      </c>
    </row>
    <row r="6806" spans="1:6" x14ac:dyDescent="0.25">
      <c r="A6806" s="189" t="str">
        <f t="shared" si="106"/>
        <v>MO-IS 270 RP4-800.09E</v>
      </c>
      <c r="B6806" s="195" t="s">
        <v>3141</v>
      </c>
      <c r="C6806" s="196">
        <v>0</v>
      </c>
      <c r="D6806" s="196">
        <v>0.09</v>
      </c>
      <c r="E6806" s="195" t="s">
        <v>598</v>
      </c>
      <c r="F6806" s="195" t="s">
        <v>19</v>
      </c>
    </row>
    <row r="6807" spans="1:6" x14ac:dyDescent="0.25">
      <c r="A6807" s="189" t="str">
        <f t="shared" si="106"/>
        <v>MO-IS 270 RP4-900.23E</v>
      </c>
      <c r="B6807" s="195" t="s">
        <v>3142</v>
      </c>
      <c r="C6807" s="196">
        <v>0</v>
      </c>
      <c r="D6807" s="196">
        <v>0.23</v>
      </c>
      <c r="E6807" s="195" t="s">
        <v>598</v>
      </c>
      <c r="F6807" s="195" t="s">
        <v>19</v>
      </c>
    </row>
    <row r="6808" spans="1:6" x14ac:dyDescent="0.25">
      <c r="A6808" s="189" t="str">
        <f t="shared" si="106"/>
        <v>MO-IS 270 RP5-1500.08S</v>
      </c>
      <c r="B6808" s="195" t="s">
        <v>3143</v>
      </c>
      <c r="C6808" s="196">
        <v>0</v>
      </c>
      <c r="D6808" s="196">
        <v>0.08</v>
      </c>
      <c r="E6808" s="195" t="s">
        <v>595</v>
      </c>
      <c r="F6808" s="195" t="s">
        <v>438</v>
      </c>
    </row>
    <row r="6809" spans="1:6" x14ac:dyDescent="0.25">
      <c r="A6809" s="189" t="str">
        <f t="shared" si="106"/>
        <v>MO-IS 270 RP5-1600.15S</v>
      </c>
      <c r="B6809" s="195" t="s">
        <v>3144</v>
      </c>
      <c r="C6809" s="196">
        <v>0</v>
      </c>
      <c r="D6809" s="196">
        <v>0.15</v>
      </c>
      <c r="E6809" s="195" t="s">
        <v>595</v>
      </c>
      <c r="F6809" s="195" t="s">
        <v>438</v>
      </c>
    </row>
    <row r="6810" spans="1:6" x14ac:dyDescent="0.25">
      <c r="A6810" s="189" t="str">
        <f t="shared" si="106"/>
        <v>MO-IS 270 RP5-1800.04N</v>
      </c>
      <c r="B6810" s="195" t="s">
        <v>3145</v>
      </c>
      <c r="C6810" s="196">
        <v>0</v>
      </c>
      <c r="D6810" s="196">
        <v>0.04</v>
      </c>
      <c r="E6810" s="195" t="s">
        <v>589</v>
      </c>
      <c r="F6810" s="195" t="s">
        <v>430</v>
      </c>
    </row>
    <row r="6811" spans="1:6" x14ac:dyDescent="0.25">
      <c r="A6811" s="189" t="str">
        <f t="shared" si="106"/>
        <v>MO-IS 270 RP5-1A00.04E</v>
      </c>
      <c r="B6811" s="195" t="s">
        <v>3146</v>
      </c>
      <c r="C6811" s="196">
        <v>0</v>
      </c>
      <c r="D6811" s="196">
        <v>0.04</v>
      </c>
      <c r="E6811" s="195" t="s">
        <v>598</v>
      </c>
      <c r="F6811" s="195" t="s">
        <v>19</v>
      </c>
    </row>
    <row r="6812" spans="1:6" x14ac:dyDescent="0.25">
      <c r="A6812" s="189" t="str">
        <f t="shared" si="106"/>
        <v>MO-IS 270 RP5-2200.21S</v>
      </c>
      <c r="B6812" s="195" t="s">
        <v>3147</v>
      </c>
      <c r="C6812" s="196">
        <v>0</v>
      </c>
      <c r="D6812" s="196">
        <v>0.21</v>
      </c>
      <c r="E6812" s="195" t="s">
        <v>595</v>
      </c>
      <c r="F6812" s="195" t="s">
        <v>438</v>
      </c>
    </row>
    <row r="6813" spans="1:6" x14ac:dyDescent="0.25">
      <c r="A6813" s="189" t="str">
        <f t="shared" si="106"/>
        <v>MO-IS 270 RP5-400.24S</v>
      </c>
      <c r="B6813" s="195" t="s">
        <v>3148</v>
      </c>
      <c r="C6813" s="196">
        <v>0</v>
      </c>
      <c r="D6813" s="196">
        <v>0.24</v>
      </c>
      <c r="E6813" s="195" t="s">
        <v>595</v>
      </c>
      <c r="F6813" s="195" t="s">
        <v>438</v>
      </c>
    </row>
    <row r="6814" spans="1:6" x14ac:dyDescent="0.25">
      <c r="A6814" s="189" t="str">
        <f t="shared" si="106"/>
        <v>MO-IS 270 RP5-500.05S</v>
      </c>
      <c r="B6814" s="195" t="s">
        <v>3149</v>
      </c>
      <c r="C6814" s="196">
        <v>0</v>
      </c>
      <c r="D6814" s="196">
        <v>0.05</v>
      </c>
      <c r="E6814" s="195" t="s">
        <v>595</v>
      </c>
      <c r="F6814" s="195" t="s">
        <v>438</v>
      </c>
    </row>
    <row r="6815" spans="1:6" x14ac:dyDescent="0.25">
      <c r="A6815" s="189" t="str">
        <f t="shared" si="106"/>
        <v>MO-IS 270 RP5-600.16E</v>
      </c>
      <c r="B6815" s="195" t="s">
        <v>3150</v>
      </c>
      <c r="C6815" s="196">
        <v>0</v>
      </c>
      <c r="D6815" s="196">
        <v>0.16</v>
      </c>
      <c r="E6815" s="195" t="s">
        <v>598</v>
      </c>
      <c r="F6815" s="195" t="s">
        <v>19</v>
      </c>
    </row>
    <row r="6816" spans="1:6" x14ac:dyDescent="0.25">
      <c r="A6816" s="189" t="str">
        <f t="shared" si="106"/>
        <v>MO-IS 270 RP5-800.25E</v>
      </c>
      <c r="B6816" s="195" t="s">
        <v>3151</v>
      </c>
      <c r="C6816" s="196">
        <v>0</v>
      </c>
      <c r="D6816" s="196">
        <v>0.25</v>
      </c>
      <c r="E6816" s="195" t="s">
        <v>598</v>
      </c>
      <c r="F6816" s="195" t="s">
        <v>19</v>
      </c>
    </row>
    <row r="6817" spans="1:6" x14ac:dyDescent="0.25">
      <c r="A6817" s="189" t="str">
        <f t="shared" si="106"/>
        <v>MO-IS 270 RP5-901.05S</v>
      </c>
      <c r="B6817" s="195" t="s">
        <v>3152</v>
      </c>
      <c r="C6817" s="196">
        <v>0</v>
      </c>
      <c r="D6817" s="196">
        <v>1.05</v>
      </c>
      <c r="E6817" s="195" t="s">
        <v>595</v>
      </c>
      <c r="F6817" s="195" t="s">
        <v>438</v>
      </c>
    </row>
    <row r="6818" spans="1:6" x14ac:dyDescent="0.25">
      <c r="A6818" s="189" t="str">
        <f t="shared" si="106"/>
        <v>MO-IS 270 RP6-1000.32E</v>
      </c>
      <c r="B6818" s="195" t="s">
        <v>3153</v>
      </c>
      <c r="C6818" s="196">
        <v>0</v>
      </c>
      <c r="D6818" s="196">
        <v>0.32</v>
      </c>
      <c r="E6818" s="195" t="s">
        <v>598</v>
      </c>
      <c r="F6818" s="195" t="s">
        <v>19</v>
      </c>
    </row>
    <row r="6819" spans="1:6" x14ac:dyDescent="0.25">
      <c r="A6819" s="189" t="str">
        <f t="shared" si="106"/>
        <v>MO-IS 270 RP6-1100.06N</v>
      </c>
      <c r="B6819" s="195" t="s">
        <v>3154</v>
      </c>
      <c r="C6819" s="196">
        <v>0</v>
      </c>
      <c r="D6819" s="196">
        <v>0.06</v>
      </c>
      <c r="E6819" s="195" t="s">
        <v>589</v>
      </c>
      <c r="F6819" s="195" t="s">
        <v>430</v>
      </c>
    </row>
    <row r="6820" spans="1:6" x14ac:dyDescent="0.25">
      <c r="A6820" s="189" t="str">
        <f t="shared" si="106"/>
        <v>MO-IS 270 RP6-1300.31S</v>
      </c>
      <c r="B6820" s="195" t="s">
        <v>3155</v>
      </c>
      <c r="C6820" s="196">
        <v>0</v>
      </c>
      <c r="D6820" s="196">
        <v>0.31</v>
      </c>
      <c r="E6820" s="195" t="s">
        <v>595</v>
      </c>
      <c r="F6820" s="195" t="s">
        <v>438</v>
      </c>
    </row>
    <row r="6821" spans="1:6" x14ac:dyDescent="0.25">
      <c r="A6821" s="189" t="str">
        <f t="shared" si="106"/>
        <v>MO-IS 270 RP6-1500.31E</v>
      </c>
      <c r="B6821" s="195" t="s">
        <v>3156</v>
      </c>
      <c r="C6821" s="196">
        <v>0</v>
      </c>
      <c r="D6821" s="196">
        <v>0.31</v>
      </c>
      <c r="E6821" s="195" t="s">
        <v>598</v>
      </c>
      <c r="F6821" s="195" t="s">
        <v>19</v>
      </c>
    </row>
    <row r="6822" spans="1:6" x14ac:dyDescent="0.25">
      <c r="A6822" s="189" t="str">
        <f t="shared" si="106"/>
        <v>MO-IS 270 RP6-1600.35S</v>
      </c>
      <c r="B6822" s="195" t="s">
        <v>3157</v>
      </c>
      <c r="C6822" s="196">
        <v>0</v>
      </c>
      <c r="D6822" s="196">
        <v>0.35</v>
      </c>
      <c r="E6822" s="195" t="s">
        <v>595</v>
      </c>
      <c r="F6822" s="195" t="s">
        <v>438</v>
      </c>
    </row>
    <row r="6823" spans="1:6" x14ac:dyDescent="0.25">
      <c r="A6823" s="189" t="str">
        <f t="shared" si="106"/>
        <v>MO-IS 270 RP6-1800.04S</v>
      </c>
      <c r="B6823" s="195" t="s">
        <v>3158</v>
      </c>
      <c r="C6823" s="196">
        <v>0</v>
      </c>
      <c r="D6823" s="196">
        <v>0.04</v>
      </c>
      <c r="E6823" s="195" t="s">
        <v>595</v>
      </c>
      <c r="F6823" s="195" t="s">
        <v>438</v>
      </c>
    </row>
    <row r="6824" spans="1:6" x14ac:dyDescent="0.25">
      <c r="A6824" s="189" t="str">
        <f t="shared" si="106"/>
        <v>MO-IS 270 RP6-1A00.05S</v>
      </c>
      <c r="B6824" s="195" t="s">
        <v>3159</v>
      </c>
      <c r="C6824" s="196">
        <v>0</v>
      </c>
      <c r="D6824" s="196">
        <v>0.05</v>
      </c>
      <c r="E6824" s="195" t="s">
        <v>595</v>
      </c>
      <c r="F6824" s="195" t="s">
        <v>438</v>
      </c>
    </row>
    <row r="6825" spans="1:6" x14ac:dyDescent="0.25">
      <c r="A6825" s="189" t="str">
        <f t="shared" si="106"/>
        <v>MO-IS 270 RP6-1B00.26S</v>
      </c>
      <c r="B6825" s="195" t="s">
        <v>3160</v>
      </c>
      <c r="C6825" s="196">
        <v>0</v>
      </c>
      <c r="D6825" s="196">
        <v>0.26</v>
      </c>
      <c r="E6825" s="195" t="s">
        <v>595</v>
      </c>
      <c r="F6825" s="195" t="s">
        <v>438</v>
      </c>
    </row>
    <row r="6826" spans="1:6" x14ac:dyDescent="0.25">
      <c r="A6826" s="189" t="str">
        <f t="shared" si="106"/>
        <v>MO-IS 270 RP6-2200.2S</v>
      </c>
      <c r="B6826" s="195" t="s">
        <v>3161</v>
      </c>
      <c r="C6826" s="196">
        <v>0</v>
      </c>
      <c r="D6826" s="196">
        <v>0.2</v>
      </c>
      <c r="E6826" s="195" t="s">
        <v>595</v>
      </c>
      <c r="F6826" s="195" t="s">
        <v>438</v>
      </c>
    </row>
    <row r="6827" spans="1:6" x14ac:dyDescent="0.25">
      <c r="A6827" s="189" t="str">
        <f t="shared" si="106"/>
        <v>MO-IS 270 RP6-3500.33S</v>
      </c>
      <c r="B6827" s="195" t="s">
        <v>3162</v>
      </c>
      <c r="C6827" s="196">
        <v>0</v>
      </c>
      <c r="D6827" s="196">
        <v>0.33</v>
      </c>
      <c r="E6827" s="195" t="s">
        <v>595</v>
      </c>
      <c r="F6827" s="195" t="s">
        <v>438</v>
      </c>
    </row>
    <row r="6828" spans="1:6" x14ac:dyDescent="0.25">
      <c r="A6828" s="189" t="str">
        <f t="shared" si="106"/>
        <v>MO-IS 270 RP6-400.33E</v>
      </c>
      <c r="B6828" s="195" t="s">
        <v>3163</v>
      </c>
      <c r="C6828" s="196">
        <v>0</v>
      </c>
      <c r="D6828" s="196">
        <v>0.33</v>
      </c>
      <c r="E6828" s="195" t="s">
        <v>598</v>
      </c>
      <c r="F6828" s="195" t="s">
        <v>19</v>
      </c>
    </row>
    <row r="6829" spans="1:6" x14ac:dyDescent="0.25">
      <c r="A6829" s="189" t="str">
        <f t="shared" si="106"/>
        <v>MO-IS 270 RP6-500.08E</v>
      </c>
      <c r="B6829" s="195" t="s">
        <v>3164</v>
      </c>
      <c r="C6829" s="196">
        <v>0</v>
      </c>
      <c r="D6829" s="196">
        <v>0.08</v>
      </c>
      <c r="E6829" s="195" t="s">
        <v>598</v>
      </c>
      <c r="F6829" s="195" t="s">
        <v>19</v>
      </c>
    </row>
    <row r="6830" spans="1:6" x14ac:dyDescent="0.25">
      <c r="A6830" s="189" t="str">
        <f t="shared" si="106"/>
        <v>MO-IS 270 RP6-600.31S</v>
      </c>
      <c r="B6830" s="195" t="s">
        <v>3165</v>
      </c>
      <c r="C6830" s="196">
        <v>0</v>
      </c>
      <c r="D6830" s="196">
        <v>0.31</v>
      </c>
      <c r="E6830" s="195" t="s">
        <v>595</v>
      </c>
      <c r="F6830" s="195" t="s">
        <v>438</v>
      </c>
    </row>
    <row r="6831" spans="1:6" x14ac:dyDescent="0.25">
      <c r="A6831" s="189" t="str">
        <f t="shared" si="106"/>
        <v>MO-IS 270 RP6-800.18S</v>
      </c>
      <c r="B6831" s="195" t="s">
        <v>3166</v>
      </c>
      <c r="C6831" s="196">
        <v>0</v>
      </c>
      <c r="D6831" s="196">
        <v>0.18</v>
      </c>
      <c r="E6831" s="195" t="s">
        <v>595</v>
      </c>
      <c r="F6831" s="195" t="s">
        <v>438</v>
      </c>
    </row>
    <row r="6832" spans="1:6" x14ac:dyDescent="0.25">
      <c r="A6832" s="189" t="str">
        <f t="shared" si="106"/>
        <v>MO-IS 270 RP6-900.18S</v>
      </c>
      <c r="B6832" s="195" t="s">
        <v>3167</v>
      </c>
      <c r="C6832" s="196">
        <v>0</v>
      </c>
      <c r="D6832" s="196">
        <v>0.18</v>
      </c>
      <c r="E6832" s="195" t="s">
        <v>595</v>
      </c>
      <c r="F6832" s="195" t="s">
        <v>438</v>
      </c>
    </row>
    <row r="6833" spans="1:6" x14ac:dyDescent="0.25">
      <c r="A6833" s="189" t="str">
        <f t="shared" si="106"/>
        <v>MO-IS 270 RP7-1000.03S</v>
      </c>
      <c r="B6833" s="195" t="s">
        <v>3168</v>
      </c>
      <c r="C6833" s="196">
        <v>0</v>
      </c>
      <c r="D6833" s="196">
        <v>0.03</v>
      </c>
      <c r="E6833" s="195" t="s">
        <v>595</v>
      </c>
      <c r="F6833" s="195" t="s">
        <v>438</v>
      </c>
    </row>
    <row r="6834" spans="1:6" x14ac:dyDescent="0.25">
      <c r="A6834" s="189" t="str">
        <f t="shared" si="106"/>
        <v>MO-IS 270 RP7-1100.18S</v>
      </c>
      <c r="B6834" s="195" t="s">
        <v>3169</v>
      </c>
      <c r="C6834" s="196">
        <v>0</v>
      </c>
      <c r="D6834" s="196">
        <v>0.18</v>
      </c>
      <c r="E6834" s="195" t="s">
        <v>595</v>
      </c>
      <c r="F6834" s="195" t="s">
        <v>438</v>
      </c>
    </row>
    <row r="6835" spans="1:6" x14ac:dyDescent="0.25">
      <c r="A6835" s="189" t="str">
        <f t="shared" si="106"/>
        <v>MO-IS 270 RP7-1300.03S</v>
      </c>
      <c r="B6835" s="195" t="s">
        <v>3170</v>
      </c>
      <c r="C6835" s="196">
        <v>0</v>
      </c>
      <c r="D6835" s="196">
        <v>0.03</v>
      </c>
      <c r="E6835" s="195" t="s">
        <v>595</v>
      </c>
      <c r="F6835" s="195" t="s">
        <v>438</v>
      </c>
    </row>
    <row r="6836" spans="1:6" x14ac:dyDescent="0.25">
      <c r="A6836" s="189" t="str">
        <f t="shared" si="106"/>
        <v>MO-IS 270 RP7-1500.33W</v>
      </c>
      <c r="B6836" s="195" t="s">
        <v>3171</v>
      </c>
      <c r="C6836" s="196">
        <v>0</v>
      </c>
      <c r="D6836" s="196">
        <v>0.33</v>
      </c>
      <c r="E6836" s="195" t="s">
        <v>593</v>
      </c>
      <c r="F6836" s="195" t="s">
        <v>432</v>
      </c>
    </row>
    <row r="6837" spans="1:6" x14ac:dyDescent="0.25">
      <c r="A6837" s="189" t="str">
        <f t="shared" si="106"/>
        <v>MO-IS 270 RP7-1600.34W</v>
      </c>
      <c r="B6837" s="195" t="s">
        <v>3172</v>
      </c>
      <c r="C6837" s="196">
        <v>0</v>
      </c>
      <c r="D6837" s="196">
        <v>0.34</v>
      </c>
      <c r="E6837" s="195" t="s">
        <v>593</v>
      </c>
      <c r="F6837" s="195" t="s">
        <v>432</v>
      </c>
    </row>
    <row r="6838" spans="1:6" x14ac:dyDescent="0.25">
      <c r="A6838" s="189" t="str">
        <f t="shared" si="106"/>
        <v>MO-IS 270 RP7-1800.21E</v>
      </c>
      <c r="B6838" s="195" t="s">
        <v>3173</v>
      </c>
      <c r="C6838" s="196">
        <v>0</v>
      </c>
      <c r="D6838" s="196">
        <v>0.21</v>
      </c>
      <c r="E6838" s="195" t="s">
        <v>598</v>
      </c>
      <c r="F6838" s="195" t="s">
        <v>19</v>
      </c>
    </row>
    <row r="6839" spans="1:6" x14ac:dyDescent="0.25">
      <c r="A6839" s="189" t="str">
        <f t="shared" si="106"/>
        <v>MO-IS 270 RP7-1A00.04W</v>
      </c>
      <c r="B6839" s="195" t="s">
        <v>3174</v>
      </c>
      <c r="C6839" s="196">
        <v>0</v>
      </c>
      <c r="D6839" s="196">
        <v>0.04</v>
      </c>
      <c r="E6839" s="195" t="s">
        <v>593</v>
      </c>
      <c r="F6839" s="195" t="s">
        <v>432</v>
      </c>
    </row>
    <row r="6840" spans="1:6" x14ac:dyDescent="0.25">
      <c r="A6840" s="189" t="str">
        <f t="shared" si="106"/>
        <v>MO-IS 270 RP7-2200.01S</v>
      </c>
      <c r="B6840" s="195" t="s">
        <v>3175</v>
      </c>
      <c r="C6840" s="196">
        <v>0</v>
      </c>
      <c r="D6840" s="196">
        <v>0.01</v>
      </c>
      <c r="E6840" s="195" t="s">
        <v>595</v>
      </c>
      <c r="F6840" s="195" t="s">
        <v>438</v>
      </c>
    </row>
    <row r="6841" spans="1:6" x14ac:dyDescent="0.25">
      <c r="A6841" s="189" t="str">
        <f t="shared" si="106"/>
        <v>MO-IS 270 RP7-400.21W</v>
      </c>
      <c r="B6841" s="195" t="s">
        <v>3176</v>
      </c>
      <c r="C6841" s="196">
        <v>0</v>
      </c>
      <c r="D6841" s="196">
        <v>0.21</v>
      </c>
      <c r="E6841" s="195" t="s">
        <v>593</v>
      </c>
      <c r="F6841" s="195" t="s">
        <v>432</v>
      </c>
    </row>
    <row r="6842" spans="1:6" x14ac:dyDescent="0.25">
      <c r="A6842" s="189" t="str">
        <f t="shared" si="106"/>
        <v>MO-IS 270 RP7-500.3S</v>
      </c>
      <c r="B6842" s="195" t="s">
        <v>3177</v>
      </c>
      <c r="C6842" s="196">
        <v>0</v>
      </c>
      <c r="D6842" s="196">
        <v>0.3</v>
      </c>
      <c r="E6842" s="195" t="s">
        <v>595</v>
      </c>
      <c r="F6842" s="195" t="s">
        <v>438</v>
      </c>
    </row>
    <row r="6843" spans="1:6" x14ac:dyDescent="0.25">
      <c r="A6843" s="189" t="str">
        <f t="shared" si="106"/>
        <v>MO-IS 270 RP7-600.17W</v>
      </c>
      <c r="B6843" s="195" t="s">
        <v>3178</v>
      </c>
      <c r="C6843" s="196">
        <v>0</v>
      </c>
      <c r="D6843" s="196">
        <v>0.17</v>
      </c>
      <c r="E6843" s="195" t="s">
        <v>593</v>
      </c>
      <c r="F6843" s="195" t="s">
        <v>432</v>
      </c>
    </row>
    <row r="6844" spans="1:6" x14ac:dyDescent="0.25">
      <c r="A6844" s="189" t="str">
        <f t="shared" si="106"/>
        <v>MO-IS 270 RP7-800.26S</v>
      </c>
      <c r="B6844" s="195" t="s">
        <v>3179</v>
      </c>
      <c r="C6844" s="196">
        <v>0</v>
      </c>
      <c r="D6844" s="196">
        <v>0.26</v>
      </c>
      <c r="E6844" s="195" t="s">
        <v>595</v>
      </c>
      <c r="F6844" s="195" t="s">
        <v>438</v>
      </c>
    </row>
    <row r="6845" spans="1:6" x14ac:dyDescent="0.25">
      <c r="A6845" s="189" t="str">
        <f t="shared" si="106"/>
        <v>MO-IS 270 RP7-900.56S</v>
      </c>
      <c r="B6845" s="195" t="s">
        <v>3180</v>
      </c>
      <c r="C6845" s="196">
        <v>0</v>
      </c>
      <c r="D6845" s="196">
        <v>0.56000000000000005</v>
      </c>
      <c r="E6845" s="195" t="s">
        <v>595</v>
      </c>
      <c r="F6845" s="195" t="s">
        <v>438</v>
      </c>
    </row>
    <row r="6846" spans="1:6" x14ac:dyDescent="0.25">
      <c r="A6846" s="189" t="str">
        <f t="shared" si="106"/>
        <v>MO-IS 270 RP8-1100.25S</v>
      </c>
      <c r="B6846" s="195" t="s">
        <v>3181</v>
      </c>
      <c r="C6846" s="196">
        <v>0</v>
      </c>
      <c r="D6846" s="196">
        <v>0.25</v>
      </c>
      <c r="E6846" s="195" t="s">
        <v>595</v>
      </c>
      <c r="F6846" s="195" t="s">
        <v>438</v>
      </c>
    </row>
    <row r="6847" spans="1:6" x14ac:dyDescent="0.25">
      <c r="A6847" s="189" t="str">
        <f t="shared" si="106"/>
        <v>MO-IS 270 RP8-1500.36S</v>
      </c>
      <c r="B6847" s="195" t="s">
        <v>3182</v>
      </c>
      <c r="C6847" s="196">
        <v>0</v>
      </c>
      <c r="D6847" s="196">
        <v>0.36</v>
      </c>
      <c r="E6847" s="195" t="s">
        <v>595</v>
      </c>
      <c r="F6847" s="195" t="s">
        <v>438</v>
      </c>
    </row>
    <row r="6848" spans="1:6" x14ac:dyDescent="0.25">
      <c r="A6848" s="189" t="str">
        <f t="shared" si="106"/>
        <v>MO-IS 270 RP8-1600.45S</v>
      </c>
      <c r="B6848" s="195" t="s">
        <v>3183</v>
      </c>
      <c r="C6848" s="196">
        <v>0</v>
      </c>
      <c r="D6848" s="196">
        <v>0.45</v>
      </c>
      <c r="E6848" s="195" t="s">
        <v>595</v>
      </c>
      <c r="F6848" s="195" t="s">
        <v>438</v>
      </c>
    </row>
    <row r="6849" spans="1:6" x14ac:dyDescent="0.25">
      <c r="A6849" s="189" t="str">
        <f t="shared" si="106"/>
        <v>MO-IS 270 RP8-1800.24S</v>
      </c>
      <c r="B6849" s="195" t="s">
        <v>3184</v>
      </c>
      <c r="C6849" s="196">
        <v>0</v>
      </c>
      <c r="D6849" s="196">
        <v>0.24</v>
      </c>
      <c r="E6849" s="195" t="s">
        <v>595</v>
      </c>
      <c r="F6849" s="195" t="s">
        <v>438</v>
      </c>
    </row>
    <row r="6850" spans="1:6" x14ac:dyDescent="0.25">
      <c r="A6850" s="189" t="str">
        <f t="shared" si="106"/>
        <v>MO-IS 270 RP8-1A00.05S</v>
      </c>
      <c r="B6850" s="195" t="s">
        <v>3185</v>
      </c>
      <c r="C6850" s="196">
        <v>0</v>
      </c>
      <c r="D6850" s="196">
        <v>0.05</v>
      </c>
      <c r="E6850" s="195" t="s">
        <v>595</v>
      </c>
      <c r="F6850" s="195" t="s">
        <v>438</v>
      </c>
    </row>
    <row r="6851" spans="1:6" x14ac:dyDescent="0.25">
      <c r="A6851" s="189" t="str">
        <f t="shared" ref="A6851:A6914" si="107">B6851&amp;C6851&amp;D6851&amp;F6851</f>
        <v>MO-IS 270 RP8-1B00.22N</v>
      </c>
      <c r="B6851" s="195" t="s">
        <v>3186</v>
      </c>
      <c r="C6851" s="196">
        <v>0</v>
      </c>
      <c r="D6851" s="196">
        <v>0.22</v>
      </c>
      <c r="E6851" s="195" t="s">
        <v>589</v>
      </c>
      <c r="F6851" s="195" t="s">
        <v>430</v>
      </c>
    </row>
    <row r="6852" spans="1:6" x14ac:dyDescent="0.25">
      <c r="A6852" s="189" t="str">
        <f t="shared" si="107"/>
        <v>MO-IS 270 RP8-2200.01N</v>
      </c>
      <c r="B6852" s="195" t="s">
        <v>3187</v>
      </c>
      <c r="C6852" s="196">
        <v>0</v>
      </c>
      <c r="D6852" s="196">
        <v>0.01</v>
      </c>
      <c r="E6852" s="195" t="s">
        <v>589</v>
      </c>
      <c r="F6852" s="195" t="s">
        <v>430</v>
      </c>
    </row>
    <row r="6853" spans="1:6" x14ac:dyDescent="0.25">
      <c r="A6853" s="189" t="str">
        <f t="shared" si="107"/>
        <v>MO-IS 270 RP8-400.26S</v>
      </c>
      <c r="B6853" s="195" t="s">
        <v>3188</v>
      </c>
      <c r="C6853" s="196">
        <v>0</v>
      </c>
      <c r="D6853" s="196">
        <v>0.26</v>
      </c>
      <c r="E6853" s="195" t="s">
        <v>595</v>
      </c>
      <c r="F6853" s="195" t="s">
        <v>438</v>
      </c>
    </row>
    <row r="6854" spans="1:6" x14ac:dyDescent="0.25">
      <c r="A6854" s="189" t="str">
        <f t="shared" si="107"/>
        <v>MO-IS 270 RP8-500.2S</v>
      </c>
      <c r="B6854" s="195" t="s">
        <v>3189</v>
      </c>
      <c r="C6854" s="196">
        <v>0</v>
      </c>
      <c r="D6854" s="196">
        <v>0.2</v>
      </c>
      <c r="E6854" s="195" t="s">
        <v>595</v>
      </c>
      <c r="F6854" s="195" t="s">
        <v>438</v>
      </c>
    </row>
    <row r="6855" spans="1:6" x14ac:dyDescent="0.25">
      <c r="A6855" s="189" t="str">
        <f t="shared" si="107"/>
        <v>MO-IS 270 RP8-600.03S</v>
      </c>
      <c r="B6855" s="195" t="s">
        <v>3190</v>
      </c>
      <c r="C6855" s="196">
        <v>0</v>
      </c>
      <c r="D6855" s="196">
        <v>0.03</v>
      </c>
      <c r="E6855" s="195" t="s">
        <v>595</v>
      </c>
      <c r="F6855" s="195" t="s">
        <v>438</v>
      </c>
    </row>
    <row r="6856" spans="1:6" x14ac:dyDescent="0.25">
      <c r="A6856" s="189" t="str">
        <f t="shared" si="107"/>
        <v>MO-IS 270 RP8-800.02W</v>
      </c>
      <c r="B6856" s="195" t="s">
        <v>3191</v>
      </c>
      <c r="C6856" s="196">
        <v>0</v>
      </c>
      <c r="D6856" s="196">
        <v>0.02</v>
      </c>
      <c r="E6856" s="195" t="s">
        <v>593</v>
      </c>
      <c r="F6856" s="195" t="s">
        <v>432</v>
      </c>
    </row>
    <row r="6857" spans="1:6" x14ac:dyDescent="0.25">
      <c r="A6857" s="189" t="str">
        <f t="shared" si="107"/>
        <v>MO-IS 270 RP8-900.2S</v>
      </c>
      <c r="B6857" s="195" t="s">
        <v>3192</v>
      </c>
      <c r="C6857" s="196">
        <v>0</v>
      </c>
      <c r="D6857" s="196">
        <v>0.2</v>
      </c>
      <c r="E6857" s="195" t="s">
        <v>595</v>
      </c>
      <c r="F6857" s="195" t="s">
        <v>438</v>
      </c>
    </row>
    <row r="6858" spans="1:6" x14ac:dyDescent="0.25">
      <c r="A6858" s="189" t="str">
        <f t="shared" si="107"/>
        <v>MO-IS 270 RP9-1500.15N</v>
      </c>
      <c r="B6858" s="195" t="s">
        <v>3193</v>
      </c>
      <c r="C6858" s="196">
        <v>0</v>
      </c>
      <c r="D6858" s="196">
        <v>0.15</v>
      </c>
      <c r="E6858" s="195" t="s">
        <v>589</v>
      </c>
      <c r="F6858" s="195" t="s">
        <v>430</v>
      </c>
    </row>
    <row r="6859" spans="1:6" x14ac:dyDescent="0.25">
      <c r="A6859" s="189" t="str">
        <f t="shared" si="107"/>
        <v>MO-IS 270 RP9-1A00.29W</v>
      </c>
      <c r="B6859" s="195" t="s">
        <v>3194</v>
      </c>
      <c r="C6859" s="196">
        <v>0</v>
      </c>
      <c r="D6859" s="196">
        <v>0.28999999999999998</v>
      </c>
      <c r="E6859" s="195" t="s">
        <v>593</v>
      </c>
      <c r="F6859" s="195" t="s">
        <v>432</v>
      </c>
    </row>
    <row r="6860" spans="1:6" x14ac:dyDescent="0.25">
      <c r="A6860" s="189" t="str">
        <f t="shared" si="107"/>
        <v>MO-IS 270 RP9-400.09W</v>
      </c>
      <c r="B6860" s="195" t="s">
        <v>3195</v>
      </c>
      <c r="C6860" s="196">
        <v>0</v>
      </c>
      <c r="D6860" s="196">
        <v>0.09</v>
      </c>
      <c r="E6860" s="195" t="s">
        <v>593</v>
      </c>
      <c r="F6860" s="195" t="s">
        <v>432</v>
      </c>
    </row>
    <row r="6861" spans="1:6" x14ac:dyDescent="0.25">
      <c r="A6861" s="189" t="str">
        <f t="shared" si="107"/>
        <v>MO-IS 270 RP9-800.19S</v>
      </c>
      <c r="B6861" s="195" t="s">
        <v>3196</v>
      </c>
      <c r="C6861" s="196">
        <v>0</v>
      </c>
      <c r="D6861" s="196">
        <v>0.19</v>
      </c>
      <c r="E6861" s="195" t="s">
        <v>595</v>
      </c>
      <c r="F6861" s="195" t="s">
        <v>438</v>
      </c>
    </row>
    <row r="6862" spans="1:6" x14ac:dyDescent="0.25">
      <c r="A6862" s="189" t="str">
        <f t="shared" si="107"/>
        <v>MO-IS 270Y RP1-100.08N</v>
      </c>
      <c r="B6862" s="195" t="s">
        <v>3197</v>
      </c>
      <c r="C6862" s="196">
        <v>0</v>
      </c>
      <c r="D6862" s="196">
        <v>0.08</v>
      </c>
      <c r="E6862" s="195" t="s">
        <v>589</v>
      </c>
      <c r="F6862" s="195" t="s">
        <v>430</v>
      </c>
    </row>
    <row r="6863" spans="1:6" x14ac:dyDescent="0.25">
      <c r="A6863" s="189" t="str">
        <f t="shared" si="107"/>
        <v>MO-IS 270Y RP2-100.26W</v>
      </c>
      <c r="B6863" s="195" t="s">
        <v>3198</v>
      </c>
      <c r="C6863" s="196">
        <v>0</v>
      </c>
      <c r="D6863" s="196">
        <v>0.26</v>
      </c>
      <c r="E6863" s="195" t="s">
        <v>593</v>
      </c>
      <c r="F6863" s="195" t="s">
        <v>432</v>
      </c>
    </row>
    <row r="6864" spans="1:6" x14ac:dyDescent="0.25">
      <c r="A6864" s="189" t="str">
        <f t="shared" si="107"/>
        <v>MO-IS 270Y RP3-100.24E</v>
      </c>
      <c r="B6864" s="195" t="s">
        <v>3199</v>
      </c>
      <c r="C6864" s="196">
        <v>0</v>
      </c>
      <c r="D6864" s="196">
        <v>0.24</v>
      </c>
      <c r="E6864" s="195" t="s">
        <v>598</v>
      </c>
      <c r="F6864" s="195" t="s">
        <v>19</v>
      </c>
    </row>
    <row r="6865" spans="1:6" x14ac:dyDescent="0.25">
      <c r="A6865" s="189" t="str">
        <f t="shared" si="107"/>
        <v>MO-IS 270Y RP3-200.24N</v>
      </c>
      <c r="B6865" s="195" t="s">
        <v>3200</v>
      </c>
      <c r="C6865" s="196">
        <v>0</v>
      </c>
      <c r="D6865" s="196">
        <v>0.24</v>
      </c>
      <c r="E6865" s="195" t="s">
        <v>589</v>
      </c>
      <c r="F6865" s="195" t="s">
        <v>430</v>
      </c>
    </row>
    <row r="6866" spans="1:6" x14ac:dyDescent="0.25">
      <c r="A6866" s="189" t="str">
        <f t="shared" si="107"/>
        <v>MO-IS 270Y RP4-100.3N</v>
      </c>
      <c r="B6866" s="195" t="s">
        <v>3201</v>
      </c>
      <c r="C6866" s="196">
        <v>0</v>
      </c>
      <c r="D6866" s="196">
        <v>0.3</v>
      </c>
      <c r="E6866" s="195" t="s">
        <v>589</v>
      </c>
      <c r="F6866" s="195" t="s">
        <v>430</v>
      </c>
    </row>
    <row r="6867" spans="1:6" x14ac:dyDescent="0.25">
      <c r="A6867" s="189" t="str">
        <f t="shared" si="107"/>
        <v>MO-IS 270Y RP4-10.170.2S</v>
      </c>
      <c r="B6867" s="195" t="s">
        <v>3201</v>
      </c>
      <c r="C6867" s="196">
        <v>0.17</v>
      </c>
      <c r="D6867" s="196">
        <v>0.2</v>
      </c>
      <c r="E6867" s="195" t="s">
        <v>595</v>
      </c>
      <c r="F6867" s="195" t="s">
        <v>438</v>
      </c>
    </row>
    <row r="6868" spans="1:6" x14ac:dyDescent="0.25">
      <c r="A6868" s="189" t="str">
        <f t="shared" si="107"/>
        <v>MO-IS 270Y RP5-100.04S</v>
      </c>
      <c r="B6868" s="195" t="s">
        <v>3202</v>
      </c>
      <c r="C6868" s="196">
        <v>0</v>
      </c>
      <c r="D6868" s="196">
        <v>0.04</v>
      </c>
      <c r="E6868" s="195" t="s">
        <v>595</v>
      </c>
      <c r="F6868" s="195" t="s">
        <v>438</v>
      </c>
    </row>
    <row r="6869" spans="1:6" x14ac:dyDescent="0.25">
      <c r="A6869" s="189" t="str">
        <f t="shared" si="107"/>
        <v>MO-IS 270Y RP5-200.26S</v>
      </c>
      <c r="B6869" s="195" t="s">
        <v>3203</v>
      </c>
      <c r="C6869" s="196">
        <v>0</v>
      </c>
      <c r="D6869" s="196">
        <v>0.26</v>
      </c>
      <c r="E6869" s="195" t="s">
        <v>595</v>
      </c>
      <c r="F6869" s="195" t="s">
        <v>438</v>
      </c>
    </row>
    <row r="6870" spans="1:6" x14ac:dyDescent="0.25">
      <c r="A6870" s="189" t="str">
        <f t="shared" si="107"/>
        <v>MO-IS 270Y RP6-100.2E</v>
      </c>
      <c r="B6870" s="195" t="s">
        <v>3204</v>
      </c>
      <c r="C6870" s="196">
        <v>0</v>
      </c>
      <c r="D6870" s="196">
        <v>0.2</v>
      </c>
      <c r="E6870" s="195" t="s">
        <v>598</v>
      </c>
      <c r="F6870" s="195" t="s">
        <v>19</v>
      </c>
    </row>
    <row r="6871" spans="1:6" x14ac:dyDescent="0.25">
      <c r="A6871" s="189" t="str">
        <f t="shared" si="107"/>
        <v>MO-IS 270Y RP7-100.09S</v>
      </c>
      <c r="B6871" s="195" t="s">
        <v>3205</v>
      </c>
      <c r="C6871" s="196">
        <v>0</v>
      </c>
      <c r="D6871" s="196">
        <v>0.09</v>
      </c>
      <c r="E6871" s="195" t="s">
        <v>595</v>
      </c>
      <c r="F6871" s="195" t="s">
        <v>438</v>
      </c>
    </row>
    <row r="6872" spans="1:6" x14ac:dyDescent="0.25">
      <c r="A6872" s="189" t="str">
        <f t="shared" si="107"/>
        <v>MO-IS 270Y RP8-100.25S</v>
      </c>
      <c r="B6872" s="195" t="s">
        <v>3206</v>
      </c>
      <c r="C6872" s="196">
        <v>0</v>
      </c>
      <c r="D6872" s="196">
        <v>0.25</v>
      </c>
      <c r="E6872" s="195" t="s">
        <v>595</v>
      </c>
      <c r="F6872" s="195" t="s">
        <v>438</v>
      </c>
    </row>
    <row r="6873" spans="1:6" x14ac:dyDescent="0.25">
      <c r="A6873" s="189" t="str">
        <f t="shared" si="107"/>
        <v>MO-IS 370 RP10-300.06S</v>
      </c>
      <c r="B6873" s="195" t="s">
        <v>3207</v>
      </c>
      <c r="C6873" s="196">
        <v>0</v>
      </c>
      <c r="D6873" s="196">
        <v>0.06</v>
      </c>
      <c r="E6873" s="195" t="s">
        <v>595</v>
      </c>
      <c r="F6873" s="195" t="s">
        <v>438</v>
      </c>
    </row>
    <row r="6874" spans="1:6" x14ac:dyDescent="0.25">
      <c r="A6874" s="189" t="str">
        <f t="shared" si="107"/>
        <v>MO-IS 370 RP11-300.37W</v>
      </c>
      <c r="B6874" s="195" t="s">
        <v>3208</v>
      </c>
      <c r="C6874" s="196">
        <v>0</v>
      </c>
      <c r="D6874" s="196">
        <v>0.37</v>
      </c>
      <c r="E6874" s="195" t="s">
        <v>593</v>
      </c>
      <c r="F6874" s="195" t="s">
        <v>432</v>
      </c>
    </row>
    <row r="6875" spans="1:6" x14ac:dyDescent="0.25">
      <c r="A6875" s="189" t="str">
        <f t="shared" si="107"/>
        <v>MO-IS 370 RP1-200.26N</v>
      </c>
      <c r="B6875" s="195" t="s">
        <v>3209</v>
      </c>
      <c r="C6875" s="196">
        <v>0</v>
      </c>
      <c r="D6875" s="196">
        <v>0.26</v>
      </c>
      <c r="E6875" s="195" t="s">
        <v>589</v>
      </c>
      <c r="F6875" s="195" t="s">
        <v>430</v>
      </c>
    </row>
    <row r="6876" spans="1:6" x14ac:dyDescent="0.25">
      <c r="A6876" s="189" t="str">
        <f t="shared" si="107"/>
        <v>MO-IS 370 RP12-300.03N</v>
      </c>
      <c r="B6876" s="195" t="s">
        <v>3210</v>
      </c>
      <c r="C6876" s="196">
        <v>0</v>
      </c>
      <c r="D6876" s="196">
        <v>0.03</v>
      </c>
      <c r="E6876" s="195" t="s">
        <v>589</v>
      </c>
      <c r="F6876" s="195" t="s">
        <v>430</v>
      </c>
    </row>
    <row r="6877" spans="1:6" x14ac:dyDescent="0.25">
      <c r="A6877" s="189" t="str">
        <f t="shared" si="107"/>
        <v>MO-IS 370 RP1-300.51W</v>
      </c>
      <c r="B6877" s="195" t="s">
        <v>3211</v>
      </c>
      <c r="C6877" s="196">
        <v>0</v>
      </c>
      <c r="D6877" s="196">
        <v>0.51</v>
      </c>
      <c r="E6877" s="195" t="s">
        <v>593</v>
      </c>
      <c r="F6877" s="195" t="s">
        <v>432</v>
      </c>
    </row>
    <row r="6878" spans="1:6" x14ac:dyDescent="0.25">
      <c r="A6878" s="189" t="str">
        <f t="shared" si="107"/>
        <v>MO-IS 370 RP2-200.03S</v>
      </c>
      <c r="B6878" s="195" t="s">
        <v>3212</v>
      </c>
      <c r="C6878" s="196">
        <v>0</v>
      </c>
      <c r="D6878" s="196">
        <v>0.03</v>
      </c>
      <c r="E6878" s="195" t="s">
        <v>595</v>
      </c>
      <c r="F6878" s="195" t="s">
        <v>438</v>
      </c>
    </row>
    <row r="6879" spans="1:6" x14ac:dyDescent="0.25">
      <c r="A6879" s="189" t="str">
        <f t="shared" si="107"/>
        <v>MO-IS 370 RP3-200.54E</v>
      </c>
      <c r="B6879" s="195" t="s">
        <v>3213</v>
      </c>
      <c r="C6879" s="196">
        <v>0</v>
      </c>
      <c r="D6879" s="196">
        <v>0.54</v>
      </c>
      <c r="E6879" s="195" t="s">
        <v>598</v>
      </c>
      <c r="F6879" s="195" t="s">
        <v>19</v>
      </c>
    </row>
    <row r="6880" spans="1:6" x14ac:dyDescent="0.25">
      <c r="A6880" s="189" t="str">
        <f t="shared" si="107"/>
        <v>MO-IS 370 RP4-300.24N</v>
      </c>
      <c r="B6880" s="195" t="s">
        <v>3214</v>
      </c>
      <c r="C6880" s="196">
        <v>0</v>
      </c>
      <c r="D6880" s="196">
        <v>0.24</v>
      </c>
      <c r="E6880" s="195" t="s">
        <v>589</v>
      </c>
      <c r="F6880" s="195" t="s">
        <v>430</v>
      </c>
    </row>
    <row r="6881" spans="1:6" x14ac:dyDescent="0.25">
      <c r="A6881" s="189" t="str">
        <f t="shared" si="107"/>
        <v>MO-IS 370 RP6-300.28E</v>
      </c>
      <c r="B6881" s="195" t="s">
        <v>3215</v>
      </c>
      <c r="C6881" s="196">
        <v>0</v>
      </c>
      <c r="D6881" s="196">
        <v>0.28000000000000003</v>
      </c>
      <c r="E6881" s="195" t="s">
        <v>598</v>
      </c>
      <c r="F6881" s="195" t="s">
        <v>19</v>
      </c>
    </row>
    <row r="6882" spans="1:6" x14ac:dyDescent="0.25">
      <c r="A6882" s="189" t="str">
        <f t="shared" si="107"/>
        <v>MO-IS 370 RP7-200.35S</v>
      </c>
      <c r="B6882" s="195" t="s">
        <v>3216</v>
      </c>
      <c r="C6882" s="196">
        <v>0</v>
      </c>
      <c r="D6882" s="196">
        <v>0.35</v>
      </c>
      <c r="E6882" s="195" t="s">
        <v>595</v>
      </c>
      <c r="F6882" s="195" t="s">
        <v>438</v>
      </c>
    </row>
    <row r="6883" spans="1:6" x14ac:dyDescent="0.25">
      <c r="A6883" s="189" t="str">
        <f t="shared" si="107"/>
        <v>MO-IS 370 RP7-300.57S</v>
      </c>
      <c r="B6883" s="195" t="s">
        <v>3217</v>
      </c>
      <c r="C6883" s="196">
        <v>0</v>
      </c>
      <c r="D6883" s="196">
        <v>0.56999999999999995</v>
      </c>
      <c r="E6883" s="195" t="s">
        <v>595</v>
      </c>
      <c r="F6883" s="195" t="s">
        <v>438</v>
      </c>
    </row>
    <row r="6884" spans="1:6" x14ac:dyDescent="0.25">
      <c r="A6884" s="189" t="str">
        <f t="shared" si="107"/>
        <v>MO-IS 370 RP8-200.24S</v>
      </c>
      <c r="B6884" s="195" t="s">
        <v>3218</v>
      </c>
      <c r="C6884" s="196">
        <v>0</v>
      </c>
      <c r="D6884" s="196">
        <v>0.24</v>
      </c>
      <c r="E6884" s="195" t="s">
        <v>595</v>
      </c>
      <c r="F6884" s="195" t="s">
        <v>438</v>
      </c>
    </row>
    <row r="6885" spans="1:6" x14ac:dyDescent="0.25">
      <c r="A6885" s="189" t="str">
        <f t="shared" si="107"/>
        <v>MO-IS 370 RP9-200.3E</v>
      </c>
      <c r="B6885" s="195" t="s">
        <v>3219</v>
      </c>
      <c r="C6885" s="196">
        <v>0</v>
      </c>
      <c r="D6885" s="196">
        <v>0.3</v>
      </c>
      <c r="E6885" s="195" t="s">
        <v>598</v>
      </c>
      <c r="F6885" s="195" t="s">
        <v>19</v>
      </c>
    </row>
    <row r="6886" spans="1:6" x14ac:dyDescent="0.25">
      <c r="A6886" s="189" t="str">
        <f t="shared" si="107"/>
        <v>MO-IS 370 RP9-300.68N</v>
      </c>
      <c r="B6886" s="195" t="s">
        <v>3220</v>
      </c>
      <c r="C6886" s="196">
        <v>0</v>
      </c>
      <c r="D6886" s="196">
        <v>0.68</v>
      </c>
      <c r="E6886" s="195" t="s">
        <v>589</v>
      </c>
      <c r="F6886" s="195" t="s">
        <v>430</v>
      </c>
    </row>
    <row r="6887" spans="1:6" x14ac:dyDescent="0.25">
      <c r="A6887" s="189" t="str">
        <f t="shared" si="107"/>
        <v>MO-IS 495 RP10-3900.2S</v>
      </c>
      <c r="B6887" s="195" t="s">
        <v>3221</v>
      </c>
      <c r="C6887" s="196">
        <v>0</v>
      </c>
      <c r="D6887" s="196">
        <v>0.2</v>
      </c>
      <c r="E6887" s="195" t="s">
        <v>595</v>
      </c>
      <c r="F6887" s="195" t="s">
        <v>438</v>
      </c>
    </row>
    <row r="6888" spans="1:6" x14ac:dyDescent="0.25">
      <c r="A6888" s="189" t="str">
        <f t="shared" si="107"/>
        <v>MO-IS 495 RP11-3900.45S</v>
      </c>
      <c r="B6888" s="195" t="s">
        <v>3222</v>
      </c>
      <c r="C6888" s="196">
        <v>0</v>
      </c>
      <c r="D6888" s="196">
        <v>0.45</v>
      </c>
      <c r="E6888" s="195" t="s">
        <v>595</v>
      </c>
      <c r="F6888" s="195" t="s">
        <v>438</v>
      </c>
    </row>
    <row r="6889" spans="1:6" x14ac:dyDescent="0.25">
      <c r="A6889" s="189" t="str">
        <f t="shared" si="107"/>
        <v>MO-IS 495 RP1-2800.07E</v>
      </c>
      <c r="B6889" s="195" t="s">
        <v>3223</v>
      </c>
      <c r="C6889" s="196">
        <v>0</v>
      </c>
      <c r="D6889" s="196">
        <v>7.0000000000000007E-2</v>
      </c>
      <c r="E6889" s="195" t="s">
        <v>598</v>
      </c>
      <c r="F6889" s="195" t="s">
        <v>19</v>
      </c>
    </row>
    <row r="6890" spans="1:6" x14ac:dyDescent="0.25">
      <c r="A6890" s="189" t="str">
        <f t="shared" si="107"/>
        <v>MO-IS 495 RP1-280.070.17E</v>
      </c>
      <c r="B6890" s="195" t="s">
        <v>3223</v>
      </c>
      <c r="C6890" s="196">
        <v>7.0000000000000007E-2</v>
      </c>
      <c r="D6890" s="196">
        <v>0.17</v>
      </c>
      <c r="E6890" s="195" t="s">
        <v>598</v>
      </c>
      <c r="F6890" s="195" t="s">
        <v>19</v>
      </c>
    </row>
    <row r="6891" spans="1:6" x14ac:dyDescent="0.25">
      <c r="A6891" s="189" t="str">
        <f t="shared" si="107"/>
        <v>MO-IS 495 RP1-280.170.27E</v>
      </c>
      <c r="B6891" s="195" t="s">
        <v>3223</v>
      </c>
      <c r="C6891" s="196">
        <v>0.17</v>
      </c>
      <c r="D6891" s="196">
        <v>0.27</v>
      </c>
      <c r="E6891" s="195" t="s">
        <v>598</v>
      </c>
      <c r="F6891" s="195" t="s">
        <v>19</v>
      </c>
    </row>
    <row r="6892" spans="1:6" x14ac:dyDescent="0.25">
      <c r="A6892" s="189" t="str">
        <f t="shared" si="107"/>
        <v>MO-IS 495 RP1-2900.12N</v>
      </c>
      <c r="B6892" s="195" t="s">
        <v>3224</v>
      </c>
      <c r="C6892" s="196">
        <v>0</v>
      </c>
      <c r="D6892" s="196">
        <v>0.12</v>
      </c>
      <c r="E6892" s="195" t="s">
        <v>589</v>
      </c>
      <c r="F6892" s="195" t="s">
        <v>430</v>
      </c>
    </row>
    <row r="6893" spans="1:6" x14ac:dyDescent="0.25">
      <c r="A6893" s="189" t="str">
        <f t="shared" si="107"/>
        <v>MO-IS 495 RP1-3000.12N</v>
      </c>
      <c r="B6893" s="195" t="s">
        <v>3225</v>
      </c>
      <c r="C6893" s="196">
        <v>0</v>
      </c>
      <c r="D6893" s="196">
        <v>0.12</v>
      </c>
      <c r="E6893" s="195" t="s">
        <v>589</v>
      </c>
      <c r="F6893" s="195" t="s">
        <v>430</v>
      </c>
    </row>
    <row r="6894" spans="1:6" x14ac:dyDescent="0.25">
      <c r="A6894" s="189" t="str">
        <f t="shared" si="107"/>
        <v>MO-IS 495 RP1-3100.08N</v>
      </c>
      <c r="B6894" s="195" t="s">
        <v>3226</v>
      </c>
      <c r="C6894" s="196">
        <v>0</v>
      </c>
      <c r="D6894" s="196">
        <v>0.08</v>
      </c>
      <c r="E6894" s="195" t="s">
        <v>589</v>
      </c>
      <c r="F6894" s="195" t="s">
        <v>430</v>
      </c>
    </row>
    <row r="6895" spans="1:6" x14ac:dyDescent="0.25">
      <c r="A6895" s="189" t="str">
        <f t="shared" si="107"/>
        <v>MO-IS 495 RP1-3300.25N</v>
      </c>
      <c r="B6895" s="195" t="s">
        <v>3227</v>
      </c>
      <c r="C6895" s="196">
        <v>0</v>
      </c>
      <c r="D6895" s="196">
        <v>0.25</v>
      </c>
      <c r="E6895" s="195" t="s">
        <v>589</v>
      </c>
      <c r="F6895" s="195" t="s">
        <v>430</v>
      </c>
    </row>
    <row r="6896" spans="1:6" x14ac:dyDescent="0.25">
      <c r="A6896" s="189" t="str">
        <f t="shared" si="107"/>
        <v>MO-IS 495 RP1-3400.24N</v>
      </c>
      <c r="B6896" s="195" t="s">
        <v>3228</v>
      </c>
      <c r="C6896" s="196">
        <v>0</v>
      </c>
      <c r="D6896" s="196">
        <v>0.24</v>
      </c>
      <c r="E6896" s="195" t="s">
        <v>589</v>
      </c>
      <c r="F6896" s="195" t="s">
        <v>430</v>
      </c>
    </row>
    <row r="6897" spans="1:6" x14ac:dyDescent="0.25">
      <c r="A6897" s="189" t="str">
        <f t="shared" si="107"/>
        <v>MO-IS 495 RP1-3600.01W</v>
      </c>
      <c r="B6897" s="195" t="s">
        <v>3229</v>
      </c>
      <c r="C6897" s="196">
        <v>0</v>
      </c>
      <c r="D6897" s="196">
        <v>0.01</v>
      </c>
      <c r="E6897" s="195" t="s">
        <v>593</v>
      </c>
      <c r="F6897" s="195" t="s">
        <v>432</v>
      </c>
    </row>
    <row r="6898" spans="1:6" x14ac:dyDescent="0.25">
      <c r="A6898" s="189" t="str">
        <f t="shared" si="107"/>
        <v>MO-IS 495 RP1-3900.36N</v>
      </c>
      <c r="B6898" s="195" t="s">
        <v>3230</v>
      </c>
      <c r="C6898" s="196">
        <v>0</v>
      </c>
      <c r="D6898" s="196">
        <v>0.36</v>
      </c>
      <c r="E6898" s="195" t="s">
        <v>589</v>
      </c>
      <c r="F6898" s="195" t="s">
        <v>430</v>
      </c>
    </row>
    <row r="6899" spans="1:6" x14ac:dyDescent="0.25">
      <c r="A6899" s="189" t="str">
        <f t="shared" si="107"/>
        <v>MO-IS 495 RP1-4100.11N</v>
      </c>
      <c r="B6899" s="195" t="s">
        <v>3231</v>
      </c>
      <c r="C6899" s="196">
        <v>0</v>
      </c>
      <c r="D6899" s="196">
        <v>0.11</v>
      </c>
      <c r="E6899" s="195" t="s">
        <v>589</v>
      </c>
      <c r="F6899" s="195" t="s">
        <v>430</v>
      </c>
    </row>
    <row r="6900" spans="1:6" x14ac:dyDescent="0.25">
      <c r="A6900" s="189" t="str">
        <f t="shared" si="107"/>
        <v>MO-IS 495 RP2-2800.29W</v>
      </c>
      <c r="B6900" s="195" t="s">
        <v>3232</v>
      </c>
      <c r="C6900" s="196">
        <v>0</v>
      </c>
      <c r="D6900" s="196">
        <v>0.28999999999999998</v>
      </c>
      <c r="E6900" s="195" t="s">
        <v>593</v>
      </c>
      <c r="F6900" s="195" t="s">
        <v>432</v>
      </c>
    </row>
    <row r="6901" spans="1:6" x14ac:dyDescent="0.25">
      <c r="A6901" s="189" t="str">
        <f t="shared" si="107"/>
        <v>MO-IS 495 RP2-2900.21W</v>
      </c>
      <c r="B6901" s="195" t="s">
        <v>3233</v>
      </c>
      <c r="C6901" s="196">
        <v>0</v>
      </c>
      <c r="D6901" s="196">
        <v>0.21</v>
      </c>
      <c r="E6901" s="195" t="s">
        <v>593</v>
      </c>
      <c r="F6901" s="195" t="s">
        <v>432</v>
      </c>
    </row>
    <row r="6902" spans="1:6" x14ac:dyDescent="0.25">
      <c r="A6902" s="189" t="str">
        <f t="shared" si="107"/>
        <v>MO-IS 495 RP2-3100.16W</v>
      </c>
      <c r="B6902" s="195" t="s">
        <v>3234</v>
      </c>
      <c r="C6902" s="196">
        <v>0</v>
      </c>
      <c r="D6902" s="196">
        <v>0.16</v>
      </c>
      <c r="E6902" s="195" t="s">
        <v>593</v>
      </c>
      <c r="F6902" s="195" t="s">
        <v>432</v>
      </c>
    </row>
    <row r="6903" spans="1:6" x14ac:dyDescent="0.25">
      <c r="A6903" s="189" t="str">
        <f t="shared" si="107"/>
        <v>MO-IS 495 RP2-3300.44W</v>
      </c>
      <c r="B6903" s="195" t="s">
        <v>3235</v>
      </c>
      <c r="C6903" s="196">
        <v>0</v>
      </c>
      <c r="D6903" s="196">
        <v>0.44</v>
      </c>
      <c r="E6903" s="195" t="s">
        <v>593</v>
      </c>
      <c r="F6903" s="195" t="s">
        <v>432</v>
      </c>
    </row>
    <row r="6904" spans="1:6" x14ac:dyDescent="0.25">
      <c r="A6904" s="189" t="str">
        <f t="shared" si="107"/>
        <v>MO-IS 495 RP2-3400.22W</v>
      </c>
      <c r="B6904" s="195" t="s">
        <v>3236</v>
      </c>
      <c r="C6904" s="196">
        <v>0</v>
      </c>
      <c r="D6904" s="196">
        <v>0.22</v>
      </c>
      <c r="E6904" s="195" t="s">
        <v>593</v>
      </c>
      <c r="F6904" s="195" t="s">
        <v>432</v>
      </c>
    </row>
    <row r="6905" spans="1:6" x14ac:dyDescent="0.25">
      <c r="A6905" s="189" t="str">
        <f t="shared" si="107"/>
        <v>MO-IS 495 RP2-3600.23W</v>
      </c>
      <c r="B6905" s="195" t="s">
        <v>3237</v>
      </c>
      <c r="C6905" s="196">
        <v>0</v>
      </c>
      <c r="D6905" s="196">
        <v>0.23</v>
      </c>
      <c r="E6905" s="195" t="s">
        <v>593</v>
      </c>
      <c r="F6905" s="195" t="s">
        <v>432</v>
      </c>
    </row>
    <row r="6906" spans="1:6" x14ac:dyDescent="0.25">
      <c r="A6906" s="189" t="str">
        <f t="shared" si="107"/>
        <v>MO-IS 495 RP2-3900.31W</v>
      </c>
      <c r="B6906" s="195" t="s">
        <v>3238</v>
      </c>
      <c r="C6906" s="196">
        <v>0</v>
      </c>
      <c r="D6906" s="196">
        <v>0.31</v>
      </c>
      <c r="E6906" s="195" t="s">
        <v>593</v>
      </c>
      <c r="F6906" s="195" t="s">
        <v>432</v>
      </c>
    </row>
    <row r="6907" spans="1:6" x14ac:dyDescent="0.25">
      <c r="A6907" s="189" t="str">
        <f t="shared" si="107"/>
        <v>MO-IS 495 RP3-2800.23E</v>
      </c>
      <c r="B6907" s="195" t="s">
        <v>3239</v>
      </c>
      <c r="C6907" s="196">
        <v>0</v>
      </c>
      <c r="D6907" s="196">
        <v>0.23</v>
      </c>
      <c r="E6907" s="195" t="s">
        <v>598</v>
      </c>
      <c r="F6907" s="195" t="s">
        <v>19</v>
      </c>
    </row>
    <row r="6908" spans="1:6" x14ac:dyDescent="0.25">
      <c r="A6908" s="189" t="str">
        <f t="shared" si="107"/>
        <v>MO-IS 495 RP3-3000.15E</v>
      </c>
      <c r="B6908" s="195" t="s">
        <v>3240</v>
      </c>
      <c r="C6908" s="196">
        <v>0</v>
      </c>
      <c r="D6908" s="196">
        <v>0.15</v>
      </c>
      <c r="E6908" s="195" t="s">
        <v>598</v>
      </c>
      <c r="F6908" s="195" t="s">
        <v>19</v>
      </c>
    </row>
    <row r="6909" spans="1:6" x14ac:dyDescent="0.25">
      <c r="A6909" s="189" t="str">
        <f t="shared" si="107"/>
        <v>MO-IS 495 RP3-3100.1E</v>
      </c>
      <c r="B6909" s="195" t="s">
        <v>3241</v>
      </c>
      <c r="C6909" s="196">
        <v>0</v>
      </c>
      <c r="D6909" s="196">
        <v>0.1</v>
      </c>
      <c r="E6909" s="195" t="s">
        <v>598</v>
      </c>
      <c r="F6909" s="195" t="s">
        <v>19</v>
      </c>
    </row>
    <row r="6910" spans="1:6" x14ac:dyDescent="0.25">
      <c r="A6910" s="189" t="str">
        <f t="shared" si="107"/>
        <v>MO-IS 495 RP3-3300.21E</v>
      </c>
      <c r="B6910" s="195" t="s">
        <v>3242</v>
      </c>
      <c r="C6910" s="196">
        <v>0</v>
      </c>
      <c r="D6910" s="196">
        <v>0.21</v>
      </c>
      <c r="E6910" s="195" t="s">
        <v>598</v>
      </c>
      <c r="F6910" s="195" t="s">
        <v>19</v>
      </c>
    </row>
    <row r="6911" spans="1:6" x14ac:dyDescent="0.25">
      <c r="A6911" s="189" t="str">
        <f t="shared" si="107"/>
        <v>MO-IS 495 RP3-3600.02E</v>
      </c>
      <c r="B6911" s="195" t="s">
        <v>3243</v>
      </c>
      <c r="C6911" s="196">
        <v>0</v>
      </c>
      <c r="D6911" s="196">
        <v>0.02</v>
      </c>
      <c r="E6911" s="195" t="s">
        <v>598</v>
      </c>
      <c r="F6911" s="195" t="s">
        <v>19</v>
      </c>
    </row>
    <row r="6912" spans="1:6" x14ac:dyDescent="0.25">
      <c r="A6912" s="189" t="str">
        <f t="shared" si="107"/>
        <v>MO-IS 495 RP3-3900.03N</v>
      </c>
      <c r="B6912" s="195" t="s">
        <v>3244</v>
      </c>
      <c r="C6912" s="196">
        <v>0</v>
      </c>
      <c r="D6912" s="196">
        <v>0.03</v>
      </c>
      <c r="E6912" s="195" t="s">
        <v>589</v>
      </c>
      <c r="F6912" s="195" t="s">
        <v>430</v>
      </c>
    </row>
    <row r="6913" spans="1:6" x14ac:dyDescent="0.25">
      <c r="A6913" s="189" t="str">
        <f t="shared" si="107"/>
        <v>MO-IS 495 RP3-4100.46E</v>
      </c>
      <c r="B6913" s="195" t="s">
        <v>3245</v>
      </c>
      <c r="C6913" s="196">
        <v>0</v>
      </c>
      <c r="D6913" s="196">
        <v>0.46</v>
      </c>
      <c r="E6913" s="195" t="s">
        <v>598</v>
      </c>
      <c r="F6913" s="195" t="s">
        <v>19</v>
      </c>
    </row>
    <row r="6914" spans="1:6" x14ac:dyDescent="0.25">
      <c r="A6914" s="189" t="str">
        <f t="shared" si="107"/>
        <v>MO-IS 495 RP4-2800.35N</v>
      </c>
      <c r="B6914" s="195" t="s">
        <v>3246</v>
      </c>
      <c r="C6914" s="196">
        <v>0</v>
      </c>
      <c r="D6914" s="196">
        <v>0.35</v>
      </c>
      <c r="E6914" s="195" t="s">
        <v>589</v>
      </c>
      <c r="F6914" s="195" t="s">
        <v>430</v>
      </c>
    </row>
    <row r="6915" spans="1:6" x14ac:dyDescent="0.25">
      <c r="A6915" s="189" t="str">
        <f t="shared" ref="A6915:A6978" si="108">B6915&amp;C6915&amp;D6915&amp;F6915</f>
        <v>MO-IS 495 RP4-2900.21N</v>
      </c>
      <c r="B6915" s="195" t="s">
        <v>3247</v>
      </c>
      <c r="C6915" s="196">
        <v>0</v>
      </c>
      <c r="D6915" s="196">
        <v>0.21</v>
      </c>
      <c r="E6915" s="195" t="s">
        <v>589</v>
      </c>
      <c r="F6915" s="195" t="s">
        <v>430</v>
      </c>
    </row>
    <row r="6916" spans="1:6" x14ac:dyDescent="0.25">
      <c r="A6916" s="189" t="str">
        <f t="shared" si="108"/>
        <v>MO-IS 495 RP4-3000.23N</v>
      </c>
      <c r="B6916" s="195" t="s">
        <v>3248</v>
      </c>
      <c r="C6916" s="196">
        <v>0</v>
      </c>
      <c r="D6916" s="196">
        <v>0.23</v>
      </c>
      <c r="E6916" s="195" t="s">
        <v>589</v>
      </c>
      <c r="F6916" s="195" t="s">
        <v>430</v>
      </c>
    </row>
    <row r="6917" spans="1:6" x14ac:dyDescent="0.25">
      <c r="A6917" s="189" t="str">
        <f t="shared" si="108"/>
        <v>MO-IS 495 RP4-3100.12N</v>
      </c>
      <c r="B6917" s="195" t="s">
        <v>3249</v>
      </c>
      <c r="C6917" s="196">
        <v>0</v>
      </c>
      <c r="D6917" s="196">
        <v>0.12</v>
      </c>
      <c r="E6917" s="195" t="s">
        <v>589</v>
      </c>
      <c r="F6917" s="195" t="s">
        <v>430</v>
      </c>
    </row>
    <row r="6918" spans="1:6" x14ac:dyDescent="0.25">
      <c r="A6918" s="189" t="str">
        <f t="shared" si="108"/>
        <v>MO-IS 495 RP4-3300.21N</v>
      </c>
      <c r="B6918" s="195" t="s">
        <v>3250</v>
      </c>
      <c r="C6918" s="196">
        <v>0</v>
      </c>
      <c r="D6918" s="196">
        <v>0.21</v>
      </c>
      <c r="E6918" s="195" t="s">
        <v>589</v>
      </c>
      <c r="F6918" s="195" t="s">
        <v>430</v>
      </c>
    </row>
    <row r="6919" spans="1:6" x14ac:dyDescent="0.25">
      <c r="A6919" s="189" t="str">
        <f t="shared" si="108"/>
        <v>MO-IS 495 RP4-3400.13N</v>
      </c>
      <c r="B6919" s="195" t="s">
        <v>3251</v>
      </c>
      <c r="C6919" s="196">
        <v>0</v>
      </c>
      <c r="D6919" s="196">
        <v>0.13</v>
      </c>
      <c r="E6919" s="195" t="s">
        <v>589</v>
      </c>
      <c r="F6919" s="195" t="s">
        <v>430</v>
      </c>
    </row>
    <row r="6920" spans="1:6" x14ac:dyDescent="0.25">
      <c r="A6920" s="189" t="str">
        <f t="shared" si="108"/>
        <v>MO-IS 495 RP4-3600.18N</v>
      </c>
      <c r="B6920" s="195" t="s">
        <v>3252</v>
      </c>
      <c r="C6920" s="196">
        <v>0</v>
      </c>
      <c r="D6920" s="196">
        <v>0.18</v>
      </c>
      <c r="E6920" s="195" t="s">
        <v>589</v>
      </c>
      <c r="F6920" s="195" t="s">
        <v>430</v>
      </c>
    </row>
    <row r="6921" spans="1:6" x14ac:dyDescent="0.25">
      <c r="A6921" s="189" t="str">
        <f t="shared" si="108"/>
        <v>MO-IS 495 RP4-3900.58N</v>
      </c>
      <c r="B6921" s="195" t="s">
        <v>3253</v>
      </c>
      <c r="C6921" s="196">
        <v>0</v>
      </c>
      <c r="D6921" s="196">
        <v>0.57999999999999996</v>
      </c>
      <c r="E6921" s="195" t="s">
        <v>589</v>
      </c>
      <c r="F6921" s="195" t="s">
        <v>430</v>
      </c>
    </row>
    <row r="6922" spans="1:6" x14ac:dyDescent="0.25">
      <c r="A6922" s="189" t="str">
        <f t="shared" si="108"/>
        <v>MO-IS 495 RP4-4100.45N</v>
      </c>
      <c r="B6922" s="195" t="s">
        <v>3254</v>
      </c>
      <c r="C6922" s="196">
        <v>0</v>
      </c>
      <c r="D6922" s="196">
        <v>0.45</v>
      </c>
      <c r="E6922" s="195" t="s">
        <v>589</v>
      </c>
      <c r="F6922" s="195" t="s">
        <v>430</v>
      </c>
    </row>
    <row r="6923" spans="1:6" x14ac:dyDescent="0.25">
      <c r="A6923" s="189" t="str">
        <f t="shared" si="108"/>
        <v>MO-IS 495 RP5-2800.14S</v>
      </c>
      <c r="B6923" s="195" t="s">
        <v>3255</v>
      </c>
      <c r="C6923" s="196">
        <v>0</v>
      </c>
      <c r="D6923" s="196">
        <v>0.14000000000000001</v>
      </c>
      <c r="E6923" s="195" t="s">
        <v>595</v>
      </c>
      <c r="F6923" s="195" t="s">
        <v>438</v>
      </c>
    </row>
    <row r="6924" spans="1:6" x14ac:dyDescent="0.25">
      <c r="A6924" s="189" t="str">
        <f t="shared" si="108"/>
        <v>MO-IS 495 RP5-2900.15S</v>
      </c>
      <c r="B6924" s="195" t="s">
        <v>3256</v>
      </c>
      <c r="C6924" s="196">
        <v>0</v>
      </c>
      <c r="D6924" s="196">
        <v>0.15</v>
      </c>
      <c r="E6924" s="195" t="s">
        <v>595</v>
      </c>
      <c r="F6924" s="195" t="s">
        <v>438</v>
      </c>
    </row>
    <row r="6925" spans="1:6" x14ac:dyDescent="0.25">
      <c r="A6925" s="189" t="str">
        <f t="shared" si="108"/>
        <v>MO-IS 495 RP5-3100.13S</v>
      </c>
      <c r="B6925" s="195" t="s">
        <v>3257</v>
      </c>
      <c r="C6925" s="196">
        <v>0</v>
      </c>
      <c r="D6925" s="196">
        <v>0.13</v>
      </c>
      <c r="E6925" s="195" t="s">
        <v>595</v>
      </c>
      <c r="F6925" s="195" t="s">
        <v>438</v>
      </c>
    </row>
    <row r="6926" spans="1:6" x14ac:dyDescent="0.25">
      <c r="A6926" s="189" t="str">
        <f t="shared" si="108"/>
        <v>MO-IS 495 RP5-3300.17S</v>
      </c>
      <c r="B6926" s="195" t="s">
        <v>3258</v>
      </c>
      <c r="C6926" s="196">
        <v>0</v>
      </c>
      <c r="D6926" s="196">
        <v>0.17</v>
      </c>
      <c r="E6926" s="195" t="s">
        <v>595</v>
      </c>
      <c r="F6926" s="195" t="s">
        <v>438</v>
      </c>
    </row>
    <row r="6927" spans="1:6" x14ac:dyDescent="0.25">
      <c r="A6927" s="189" t="str">
        <f t="shared" si="108"/>
        <v>MO-IS 495 RP5-3400.22S</v>
      </c>
      <c r="B6927" s="195" t="s">
        <v>3259</v>
      </c>
      <c r="C6927" s="196">
        <v>0</v>
      </c>
      <c r="D6927" s="196">
        <v>0.22</v>
      </c>
      <c r="E6927" s="195" t="s">
        <v>595</v>
      </c>
      <c r="F6927" s="195" t="s">
        <v>438</v>
      </c>
    </row>
    <row r="6928" spans="1:6" x14ac:dyDescent="0.25">
      <c r="A6928" s="189" t="str">
        <f t="shared" si="108"/>
        <v>MO-IS 495 RP5-3600.02E</v>
      </c>
      <c r="B6928" s="195" t="s">
        <v>3260</v>
      </c>
      <c r="C6928" s="196">
        <v>0</v>
      </c>
      <c r="D6928" s="196">
        <v>0.02</v>
      </c>
      <c r="E6928" s="195" t="s">
        <v>598</v>
      </c>
      <c r="F6928" s="195" t="s">
        <v>19</v>
      </c>
    </row>
    <row r="6929" spans="1:6" x14ac:dyDescent="0.25">
      <c r="A6929" s="189" t="str">
        <f t="shared" si="108"/>
        <v>MO-IS 495 RP5-3900.17S</v>
      </c>
      <c r="B6929" s="195" t="s">
        <v>3261</v>
      </c>
      <c r="C6929" s="196">
        <v>0</v>
      </c>
      <c r="D6929" s="196">
        <v>0.17</v>
      </c>
      <c r="E6929" s="195" t="s">
        <v>595</v>
      </c>
      <c r="F6929" s="195" t="s">
        <v>438</v>
      </c>
    </row>
    <row r="6930" spans="1:6" x14ac:dyDescent="0.25">
      <c r="A6930" s="189" t="str">
        <f t="shared" si="108"/>
        <v>MO-IS 495 RP6-2800.24E</v>
      </c>
      <c r="B6930" s="195" t="s">
        <v>3262</v>
      </c>
      <c r="C6930" s="196">
        <v>0</v>
      </c>
      <c r="D6930" s="196">
        <v>0.24</v>
      </c>
      <c r="E6930" s="195" t="s">
        <v>598</v>
      </c>
      <c r="F6930" s="195" t="s">
        <v>19</v>
      </c>
    </row>
    <row r="6931" spans="1:6" x14ac:dyDescent="0.25">
      <c r="A6931" s="189" t="str">
        <f t="shared" si="108"/>
        <v>MO-IS 495 RP6-2900.22E</v>
      </c>
      <c r="B6931" s="195" t="s">
        <v>3263</v>
      </c>
      <c r="C6931" s="196">
        <v>0</v>
      </c>
      <c r="D6931" s="196">
        <v>0.22</v>
      </c>
      <c r="E6931" s="195" t="s">
        <v>598</v>
      </c>
      <c r="F6931" s="195" t="s">
        <v>19</v>
      </c>
    </row>
    <row r="6932" spans="1:6" x14ac:dyDescent="0.25">
      <c r="A6932" s="189" t="str">
        <f t="shared" si="108"/>
        <v>MO-IS 495 RP6-3000.17E</v>
      </c>
      <c r="B6932" s="195" t="s">
        <v>3264</v>
      </c>
      <c r="C6932" s="196">
        <v>0</v>
      </c>
      <c r="D6932" s="196">
        <v>0.17</v>
      </c>
      <c r="E6932" s="195" t="s">
        <v>598</v>
      </c>
      <c r="F6932" s="195" t="s">
        <v>19</v>
      </c>
    </row>
    <row r="6933" spans="1:6" x14ac:dyDescent="0.25">
      <c r="A6933" s="189" t="str">
        <f t="shared" si="108"/>
        <v>MO-IS 495 RP6-3100.17E</v>
      </c>
      <c r="B6933" s="195" t="s">
        <v>3265</v>
      </c>
      <c r="C6933" s="196">
        <v>0</v>
      </c>
      <c r="D6933" s="196">
        <v>0.17</v>
      </c>
      <c r="E6933" s="195" t="s">
        <v>598</v>
      </c>
      <c r="F6933" s="195" t="s">
        <v>19</v>
      </c>
    </row>
    <row r="6934" spans="1:6" x14ac:dyDescent="0.25">
      <c r="A6934" s="189" t="str">
        <f t="shared" si="108"/>
        <v>MO-IS 495 RP6-3300.08E</v>
      </c>
      <c r="B6934" s="195" t="s">
        <v>3266</v>
      </c>
      <c r="C6934" s="196">
        <v>0</v>
      </c>
      <c r="D6934" s="196">
        <v>0.08</v>
      </c>
      <c r="E6934" s="195" t="s">
        <v>598</v>
      </c>
      <c r="F6934" s="195" t="s">
        <v>19</v>
      </c>
    </row>
    <row r="6935" spans="1:6" x14ac:dyDescent="0.25">
      <c r="A6935" s="189" t="str">
        <f t="shared" si="108"/>
        <v>MO-IS 495 RP6-3400.41E</v>
      </c>
      <c r="B6935" s="195" t="s">
        <v>3267</v>
      </c>
      <c r="C6935" s="196">
        <v>0</v>
      </c>
      <c r="D6935" s="196">
        <v>0.41</v>
      </c>
      <c r="E6935" s="195" t="s">
        <v>598</v>
      </c>
      <c r="F6935" s="195" t="s">
        <v>19</v>
      </c>
    </row>
    <row r="6936" spans="1:6" x14ac:dyDescent="0.25">
      <c r="A6936" s="189" t="str">
        <f t="shared" si="108"/>
        <v>MO-IS 495 RP6-3600.19E</v>
      </c>
      <c r="B6936" s="195" t="s">
        <v>3268</v>
      </c>
      <c r="C6936" s="196">
        <v>0</v>
      </c>
      <c r="D6936" s="196">
        <v>0.19</v>
      </c>
      <c r="E6936" s="195" t="s">
        <v>598</v>
      </c>
      <c r="F6936" s="195" t="s">
        <v>19</v>
      </c>
    </row>
    <row r="6937" spans="1:6" x14ac:dyDescent="0.25">
      <c r="A6937" s="189" t="str">
        <f t="shared" si="108"/>
        <v>MO-IS 495 RP6-3900.2S</v>
      </c>
      <c r="B6937" s="195" t="s">
        <v>3269</v>
      </c>
      <c r="C6937" s="196">
        <v>0</v>
      </c>
      <c r="D6937" s="196">
        <v>0.2</v>
      </c>
      <c r="E6937" s="195" t="s">
        <v>595</v>
      </c>
      <c r="F6937" s="195" t="s">
        <v>438</v>
      </c>
    </row>
    <row r="6938" spans="1:6" x14ac:dyDescent="0.25">
      <c r="A6938" s="189" t="str">
        <f t="shared" si="108"/>
        <v>MO-IS 495 RP6-4100.32E</v>
      </c>
      <c r="B6938" s="195" t="s">
        <v>3270</v>
      </c>
      <c r="C6938" s="196">
        <v>0</v>
      </c>
      <c r="D6938" s="196">
        <v>0.32</v>
      </c>
      <c r="E6938" s="195" t="s">
        <v>598</v>
      </c>
      <c r="F6938" s="195" t="s">
        <v>19</v>
      </c>
    </row>
    <row r="6939" spans="1:6" x14ac:dyDescent="0.25">
      <c r="A6939" s="189" t="str">
        <f t="shared" si="108"/>
        <v>MO-IS 495 RP7-2800.12W</v>
      </c>
      <c r="B6939" s="195" t="s">
        <v>3271</v>
      </c>
      <c r="C6939" s="196">
        <v>0</v>
      </c>
      <c r="D6939" s="196">
        <v>0.12</v>
      </c>
      <c r="E6939" s="195" t="s">
        <v>593</v>
      </c>
      <c r="F6939" s="195" t="s">
        <v>432</v>
      </c>
    </row>
    <row r="6940" spans="1:6" x14ac:dyDescent="0.25">
      <c r="A6940" s="189" t="str">
        <f t="shared" si="108"/>
        <v>MO-IS 495 RP7-2900.02W</v>
      </c>
      <c r="B6940" s="195" t="s">
        <v>3272</v>
      </c>
      <c r="C6940" s="196">
        <v>0</v>
      </c>
      <c r="D6940" s="196">
        <v>0.02</v>
      </c>
      <c r="E6940" s="195" t="s">
        <v>593</v>
      </c>
      <c r="F6940" s="195" t="s">
        <v>432</v>
      </c>
    </row>
    <row r="6941" spans="1:6" x14ac:dyDescent="0.25">
      <c r="A6941" s="189" t="str">
        <f t="shared" si="108"/>
        <v>MO-IS 495 RP7-3000.17W</v>
      </c>
      <c r="B6941" s="195" t="s">
        <v>3273</v>
      </c>
      <c r="C6941" s="196">
        <v>0</v>
      </c>
      <c r="D6941" s="196">
        <v>0.17</v>
      </c>
      <c r="E6941" s="195" t="s">
        <v>593</v>
      </c>
      <c r="F6941" s="195" t="s">
        <v>432</v>
      </c>
    </row>
    <row r="6942" spans="1:6" x14ac:dyDescent="0.25">
      <c r="A6942" s="189" t="str">
        <f t="shared" si="108"/>
        <v>MO-IS 495 RP7-3100.04W</v>
      </c>
      <c r="B6942" s="195" t="s">
        <v>3274</v>
      </c>
      <c r="C6942" s="196">
        <v>0</v>
      </c>
      <c r="D6942" s="196">
        <v>0.04</v>
      </c>
      <c r="E6942" s="195" t="s">
        <v>593</v>
      </c>
      <c r="F6942" s="195" t="s">
        <v>432</v>
      </c>
    </row>
    <row r="6943" spans="1:6" x14ac:dyDescent="0.25">
      <c r="A6943" s="189" t="str">
        <f t="shared" si="108"/>
        <v>MO-IS 495 RP7-3300.05W</v>
      </c>
      <c r="B6943" s="195" t="s">
        <v>3275</v>
      </c>
      <c r="C6943" s="196">
        <v>0</v>
      </c>
      <c r="D6943" s="196">
        <v>0.05</v>
      </c>
      <c r="E6943" s="195" t="s">
        <v>593</v>
      </c>
      <c r="F6943" s="195" t="s">
        <v>432</v>
      </c>
    </row>
    <row r="6944" spans="1:6" x14ac:dyDescent="0.25">
      <c r="A6944" s="189" t="str">
        <f t="shared" si="108"/>
        <v>MO-IS 495 RP7-3600.01W</v>
      </c>
      <c r="B6944" s="195" t="s">
        <v>3276</v>
      </c>
      <c r="C6944" s="196">
        <v>0</v>
      </c>
      <c r="D6944" s="196">
        <v>0.01</v>
      </c>
      <c r="E6944" s="195" t="s">
        <v>593</v>
      </c>
      <c r="F6944" s="195" t="s">
        <v>432</v>
      </c>
    </row>
    <row r="6945" spans="1:6" x14ac:dyDescent="0.25">
      <c r="A6945" s="189" t="str">
        <f t="shared" si="108"/>
        <v>MO-IS 495 RP7-3900.16W</v>
      </c>
      <c r="B6945" s="195" t="s">
        <v>3277</v>
      </c>
      <c r="C6945" s="196">
        <v>0</v>
      </c>
      <c r="D6945" s="196">
        <v>0.16</v>
      </c>
      <c r="E6945" s="195" t="s">
        <v>593</v>
      </c>
      <c r="F6945" s="195" t="s">
        <v>432</v>
      </c>
    </row>
    <row r="6946" spans="1:6" x14ac:dyDescent="0.25">
      <c r="A6946" s="189" t="str">
        <f t="shared" si="108"/>
        <v>MO-IS 495 RP7-4100.4W</v>
      </c>
      <c r="B6946" s="195" t="s">
        <v>3278</v>
      </c>
      <c r="C6946" s="196">
        <v>0</v>
      </c>
      <c r="D6946" s="196">
        <v>0.4</v>
      </c>
      <c r="E6946" s="195" t="s">
        <v>593</v>
      </c>
      <c r="F6946" s="195" t="s">
        <v>432</v>
      </c>
    </row>
    <row r="6947" spans="1:6" x14ac:dyDescent="0.25">
      <c r="A6947" s="189" t="str">
        <f t="shared" si="108"/>
        <v>MO-IS 495 RP8-2800.16S</v>
      </c>
      <c r="B6947" s="195" t="s">
        <v>3279</v>
      </c>
      <c r="C6947" s="196">
        <v>0</v>
      </c>
      <c r="D6947" s="196">
        <v>0.16</v>
      </c>
      <c r="E6947" s="195" t="s">
        <v>595</v>
      </c>
      <c r="F6947" s="195" t="s">
        <v>438</v>
      </c>
    </row>
    <row r="6948" spans="1:6" x14ac:dyDescent="0.25">
      <c r="A6948" s="189" t="str">
        <f t="shared" si="108"/>
        <v>MO-IS 495 RP8-3000.23S</v>
      </c>
      <c r="B6948" s="195" t="s">
        <v>3280</v>
      </c>
      <c r="C6948" s="196">
        <v>0</v>
      </c>
      <c r="D6948" s="196">
        <v>0.23</v>
      </c>
      <c r="E6948" s="195" t="s">
        <v>595</v>
      </c>
      <c r="F6948" s="195" t="s">
        <v>438</v>
      </c>
    </row>
    <row r="6949" spans="1:6" x14ac:dyDescent="0.25">
      <c r="A6949" s="189" t="str">
        <f t="shared" si="108"/>
        <v>MO-IS 495 RP8-3100.13S</v>
      </c>
      <c r="B6949" s="195" t="s">
        <v>3281</v>
      </c>
      <c r="C6949" s="196">
        <v>0</v>
      </c>
      <c r="D6949" s="196">
        <v>0.13</v>
      </c>
      <c r="E6949" s="195" t="s">
        <v>595</v>
      </c>
      <c r="F6949" s="195" t="s">
        <v>438</v>
      </c>
    </row>
    <row r="6950" spans="1:6" x14ac:dyDescent="0.25">
      <c r="A6950" s="189" t="str">
        <f t="shared" si="108"/>
        <v>MO-IS 495 RP8-3300.18S</v>
      </c>
      <c r="B6950" s="195" t="s">
        <v>3282</v>
      </c>
      <c r="C6950" s="196">
        <v>0</v>
      </c>
      <c r="D6950" s="196">
        <v>0.18</v>
      </c>
      <c r="E6950" s="195" t="s">
        <v>595</v>
      </c>
      <c r="F6950" s="195" t="s">
        <v>438</v>
      </c>
    </row>
    <row r="6951" spans="1:6" x14ac:dyDescent="0.25">
      <c r="A6951" s="189" t="str">
        <f t="shared" si="108"/>
        <v>MO-IS 495 RP8-3600.18S</v>
      </c>
      <c r="B6951" s="195" t="s">
        <v>3283</v>
      </c>
      <c r="C6951" s="196">
        <v>0</v>
      </c>
      <c r="D6951" s="196">
        <v>0.18</v>
      </c>
      <c r="E6951" s="195" t="s">
        <v>595</v>
      </c>
      <c r="F6951" s="195" t="s">
        <v>438</v>
      </c>
    </row>
    <row r="6952" spans="1:6" x14ac:dyDescent="0.25">
      <c r="A6952" s="189" t="str">
        <f t="shared" si="108"/>
        <v>MO-IS 495 RP8-3900.04N</v>
      </c>
      <c r="B6952" s="195" t="s">
        <v>3284</v>
      </c>
      <c r="C6952" s="196">
        <v>0</v>
      </c>
      <c r="D6952" s="196">
        <v>0.04</v>
      </c>
      <c r="E6952" s="195" t="s">
        <v>589</v>
      </c>
      <c r="F6952" s="195" t="s">
        <v>430</v>
      </c>
    </row>
    <row r="6953" spans="1:6" x14ac:dyDescent="0.25">
      <c r="A6953" s="189" t="str">
        <f t="shared" si="108"/>
        <v>MO-IS 495 RP8-4100.28S</v>
      </c>
      <c r="B6953" s="195" t="s">
        <v>3285</v>
      </c>
      <c r="C6953" s="196">
        <v>0</v>
      </c>
      <c r="D6953" s="196">
        <v>0.28000000000000003</v>
      </c>
      <c r="E6953" s="195" t="s">
        <v>595</v>
      </c>
      <c r="F6953" s="195" t="s">
        <v>438</v>
      </c>
    </row>
    <row r="6954" spans="1:6" x14ac:dyDescent="0.25">
      <c r="A6954" s="189" t="str">
        <f t="shared" si="108"/>
        <v>MO-IS 495 RP9-3900.14N</v>
      </c>
      <c r="B6954" s="195" t="s">
        <v>3286</v>
      </c>
      <c r="C6954" s="196">
        <v>0</v>
      </c>
      <c r="D6954" s="196">
        <v>0.14000000000000001</v>
      </c>
      <c r="E6954" s="195" t="s">
        <v>589</v>
      </c>
      <c r="F6954" s="195" t="s">
        <v>430</v>
      </c>
    </row>
    <row r="6955" spans="1:6" x14ac:dyDescent="0.25">
      <c r="A6955" s="189" t="str">
        <f t="shared" si="108"/>
        <v>MO-MD 10701.29E</v>
      </c>
      <c r="B6955" s="195" t="s">
        <v>3287</v>
      </c>
      <c r="C6955" s="196">
        <v>0</v>
      </c>
      <c r="D6955" s="196">
        <v>1.29</v>
      </c>
      <c r="E6955" s="195" t="s">
        <v>583</v>
      </c>
      <c r="F6955" s="195" t="s">
        <v>19</v>
      </c>
    </row>
    <row r="6956" spans="1:6" x14ac:dyDescent="0.25">
      <c r="A6956" s="189" t="str">
        <f t="shared" si="108"/>
        <v>MO-MD 10701.29W</v>
      </c>
      <c r="B6956" s="195" t="s">
        <v>3287</v>
      </c>
      <c r="C6956" s="196">
        <v>0</v>
      </c>
      <c r="D6956" s="196">
        <v>1.29</v>
      </c>
      <c r="E6956" s="195" t="s">
        <v>583</v>
      </c>
      <c r="F6956" s="195" t="s">
        <v>432</v>
      </c>
    </row>
    <row r="6957" spans="1:6" x14ac:dyDescent="0.25">
      <c r="A6957" s="189" t="str">
        <f t="shared" si="108"/>
        <v>MO-MD 1071.292.39E</v>
      </c>
      <c r="B6957" s="195" t="s">
        <v>3287</v>
      </c>
      <c r="C6957" s="196">
        <v>1.29</v>
      </c>
      <c r="D6957" s="196">
        <v>2.39</v>
      </c>
      <c r="E6957" s="195" t="s">
        <v>583</v>
      </c>
      <c r="F6957" s="195" t="s">
        <v>19</v>
      </c>
    </row>
    <row r="6958" spans="1:6" x14ac:dyDescent="0.25">
      <c r="A6958" s="189" t="str">
        <f t="shared" si="108"/>
        <v>MO-MD 1071.292.39W</v>
      </c>
      <c r="B6958" s="195" t="s">
        <v>3287</v>
      </c>
      <c r="C6958" s="196">
        <v>1.29</v>
      </c>
      <c r="D6958" s="196">
        <v>2.39</v>
      </c>
      <c r="E6958" s="195" t="s">
        <v>583</v>
      </c>
      <c r="F6958" s="195" t="s">
        <v>432</v>
      </c>
    </row>
    <row r="6959" spans="1:6" x14ac:dyDescent="0.25">
      <c r="A6959" s="189" t="str">
        <f t="shared" si="108"/>
        <v>MO-MD 1072.394.79E</v>
      </c>
      <c r="B6959" s="195" t="s">
        <v>3287</v>
      </c>
      <c r="C6959" s="196">
        <v>2.39</v>
      </c>
      <c r="D6959" s="196">
        <v>4.79</v>
      </c>
      <c r="E6959" s="195" t="s">
        <v>583</v>
      </c>
      <c r="F6959" s="195" t="s">
        <v>19</v>
      </c>
    </row>
    <row r="6960" spans="1:6" x14ac:dyDescent="0.25">
      <c r="A6960" s="189" t="str">
        <f t="shared" si="108"/>
        <v>MO-MD 1072.394.79W</v>
      </c>
      <c r="B6960" s="195" t="s">
        <v>3287</v>
      </c>
      <c r="C6960" s="196">
        <v>2.39</v>
      </c>
      <c r="D6960" s="196">
        <v>4.79</v>
      </c>
      <c r="E6960" s="195" t="s">
        <v>583</v>
      </c>
      <c r="F6960" s="195" t="s">
        <v>432</v>
      </c>
    </row>
    <row r="6961" spans="1:6" x14ac:dyDescent="0.25">
      <c r="A6961" s="189" t="str">
        <f t="shared" si="108"/>
        <v>MO-MD 10800.3E</v>
      </c>
      <c r="B6961" s="195" t="s">
        <v>462</v>
      </c>
      <c r="C6961" s="196">
        <v>0</v>
      </c>
      <c r="D6961" s="196">
        <v>0.3</v>
      </c>
      <c r="E6961" s="195" t="s">
        <v>583</v>
      </c>
      <c r="F6961" s="195" t="s">
        <v>19</v>
      </c>
    </row>
    <row r="6962" spans="1:6" x14ac:dyDescent="0.25">
      <c r="A6962" s="189" t="str">
        <f t="shared" si="108"/>
        <v>MO-MD 10800.3W</v>
      </c>
      <c r="B6962" s="195" t="s">
        <v>462</v>
      </c>
      <c r="C6962" s="196">
        <v>0</v>
      </c>
      <c r="D6962" s="196">
        <v>0.3</v>
      </c>
      <c r="E6962" s="195" t="s">
        <v>583</v>
      </c>
      <c r="F6962" s="195" t="s">
        <v>432</v>
      </c>
    </row>
    <row r="6963" spans="1:6" x14ac:dyDescent="0.25">
      <c r="A6963" s="189" t="str">
        <f t="shared" si="108"/>
        <v>MO-MD 1080.31.82E</v>
      </c>
      <c r="B6963" s="195" t="s">
        <v>462</v>
      </c>
      <c r="C6963" s="196">
        <v>0.3</v>
      </c>
      <c r="D6963" s="196">
        <v>1.82</v>
      </c>
      <c r="E6963" s="195" t="s">
        <v>583</v>
      </c>
      <c r="F6963" s="195" t="s">
        <v>19</v>
      </c>
    </row>
    <row r="6964" spans="1:6" x14ac:dyDescent="0.25">
      <c r="A6964" s="189" t="str">
        <f t="shared" si="108"/>
        <v>MO-MD 1080.31.82W</v>
      </c>
      <c r="B6964" s="195" t="s">
        <v>462</v>
      </c>
      <c r="C6964" s="196">
        <v>0.3</v>
      </c>
      <c r="D6964" s="196">
        <v>1.82</v>
      </c>
      <c r="E6964" s="195" t="s">
        <v>583</v>
      </c>
      <c r="F6964" s="195" t="s">
        <v>432</v>
      </c>
    </row>
    <row r="6965" spans="1:6" x14ac:dyDescent="0.25">
      <c r="A6965" s="189" t="str">
        <f t="shared" si="108"/>
        <v>MO-MD 1081.827.45E</v>
      </c>
      <c r="B6965" s="195" t="s">
        <v>462</v>
      </c>
      <c r="C6965" s="196">
        <v>1.82</v>
      </c>
      <c r="D6965" s="196">
        <v>7.45</v>
      </c>
      <c r="E6965" s="195" t="s">
        <v>598</v>
      </c>
      <c r="F6965" s="195" t="s">
        <v>19</v>
      </c>
    </row>
    <row r="6966" spans="1:6" x14ac:dyDescent="0.25">
      <c r="A6966" s="189" t="str">
        <f t="shared" si="108"/>
        <v>MO-MD 1081.827.93W</v>
      </c>
      <c r="B6966" s="195" t="s">
        <v>462</v>
      </c>
      <c r="C6966" s="196">
        <v>1.82</v>
      </c>
      <c r="D6966" s="196">
        <v>7.93</v>
      </c>
      <c r="E6966" s="195" t="s">
        <v>593</v>
      </c>
      <c r="F6966" s="195" t="s">
        <v>432</v>
      </c>
    </row>
    <row r="6967" spans="1:6" x14ac:dyDescent="0.25">
      <c r="A6967" s="189" t="str">
        <f t="shared" si="108"/>
        <v>MO-MD 1087.458.74E</v>
      </c>
      <c r="B6967" s="195" t="s">
        <v>462</v>
      </c>
      <c r="C6967" s="196">
        <v>7.45</v>
      </c>
      <c r="D6967" s="196">
        <v>8.74</v>
      </c>
      <c r="E6967" s="195" t="s">
        <v>598</v>
      </c>
      <c r="F6967" s="195" t="s">
        <v>19</v>
      </c>
    </row>
    <row r="6968" spans="1:6" x14ac:dyDescent="0.25">
      <c r="A6968" s="189" t="str">
        <f t="shared" si="108"/>
        <v>MO-MD 1087.938W</v>
      </c>
      <c r="B6968" s="195" t="s">
        <v>462</v>
      </c>
      <c r="C6968" s="196">
        <v>7.93</v>
      </c>
      <c r="D6968" s="196">
        <v>8</v>
      </c>
      <c r="E6968" s="195" t="s">
        <v>593</v>
      </c>
      <c r="F6968" s="195" t="s">
        <v>432</v>
      </c>
    </row>
    <row r="6969" spans="1:6" x14ac:dyDescent="0.25">
      <c r="A6969" s="189" t="str">
        <f t="shared" si="108"/>
        <v>MO-MD 10888.02W</v>
      </c>
      <c r="B6969" s="195" t="s">
        <v>462</v>
      </c>
      <c r="C6969" s="196">
        <v>8</v>
      </c>
      <c r="D6969" s="196">
        <v>8.02</v>
      </c>
      <c r="E6969" s="195" t="s">
        <v>593</v>
      </c>
      <c r="F6969" s="195" t="s">
        <v>432</v>
      </c>
    </row>
    <row r="6970" spans="1:6" x14ac:dyDescent="0.25">
      <c r="A6970" s="189" t="str">
        <f t="shared" si="108"/>
        <v>MO-MD 1088.028.74W</v>
      </c>
      <c r="B6970" s="195" t="s">
        <v>462</v>
      </c>
      <c r="C6970" s="196">
        <v>8.02</v>
      </c>
      <c r="D6970" s="196">
        <v>8.74</v>
      </c>
      <c r="E6970" s="195" t="s">
        <v>593</v>
      </c>
      <c r="F6970" s="195" t="s">
        <v>432</v>
      </c>
    </row>
    <row r="6971" spans="1:6" x14ac:dyDescent="0.25">
      <c r="A6971" s="189" t="str">
        <f t="shared" si="108"/>
        <v>MO-MD 1088.749.36E</v>
      </c>
      <c r="B6971" s="195" t="s">
        <v>462</v>
      </c>
      <c r="C6971" s="196">
        <v>8.74</v>
      </c>
      <c r="D6971" s="196">
        <v>9.36</v>
      </c>
      <c r="E6971" s="195" t="s">
        <v>583</v>
      </c>
      <c r="F6971" s="195" t="s">
        <v>19</v>
      </c>
    </row>
    <row r="6972" spans="1:6" x14ac:dyDescent="0.25">
      <c r="A6972" s="189" t="str">
        <f t="shared" si="108"/>
        <v>MO-MD 1088.749.36W</v>
      </c>
      <c r="B6972" s="195" t="s">
        <v>462</v>
      </c>
      <c r="C6972" s="196">
        <v>8.74</v>
      </c>
      <c r="D6972" s="196">
        <v>9.36</v>
      </c>
      <c r="E6972" s="195" t="s">
        <v>583</v>
      </c>
      <c r="F6972" s="195" t="s">
        <v>432</v>
      </c>
    </row>
    <row r="6973" spans="1:6" x14ac:dyDescent="0.25">
      <c r="A6973" s="189" t="str">
        <f t="shared" si="108"/>
        <v>MO-MD 1089.369.86E</v>
      </c>
      <c r="B6973" s="195" t="s">
        <v>462</v>
      </c>
      <c r="C6973" s="196">
        <v>9.36</v>
      </c>
      <c r="D6973" s="196">
        <v>9.86</v>
      </c>
      <c r="E6973" s="195" t="s">
        <v>583</v>
      </c>
      <c r="F6973" s="195" t="s">
        <v>19</v>
      </c>
    </row>
    <row r="6974" spans="1:6" x14ac:dyDescent="0.25">
      <c r="A6974" s="189" t="str">
        <f t="shared" si="108"/>
        <v>MO-MD 1089.369.86W</v>
      </c>
      <c r="B6974" s="195" t="s">
        <v>462</v>
      </c>
      <c r="C6974" s="196">
        <v>9.36</v>
      </c>
      <c r="D6974" s="196">
        <v>9.86</v>
      </c>
      <c r="E6974" s="195" t="s">
        <v>583</v>
      </c>
      <c r="F6974" s="195" t="s">
        <v>432</v>
      </c>
    </row>
    <row r="6975" spans="1:6" x14ac:dyDescent="0.25">
      <c r="A6975" s="189" t="str">
        <f t="shared" si="108"/>
        <v>MO-MD 1089.8610.17E</v>
      </c>
      <c r="B6975" s="195" t="s">
        <v>462</v>
      </c>
      <c r="C6975" s="196">
        <v>9.86</v>
      </c>
      <c r="D6975" s="196">
        <v>10.17</v>
      </c>
      <c r="E6975" s="195" t="s">
        <v>583</v>
      </c>
      <c r="F6975" s="195" t="s">
        <v>19</v>
      </c>
    </row>
    <row r="6976" spans="1:6" x14ac:dyDescent="0.25">
      <c r="A6976" s="189" t="str">
        <f t="shared" si="108"/>
        <v>MO-MD 1089.8610.17W</v>
      </c>
      <c r="B6976" s="195" t="s">
        <v>462</v>
      </c>
      <c r="C6976" s="196">
        <v>9.86</v>
      </c>
      <c r="D6976" s="196">
        <v>10.17</v>
      </c>
      <c r="E6976" s="195" t="s">
        <v>583</v>
      </c>
      <c r="F6976" s="195" t="s">
        <v>432</v>
      </c>
    </row>
    <row r="6977" spans="1:6" x14ac:dyDescent="0.25">
      <c r="A6977" s="189" t="str">
        <f t="shared" si="108"/>
        <v>MO-MD 10810.1710.41E</v>
      </c>
      <c r="B6977" s="195" t="s">
        <v>462</v>
      </c>
      <c r="C6977" s="196">
        <v>10.17</v>
      </c>
      <c r="D6977" s="196">
        <v>10.41</v>
      </c>
      <c r="E6977" s="195" t="s">
        <v>583</v>
      </c>
      <c r="F6977" s="195" t="s">
        <v>19</v>
      </c>
    </row>
    <row r="6978" spans="1:6" x14ac:dyDescent="0.25">
      <c r="A6978" s="189" t="str">
        <f t="shared" si="108"/>
        <v>MO-MD 10810.1710.41W</v>
      </c>
      <c r="B6978" s="195" t="s">
        <v>462</v>
      </c>
      <c r="C6978" s="196">
        <v>10.17</v>
      </c>
      <c r="D6978" s="196">
        <v>10.41</v>
      </c>
      <c r="E6978" s="195" t="s">
        <v>583</v>
      </c>
      <c r="F6978" s="195" t="s">
        <v>432</v>
      </c>
    </row>
    <row r="6979" spans="1:6" x14ac:dyDescent="0.25">
      <c r="A6979" s="189" t="str">
        <f t="shared" ref="A6979:A7042" si="109">B6979&amp;C6979&amp;D6979&amp;F6979</f>
        <v>MO-MD 10810.4112E</v>
      </c>
      <c r="B6979" s="195" t="s">
        <v>462</v>
      </c>
      <c r="C6979" s="196">
        <v>10.41</v>
      </c>
      <c r="D6979" s="196">
        <v>12</v>
      </c>
      <c r="E6979" s="195" t="s">
        <v>583</v>
      </c>
      <c r="F6979" s="195" t="s">
        <v>19</v>
      </c>
    </row>
    <row r="6980" spans="1:6" x14ac:dyDescent="0.25">
      <c r="A6980" s="189" t="str">
        <f t="shared" si="109"/>
        <v>MO-MD 10810.4112W</v>
      </c>
      <c r="B6980" s="195" t="s">
        <v>462</v>
      </c>
      <c r="C6980" s="196">
        <v>10.41</v>
      </c>
      <c r="D6980" s="196">
        <v>12</v>
      </c>
      <c r="E6980" s="195" t="s">
        <v>583</v>
      </c>
      <c r="F6980" s="195" t="s">
        <v>432</v>
      </c>
    </row>
    <row r="6981" spans="1:6" x14ac:dyDescent="0.25">
      <c r="A6981" s="189" t="str">
        <f t="shared" si="109"/>
        <v>MO-MD 10814.9515.5E</v>
      </c>
      <c r="B6981" s="195" t="s">
        <v>462</v>
      </c>
      <c r="C6981" s="196">
        <v>14.95</v>
      </c>
      <c r="D6981" s="196">
        <v>15.5</v>
      </c>
      <c r="E6981" s="195" t="s">
        <v>583</v>
      </c>
      <c r="F6981" s="195" t="s">
        <v>19</v>
      </c>
    </row>
    <row r="6982" spans="1:6" x14ac:dyDescent="0.25">
      <c r="A6982" s="189" t="str">
        <f t="shared" si="109"/>
        <v>MO-MD 10814.9515.5W</v>
      </c>
      <c r="B6982" s="195" t="s">
        <v>462</v>
      </c>
      <c r="C6982" s="196">
        <v>14.95</v>
      </c>
      <c r="D6982" s="196">
        <v>15.5</v>
      </c>
      <c r="E6982" s="195" t="s">
        <v>583</v>
      </c>
      <c r="F6982" s="195" t="s">
        <v>432</v>
      </c>
    </row>
    <row r="6983" spans="1:6" x14ac:dyDescent="0.25">
      <c r="A6983" s="189" t="str">
        <f t="shared" si="109"/>
        <v>MO-MD 10815.515.65E</v>
      </c>
      <c r="B6983" s="195" t="s">
        <v>462</v>
      </c>
      <c r="C6983" s="196">
        <v>15.5</v>
      </c>
      <c r="D6983" s="196">
        <v>15.65</v>
      </c>
      <c r="E6983" s="195" t="s">
        <v>583</v>
      </c>
      <c r="F6983" s="195" t="s">
        <v>19</v>
      </c>
    </row>
    <row r="6984" spans="1:6" x14ac:dyDescent="0.25">
      <c r="A6984" s="189" t="str">
        <f t="shared" si="109"/>
        <v>MO-MD 10815.515.65W</v>
      </c>
      <c r="B6984" s="195" t="s">
        <v>462</v>
      </c>
      <c r="C6984" s="196">
        <v>15.5</v>
      </c>
      <c r="D6984" s="196">
        <v>15.65</v>
      </c>
      <c r="E6984" s="195" t="s">
        <v>583</v>
      </c>
      <c r="F6984" s="195" t="s">
        <v>432</v>
      </c>
    </row>
    <row r="6985" spans="1:6" x14ac:dyDescent="0.25">
      <c r="A6985" s="189" t="str">
        <f t="shared" si="109"/>
        <v>MO-MD 10815.6516.57E</v>
      </c>
      <c r="B6985" s="195" t="s">
        <v>462</v>
      </c>
      <c r="C6985" s="196">
        <v>15.65</v>
      </c>
      <c r="D6985" s="196">
        <v>16.57</v>
      </c>
      <c r="E6985" s="195" t="s">
        <v>583</v>
      </c>
      <c r="F6985" s="195" t="s">
        <v>19</v>
      </c>
    </row>
    <row r="6986" spans="1:6" x14ac:dyDescent="0.25">
      <c r="A6986" s="189" t="str">
        <f t="shared" si="109"/>
        <v>MO-MD 10815.6516.57W</v>
      </c>
      <c r="B6986" s="195" t="s">
        <v>462</v>
      </c>
      <c r="C6986" s="196">
        <v>15.65</v>
      </c>
      <c r="D6986" s="196">
        <v>16.57</v>
      </c>
      <c r="E6986" s="195" t="s">
        <v>583</v>
      </c>
      <c r="F6986" s="195" t="s">
        <v>432</v>
      </c>
    </row>
    <row r="6987" spans="1:6" x14ac:dyDescent="0.25">
      <c r="A6987" s="189" t="str">
        <f t="shared" si="109"/>
        <v>MO-MD 10816.5718.99E</v>
      </c>
      <c r="B6987" s="195" t="s">
        <v>462</v>
      </c>
      <c r="C6987" s="196">
        <v>16.57</v>
      </c>
      <c r="D6987" s="196">
        <v>18.989999999999998</v>
      </c>
      <c r="E6987" s="195" t="s">
        <v>583</v>
      </c>
      <c r="F6987" s="195" t="s">
        <v>19</v>
      </c>
    </row>
    <row r="6988" spans="1:6" x14ac:dyDescent="0.25">
      <c r="A6988" s="189" t="str">
        <f t="shared" si="109"/>
        <v>MO-MD 10816.5718.99W</v>
      </c>
      <c r="B6988" s="195" t="s">
        <v>462</v>
      </c>
      <c r="C6988" s="196">
        <v>16.57</v>
      </c>
      <c r="D6988" s="196">
        <v>18.989999999999998</v>
      </c>
      <c r="E6988" s="195" t="s">
        <v>583</v>
      </c>
      <c r="F6988" s="195" t="s">
        <v>432</v>
      </c>
    </row>
    <row r="6989" spans="1:6" x14ac:dyDescent="0.25">
      <c r="A6989" s="189" t="str">
        <f t="shared" si="109"/>
        <v>MO-MD 10902.4N</v>
      </c>
      <c r="B6989" s="195" t="s">
        <v>3288</v>
      </c>
      <c r="C6989" s="196">
        <v>0</v>
      </c>
      <c r="D6989" s="196">
        <v>2.4</v>
      </c>
      <c r="E6989" s="195" t="s">
        <v>583</v>
      </c>
      <c r="F6989" s="195" t="s">
        <v>430</v>
      </c>
    </row>
    <row r="6990" spans="1:6" x14ac:dyDescent="0.25">
      <c r="A6990" s="189" t="str">
        <f t="shared" si="109"/>
        <v>MO-MD 10902.4S</v>
      </c>
      <c r="B6990" s="195" t="s">
        <v>3288</v>
      </c>
      <c r="C6990" s="196">
        <v>0</v>
      </c>
      <c r="D6990" s="196">
        <v>2.4</v>
      </c>
      <c r="E6990" s="195" t="s">
        <v>583</v>
      </c>
      <c r="F6990" s="195" t="s">
        <v>438</v>
      </c>
    </row>
    <row r="6991" spans="1:6" x14ac:dyDescent="0.25">
      <c r="A6991" s="189" t="str">
        <f t="shared" si="109"/>
        <v>MO-MD 1092.46.15N</v>
      </c>
      <c r="B6991" s="195" t="s">
        <v>3288</v>
      </c>
      <c r="C6991" s="196">
        <v>2.4</v>
      </c>
      <c r="D6991" s="196">
        <v>6.15</v>
      </c>
      <c r="E6991" s="195" t="s">
        <v>583</v>
      </c>
      <c r="F6991" s="195" t="s">
        <v>430</v>
      </c>
    </row>
    <row r="6992" spans="1:6" x14ac:dyDescent="0.25">
      <c r="A6992" s="189" t="str">
        <f t="shared" si="109"/>
        <v>MO-MD 1092.46.15S</v>
      </c>
      <c r="B6992" s="195" t="s">
        <v>3288</v>
      </c>
      <c r="C6992" s="196">
        <v>2.4</v>
      </c>
      <c r="D6992" s="196">
        <v>6.15</v>
      </c>
      <c r="E6992" s="195" t="s">
        <v>583</v>
      </c>
      <c r="F6992" s="195" t="s">
        <v>438</v>
      </c>
    </row>
    <row r="6993" spans="1:6" x14ac:dyDescent="0.25">
      <c r="A6993" s="189" t="str">
        <f t="shared" si="109"/>
        <v>MO-MD 1096.158.45N</v>
      </c>
      <c r="B6993" s="195" t="s">
        <v>3288</v>
      </c>
      <c r="C6993" s="196">
        <v>6.15</v>
      </c>
      <c r="D6993" s="196">
        <v>8.4499999999999993</v>
      </c>
      <c r="E6993" s="195" t="s">
        <v>583</v>
      </c>
      <c r="F6993" s="195" t="s">
        <v>430</v>
      </c>
    </row>
    <row r="6994" spans="1:6" x14ac:dyDescent="0.25">
      <c r="A6994" s="189" t="str">
        <f t="shared" si="109"/>
        <v>MO-MD 1096.158.45S</v>
      </c>
      <c r="B6994" s="195" t="s">
        <v>3288</v>
      </c>
      <c r="C6994" s="196">
        <v>6.15</v>
      </c>
      <c r="D6994" s="196">
        <v>8.4499999999999993</v>
      </c>
      <c r="E6994" s="195" t="s">
        <v>583</v>
      </c>
      <c r="F6994" s="195" t="s">
        <v>438</v>
      </c>
    </row>
    <row r="6995" spans="1:6" x14ac:dyDescent="0.25">
      <c r="A6995" s="189" t="str">
        <f t="shared" si="109"/>
        <v>MO-MD 1098.4511.87N</v>
      </c>
      <c r="B6995" s="195" t="s">
        <v>3288</v>
      </c>
      <c r="C6995" s="196">
        <v>8.4499999999999993</v>
      </c>
      <c r="D6995" s="196">
        <v>11.87</v>
      </c>
      <c r="E6995" s="195" t="s">
        <v>583</v>
      </c>
      <c r="F6995" s="195" t="s">
        <v>430</v>
      </c>
    </row>
    <row r="6996" spans="1:6" x14ac:dyDescent="0.25">
      <c r="A6996" s="189" t="str">
        <f t="shared" si="109"/>
        <v>MO-MD 1098.4511.87S</v>
      </c>
      <c r="B6996" s="195" t="s">
        <v>3288</v>
      </c>
      <c r="C6996" s="196">
        <v>8.4499999999999993</v>
      </c>
      <c r="D6996" s="196">
        <v>11.87</v>
      </c>
      <c r="E6996" s="195" t="s">
        <v>583</v>
      </c>
      <c r="F6996" s="195" t="s">
        <v>438</v>
      </c>
    </row>
    <row r="6997" spans="1:6" x14ac:dyDescent="0.25">
      <c r="A6997" s="189" t="str">
        <f t="shared" si="109"/>
        <v>MO-MD 11202.81E</v>
      </c>
      <c r="B6997" s="195" t="s">
        <v>3289</v>
      </c>
      <c r="C6997" s="196">
        <v>0</v>
      </c>
      <c r="D6997" s="196">
        <v>2.81</v>
      </c>
      <c r="E6997" s="195" t="s">
        <v>583</v>
      </c>
      <c r="F6997" s="195" t="s">
        <v>19</v>
      </c>
    </row>
    <row r="6998" spans="1:6" x14ac:dyDescent="0.25">
      <c r="A6998" s="189" t="str">
        <f t="shared" si="109"/>
        <v>MO-MD 11202.81W</v>
      </c>
      <c r="B6998" s="195" t="s">
        <v>3289</v>
      </c>
      <c r="C6998" s="196">
        <v>0</v>
      </c>
      <c r="D6998" s="196">
        <v>2.81</v>
      </c>
      <c r="E6998" s="195" t="s">
        <v>583</v>
      </c>
      <c r="F6998" s="195" t="s">
        <v>432</v>
      </c>
    </row>
    <row r="6999" spans="1:6" x14ac:dyDescent="0.25">
      <c r="A6999" s="189" t="str">
        <f t="shared" si="109"/>
        <v>MO-MD 1150.041E</v>
      </c>
      <c r="B6999" s="195" t="s">
        <v>3290</v>
      </c>
      <c r="C6999" s="196">
        <v>0.04</v>
      </c>
      <c r="D6999" s="196">
        <v>1</v>
      </c>
      <c r="E6999" s="195" t="s">
        <v>598</v>
      </c>
      <c r="F6999" s="195" t="s">
        <v>19</v>
      </c>
    </row>
    <row r="7000" spans="1:6" x14ac:dyDescent="0.25">
      <c r="A7000" s="189" t="str">
        <f t="shared" si="109"/>
        <v>MO-MD 1150.111W</v>
      </c>
      <c r="B7000" s="195" t="s">
        <v>3290</v>
      </c>
      <c r="C7000" s="196">
        <v>0.11</v>
      </c>
      <c r="D7000" s="196">
        <v>1</v>
      </c>
      <c r="E7000" s="195" t="s">
        <v>593</v>
      </c>
      <c r="F7000" s="195" t="s">
        <v>432</v>
      </c>
    </row>
    <row r="7001" spans="1:6" x14ac:dyDescent="0.25">
      <c r="A7001" s="189" t="str">
        <f t="shared" si="109"/>
        <v>MO-MD 11511.5E</v>
      </c>
      <c r="B7001" s="195" t="s">
        <v>3290</v>
      </c>
      <c r="C7001" s="196">
        <v>1</v>
      </c>
      <c r="D7001" s="196">
        <v>1.5</v>
      </c>
      <c r="E7001" s="195" t="s">
        <v>583</v>
      </c>
      <c r="F7001" s="195" t="s">
        <v>19</v>
      </c>
    </row>
    <row r="7002" spans="1:6" x14ac:dyDescent="0.25">
      <c r="A7002" s="189" t="str">
        <f t="shared" si="109"/>
        <v>MO-MD 11511.5W</v>
      </c>
      <c r="B7002" s="195" t="s">
        <v>3290</v>
      </c>
      <c r="C7002" s="196">
        <v>1</v>
      </c>
      <c r="D7002" s="196">
        <v>1.5</v>
      </c>
      <c r="E7002" s="195" t="s">
        <v>583</v>
      </c>
      <c r="F7002" s="195" t="s">
        <v>432</v>
      </c>
    </row>
    <row r="7003" spans="1:6" x14ac:dyDescent="0.25">
      <c r="A7003" s="189" t="str">
        <f t="shared" si="109"/>
        <v>MO-MD 1151.52.9E</v>
      </c>
      <c r="B7003" s="195" t="s">
        <v>3290</v>
      </c>
      <c r="C7003" s="196">
        <v>1.5</v>
      </c>
      <c r="D7003" s="196">
        <v>2.9</v>
      </c>
      <c r="E7003" s="195" t="s">
        <v>583</v>
      </c>
      <c r="F7003" s="195" t="s">
        <v>19</v>
      </c>
    </row>
    <row r="7004" spans="1:6" x14ac:dyDescent="0.25">
      <c r="A7004" s="189" t="str">
        <f t="shared" si="109"/>
        <v>MO-MD 1151.52.9W</v>
      </c>
      <c r="B7004" s="195" t="s">
        <v>3290</v>
      </c>
      <c r="C7004" s="196">
        <v>1.5</v>
      </c>
      <c r="D7004" s="196">
        <v>2.9</v>
      </c>
      <c r="E7004" s="195" t="s">
        <v>583</v>
      </c>
      <c r="F7004" s="195" t="s">
        <v>432</v>
      </c>
    </row>
    <row r="7005" spans="1:6" x14ac:dyDescent="0.25">
      <c r="A7005" s="189" t="str">
        <f t="shared" si="109"/>
        <v>MO-MD 1152.93.48E</v>
      </c>
      <c r="B7005" s="195" t="s">
        <v>3290</v>
      </c>
      <c r="C7005" s="196">
        <v>2.9</v>
      </c>
      <c r="D7005" s="196">
        <v>3.48</v>
      </c>
      <c r="E7005" s="195" t="s">
        <v>583</v>
      </c>
      <c r="F7005" s="195" t="s">
        <v>19</v>
      </c>
    </row>
    <row r="7006" spans="1:6" x14ac:dyDescent="0.25">
      <c r="A7006" s="189" t="str">
        <f t="shared" si="109"/>
        <v>MO-MD 1152.93.48W</v>
      </c>
      <c r="B7006" s="195" t="s">
        <v>3290</v>
      </c>
      <c r="C7006" s="196">
        <v>2.9</v>
      </c>
      <c r="D7006" s="196">
        <v>3.48</v>
      </c>
      <c r="E7006" s="195" t="s">
        <v>583</v>
      </c>
      <c r="F7006" s="195" t="s">
        <v>432</v>
      </c>
    </row>
    <row r="7007" spans="1:6" x14ac:dyDescent="0.25">
      <c r="A7007" s="189" t="str">
        <f t="shared" si="109"/>
        <v>MO-MD 1153.483.68E</v>
      </c>
      <c r="B7007" s="195" t="s">
        <v>3290</v>
      </c>
      <c r="C7007" s="196">
        <v>3.48</v>
      </c>
      <c r="D7007" s="196">
        <v>3.68</v>
      </c>
      <c r="E7007" s="195" t="s">
        <v>583</v>
      </c>
      <c r="F7007" s="195" t="s">
        <v>19</v>
      </c>
    </row>
    <row r="7008" spans="1:6" x14ac:dyDescent="0.25">
      <c r="A7008" s="189" t="str">
        <f t="shared" si="109"/>
        <v>MO-MD 1153.483.68W</v>
      </c>
      <c r="B7008" s="195" t="s">
        <v>3290</v>
      </c>
      <c r="C7008" s="196">
        <v>3.48</v>
      </c>
      <c r="D7008" s="196">
        <v>3.68</v>
      </c>
      <c r="E7008" s="195" t="s">
        <v>583</v>
      </c>
      <c r="F7008" s="195" t="s">
        <v>432</v>
      </c>
    </row>
    <row r="7009" spans="1:6" x14ac:dyDescent="0.25">
      <c r="A7009" s="189" t="str">
        <f t="shared" si="109"/>
        <v>MO-MD 1153.685.8E</v>
      </c>
      <c r="B7009" s="195" t="s">
        <v>3290</v>
      </c>
      <c r="C7009" s="196">
        <v>3.68</v>
      </c>
      <c r="D7009" s="196">
        <v>5.8</v>
      </c>
      <c r="E7009" s="195" t="s">
        <v>583</v>
      </c>
      <c r="F7009" s="195" t="s">
        <v>19</v>
      </c>
    </row>
    <row r="7010" spans="1:6" x14ac:dyDescent="0.25">
      <c r="A7010" s="189" t="str">
        <f t="shared" si="109"/>
        <v>MO-MD 1153.685.8W</v>
      </c>
      <c r="B7010" s="195" t="s">
        <v>3290</v>
      </c>
      <c r="C7010" s="196">
        <v>3.68</v>
      </c>
      <c r="D7010" s="196">
        <v>5.8</v>
      </c>
      <c r="E7010" s="195" t="s">
        <v>583</v>
      </c>
      <c r="F7010" s="195" t="s">
        <v>432</v>
      </c>
    </row>
    <row r="7011" spans="1:6" x14ac:dyDescent="0.25">
      <c r="A7011" s="189" t="str">
        <f t="shared" si="109"/>
        <v>MO-MD 11703.6E</v>
      </c>
      <c r="B7011" s="195" t="s">
        <v>463</v>
      </c>
      <c r="C7011" s="196">
        <v>0</v>
      </c>
      <c r="D7011" s="196">
        <v>3.6</v>
      </c>
      <c r="E7011" s="195" t="s">
        <v>583</v>
      </c>
      <c r="F7011" s="195" t="s">
        <v>19</v>
      </c>
    </row>
    <row r="7012" spans="1:6" x14ac:dyDescent="0.25">
      <c r="A7012" s="189" t="str">
        <f t="shared" si="109"/>
        <v>MO-MD 11703.6W</v>
      </c>
      <c r="B7012" s="195" t="s">
        <v>463</v>
      </c>
      <c r="C7012" s="196">
        <v>0</v>
      </c>
      <c r="D7012" s="196">
        <v>3.6</v>
      </c>
      <c r="E7012" s="195" t="s">
        <v>583</v>
      </c>
      <c r="F7012" s="195" t="s">
        <v>432</v>
      </c>
    </row>
    <row r="7013" spans="1:6" x14ac:dyDescent="0.25">
      <c r="A7013" s="189" t="str">
        <f t="shared" si="109"/>
        <v>MO-MD 1173.64.13E</v>
      </c>
      <c r="B7013" s="195" t="s">
        <v>463</v>
      </c>
      <c r="C7013" s="196">
        <v>3.6</v>
      </c>
      <c r="D7013" s="196">
        <v>4.13</v>
      </c>
      <c r="E7013" s="195" t="s">
        <v>583</v>
      </c>
      <c r="F7013" s="195" t="s">
        <v>19</v>
      </c>
    </row>
    <row r="7014" spans="1:6" x14ac:dyDescent="0.25">
      <c r="A7014" s="189" t="str">
        <f t="shared" si="109"/>
        <v>MO-MD 1173.64.13W</v>
      </c>
      <c r="B7014" s="195" t="s">
        <v>463</v>
      </c>
      <c r="C7014" s="196">
        <v>3.6</v>
      </c>
      <c r="D7014" s="196">
        <v>4.13</v>
      </c>
      <c r="E7014" s="195" t="s">
        <v>583</v>
      </c>
      <c r="F7014" s="195" t="s">
        <v>432</v>
      </c>
    </row>
    <row r="7015" spans="1:6" x14ac:dyDescent="0.25">
      <c r="A7015" s="189" t="str">
        <f t="shared" si="109"/>
        <v>MO-MD 1174.134.8E</v>
      </c>
      <c r="B7015" s="195" t="s">
        <v>463</v>
      </c>
      <c r="C7015" s="196">
        <v>4.13</v>
      </c>
      <c r="D7015" s="196">
        <v>4.8</v>
      </c>
      <c r="E7015" s="195" t="s">
        <v>598</v>
      </c>
      <c r="F7015" s="195" t="s">
        <v>19</v>
      </c>
    </row>
    <row r="7016" spans="1:6" x14ac:dyDescent="0.25">
      <c r="A7016" s="189" t="str">
        <f t="shared" si="109"/>
        <v>MO-MD 1174.135.25W</v>
      </c>
      <c r="B7016" s="195" t="s">
        <v>463</v>
      </c>
      <c r="C7016" s="196">
        <v>4.13</v>
      </c>
      <c r="D7016" s="196">
        <v>5.25</v>
      </c>
      <c r="E7016" s="195" t="s">
        <v>593</v>
      </c>
      <c r="F7016" s="195" t="s">
        <v>432</v>
      </c>
    </row>
    <row r="7017" spans="1:6" x14ac:dyDescent="0.25">
      <c r="A7017" s="189" t="str">
        <f t="shared" si="109"/>
        <v>MO-MD 1174.85.25E</v>
      </c>
      <c r="B7017" s="195" t="s">
        <v>463</v>
      </c>
      <c r="C7017" s="196">
        <v>4.8</v>
      </c>
      <c r="D7017" s="196">
        <v>5.25</v>
      </c>
      <c r="E7017" s="195" t="s">
        <v>598</v>
      </c>
      <c r="F7017" s="195" t="s">
        <v>19</v>
      </c>
    </row>
    <row r="7018" spans="1:6" x14ac:dyDescent="0.25">
      <c r="A7018" s="189" t="str">
        <f t="shared" si="109"/>
        <v>MO-MD 1175.256.26E</v>
      </c>
      <c r="B7018" s="195" t="s">
        <v>463</v>
      </c>
      <c r="C7018" s="196">
        <v>5.25</v>
      </c>
      <c r="D7018" s="196">
        <v>6.26</v>
      </c>
      <c r="E7018" s="195" t="s">
        <v>583</v>
      </c>
      <c r="F7018" s="195" t="s">
        <v>19</v>
      </c>
    </row>
    <row r="7019" spans="1:6" x14ac:dyDescent="0.25">
      <c r="A7019" s="189" t="str">
        <f t="shared" si="109"/>
        <v>MO-MD 1175.256.26W</v>
      </c>
      <c r="B7019" s="195" t="s">
        <v>463</v>
      </c>
      <c r="C7019" s="196">
        <v>5.25</v>
      </c>
      <c r="D7019" s="196">
        <v>6.26</v>
      </c>
      <c r="E7019" s="195" t="s">
        <v>583</v>
      </c>
      <c r="F7019" s="195" t="s">
        <v>432</v>
      </c>
    </row>
    <row r="7020" spans="1:6" x14ac:dyDescent="0.25">
      <c r="A7020" s="189" t="str">
        <f t="shared" si="109"/>
        <v>MO-MD 1176.266.55E</v>
      </c>
      <c r="B7020" s="195" t="s">
        <v>463</v>
      </c>
      <c r="C7020" s="196">
        <v>6.26</v>
      </c>
      <c r="D7020" s="196">
        <v>6.55</v>
      </c>
      <c r="E7020" s="195" t="s">
        <v>583</v>
      </c>
      <c r="F7020" s="195" t="s">
        <v>19</v>
      </c>
    </row>
    <row r="7021" spans="1:6" x14ac:dyDescent="0.25">
      <c r="A7021" s="189" t="str">
        <f t="shared" si="109"/>
        <v>MO-MD 1176.266.55W</v>
      </c>
      <c r="B7021" s="195" t="s">
        <v>463</v>
      </c>
      <c r="C7021" s="196">
        <v>6.26</v>
      </c>
      <c r="D7021" s="196">
        <v>6.55</v>
      </c>
      <c r="E7021" s="195" t="s">
        <v>583</v>
      </c>
      <c r="F7021" s="195" t="s">
        <v>432</v>
      </c>
    </row>
    <row r="7022" spans="1:6" x14ac:dyDescent="0.25">
      <c r="A7022" s="189" t="str">
        <f t="shared" si="109"/>
        <v>MO-MD 1176.557.1E</v>
      </c>
      <c r="B7022" s="195" t="s">
        <v>463</v>
      </c>
      <c r="C7022" s="196">
        <v>6.55</v>
      </c>
      <c r="D7022" s="196">
        <v>7.1</v>
      </c>
      <c r="E7022" s="195" t="s">
        <v>583</v>
      </c>
      <c r="F7022" s="195" t="s">
        <v>19</v>
      </c>
    </row>
    <row r="7023" spans="1:6" x14ac:dyDescent="0.25">
      <c r="A7023" s="189" t="str">
        <f t="shared" si="109"/>
        <v>MO-MD 1176.557.1W</v>
      </c>
      <c r="B7023" s="195" t="s">
        <v>463</v>
      </c>
      <c r="C7023" s="196">
        <v>6.55</v>
      </c>
      <c r="D7023" s="196">
        <v>7.1</v>
      </c>
      <c r="E7023" s="195" t="s">
        <v>583</v>
      </c>
      <c r="F7023" s="195" t="s">
        <v>432</v>
      </c>
    </row>
    <row r="7024" spans="1:6" x14ac:dyDescent="0.25">
      <c r="A7024" s="189" t="str">
        <f t="shared" si="109"/>
        <v>MO-MD 1177.17.57E</v>
      </c>
      <c r="B7024" s="195" t="s">
        <v>463</v>
      </c>
      <c r="C7024" s="196">
        <v>7.1</v>
      </c>
      <c r="D7024" s="196">
        <v>7.57</v>
      </c>
      <c r="E7024" s="195" t="s">
        <v>583</v>
      </c>
      <c r="F7024" s="195" t="s">
        <v>19</v>
      </c>
    </row>
    <row r="7025" spans="1:6" x14ac:dyDescent="0.25">
      <c r="A7025" s="189" t="str">
        <f t="shared" si="109"/>
        <v>MO-MD 1177.17.57W</v>
      </c>
      <c r="B7025" s="195" t="s">
        <v>463</v>
      </c>
      <c r="C7025" s="196">
        <v>7.1</v>
      </c>
      <c r="D7025" s="196">
        <v>7.57</v>
      </c>
      <c r="E7025" s="195" t="s">
        <v>583</v>
      </c>
      <c r="F7025" s="195" t="s">
        <v>432</v>
      </c>
    </row>
    <row r="7026" spans="1:6" x14ac:dyDescent="0.25">
      <c r="A7026" s="189" t="str">
        <f t="shared" si="109"/>
        <v>MO-MD 1178.069.73E</v>
      </c>
      <c r="B7026" s="195" t="s">
        <v>463</v>
      </c>
      <c r="C7026" s="196">
        <v>8.06</v>
      </c>
      <c r="D7026" s="196">
        <v>9.73</v>
      </c>
      <c r="E7026" s="195" t="s">
        <v>583</v>
      </c>
      <c r="F7026" s="195" t="s">
        <v>19</v>
      </c>
    </row>
    <row r="7027" spans="1:6" x14ac:dyDescent="0.25">
      <c r="A7027" s="189" t="str">
        <f t="shared" si="109"/>
        <v>MO-MD 1178.069.73W</v>
      </c>
      <c r="B7027" s="195" t="s">
        <v>463</v>
      </c>
      <c r="C7027" s="196">
        <v>8.06</v>
      </c>
      <c r="D7027" s="196">
        <v>9.73</v>
      </c>
      <c r="E7027" s="195" t="s">
        <v>583</v>
      </c>
      <c r="F7027" s="195" t="s">
        <v>432</v>
      </c>
    </row>
    <row r="7028" spans="1:6" x14ac:dyDescent="0.25">
      <c r="A7028" s="189" t="str">
        <f t="shared" si="109"/>
        <v>MO-MD 1179.7310.25E</v>
      </c>
      <c r="B7028" s="195" t="s">
        <v>463</v>
      </c>
      <c r="C7028" s="196">
        <v>9.73</v>
      </c>
      <c r="D7028" s="196">
        <v>10.25</v>
      </c>
      <c r="E7028" s="195" t="s">
        <v>583</v>
      </c>
      <c r="F7028" s="195" t="s">
        <v>19</v>
      </c>
    </row>
    <row r="7029" spans="1:6" x14ac:dyDescent="0.25">
      <c r="A7029" s="189" t="str">
        <f t="shared" si="109"/>
        <v>MO-MD 1179.7310.25W</v>
      </c>
      <c r="B7029" s="195" t="s">
        <v>463</v>
      </c>
      <c r="C7029" s="196">
        <v>9.73</v>
      </c>
      <c r="D7029" s="196">
        <v>10.25</v>
      </c>
      <c r="E7029" s="195" t="s">
        <v>583</v>
      </c>
      <c r="F7029" s="195" t="s">
        <v>432</v>
      </c>
    </row>
    <row r="7030" spans="1:6" x14ac:dyDescent="0.25">
      <c r="A7030" s="189" t="str">
        <f t="shared" si="109"/>
        <v>MO-MD 11710.2511.08E</v>
      </c>
      <c r="B7030" s="195" t="s">
        <v>463</v>
      </c>
      <c r="C7030" s="196">
        <v>10.25</v>
      </c>
      <c r="D7030" s="196">
        <v>11.08</v>
      </c>
      <c r="E7030" s="195" t="s">
        <v>598</v>
      </c>
      <c r="F7030" s="195" t="s">
        <v>19</v>
      </c>
    </row>
    <row r="7031" spans="1:6" x14ac:dyDescent="0.25">
      <c r="A7031" s="189" t="str">
        <f t="shared" si="109"/>
        <v>MO-MD 11710.2511.1W</v>
      </c>
      <c r="B7031" s="195" t="s">
        <v>463</v>
      </c>
      <c r="C7031" s="196">
        <v>10.25</v>
      </c>
      <c r="D7031" s="196">
        <v>11.1</v>
      </c>
      <c r="E7031" s="195" t="s">
        <v>593</v>
      </c>
      <c r="F7031" s="195" t="s">
        <v>432</v>
      </c>
    </row>
    <row r="7032" spans="1:6" x14ac:dyDescent="0.25">
      <c r="A7032" s="189" t="str">
        <f t="shared" si="109"/>
        <v>MO-MD 11711.612.4E</v>
      </c>
      <c r="B7032" s="195" t="s">
        <v>463</v>
      </c>
      <c r="C7032" s="196">
        <v>11.6</v>
      </c>
      <c r="D7032" s="196">
        <v>12.4</v>
      </c>
      <c r="E7032" s="195" t="s">
        <v>583</v>
      </c>
      <c r="F7032" s="195" t="s">
        <v>19</v>
      </c>
    </row>
    <row r="7033" spans="1:6" x14ac:dyDescent="0.25">
      <c r="A7033" s="189" t="str">
        <f t="shared" si="109"/>
        <v>MO-MD 11711.612.4W</v>
      </c>
      <c r="B7033" s="195" t="s">
        <v>463</v>
      </c>
      <c r="C7033" s="196">
        <v>11.6</v>
      </c>
      <c r="D7033" s="196">
        <v>12.4</v>
      </c>
      <c r="E7033" s="195" t="s">
        <v>583</v>
      </c>
      <c r="F7033" s="195" t="s">
        <v>432</v>
      </c>
    </row>
    <row r="7034" spans="1:6" x14ac:dyDescent="0.25">
      <c r="A7034" s="189" t="str">
        <f t="shared" si="109"/>
        <v>MO-MD 117A00.27E</v>
      </c>
      <c r="B7034" s="195" t="s">
        <v>3291</v>
      </c>
      <c r="C7034" s="196">
        <v>0</v>
      </c>
      <c r="D7034" s="196">
        <v>0.27</v>
      </c>
      <c r="E7034" s="195" t="s">
        <v>598</v>
      </c>
      <c r="F7034" s="195" t="s">
        <v>19</v>
      </c>
    </row>
    <row r="7035" spans="1:6" x14ac:dyDescent="0.25">
      <c r="A7035" s="189" t="str">
        <f t="shared" si="109"/>
        <v>MO-MD 117A00.27W</v>
      </c>
      <c r="B7035" s="195" t="s">
        <v>3291</v>
      </c>
      <c r="C7035" s="196">
        <v>0</v>
      </c>
      <c r="D7035" s="196">
        <v>0.27</v>
      </c>
      <c r="E7035" s="195" t="s">
        <v>593</v>
      </c>
      <c r="F7035" s="195" t="s">
        <v>432</v>
      </c>
    </row>
    <row r="7036" spans="1:6" x14ac:dyDescent="0.25">
      <c r="A7036" s="189" t="str">
        <f t="shared" si="109"/>
        <v>MO-MD 11803.25N</v>
      </c>
      <c r="B7036" s="195" t="s">
        <v>3292</v>
      </c>
      <c r="C7036" s="196">
        <v>0</v>
      </c>
      <c r="D7036" s="196">
        <v>3.25</v>
      </c>
      <c r="E7036" s="195" t="s">
        <v>583</v>
      </c>
      <c r="F7036" s="195" t="s">
        <v>430</v>
      </c>
    </row>
    <row r="7037" spans="1:6" x14ac:dyDescent="0.25">
      <c r="A7037" s="189" t="str">
        <f t="shared" si="109"/>
        <v>MO-MD 11803.25S</v>
      </c>
      <c r="B7037" s="195" t="s">
        <v>3292</v>
      </c>
      <c r="C7037" s="196">
        <v>0</v>
      </c>
      <c r="D7037" s="196">
        <v>3.25</v>
      </c>
      <c r="E7037" s="195" t="s">
        <v>583</v>
      </c>
      <c r="F7037" s="195" t="s">
        <v>438</v>
      </c>
    </row>
    <row r="7038" spans="1:6" x14ac:dyDescent="0.25">
      <c r="A7038" s="189" t="str">
        <f t="shared" si="109"/>
        <v>MO-MD 1183.253.65N</v>
      </c>
      <c r="B7038" s="195" t="s">
        <v>3292</v>
      </c>
      <c r="C7038" s="196">
        <v>3.25</v>
      </c>
      <c r="D7038" s="196">
        <v>3.65</v>
      </c>
      <c r="E7038" s="195" t="s">
        <v>583</v>
      </c>
      <c r="F7038" s="195" t="s">
        <v>430</v>
      </c>
    </row>
    <row r="7039" spans="1:6" x14ac:dyDescent="0.25">
      <c r="A7039" s="189" t="str">
        <f t="shared" si="109"/>
        <v>MO-MD 1183.253.65S</v>
      </c>
      <c r="B7039" s="195" t="s">
        <v>3292</v>
      </c>
      <c r="C7039" s="196">
        <v>3.25</v>
      </c>
      <c r="D7039" s="196">
        <v>3.65</v>
      </c>
      <c r="E7039" s="195" t="s">
        <v>583</v>
      </c>
      <c r="F7039" s="195" t="s">
        <v>438</v>
      </c>
    </row>
    <row r="7040" spans="1:6" x14ac:dyDescent="0.25">
      <c r="A7040" s="189" t="str">
        <f t="shared" si="109"/>
        <v>MO-MD 1183.653.65S</v>
      </c>
      <c r="B7040" s="195" t="s">
        <v>3292</v>
      </c>
      <c r="C7040" s="196">
        <v>3.65</v>
      </c>
      <c r="D7040" s="196">
        <v>3.65</v>
      </c>
      <c r="E7040" s="195" t="s">
        <v>595</v>
      </c>
      <c r="F7040" s="195" t="s">
        <v>438</v>
      </c>
    </row>
    <row r="7041" spans="1:6" x14ac:dyDescent="0.25">
      <c r="A7041" s="189" t="str">
        <f t="shared" si="109"/>
        <v>MO-MD 12100.34N</v>
      </c>
      <c r="B7041" s="195" t="s">
        <v>3293</v>
      </c>
      <c r="C7041" s="196">
        <v>0</v>
      </c>
      <c r="D7041" s="196">
        <v>0.34</v>
      </c>
      <c r="E7041" s="195" t="s">
        <v>589</v>
      </c>
      <c r="F7041" s="195" t="s">
        <v>430</v>
      </c>
    </row>
    <row r="7042" spans="1:6" x14ac:dyDescent="0.25">
      <c r="A7042" s="189" t="str">
        <f t="shared" si="109"/>
        <v>MO-MD 12100.35S</v>
      </c>
      <c r="B7042" s="195" t="s">
        <v>3293</v>
      </c>
      <c r="C7042" s="196">
        <v>0</v>
      </c>
      <c r="D7042" s="196">
        <v>0.35</v>
      </c>
      <c r="E7042" s="195" t="s">
        <v>595</v>
      </c>
      <c r="F7042" s="195" t="s">
        <v>438</v>
      </c>
    </row>
    <row r="7043" spans="1:6" x14ac:dyDescent="0.25">
      <c r="A7043" s="189" t="str">
        <f t="shared" ref="A7043:A7106" si="110">B7043&amp;C7043&amp;D7043&amp;F7043</f>
        <v>MO-MD 1210.340.44N</v>
      </c>
      <c r="B7043" s="195" t="s">
        <v>3293</v>
      </c>
      <c r="C7043" s="196">
        <v>0.34</v>
      </c>
      <c r="D7043" s="196">
        <v>0.44</v>
      </c>
      <c r="E7043" s="195" t="s">
        <v>589</v>
      </c>
      <c r="F7043" s="195" t="s">
        <v>430</v>
      </c>
    </row>
    <row r="7044" spans="1:6" x14ac:dyDescent="0.25">
      <c r="A7044" s="189" t="str">
        <f t="shared" si="110"/>
        <v>MO-MD 1210.350.45S</v>
      </c>
      <c r="B7044" s="195" t="s">
        <v>3293</v>
      </c>
      <c r="C7044" s="196">
        <v>0.35</v>
      </c>
      <c r="D7044" s="196">
        <v>0.45</v>
      </c>
      <c r="E7044" s="195" t="s">
        <v>595</v>
      </c>
      <c r="F7044" s="195" t="s">
        <v>438</v>
      </c>
    </row>
    <row r="7045" spans="1:6" x14ac:dyDescent="0.25">
      <c r="A7045" s="189" t="str">
        <f t="shared" si="110"/>
        <v>MO-MD 1210.443.09N</v>
      </c>
      <c r="B7045" s="195" t="s">
        <v>3293</v>
      </c>
      <c r="C7045" s="196">
        <v>0.44</v>
      </c>
      <c r="D7045" s="196">
        <v>3.09</v>
      </c>
      <c r="E7045" s="195" t="s">
        <v>589</v>
      </c>
      <c r="F7045" s="195" t="s">
        <v>430</v>
      </c>
    </row>
    <row r="7046" spans="1:6" x14ac:dyDescent="0.25">
      <c r="A7046" s="189" t="str">
        <f t="shared" si="110"/>
        <v>MO-MD 1210.453.83S</v>
      </c>
      <c r="B7046" s="195" t="s">
        <v>3293</v>
      </c>
      <c r="C7046" s="196">
        <v>0.45</v>
      </c>
      <c r="D7046" s="196">
        <v>3.83</v>
      </c>
      <c r="E7046" s="195" t="s">
        <v>595</v>
      </c>
      <c r="F7046" s="195" t="s">
        <v>438</v>
      </c>
    </row>
    <row r="7047" spans="1:6" x14ac:dyDescent="0.25">
      <c r="A7047" s="189" t="str">
        <f t="shared" si="110"/>
        <v>MO-MD 1213.093.83N</v>
      </c>
      <c r="B7047" s="195" t="s">
        <v>3293</v>
      </c>
      <c r="C7047" s="196">
        <v>3.09</v>
      </c>
      <c r="D7047" s="196">
        <v>3.83</v>
      </c>
      <c r="E7047" s="195" t="s">
        <v>589</v>
      </c>
      <c r="F7047" s="195" t="s">
        <v>430</v>
      </c>
    </row>
    <row r="7048" spans="1:6" x14ac:dyDescent="0.25">
      <c r="A7048" s="189" t="str">
        <f t="shared" si="110"/>
        <v>MO-MD 121A00.46N</v>
      </c>
      <c r="B7048" s="195" t="s">
        <v>3294</v>
      </c>
      <c r="C7048" s="196">
        <v>0</v>
      </c>
      <c r="D7048" s="196">
        <v>0.46</v>
      </c>
      <c r="E7048" s="195" t="s">
        <v>583</v>
      </c>
      <c r="F7048" s="195" t="s">
        <v>430</v>
      </c>
    </row>
    <row r="7049" spans="1:6" x14ac:dyDescent="0.25">
      <c r="A7049" s="189" t="str">
        <f t="shared" si="110"/>
        <v>MO-MD 121A00.46S</v>
      </c>
      <c r="B7049" s="195" t="s">
        <v>3294</v>
      </c>
      <c r="C7049" s="196">
        <v>0</v>
      </c>
      <c r="D7049" s="196">
        <v>0.46</v>
      </c>
      <c r="E7049" s="195" t="s">
        <v>583</v>
      </c>
      <c r="F7049" s="195" t="s">
        <v>438</v>
      </c>
    </row>
    <row r="7050" spans="1:6" x14ac:dyDescent="0.25">
      <c r="A7050" s="189" t="str">
        <f t="shared" si="110"/>
        <v>MO-MD 1246.016.95N</v>
      </c>
      <c r="B7050" s="195" t="s">
        <v>3295</v>
      </c>
      <c r="C7050" s="196">
        <v>6.01</v>
      </c>
      <c r="D7050" s="196">
        <v>6.95</v>
      </c>
      <c r="E7050" s="195" t="s">
        <v>583</v>
      </c>
      <c r="F7050" s="195" t="s">
        <v>430</v>
      </c>
    </row>
    <row r="7051" spans="1:6" x14ac:dyDescent="0.25">
      <c r="A7051" s="189" t="str">
        <f t="shared" si="110"/>
        <v>MO-MD 1246.016.95S</v>
      </c>
      <c r="B7051" s="195" t="s">
        <v>3295</v>
      </c>
      <c r="C7051" s="196">
        <v>6.01</v>
      </c>
      <c r="D7051" s="196">
        <v>6.95</v>
      </c>
      <c r="E7051" s="195" t="s">
        <v>583</v>
      </c>
      <c r="F7051" s="195" t="s">
        <v>438</v>
      </c>
    </row>
    <row r="7052" spans="1:6" x14ac:dyDescent="0.25">
      <c r="A7052" s="189" t="str">
        <f t="shared" si="110"/>
        <v>MO-MD 1247.17.59N</v>
      </c>
      <c r="B7052" s="195" t="s">
        <v>3295</v>
      </c>
      <c r="C7052" s="196">
        <v>7.1</v>
      </c>
      <c r="D7052" s="196">
        <v>7.59</v>
      </c>
      <c r="E7052" s="195" t="s">
        <v>583</v>
      </c>
      <c r="F7052" s="195" t="s">
        <v>430</v>
      </c>
    </row>
    <row r="7053" spans="1:6" x14ac:dyDescent="0.25">
      <c r="A7053" s="189" t="str">
        <f t="shared" si="110"/>
        <v>MO-MD 1247.17.59S</v>
      </c>
      <c r="B7053" s="195" t="s">
        <v>3295</v>
      </c>
      <c r="C7053" s="196">
        <v>7.1</v>
      </c>
      <c r="D7053" s="196">
        <v>7.59</v>
      </c>
      <c r="E7053" s="195" t="s">
        <v>583</v>
      </c>
      <c r="F7053" s="195" t="s">
        <v>438</v>
      </c>
    </row>
    <row r="7054" spans="1:6" x14ac:dyDescent="0.25">
      <c r="A7054" s="189" t="str">
        <f t="shared" si="110"/>
        <v>MO-MD 1249.199.47N</v>
      </c>
      <c r="B7054" s="195" t="s">
        <v>3295</v>
      </c>
      <c r="C7054" s="196">
        <v>9.19</v>
      </c>
      <c r="D7054" s="196">
        <v>9.4700000000000006</v>
      </c>
      <c r="E7054" s="195" t="s">
        <v>583</v>
      </c>
      <c r="F7054" s="195" t="s">
        <v>430</v>
      </c>
    </row>
    <row r="7055" spans="1:6" x14ac:dyDescent="0.25">
      <c r="A7055" s="189" t="str">
        <f t="shared" si="110"/>
        <v>MO-MD 1249.199.47S</v>
      </c>
      <c r="B7055" s="195" t="s">
        <v>3295</v>
      </c>
      <c r="C7055" s="196">
        <v>9.19</v>
      </c>
      <c r="D7055" s="196">
        <v>9.4700000000000006</v>
      </c>
      <c r="E7055" s="195" t="s">
        <v>583</v>
      </c>
      <c r="F7055" s="195" t="s">
        <v>438</v>
      </c>
    </row>
    <row r="7056" spans="1:6" x14ac:dyDescent="0.25">
      <c r="A7056" s="189" t="str">
        <f t="shared" si="110"/>
        <v>MO-MD 1249.4710.44N</v>
      </c>
      <c r="B7056" s="195" t="s">
        <v>3295</v>
      </c>
      <c r="C7056" s="196">
        <v>9.4700000000000006</v>
      </c>
      <c r="D7056" s="196">
        <v>10.44</v>
      </c>
      <c r="E7056" s="195" t="s">
        <v>583</v>
      </c>
      <c r="F7056" s="195" t="s">
        <v>430</v>
      </c>
    </row>
    <row r="7057" spans="1:6" x14ac:dyDescent="0.25">
      <c r="A7057" s="189" t="str">
        <f t="shared" si="110"/>
        <v>MO-MD 1249.4710.44S</v>
      </c>
      <c r="B7057" s="195" t="s">
        <v>3295</v>
      </c>
      <c r="C7057" s="196">
        <v>9.4700000000000006</v>
      </c>
      <c r="D7057" s="196">
        <v>10.44</v>
      </c>
      <c r="E7057" s="195" t="s">
        <v>583</v>
      </c>
      <c r="F7057" s="195" t="s">
        <v>438</v>
      </c>
    </row>
    <row r="7058" spans="1:6" x14ac:dyDescent="0.25">
      <c r="A7058" s="189" t="str">
        <f t="shared" si="110"/>
        <v>MO-MD 12410.4410.85S</v>
      </c>
      <c r="B7058" s="195" t="s">
        <v>3295</v>
      </c>
      <c r="C7058" s="196">
        <v>10.44</v>
      </c>
      <c r="D7058" s="196">
        <v>10.85</v>
      </c>
      <c r="E7058" s="195" t="s">
        <v>595</v>
      </c>
      <c r="F7058" s="195" t="s">
        <v>438</v>
      </c>
    </row>
    <row r="7059" spans="1:6" x14ac:dyDescent="0.25">
      <c r="A7059" s="189" t="str">
        <f t="shared" si="110"/>
        <v>MO-MD 12410.4410.92N</v>
      </c>
      <c r="B7059" s="195" t="s">
        <v>3295</v>
      </c>
      <c r="C7059" s="196">
        <v>10.44</v>
      </c>
      <c r="D7059" s="196">
        <v>10.92</v>
      </c>
      <c r="E7059" s="195" t="s">
        <v>589</v>
      </c>
      <c r="F7059" s="195" t="s">
        <v>430</v>
      </c>
    </row>
    <row r="7060" spans="1:6" x14ac:dyDescent="0.25">
      <c r="A7060" s="189" t="str">
        <f t="shared" si="110"/>
        <v>MO-MD 12410.8514.1S</v>
      </c>
      <c r="B7060" s="195" t="s">
        <v>3295</v>
      </c>
      <c r="C7060" s="196">
        <v>10.85</v>
      </c>
      <c r="D7060" s="196">
        <v>14.1</v>
      </c>
      <c r="E7060" s="195" t="s">
        <v>595</v>
      </c>
      <c r="F7060" s="195" t="s">
        <v>438</v>
      </c>
    </row>
    <row r="7061" spans="1:6" x14ac:dyDescent="0.25">
      <c r="A7061" s="189" t="str">
        <f t="shared" si="110"/>
        <v>MO-MD 12410.9214.1N</v>
      </c>
      <c r="B7061" s="195" t="s">
        <v>3295</v>
      </c>
      <c r="C7061" s="196">
        <v>10.92</v>
      </c>
      <c r="D7061" s="196">
        <v>14.1</v>
      </c>
      <c r="E7061" s="195" t="s">
        <v>589</v>
      </c>
      <c r="F7061" s="195" t="s">
        <v>430</v>
      </c>
    </row>
    <row r="7062" spans="1:6" x14ac:dyDescent="0.25">
      <c r="A7062" s="189" t="str">
        <f t="shared" si="110"/>
        <v>MO-MD 12414.116.95N</v>
      </c>
      <c r="B7062" s="195" t="s">
        <v>3295</v>
      </c>
      <c r="C7062" s="196">
        <v>14.1</v>
      </c>
      <c r="D7062" s="196">
        <v>16.95</v>
      </c>
      <c r="E7062" s="195" t="s">
        <v>583</v>
      </c>
      <c r="F7062" s="195" t="s">
        <v>430</v>
      </c>
    </row>
    <row r="7063" spans="1:6" x14ac:dyDescent="0.25">
      <c r="A7063" s="189" t="str">
        <f t="shared" si="110"/>
        <v>MO-MD 12414.116.95S</v>
      </c>
      <c r="B7063" s="195" t="s">
        <v>3295</v>
      </c>
      <c r="C7063" s="196">
        <v>14.1</v>
      </c>
      <c r="D7063" s="196">
        <v>16.95</v>
      </c>
      <c r="E7063" s="195" t="s">
        <v>583</v>
      </c>
      <c r="F7063" s="195" t="s">
        <v>438</v>
      </c>
    </row>
    <row r="7064" spans="1:6" x14ac:dyDescent="0.25">
      <c r="A7064" s="189" t="str">
        <f t="shared" si="110"/>
        <v>MO-MD 1823.014.18N</v>
      </c>
      <c r="B7064" s="195" t="s">
        <v>3296</v>
      </c>
      <c r="C7064" s="196">
        <v>3.01</v>
      </c>
      <c r="D7064" s="196">
        <v>4.18</v>
      </c>
      <c r="E7064" s="195" t="s">
        <v>583</v>
      </c>
      <c r="F7064" s="195" t="s">
        <v>430</v>
      </c>
    </row>
    <row r="7065" spans="1:6" x14ac:dyDescent="0.25">
      <c r="A7065" s="189" t="str">
        <f t="shared" si="110"/>
        <v>MO-MD 1823.014.18S</v>
      </c>
      <c r="B7065" s="195" t="s">
        <v>3296</v>
      </c>
      <c r="C7065" s="196">
        <v>3.01</v>
      </c>
      <c r="D7065" s="196">
        <v>4.18</v>
      </c>
      <c r="E7065" s="195" t="s">
        <v>583</v>
      </c>
      <c r="F7065" s="195" t="s">
        <v>438</v>
      </c>
    </row>
    <row r="7066" spans="1:6" x14ac:dyDescent="0.25">
      <c r="A7066" s="189" t="str">
        <f t="shared" si="110"/>
        <v>MO-MD 1824.454.89N</v>
      </c>
      <c r="B7066" s="195" t="s">
        <v>3296</v>
      </c>
      <c r="C7066" s="196">
        <v>4.45</v>
      </c>
      <c r="D7066" s="196">
        <v>4.8899999999999997</v>
      </c>
      <c r="E7066" s="195" t="s">
        <v>583</v>
      </c>
      <c r="F7066" s="195" t="s">
        <v>430</v>
      </c>
    </row>
    <row r="7067" spans="1:6" x14ac:dyDescent="0.25">
      <c r="A7067" s="189" t="str">
        <f t="shared" si="110"/>
        <v>MO-MD 1824.454.89S</v>
      </c>
      <c r="B7067" s="195" t="s">
        <v>3296</v>
      </c>
      <c r="C7067" s="196">
        <v>4.45</v>
      </c>
      <c r="D7067" s="196">
        <v>4.8899999999999997</v>
      </c>
      <c r="E7067" s="195" t="s">
        <v>583</v>
      </c>
      <c r="F7067" s="195" t="s">
        <v>438</v>
      </c>
    </row>
    <row r="7068" spans="1:6" x14ac:dyDescent="0.25">
      <c r="A7068" s="189" t="str">
        <f t="shared" si="110"/>
        <v>MO-MD 1824.895.71N</v>
      </c>
      <c r="B7068" s="195" t="s">
        <v>3296</v>
      </c>
      <c r="C7068" s="196">
        <v>4.8899999999999997</v>
      </c>
      <c r="D7068" s="196">
        <v>5.71</v>
      </c>
      <c r="E7068" s="195" t="s">
        <v>583</v>
      </c>
      <c r="F7068" s="195" t="s">
        <v>430</v>
      </c>
    </row>
    <row r="7069" spans="1:6" x14ac:dyDescent="0.25">
      <c r="A7069" s="189" t="str">
        <f t="shared" si="110"/>
        <v>MO-MD 1824.895.71S</v>
      </c>
      <c r="B7069" s="195" t="s">
        <v>3296</v>
      </c>
      <c r="C7069" s="196">
        <v>4.8899999999999997</v>
      </c>
      <c r="D7069" s="196">
        <v>5.71</v>
      </c>
      <c r="E7069" s="195" t="s">
        <v>583</v>
      </c>
      <c r="F7069" s="195" t="s">
        <v>438</v>
      </c>
    </row>
    <row r="7070" spans="1:6" x14ac:dyDescent="0.25">
      <c r="A7070" s="189" t="str">
        <f t="shared" si="110"/>
        <v>MO-MD 1825.716.53N</v>
      </c>
      <c r="B7070" s="195" t="s">
        <v>3296</v>
      </c>
      <c r="C7070" s="196">
        <v>5.71</v>
      </c>
      <c r="D7070" s="196">
        <v>6.53</v>
      </c>
      <c r="E7070" s="195" t="s">
        <v>583</v>
      </c>
      <c r="F7070" s="195" t="s">
        <v>430</v>
      </c>
    </row>
    <row r="7071" spans="1:6" x14ac:dyDescent="0.25">
      <c r="A7071" s="189" t="str">
        <f t="shared" si="110"/>
        <v>MO-MD 1825.716.53S</v>
      </c>
      <c r="B7071" s="195" t="s">
        <v>3296</v>
      </c>
      <c r="C7071" s="196">
        <v>5.71</v>
      </c>
      <c r="D7071" s="196">
        <v>6.53</v>
      </c>
      <c r="E7071" s="195" t="s">
        <v>583</v>
      </c>
      <c r="F7071" s="195" t="s">
        <v>438</v>
      </c>
    </row>
    <row r="7072" spans="1:6" x14ac:dyDescent="0.25">
      <c r="A7072" s="189" t="str">
        <f t="shared" si="110"/>
        <v>MO-MD 1826.536.54N</v>
      </c>
      <c r="B7072" s="195" t="s">
        <v>3296</v>
      </c>
      <c r="C7072" s="196">
        <v>6.53</v>
      </c>
      <c r="D7072" s="196">
        <v>6.54</v>
      </c>
      <c r="E7072" s="195" t="s">
        <v>583</v>
      </c>
      <c r="F7072" s="195" t="s">
        <v>430</v>
      </c>
    </row>
    <row r="7073" spans="1:6" x14ac:dyDescent="0.25">
      <c r="A7073" s="189" t="str">
        <f t="shared" si="110"/>
        <v>MO-MD 1826.536.54S</v>
      </c>
      <c r="B7073" s="195" t="s">
        <v>3296</v>
      </c>
      <c r="C7073" s="196">
        <v>6.53</v>
      </c>
      <c r="D7073" s="196">
        <v>6.54</v>
      </c>
      <c r="E7073" s="195" t="s">
        <v>583</v>
      </c>
      <c r="F7073" s="195" t="s">
        <v>438</v>
      </c>
    </row>
    <row r="7074" spans="1:6" x14ac:dyDescent="0.25">
      <c r="A7074" s="189" t="str">
        <f t="shared" si="110"/>
        <v>MO-MD 182A00.28N</v>
      </c>
      <c r="B7074" s="195" t="s">
        <v>3297</v>
      </c>
      <c r="C7074" s="196">
        <v>0</v>
      </c>
      <c r="D7074" s="196">
        <v>0.28000000000000003</v>
      </c>
      <c r="E7074" s="195" t="s">
        <v>589</v>
      </c>
      <c r="F7074" s="195" t="s">
        <v>430</v>
      </c>
    </row>
    <row r="7075" spans="1:6" x14ac:dyDescent="0.25">
      <c r="A7075" s="189" t="str">
        <f t="shared" si="110"/>
        <v>MO-MD 185A00.13S</v>
      </c>
      <c r="B7075" s="195" t="s">
        <v>3298</v>
      </c>
      <c r="C7075" s="196">
        <v>0</v>
      </c>
      <c r="D7075" s="196">
        <v>0.13</v>
      </c>
      <c r="E7075" s="195" t="s">
        <v>595</v>
      </c>
      <c r="F7075" s="195" t="s">
        <v>438</v>
      </c>
    </row>
    <row r="7076" spans="1:6" x14ac:dyDescent="0.25">
      <c r="A7076" s="189" t="str">
        <f t="shared" si="110"/>
        <v>MO-MD 185B00.02W</v>
      </c>
      <c r="B7076" s="195" t="s">
        <v>3299</v>
      </c>
      <c r="C7076" s="196">
        <v>0</v>
      </c>
      <c r="D7076" s="196">
        <v>0.02</v>
      </c>
      <c r="E7076" s="195" t="s">
        <v>593</v>
      </c>
      <c r="F7076" s="195" t="s">
        <v>432</v>
      </c>
    </row>
    <row r="7077" spans="1:6" x14ac:dyDescent="0.25">
      <c r="A7077" s="189" t="str">
        <f t="shared" si="110"/>
        <v>MO-MD 185C00.01N</v>
      </c>
      <c r="B7077" s="195" t="s">
        <v>3300</v>
      </c>
      <c r="C7077" s="196">
        <v>0</v>
      </c>
      <c r="D7077" s="196">
        <v>0.01</v>
      </c>
      <c r="E7077" s="195" t="s">
        <v>589</v>
      </c>
      <c r="F7077" s="195" t="s">
        <v>430</v>
      </c>
    </row>
    <row r="7078" spans="1:6" x14ac:dyDescent="0.25">
      <c r="A7078" s="189" t="str">
        <f t="shared" si="110"/>
        <v>MO-MD 185D00.04E</v>
      </c>
      <c r="B7078" s="195" t="s">
        <v>3301</v>
      </c>
      <c r="C7078" s="196">
        <v>0</v>
      </c>
      <c r="D7078" s="196">
        <v>0.04</v>
      </c>
      <c r="E7078" s="195" t="s">
        <v>598</v>
      </c>
      <c r="F7078" s="195" t="s">
        <v>19</v>
      </c>
    </row>
    <row r="7079" spans="1:6" x14ac:dyDescent="0.25">
      <c r="A7079" s="189" t="str">
        <f t="shared" si="110"/>
        <v>MO-MD 185E00.08W</v>
      </c>
      <c r="B7079" s="195" t="s">
        <v>3302</v>
      </c>
      <c r="C7079" s="196">
        <v>0</v>
      </c>
      <c r="D7079" s="196">
        <v>0.08</v>
      </c>
      <c r="E7079" s="195" t="s">
        <v>593</v>
      </c>
      <c r="F7079" s="195" t="s">
        <v>432</v>
      </c>
    </row>
    <row r="7080" spans="1:6" x14ac:dyDescent="0.25">
      <c r="A7080" s="189" t="str">
        <f t="shared" si="110"/>
        <v>MO-MD 18601.25N</v>
      </c>
      <c r="B7080" s="195" t="s">
        <v>3303</v>
      </c>
      <c r="C7080" s="196">
        <v>0</v>
      </c>
      <c r="D7080" s="196">
        <v>1.25</v>
      </c>
      <c r="E7080" s="195" t="s">
        <v>583</v>
      </c>
      <c r="F7080" s="195" t="s">
        <v>430</v>
      </c>
    </row>
    <row r="7081" spans="1:6" x14ac:dyDescent="0.25">
      <c r="A7081" s="189" t="str">
        <f t="shared" si="110"/>
        <v>MO-MD 18601.25S</v>
      </c>
      <c r="B7081" s="195" t="s">
        <v>3303</v>
      </c>
      <c r="C7081" s="196">
        <v>0</v>
      </c>
      <c r="D7081" s="196">
        <v>1.25</v>
      </c>
      <c r="E7081" s="195" t="s">
        <v>583</v>
      </c>
      <c r="F7081" s="195" t="s">
        <v>438</v>
      </c>
    </row>
    <row r="7082" spans="1:6" x14ac:dyDescent="0.25">
      <c r="A7082" s="189" t="str">
        <f t="shared" si="110"/>
        <v>MO-MD 1861.251.52N</v>
      </c>
      <c r="B7082" s="195" t="s">
        <v>3303</v>
      </c>
      <c r="C7082" s="196">
        <v>1.25</v>
      </c>
      <c r="D7082" s="196">
        <v>1.52</v>
      </c>
      <c r="E7082" s="195" t="s">
        <v>583</v>
      </c>
      <c r="F7082" s="195" t="s">
        <v>430</v>
      </c>
    </row>
    <row r="7083" spans="1:6" x14ac:dyDescent="0.25">
      <c r="A7083" s="189" t="str">
        <f t="shared" si="110"/>
        <v>MO-MD 1861.251.52S</v>
      </c>
      <c r="B7083" s="195" t="s">
        <v>3303</v>
      </c>
      <c r="C7083" s="196">
        <v>1.25</v>
      </c>
      <c r="D7083" s="196">
        <v>1.52</v>
      </c>
      <c r="E7083" s="195" t="s">
        <v>583</v>
      </c>
      <c r="F7083" s="195" t="s">
        <v>438</v>
      </c>
    </row>
    <row r="7084" spans="1:6" x14ac:dyDescent="0.25">
      <c r="A7084" s="189" t="str">
        <f t="shared" si="110"/>
        <v>MO-MD 18701.29N</v>
      </c>
      <c r="B7084" s="195" t="s">
        <v>3304</v>
      </c>
      <c r="C7084" s="196">
        <v>0</v>
      </c>
      <c r="D7084" s="196">
        <v>1.29</v>
      </c>
      <c r="E7084" s="195" t="s">
        <v>589</v>
      </c>
      <c r="F7084" s="195" t="s">
        <v>430</v>
      </c>
    </row>
    <row r="7085" spans="1:6" x14ac:dyDescent="0.25">
      <c r="A7085" s="189" t="str">
        <f t="shared" si="110"/>
        <v>MO-MD 1870.171.29S</v>
      </c>
      <c r="B7085" s="195" t="s">
        <v>3304</v>
      </c>
      <c r="C7085" s="196">
        <v>0.17</v>
      </c>
      <c r="D7085" s="196">
        <v>1.29</v>
      </c>
      <c r="E7085" s="195" t="s">
        <v>595</v>
      </c>
      <c r="F7085" s="195" t="s">
        <v>438</v>
      </c>
    </row>
    <row r="7086" spans="1:6" x14ac:dyDescent="0.25">
      <c r="A7086" s="189" t="str">
        <f t="shared" si="110"/>
        <v>MO-MD 18800.7E</v>
      </c>
      <c r="B7086" s="195" t="s">
        <v>3305</v>
      </c>
      <c r="C7086" s="196">
        <v>0</v>
      </c>
      <c r="D7086" s="196">
        <v>0.7</v>
      </c>
      <c r="E7086" s="195" t="s">
        <v>583</v>
      </c>
      <c r="F7086" s="195" t="s">
        <v>19</v>
      </c>
    </row>
    <row r="7087" spans="1:6" x14ac:dyDescent="0.25">
      <c r="A7087" s="189" t="str">
        <f t="shared" si="110"/>
        <v>MO-MD 18800.7W</v>
      </c>
      <c r="B7087" s="195" t="s">
        <v>3305</v>
      </c>
      <c r="C7087" s="196">
        <v>0</v>
      </c>
      <c r="D7087" s="196">
        <v>0.7</v>
      </c>
      <c r="E7087" s="195" t="s">
        <v>583</v>
      </c>
      <c r="F7087" s="195" t="s">
        <v>432</v>
      </c>
    </row>
    <row r="7088" spans="1:6" x14ac:dyDescent="0.25">
      <c r="A7088" s="189" t="str">
        <f t="shared" si="110"/>
        <v>MO-MD 1880.992.6E</v>
      </c>
      <c r="B7088" s="195" t="s">
        <v>3305</v>
      </c>
      <c r="C7088" s="196">
        <v>0.99</v>
      </c>
      <c r="D7088" s="196">
        <v>2.6</v>
      </c>
      <c r="E7088" s="195" t="s">
        <v>583</v>
      </c>
      <c r="F7088" s="195" t="s">
        <v>19</v>
      </c>
    </row>
    <row r="7089" spans="1:6" x14ac:dyDescent="0.25">
      <c r="A7089" s="189" t="str">
        <f t="shared" si="110"/>
        <v>MO-MD 1880.992.6W</v>
      </c>
      <c r="B7089" s="195" t="s">
        <v>3305</v>
      </c>
      <c r="C7089" s="196">
        <v>0.99</v>
      </c>
      <c r="D7089" s="196">
        <v>2.6</v>
      </c>
      <c r="E7089" s="195" t="s">
        <v>583</v>
      </c>
      <c r="F7089" s="195" t="s">
        <v>432</v>
      </c>
    </row>
    <row r="7090" spans="1:6" x14ac:dyDescent="0.25">
      <c r="A7090" s="189" t="str">
        <f t="shared" si="110"/>
        <v>MO-MD 1882.63.2E</v>
      </c>
      <c r="B7090" s="195" t="s">
        <v>3305</v>
      </c>
      <c r="C7090" s="196">
        <v>2.6</v>
      </c>
      <c r="D7090" s="196">
        <v>3.2</v>
      </c>
      <c r="E7090" s="195" t="s">
        <v>598</v>
      </c>
      <c r="F7090" s="195" t="s">
        <v>19</v>
      </c>
    </row>
    <row r="7091" spans="1:6" x14ac:dyDescent="0.25">
      <c r="A7091" s="189" t="str">
        <f t="shared" si="110"/>
        <v>MO-MD 1882.63.25W</v>
      </c>
      <c r="B7091" s="195" t="s">
        <v>3305</v>
      </c>
      <c r="C7091" s="196">
        <v>2.6</v>
      </c>
      <c r="D7091" s="196">
        <v>3.25</v>
      </c>
      <c r="E7091" s="195" t="s">
        <v>593</v>
      </c>
      <c r="F7091" s="195" t="s">
        <v>432</v>
      </c>
    </row>
    <row r="7092" spans="1:6" x14ac:dyDescent="0.25">
      <c r="A7092" s="189" t="str">
        <f t="shared" si="110"/>
        <v>MO-MD 1883.23.25E</v>
      </c>
      <c r="B7092" s="195" t="s">
        <v>3305</v>
      </c>
      <c r="C7092" s="196">
        <v>3.2</v>
      </c>
      <c r="D7092" s="196">
        <v>3.25</v>
      </c>
      <c r="E7092" s="195" t="s">
        <v>598</v>
      </c>
      <c r="F7092" s="195" t="s">
        <v>19</v>
      </c>
    </row>
    <row r="7093" spans="1:6" x14ac:dyDescent="0.25">
      <c r="A7093" s="189" t="str">
        <f t="shared" si="110"/>
        <v>MO-MD 18900.12S</v>
      </c>
      <c r="B7093" s="195" t="s">
        <v>464</v>
      </c>
      <c r="C7093" s="196">
        <v>0</v>
      </c>
      <c r="D7093" s="196">
        <v>0.12</v>
      </c>
      <c r="E7093" s="195" t="s">
        <v>595</v>
      </c>
      <c r="F7093" s="195" t="s">
        <v>438</v>
      </c>
    </row>
    <row r="7094" spans="1:6" x14ac:dyDescent="0.25">
      <c r="A7094" s="189" t="str">
        <f t="shared" si="110"/>
        <v>MO-MD 18904.4N</v>
      </c>
      <c r="B7094" s="195" t="s">
        <v>464</v>
      </c>
      <c r="C7094" s="196">
        <v>0</v>
      </c>
      <c r="D7094" s="196">
        <v>4.4000000000000004</v>
      </c>
      <c r="E7094" s="195" t="s">
        <v>589</v>
      </c>
      <c r="F7094" s="195" t="s">
        <v>430</v>
      </c>
    </row>
    <row r="7095" spans="1:6" x14ac:dyDescent="0.25">
      <c r="A7095" s="189" t="str">
        <f t="shared" si="110"/>
        <v>MO-MD 1890.124.4S</v>
      </c>
      <c r="B7095" s="195" t="s">
        <v>464</v>
      </c>
      <c r="C7095" s="196">
        <v>0.12</v>
      </c>
      <c r="D7095" s="196">
        <v>4.4000000000000004</v>
      </c>
      <c r="E7095" s="195" t="s">
        <v>595</v>
      </c>
      <c r="F7095" s="195" t="s">
        <v>438</v>
      </c>
    </row>
    <row r="7096" spans="1:6" x14ac:dyDescent="0.25">
      <c r="A7096" s="189" t="str">
        <f t="shared" si="110"/>
        <v>MO-MD 19002.29E</v>
      </c>
      <c r="B7096" s="195" t="s">
        <v>3306</v>
      </c>
      <c r="C7096" s="196">
        <v>0</v>
      </c>
      <c r="D7096" s="196">
        <v>2.29</v>
      </c>
      <c r="E7096" s="195" t="s">
        <v>583</v>
      </c>
      <c r="F7096" s="195" t="s">
        <v>19</v>
      </c>
    </row>
    <row r="7097" spans="1:6" x14ac:dyDescent="0.25">
      <c r="A7097" s="189" t="str">
        <f t="shared" si="110"/>
        <v>MO-MD 19002.29W</v>
      </c>
      <c r="B7097" s="195" t="s">
        <v>3306</v>
      </c>
      <c r="C7097" s="196">
        <v>0</v>
      </c>
      <c r="D7097" s="196">
        <v>2.29</v>
      </c>
      <c r="E7097" s="195" t="s">
        <v>583</v>
      </c>
      <c r="F7097" s="195" t="s">
        <v>432</v>
      </c>
    </row>
    <row r="7098" spans="1:6" x14ac:dyDescent="0.25">
      <c r="A7098" s="189" t="str">
        <f t="shared" si="110"/>
        <v>MO-MD 1902.296.45E</v>
      </c>
      <c r="B7098" s="195" t="s">
        <v>3306</v>
      </c>
      <c r="C7098" s="196">
        <v>2.29</v>
      </c>
      <c r="D7098" s="196">
        <v>6.45</v>
      </c>
      <c r="E7098" s="195" t="s">
        <v>583</v>
      </c>
      <c r="F7098" s="195" t="s">
        <v>19</v>
      </c>
    </row>
    <row r="7099" spans="1:6" x14ac:dyDescent="0.25">
      <c r="A7099" s="189" t="str">
        <f t="shared" si="110"/>
        <v>MO-MD 1902.296.45W</v>
      </c>
      <c r="B7099" s="195" t="s">
        <v>3306</v>
      </c>
      <c r="C7099" s="196">
        <v>2.29</v>
      </c>
      <c r="D7099" s="196">
        <v>6.45</v>
      </c>
      <c r="E7099" s="195" t="s">
        <v>583</v>
      </c>
      <c r="F7099" s="195" t="s">
        <v>432</v>
      </c>
    </row>
    <row r="7100" spans="1:6" x14ac:dyDescent="0.25">
      <c r="A7100" s="189" t="str">
        <f t="shared" si="110"/>
        <v>MO-MD 1906.457.65E</v>
      </c>
      <c r="B7100" s="195" t="s">
        <v>3306</v>
      </c>
      <c r="C7100" s="196">
        <v>6.45</v>
      </c>
      <c r="D7100" s="196">
        <v>7.65</v>
      </c>
      <c r="E7100" s="195" t="s">
        <v>583</v>
      </c>
      <c r="F7100" s="195" t="s">
        <v>19</v>
      </c>
    </row>
    <row r="7101" spans="1:6" x14ac:dyDescent="0.25">
      <c r="A7101" s="189" t="str">
        <f t="shared" si="110"/>
        <v>MO-MD 1906.457.65W</v>
      </c>
      <c r="B7101" s="195" t="s">
        <v>3306</v>
      </c>
      <c r="C7101" s="196">
        <v>6.45</v>
      </c>
      <c r="D7101" s="196">
        <v>7.65</v>
      </c>
      <c r="E7101" s="195" t="s">
        <v>583</v>
      </c>
      <c r="F7101" s="195" t="s">
        <v>432</v>
      </c>
    </row>
    <row r="7102" spans="1:6" x14ac:dyDescent="0.25">
      <c r="A7102" s="189" t="str">
        <f t="shared" si="110"/>
        <v>MO-MD 1907.657.88E</v>
      </c>
      <c r="B7102" s="195" t="s">
        <v>3306</v>
      </c>
      <c r="C7102" s="196">
        <v>7.65</v>
      </c>
      <c r="D7102" s="196">
        <v>7.88</v>
      </c>
      <c r="E7102" s="195" t="s">
        <v>583</v>
      </c>
      <c r="F7102" s="195" t="s">
        <v>19</v>
      </c>
    </row>
    <row r="7103" spans="1:6" x14ac:dyDescent="0.25">
      <c r="A7103" s="189" t="str">
        <f t="shared" si="110"/>
        <v>MO-MD 1907.657.88W</v>
      </c>
      <c r="B7103" s="195" t="s">
        <v>3306</v>
      </c>
      <c r="C7103" s="196">
        <v>7.65</v>
      </c>
      <c r="D7103" s="196">
        <v>7.88</v>
      </c>
      <c r="E7103" s="195" t="s">
        <v>583</v>
      </c>
      <c r="F7103" s="195" t="s">
        <v>432</v>
      </c>
    </row>
    <row r="7104" spans="1:6" x14ac:dyDescent="0.25">
      <c r="A7104" s="189" t="str">
        <f t="shared" si="110"/>
        <v>MO-MD 1907.888.14E</v>
      </c>
      <c r="B7104" s="195" t="s">
        <v>3306</v>
      </c>
      <c r="C7104" s="196">
        <v>7.88</v>
      </c>
      <c r="D7104" s="196">
        <v>8.14</v>
      </c>
      <c r="E7104" s="195" t="s">
        <v>583</v>
      </c>
      <c r="F7104" s="195" t="s">
        <v>19</v>
      </c>
    </row>
    <row r="7105" spans="1:6" x14ac:dyDescent="0.25">
      <c r="A7105" s="189" t="str">
        <f t="shared" si="110"/>
        <v>MO-MD 1907.888.14W</v>
      </c>
      <c r="B7105" s="195" t="s">
        <v>3306</v>
      </c>
      <c r="C7105" s="196">
        <v>7.88</v>
      </c>
      <c r="D7105" s="196">
        <v>8.14</v>
      </c>
      <c r="E7105" s="195" t="s">
        <v>583</v>
      </c>
      <c r="F7105" s="195" t="s">
        <v>432</v>
      </c>
    </row>
    <row r="7106" spans="1:6" x14ac:dyDescent="0.25">
      <c r="A7106" s="189" t="str">
        <f t="shared" si="110"/>
        <v>MO-MD 1908.1410.44E</v>
      </c>
      <c r="B7106" s="195" t="s">
        <v>3306</v>
      </c>
      <c r="C7106" s="196">
        <v>8.14</v>
      </c>
      <c r="D7106" s="196">
        <v>10.44</v>
      </c>
      <c r="E7106" s="195" t="s">
        <v>583</v>
      </c>
      <c r="F7106" s="195" t="s">
        <v>19</v>
      </c>
    </row>
    <row r="7107" spans="1:6" x14ac:dyDescent="0.25">
      <c r="A7107" s="189" t="str">
        <f t="shared" ref="A7107:A7170" si="111">B7107&amp;C7107&amp;D7107&amp;F7107</f>
        <v>MO-MD 1908.1410.44W</v>
      </c>
      <c r="B7107" s="195" t="s">
        <v>3306</v>
      </c>
      <c r="C7107" s="196">
        <v>8.14</v>
      </c>
      <c r="D7107" s="196">
        <v>10.44</v>
      </c>
      <c r="E7107" s="195" t="s">
        <v>583</v>
      </c>
      <c r="F7107" s="195" t="s">
        <v>432</v>
      </c>
    </row>
    <row r="7108" spans="1:6" x14ac:dyDescent="0.25">
      <c r="A7108" s="189" t="str">
        <f t="shared" si="111"/>
        <v>MO-MD 19010.4411.41E</v>
      </c>
      <c r="B7108" s="195" t="s">
        <v>3306</v>
      </c>
      <c r="C7108" s="196">
        <v>10.44</v>
      </c>
      <c r="D7108" s="196">
        <v>11.41</v>
      </c>
      <c r="E7108" s="195" t="s">
        <v>583</v>
      </c>
      <c r="F7108" s="195" t="s">
        <v>19</v>
      </c>
    </row>
    <row r="7109" spans="1:6" x14ac:dyDescent="0.25">
      <c r="A7109" s="189" t="str">
        <f t="shared" si="111"/>
        <v>MO-MD 19010.4411.41W</v>
      </c>
      <c r="B7109" s="195" t="s">
        <v>3306</v>
      </c>
      <c r="C7109" s="196">
        <v>10.44</v>
      </c>
      <c r="D7109" s="196">
        <v>11.41</v>
      </c>
      <c r="E7109" s="195" t="s">
        <v>583</v>
      </c>
      <c r="F7109" s="195" t="s">
        <v>432</v>
      </c>
    </row>
    <row r="7110" spans="1:6" x14ac:dyDescent="0.25">
      <c r="A7110" s="189" t="str">
        <f t="shared" si="111"/>
        <v>MO-MD 190A00.01N</v>
      </c>
      <c r="B7110" s="195" t="s">
        <v>3307</v>
      </c>
      <c r="C7110" s="196">
        <v>0</v>
      </c>
      <c r="D7110" s="196">
        <v>0.01</v>
      </c>
      <c r="E7110" s="195" t="s">
        <v>589</v>
      </c>
      <c r="F7110" s="195" t="s">
        <v>430</v>
      </c>
    </row>
    <row r="7111" spans="1:6" x14ac:dyDescent="0.25">
      <c r="A7111" s="189" t="str">
        <f t="shared" si="111"/>
        <v>MO-MD 190A00.01S</v>
      </c>
      <c r="B7111" s="195" t="s">
        <v>3307</v>
      </c>
      <c r="C7111" s="196">
        <v>0</v>
      </c>
      <c r="D7111" s="196">
        <v>0.01</v>
      </c>
      <c r="E7111" s="195" t="s">
        <v>595</v>
      </c>
      <c r="F7111" s="195" t="s">
        <v>438</v>
      </c>
    </row>
    <row r="7112" spans="1:6" x14ac:dyDescent="0.25">
      <c r="A7112" s="189" t="str">
        <f t="shared" si="111"/>
        <v>MO-MD 19101.6N</v>
      </c>
      <c r="B7112" s="195" t="s">
        <v>465</v>
      </c>
      <c r="C7112" s="196">
        <v>0</v>
      </c>
      <c r="D7112" s="196">
        <v>1.6</v>
      </c>
      <c r="E7112" s="195" t="s">
        <v>583</v>
      </c>
      <c r="F7112" s="195" t="s">
        <v>430</v>
      </c>
    </row>
    <row r="7113" spans="1:6" x14ac:dyDescent="0.25">
      <c r="A7113" s="189" t="str">
        <f t="shared" si="111"/>
        <v>MO-MD 19101.6S</v>
      </c>
      <c r="B7113" s="195" t="s">
        <v>465</v>
      </c>
      <c r="C7113" s="196">
        <v>0</v>
      </c>
      <c r="D7113" s="196">
        <v>1.6</v>
      </c>
      <c r="E7113" s="195" t="s">
        <v>583</v>
      </c>
      <c r="F7113" s="195" t="s">
        <v>438</v>
      </c>
    </row>
    <row r="7114" spans="1:6" x14ac:dyDescent="0.25">
      <c r="A7114" s="189" t="str">
        <f t="shared" si="111"/>
        <v>MO-MD 1911.92.63N</v>
      </c>
      <c r="B7114" s="195" t="s">
        <v>465</v>
      </c>
      <c r="C7114" s="196">
        <v>1.9</v>
      </c>
      <c r="D7114" s="196">
        <v>2.63</v>
      </c>
      <c r="E7114" s="195" t="s">
        <v>583</v>
      </c>
      <c r="F7114" s="195" t="s">
        <v>430</v>
      </c>
    </row>
    <row r="7115" spans="1:6" x14ac:dyDescent="0.25">
      <c r="A7115" s="189" t="str">
        <f t="shared" si="111"/>
        <v>MO-MD 1911.92.63S</v>
      </c>
      <c r="B7115" s="195" t="s">
        <v>465</v>
      </c>
      <c r="C7115" s="196">
        <v>1.9</v>
      </c>
      <c r="D7115" s="196">
        <v>2.63</v>
      </c>
      <c r="E7115" s="195" t="s">
        <v>583</v>
      </c>
      <c r="F7115" s="195" t="s">
        <v>438</v>
      </c>
    </row>
    <row r="7116" spans="1:6" x14ac:dyDescent="0.25">
      <c r="A7116" s="189" t="str">
        <f t="shared" si="111"/>
        <v>MO-MD 1912.635.48N</v>
      </c>
      <c r="B7116" s="195" t="s">
        <v>465</v>
      </c>
      <c r="C7116" s="196">
        <v>2.63</v>
      </c>
      <c r="D7116" s="196">
        <v>5.48</v>
      </c>
      <c r="E7116" s="195" t="s">
        <v>589</v>
      </c>
      <c r="F7116" s="195" t="s">
        <v>430</v>
      </c>
    </row>
    <row r="7117" spans="1:6" x14ac:dyDescent="0.25">
      <c r="A7117" s="189" t="str">
        <f t="shared" si="111"/>
        <v>MO-MD 1912.635.53S</v>
      </c>
      <c r="B7117" s="195" t="s">
        <v>465</v>
      </c>
      <c r="C7117" s="196">
        <v>2.63</v>
      </c>
      <c r="D7117" s="196">
        <v>5.53</v>
      </c>
      <c r="E7117" s="195" t="s">
        <v>595</v>
      </c>
      <c r="F7117" s="195" t="s">
        <v>438</v>
      </c>
    </row>
    <row r="7118" spans="1:6" x14ac:dyDescent="0.25">
      <c r="A7118" s="189" t="str">
        <f t="shared" si="111"/>
        <v>MO-MD 1916.436.49N</v>
      </c>
      <c r="B7118" s="195" t="s">
        <v>465</v>
      </c>
      <c r="C7118" s="196">
        <v>6.43</v>
      </c>
      <c r="D7118" s="196">
        <v>6.49</v>
      </c>
      <c r="E7118" s="195" t="s">
        <v>583</v>
      </c>
      <c r="F7118" s="195" t="s">
        <v>430</v>
      </c>
    </row>
    <row r="7119" spans="1:6" x14ac:dyDescent="0.25">
      <c r="A7119" s="189" t="str">
        <f t="shared" si="111"/>
        <v>MO-MD 1916.436.49S</v>
      </c>
      <c r="B7119" s="195" t="s">
        <v>465</v>
      </c>
      <c r="C7119" s="196">
        <v>6.43</v>
      </c>
      <c r="D7119" s="196">
        <v>6.49</v>
      </c>
      <c r="E7119" s="195" t="s">
        <v>583</v>
      </c>
      <c r="F7119" s="195" t="s">
        <v>438</v>
      </c>
    </row>
    <row r="7120" spans="1:6" x14ac:dyDescent="0.25">
      <c r="A7120" s="189" t="str">
        <f t="shared" si="111"/>
        <v>MO-MD 1916.496.5N</v>
      </c>
      <c r="B7120" s="195" t="s">
        <v>465</v>
      </c>
      <c r="C7120" s="196">
        <v>6.49</v>
      </c>
      <c r="D7120" s="196">
        <v>6.5</v>
      </c>
      <c r="E7120" s="195" t="s">
        <v>583</v>
      </c>
      <c r="F7120" s="195" t="s">
        <v>430</v>
      </c>
    </row>
    <row r="7121" spans="1:6" x14ac:dyDescent="0.25">
      <c r="A7121" s="189" t="str">
        <f t="shared" si="111"/>
        <v>MO-MD 1916.496.5S</v>
      </c>
      <c r="B7121" s="195" t="s">
        <v>465</v>
      </c>
      <c r="C7121" s="196">
        <v>6.49</v>
      </c>
      <c r="D7121" s="196">
        <v>6.5</v>
      </c>
      <c r="E7121" s="195" t="s">
        <v>583</v>
      </c>
      <c r="F7121" s="195" t="s">
        <v>438</v>
      </c>
    </row>
    <row r="7122" spans="1:6" x14ac:dyDescent="0.25">
      <c r="A7122" s="189" t="str">
        <f t="shared" si="111"/>
        <v>MO-MD 1916.57.16N</v>
      </c>
      <c r="B7122" s="195" t="s">
        <v>465</v>
      </c>
      <c r="C7122" s="196">
        <v>6.5</v>
      </c>
      <c r="D7122" s="196">
        <v>7.16</v>
      </c>
      <c r="E7122" s="195" t="s">
        <v>583</v>
      </c>
      <c r="F7122" s="195" t="s">
        <v>430</v>
      </c>
    </row>
    <row r="7123" spans="1:6" x14ac:dyDescent="0.25">
      <c r="A7123" s="189" t="str">
        <f t="shared" si="111"/>
        <v>MO-MD 1916.57.16S</v>
      </c>
      <c r="B7123" s="195" t="s">
        <v>465</v>
      </c>
      <c r="C7123" s="196">
        <v>6.5</v>
      </c>
      <c r="D7123" s="196">
        <v>7.16</v>
      </c>
      <c r="E7123" s="195" t="s">
        <v>583</v>
      </c>
      <c r="F7123" s="195" t="s">
        <v>438</v>
      </c>
    </row>
    <row r="7124" spans="1:6" x14ac:dyDescent="0.25">
      <c r="A7124" s="189" t="str">
        <f t="shared" si="111"/>
        <v>MO-MD 1920.390.9E</v>
      </c>
      <c r="B7124" s="195" t="s">
        <v>3308</v>
      </c>
      <c r="C7124" s="196">
        <v>0.39</v>
      </c>
      <c r="D7124" s="196">
        <v>0.9</v>
      </c>
      <c r="E7124" s="195" t="s">
        <v>583</v>
      </c>
      <c r="F7124" s="195" t="s">
        <v>19</v>
      </c>
    </row>
    <row r="7125" spans="1:6" x14ac:dyDescent="0.25">
      <c r="A7125" s="189" t="str">
        <f t="shared" si="111"/>
        <v>MO-MD 1920.390.9W</v>
      </c>
      <c r="B7125" s="195" t="s">
        <v>3308</v>
      </c>
      <c r="C7125" s="196">
        <v>0.39</v>
      </c>
      <c r="D7125" s="196">
        <v>0.9</v>
      </c>
      <c r="E7125" s="195" t="s">
        <v>583</v>
      </c>
      <c r="F7125" s="195" t="s">
        <v>432</v>
      </c>
    </row>
    <row r="7126" spans="1:6" x14ac:dyDescent="0.25">
      <c r="A7126" s="189" t="str">
        <f t="shared" si="111"/>
        <v>MO-MD 1920.92.14E</v>
      </c>
      <c r="B7126" s="195" t="s">
        <v>3308</v>
      </c>
      <c r="C7126" s="196">
        <v>0.9</v>
      </c>
      <c r="D7126" s="196">
        <v>2.14</v>
      </c>
      <c r="E7126" s="195" t="s">
        <v>583</v>
      </c>
      <c r="F7126" s="195" t="s">
        <v>19</v>
      </c>
    </row>
    <row r="7127" spans="1:6" x14ac:dyDescent="0.25">
      <c r="A7127" s="189" t="str">
        <f t="shared" si="111"/>
        <v>MO-MD 1920.92.14W</v>
      </c>
      <c r="B7127" s="195" t="s">
        <v>3308</v>
      </c>
      <c r="C7127" s="196">
        <v>0.9</v>
      </c>
      <c r="D7127" s="196">
        <v>2.14</v>
      </c>
      <c r="E7127" s="195" t="s">
        <v>583</v>
      </c>
      <c r="F7127" s="195" t="s">
        <v>432</v>
      </c>
    </row>
    <row r="7128" spans="1:6" x14ac:dyDescent="0.25">
      <c r="A7128" s="189" t="str">
        <f t="shared" si="111"/>
        <v>MO-MD 1922.142.15E</v>
      </c>
      <c r="B7128" s="195" t="s">
        <v>3308</v>
      </c>
      <c r="C7128" s="196">
        <v>2.14</v>
      </c>
      <c r="D7128" s="196">
        <v>2.15</v>
      </c>
      <c r="E7128" s="195" t="s">
        <v>583</v>
      </c>
      <c r="F7128" s="195" t="s">
        <v>19</v>
      </c>
    </row>
    <row r="7129" spans="1:6" x14ac:dyDescent="0.25">
      <c r="A7129" s="189" t="str">
        <f t="shared" si="111"/>
        <v>MO-MD 1922.142.15W</v>
      </c>
      <c r="B7129" s="195" t="s">
        <v>3308</v>
      </c>
      <c r="C7129" s="196">
        <v>2.14</v>
      </c>
      <c r="D7129" s="196">
        <v>2.15</v>
      </c>
      <c r="E7129" s="195" t="s">
        <v>583</v>
      </c>
      <c r="F7129" s="195" t="s">
        <v>432</v>
      </c>
    </row>
    <row r="7130" spans="1:6" x14ac:dyDescent="0.25">
      <c r="A7130" s="189" t="str">
        <f t="shared" si="111"/>
        <v>MO-MD 1922.152.47E</v>
      </c>
      <c r="B7130" s="195" t="s">
        <v>3308</v>
      </c>
      <c r="C7130" s="196">
        <v>2.15</v>
      </c>
      <c r="D7130" s="196">
        <v>2.4700000000000002</v>
      </c>
      <c r="E7130" s="195" t="s">
        <v>598</v>
      </c>
      <c r="F7130" s="195" t="s">
        <v>19</v>
      </c>
    </row>
    <row r="7131" spans="1:6" x14ac:dyDescent="0.25">
      <c r="A7131" s="189" t="str">
        <f t="shared" si="111"/>
        <v>MO-MD 1922.152.5W</v>
      </c>
      <c r="B7131" s="195" t="s">
        <v>3308</v>
      </c>
      <c r="C7131" s="196">
        <v>2.15</v>
      </c>
      <c r="D7131" s="196">
        <v>2.5</v>
      </c>
      <c r="E7131" s="195" t="s">
        <v>593</v>
      </c>
      <c r="F7131" s="195" t="s">
        <v>432</v>
      </c>
    </row>
    <row r="7132" spans="1:6" x14ac:dyDescent="0.25">
      <c r="A7132" s="189" t="str">
        <f t="shared" si="111"/>
        <v>MO-MD 1922.472.5E</v>
      </c>
      <c r="B7132" s="195" t="s">
        <v>3308</v>
      </c>
      <c r="C7132" s="196">
        <v>2.4700000000000002</v>
      </c>
      <c r="D7132" s="196">
        <v>2.5</v>
      </c>
      <c r="E7132" s="195" t="s">
        <v>598</v>
      </c>
      <c r="F7132" s="195" t="s">
        <v>19</v>
      </c>
    </row>
    <row r="7133" spans="1:6" x14ac:dyDescent="0.25">
      <c r="A7133" s="189" t="str">
        <f t="shared" si="111"/>
        <v>MO-MD 19500.12N</v>
      </c>
      <c r="B7133" s="195" t="s">
        <v>458</v>
      </c>
      <c r="C7133" s="196">
        <v>0</v>
      </c>
      <c r="D7133" s="196">
        <v>0.12</v>
      </c>
      <c r="E7133" s="195" t="s">
        <v>583</v>
      </c>
      <c r="F7133" s="195" t="s">
        <v>430</v>
      </c>
    </row>
    <row r="7134" spans="1:6" x14ac:dyDescent="0.25">
      <c r="A7134" s="189" t="str">
        <f t="shared" si="111"/>
        <v>MO-MD 19500.12S</v>
      </c>
      <c r="B7134" s="195" t="s">
        <v>458</v>
      </c>
      <c r="C7134" s="196">
        <v>0</v>
      </c>
      <c r="D7134" s="196">
        <v>0.12</v>
      </c>
      <c r="E7134" s="195" t="s">
        <v>583</v>
      </c>
      <c r="F7134" s="195" t="s">
        <v>438</v>
      </c>
    </row>
    <row r="7135" spans="1:6" x14ac:dyDescent="0.25">
      <c r="A7135" s="189" t="str">
        <f t="shared" si="111"/>
        <v>MO-MD 1950.120.44N</v>
      </c>
      <c r="B7135" s="195" t="s">
        <v>458</v>
      </c>
      <c r="C7135" s="196">
        <v>0.12</v>
      </c>
      <c r="D7135" s="196">
        <v>0.44</v>
      </c>
      <c r="E7135" s="195" t="s">
        <v>583</v>
      </c>
      <c r="F7135" s="195" t="s">
        <v>430</v>
      </c>
    </row>
    <row r="7136" spans="1:6" x14ac:dyDescent="0.25">
      <c r="A7136" s="189" t="str">
        <f t="shared" si="111"/>
        <v>MO-MD 1950.120.44S</v>
      </c>
      <c r="B7136" s="195" t="s">
        <v>458</v>
      </c>
      <c r="C7136" s="196">
        <v>0.12</v>
      </c>
      <c r="D7136" s="196">
        <v>0.44</v>
      </c>
      <c r="E7136" s="195" t="s">
        <v>583</v>
      </c>
      <c r="F7136" s="195" t="s">
        <v>438</v>
      </c>
    </row>
    <row r="7137" spans="1:6" x14ac:dyDescent="0.25">
      <c r="A7137" s="189" t="str">
        <f t="shared" si="111"/>
        <v>MO-MD 1950.440.52N</v>
      </c>
      <c r="B7137" s="195" t="s">
        <v>458</v>
      </c>
      <c r="C7137" s="196">
        <v>0.44</v>
      </c>
      <c r="D7137" s="196">
        <v>0.52</v>
      </c>
      <c r="E7137" s="195" t="s">
        <v>583</v>
      </c>
      <c r="F7137" s="195" t="s">
        <v>430</v>
      </c>
    </row>
    <row r="7138" spans="1:6" x14ac:dyDescent="0.25">
      <c r="A7138" s="189" t="str">
        <f t="shared" si="111"/>
        <v>MO-MD 1950.440.52S</v>
      </c>
      <c r="B7138" s="195" t="s">
        <v>458</v>
      </c>
      <c r="C7138" s="196">
        <v>0.44</v>
      </c>
      <c r="D7138" s="196">
        <v>0.52</v>
      </c>
      <c r="E7138" s="195" t="s">
        <v>583</v>
      </c>
      <c r="F7138" s="195" t="s">
        <v>438</v>
      </c>
    </row>
    <row r="7139" spans="1:6" x14ac:dyDescent="0.25">
      <c r="A7139" s="189" t="str">
        <f t="shared" si="111"/>
        <v>MO-MD 1950.520.8N</v>
      </c>
      <c r="B7139" s="195" t="s">
        <v>458</v>
      </c>
      <c r="C7139" s="196">
        <v>0.52</v>
      </c>
      <c r="D7139" s="196">
        <v>0.8</v>
      </c>
      <c r="E7139" s="195" t="s">
        <v>583</v>
      </c>
      <c r="F7139" s="195" t="s">
        <v>430</v>
      </c>
    </row>
    <row r="7140" spans="1:6" x14ac:dyDescent="0.25">
      <c r="A7140" s="189" t="str">
        <f t="shared" si="111"/>
        <v>MO-MD 1950.520.8S</v>
      </c>
      <c r="B7140" s="195" t="s">
        <v>458</v>
      </c>
      <c r="C7140" s="196">
        <v>0.52</v>
      </c>
      <c r="D7140" s="196">
        <v>0.8</v>
      </c>
      <c r="E7140" s="195" t="s">
        <v>583</v>
      </c>
      <c r="F7140" s="195" t="s">
        <v>438</v>
      </c>
    </row>
    <row r="7141" spans="1:6" x14ac:dyDescent="0.25">
      <c r="A7141" s="189" t="str">
        <f t="shared" si="111"/>
        <v>MO-MD 1950.80.93N</v>
      </c>
      <c r="B7141" s="195" t="s">
        <v>458</v>
      </c>
      <c r="C7141" s="196">
        <v>0.8</v>
      </c>
      <c r="D7141" s="196">
        <v>0.93</v>
      </c>
      <c r="E7141" s="195" t="s">
        <v>583</v>
      </c>
      <c r="F7141" s="195" t="s">
        <v>430</v>
      </c>
    </row>
    <row r="7142" spans="1:6" x14ac:dyDescent="0.25">
      <c r="A7142" s="189" t="str">
        <f t="shared" si="111"/>
        <v>MO-MD 1950.80.93S</v>
      </c>
      <c r="B7142" s="195" t="s">
        <v>458</v>
      </c>
      <c r="C7142" s="196">
        <v>0.8</v>
      </c>
      <c r="D7142" s="196">
        <v>0.93</v>
      </c>
      <c r="E7142" s="195" t="s">
        <v>583</v>
      </c>
      <c r="F7142" s="195" t="s">
        <v>438</v>
      </c>
    </row>
    <row r="7143" spans="1:6" x14ac:dyDescent="0.25">
      <c r="A7143" s="189" t="str">
        <f t="shared" si="111"/>
        <v>MO-MD 1950.931.14N</v>
      </c>
      <c r="B7143" s="195" t="s">
        <v>458</v>
      </c>
      <c r="C7143" s="196">
        <v>0.93</v>
      </c>
      <c r="D7143" s="196">
        <v>1.1399999999999999</v>
      </c>
      <c r="E7143" s="195" t="s">
        <v>583</v>
      </c>
      <c r="F7143" s="195" t="s">
        <v>430</v>
      </c>
    </row>
    <row r="7144" spans="1:6" x14ac:dyDescent="0.25">
      <c r="A7144" s="189" t="str">
        <f t="shared" si="111"/>
        <v>MO-MD 1950.931.14S</v>
      </c>
      <c r="B7144" s="195" t="s">
        <v>458</v>
      </c>
      <c r="C7144" s="196">
        <v>0.93</v>
      </c>
      <c r="D7144" s="196">
        <v>1.1399999999999999</v>
      </c>
      <c r="E7144" s="195" t="s">
        <v>583</v>
      </c>
      <c r="F7144" s="195" t="s">
        <v>438</v>
      </c>
    </row>
    <row r="7145" spans="1:6" x14ac:dyDescent="0.25">
      <c r="A7145" s="189" t="str">
        <f t="shared" si="111"/>
        <v>MO-MD 1951.141.35N</v>
      </c>
      <c r="B7145" s="195" t="s">
        <v>458</v>
      </c>
      <c r="C7145" s="196">
        <v>1.1399999999999999</v>
      </c>
      <c r="D7145" s="196">
        <v>1.35</v>
      </c>
      <c r="E7145" s="195" t="s">
        <v>583</v>
      </c>
      <c r="F7145" s="195" t="s">
        <v>430</v>
      </c>
    </row>
    <row r="7146" spans="1:6" x14ac:dyDescent="0.25">
      <c r="A7146" s="189" t="str">
        <f t="shared" si="111"/>
        <v>MO-MD 1951.141.35S</v>
      </c>
      <c r="B7146" s="195" t="s">
        <v>458</v>
      </c>
      <c r="C7146" s="196">
        <v>1.1399999999999999</v>
      </c>
      <c r="D7146" s="196">
        <v>1.35</v>
      </c>
      <c r="E7146" s="195" t="s">
        <v>583</v>
      </c>
      <c r="F7146" s="195" t="s">
        <v>438</v>
      </c>
    </row>
    <row r="7147" spans="1:6" x14ac:dyDescent="0.25">
      <c r="A7147" s="189" t="str">
        <f t="shared" si="111"/>
        <v>MO-MD 1951.351.9N</v>
      </c>
      <c r="B7147" s="195" t="s">
        <v>458</v>
      </c>
      <c r="C7147" s="196">
        <v>1.35</v>
      </c>
      <c r="D7147" s="196">
        <v>1.9</v>
      </c>
      <c r="E7147" s="195" t="s">
        <v>583</v>
      </c>
      <c r="F7147" s="195" t="s">
        <v>430</v>
      </c>
    </row>
    <row r="7148" spans="1:6" x14ac:dyDescent="0.25">
      <c r="A7148" s="189" t="str">
        <f t="shared" si="111"/>
        <v>MO-MD 1951.351.9S</v>
      </c>
      <c r="B7148" s="195" t="s">
        <v>458</v>
      </c>
      <c r="C7148" s="196">
        <v>1.35</v>
      </c>
      <c r="D7148" s="196">
        <v>1.9</v>
      </c>
      <c r="E7148" s="195" t="s">
        <v>583</v>
      </c>
      <c r="F7148" s="195" t="s">
        <v>438</v>
      </c>
    </row>
    <row r="7149" spans="1:6" x14ac:dyDescent="0.25">
      <c r="A7149" s="189" t="str">
        <f t="shared" si="111"/>
        <v>MO-MD 195A00.08N</v>
      </c>
      <c r="B7149" s="195" t="s">
        <v>3309</v>
      </c>
      <c r="C7149" s="196">
        <v>0</v>
      </c>
      <c r="D7149" s="196">
        <v>0.08</v>
      </c>
      <c r="E7149" s="195" t="s">
        <v>589</v>
      </c>
      <c r="F7149" s="195" t="s">
        <v>430</v>
      </c>
    </row>
    <row r="7150" spans="1:6" x14ac:dyDescent="0.25">
      <c r="A7150" s="189" t="str">
        <f t="shared" si="111"/>
        <v>MO-MD 19801.5E</v>
      </c>
      <c r="B7150" s="195" t="s">
        <v>3310</v>
      </c>
      <c r="C7150" s="196">
        <v>0</v>
      </c>
      <c r="D7150" s="196">
        <v>1.5</v>
      </c>
      <c r="E7150" s="195" t="s">
        <v>583</v>
      </c>
      <c r="F7150" s="195" t="s">
        <v>19</v>
      </c>
    </row>
    <row r="7151" spans="1:6" x14ac:dyDescent="0.25">
      <c r="A7151" s="189" t="str">
        <f t="shared" si="111"/>
        <v>MO-MD 19801.5W</v>
      </c>
      <c r="B7151" s="195" t="s">
        <v>3310</v>
      </c>
      <c r="C7151" s="196">
        <v>0</v>
      </c>
      <c r="D7151" s="196">
        <v>1.5</v>
      </c>
      <c r="E7151" s="195" t="s">
        <v>583</v>
      </c>
      <c r="F7151" s="195" t="s">
        <v>432</v>
      </c>
    </row>
    <row r="7152" spans="1:6" x14ac:dyDescent="0.25">
      <c r="A7152" s="189" t="str">
        <f t="shared" si="111"/>
        <v>MO-MD 1981.51.97E</v>
      </c>
      <c r="B7152" s="195" t="s">
        <v>3310</v>
      </c>
      <c r="C7152" s="196">
        <v>1.5</v>
      </c>
      <c r="D7152" s="196">
        <v>1.97</v>
      </c>
      <c r="E7152" s="195" t="s">
        <v>583</v>
      </c>
      <c r="F7152" s="195" t="s">
        <v>19</v>
      </c>
    </row>
    <row r="7153" spans="1:6" x14ac:dyDescent="0.25">
      <c r="A7153" s="189" t="str">
        <f t="shared" si="111"/>
        <v>MO-MD 1981.51.97W</v>
      </c>
      <c r="B7153" s="195" t="s">
        <v>3310</v>
      </c>
      <c r="C7153" s="196">
        <v>1.5</v>
      </c>
      <c r="D7153" s="196">
        <v>1.97</v>
      </c>
      <c r="E7153" s="195" t="s">
        <v>583</v>
      </c>
      <c r="F7153" s="195" t="s">
        <v>432</v>
      </c>
    </row>
    <row r="7154" spans="1:6" x14ac:dyDescent="0.25">
      <c r="A7154" s="189" t="str">
        <f t="shared" si="111"/>
        <v>MO-MD 1982.243.05E</v>
      </c>
      <c r="B7154" s="195" t="s">
        <v>3310</v>
      </c>
      <c r="C7154" s="196">
        <v>2.2400000000000002</v>
      </c>
      <c r="D7154" s="196">
        <v>3.05</v>
      </c>
      <c r="E7154" s="195" t="s">
        <v>583</v>
      </c>
      <c r="F7154" s="195" t="s">
        <v>19</v>
      </c>
    </row>
    <row r="7155" spans="1:6" x14ac:dyDescent="0.25">
      <c r="A7155" s="189" t="str">
        <f t="shared" si="111"/>
        <v>MO-MD 1982.243.05W</v>
      </c>
      <c r="B7155" s="195" t="s">
        <v>3310</v>
      </c>
      <c r="C7155" s="196">
        <v>2.2400000000000002</v>
      </c>
      <c r="D7155" s="196">
        <v>3.05</v>
      </c>
      <c r="E7155" s="195" t="s">
        <v>583</v>
      </c>
      <c r="F7155" s="195" t="s">
        <v>432</v>
      </c>
    </row>
    <row r="7156" spans="1:6" x14ac:dyDescent="0.25">
      <c r="A7156" s="189" t="str">
        <f t="shared" si="111"/>
        <v>MO-MD 1983.053.29E</v>
      </c>
      <c r="B7156" s="195" t="s">
        <v>3310</v>
      </c>
      <c r="C7156" s="196">
        <v>3.05</v>
      </c>
      <c r="D7156" s="196">
        <v>3.29</v>
      </c>
      <c r="E7156" s="195" t="s">
        <v>583</v>
      </c>
      <c r="F7156" s="195" t="s">
        <v>19</v>
      </c>
    </row>
    <row r="7157" spans="1:6" x14ac:dyDescent="0.25">
      <c r="A7157" s="189" t="str">
        <f t="shared" si="111"/>
        <v>MO-MD 1983.053.29W</v>
      </c>
      <c r="B7157" s="195" t="s">
        <v>3310</v>
      </c>
      <c r="C7157" s="196">
        <v>3.05</v>
      </c>
      <c r="D7157" s="196">
        <v>3.29</v>
      </c>
      <c r="E7157" s="195" t="s">
        <v>583</v>
      </c>
      <c r="F7157" s="195" t="s">
        <v>432</v>
      </c>
    </row>
    <row r="7158" spans="1:6" x14ac:dyDescent="0.25">
      <c r="A7158" s="189" t="str">
        <f t="shared" si="111"/>
        <v>MO-MD 1983.293.37E</v>
      </c>
      <c r="B7158" s="195" t="s">
        <v>3310</v>
      </c>
      <c r="C7158" s="196">
        <v>3.29</v>
      </c>
      <c r="D7158" s="196">
        <v>3.37</v>
      </c>
      <c r="E7158" s="195" t="s">
        <v>583</v>
      </c>
      <c r="F7158" s="195" t="s">
        <v>19</v>
      </c>
    </row>
    <row r="7159" spans="1:6" x14ac:dyDescent="0.25">
      <c r="A7159" s="189" t="str">
        <f t="shared" si="111"/>
        <v>MO-MD 1983.293.37W</v>
      </c>
      <c r="B7159" s="195" t="s">
        <v>3310</v>
      </c>
      <c r="C7159" s="196">
        <v>3.29</v>
      </c>
      <c r="D7159" s="196">
        <v>3.37</v>
      </c>
      <c r="E7159" s="195" t="s">
        <v>583</v>
      </c>
      <c r="F7159" s="195" t="s">
        <v>432</v>
      </c>
    </row>
    <row r="7160" spans="1:6" x14ac:dyDescent="0.25">
      <c r="A7160" s="189" t="str">
        <f t="shared" si="111"/>
        <v>MO-MD 198A00.07E</v>
      </c>
      <c r="B7160" s="195" t="s">
        <v>3311</v>
      </c>
      <c r="C7160" s="196">
        <v>0</v>
      </c>
      <c r="D7160" s="196">
        <v>7.0000000000000007E-2</v>
      </c>
      <c r="E7160" s="195" t="s">
        <v>598</v>
      </c>
      <c r="F7160" s="195" t="s">
        <v>19</v>
      </c>
    </row>
    <row r="7161" spans="1:6" x14ac:dyDescent="0.25">
      <c r="A7161" s="189" t="str">
        <f t="shared" si="111"/>
        <v>MO-MD 198A00.07W</v>
      </c>
      <c r="B7161" s="195" t="s">
        <v>3311</v>
      </c>
      <c r="C7161" s="196">
        <v>0</v>
      </c>
      <c r="D7161" s="196">
        <v>7.0000000000000007E-2</v>
      </c>
      <c r="E7161" s="195" t="s">
        <v>593</v>
      </c>
      <c r="F7161" s="195" t="s">
        <v>432</v>
      </c>
    </row>
    <row r="7162" spans="1:6" x14ac:dyDescent="0.25">
      <c r="A7162" s="189" t="str">
        <f t="shared" si="111"/>
        <v>MO-MD 200 RP10-1700.29S</v>
      </c>
      <c r="B7162" s="195" t="s">
        <v>3312</v>
      </c>
      <c r="C7162" s="196">
        <v>0</v>
      </c>
      <c r="D7162" s="196">
        <v>0.28999999999999998</v>
      </c>
      <c r="E7162" s="195" t="s">
        <v>595</v>
      </c>
      <c r="F7162" s="195" t="s">
        <v>438</v>
      </c>
    </row>
    <row r="7163" spans="1:6" x14ac:dyDescent="0.25">
      <c r="A7163" s="189" t="str">
        <f t="shared" si="111"/>
        <v>MO-MD 200 RP10-170.210.26N</v>
      </c>
      <c r="B7163" s="195" t="s">
        <v>3312</v>
      </c>
      <c r="C7163" s="196">
        <v>0.21</v>
      </c>
      <c r="D7163" s="196">
        <v>0.26</v>
      </c>
      <c r="E7163" s="195" t="s">
        <v>589</v>
      </c>
      <c r="F7163" s="195" t="s">
        <v>430</v>
      </c>
    </row>
    <row r="7164" spans="1:6" x14ac:dyDescent="0.25">
      <c r="A7164" s="189" t="str">
        <f t="shared" si="111"/>
        <v>MO-MD 200 RP1-1000.02W</v>
      </c>
      <c r="B7164" s="195" t="s">
        <v>3313</v>
      </c>
      <c r="C7164" s="196">
        <v>0</v>
      </c>
      <c r="D7164" s="196">
        <v>0.02</v>
      </c>
      <c r="E7164" s="195" t="s">
        <v>593</v>
      </c>
      <c r="F7164" s="195" t="s">
        <v>432</v>
      </c>
    </row>
    <row r="7165" spans="1:6" x14ac:dyDescent="0.25">
      <c r="A7165" s="189" t="str">
        <f t="shared" si="111"/>
        <v>MO-MD 200 RP11-1700.03S</v>
      </c>
      <c r="B7165" s="195" t="s">
        <v>3314</v>
      </c>
      <c r="C7165" s="196">
        <v>0</v>
      </c>
      <c r="D7165" s="196">
        <v>0.03</v>
      </c>
      <c r="E7165" s="195" t="s">
        <v>595</v>
      </c>
      <c r="F7165" s="195" t="s">
        <v>438</v>
      </c>
    </row>
    <row r="7166" spans="1:6" x14ac:dyDescent="0.25">
      <c r="A7166" s="189" t="str">
        <f t="shared" si="111"/>
        <v>MO-MD 200 RP1-1300.33W</v>
      </c>
      <c r="B7166" s="195" t="s">
        <v>3315</v>
      </c>
      <c r="C7166" s="196">
        <v>0</v>
      </c>
      <c r="D7166" s="196">
        <v>0.33</v>
      </c>
      <c r="E7166" s="195" t="s">
        <v>593</v>
      </c>
      <c r="F7166" s="195" t="s">
        <v>432</v>
      </c>
    </row>
    <row r="7167" spans="1:6" x14ac:dyDescent="0.25">
      <c r="A7167" s="189" t="str">
        <f t="shared" si="111"/>
        <v>MO-MD 200 RP1-1600.46N</v>
      </c>
      <c r="B7167" s="195" t="s">
        <v>3316</v>
      </c>
      <c r="C7167" s="196">
        <v>0</v>
      </c>
      <c r="D7167" s="196">
        <v>0.46</v>
      </c>
      <c r="E7167" s="195" t="s">
        <v>589</v>
      </c>
      <c r="F7167" s="195" t="s">
        <v>430</v>
      </c>
    </row>
    <row r="7168" spans="1:6" x14ac:dyDescent="0.25">
      <c r="A7168" s="189" t="str">
        <f t="shared" si="111"/>
        <v>MO-MD 200 RP1-1700.47N</v>
      </c>
      <c r="B7168" s="195" t="s">
        <v>3317</v>
      </c>
      <c r="C7168" s="196">
        <v>0</v>
      </c>
      <c r="D7168" s="196">
        <v>0.47</v>
      </c>
      <c r="E7168" s="195" t="s">
        <v>589</v>
      </c>
      <c r="F7168" s="195" t="s">
        <v>430</v>
      </c>
    </row>
    <row r="7169" spans="1:6" x14ac:dyDescent="0.25">
      <c r="A7169" s="189" t="str">
        <f t="shared" si="111"/>
        <v>MO-MD 200 RP1-800.02W</v>
      </c>
      <c r="B7169" s="195" t="s">
        <v>3318</v>
      </c>
      <c r="C7169" s="196">
        <v>0</v>
      </c>
      <c r="D7169" s="196">
        <v>0.02</v>
      </c>
      <c r="E7169" s="195" t="s">
        <v>593</v>
      </c>
      <c r="F7169" s="195" t="s">
        <v>432</v>
      </c>
    </row>
    <row r="7170" spans="1:6" x14ac:dyDescent="0.25">
      <c r="A7170" s="189" t="str">
        <f t="shared" si="111"/>
        <v>MO-MD 200 RP2-1000.23W</v>
      </c>
      <c r="B7170" s="195" t="s">
        <v>3319</v>
      </c>
      <c r="C7170" s="196">
        <v>0</v>
      </c>
      <c r="D7170" s="196">
        <v>0.23</v>
      </c>
      <c r="E7170" s="195" t="s">
        <v>593</v>
      </c>
      <c r="F7170" s="195" t="s">
        <v>432</v>
      </c>
    </row>
    <row r="7171" spans="1:6" x14ac:dyDescent="0.25">
      <c r="A7171" s="189" t="str">
        <f t="shared" ref="A7171:A7234" si="112">B7171&amp;C7171&amp;D7171&amp;F7171</f>
        <v>MO-MD 200 RP2-1300.04N</v>
      </c>
      <c r="B7171" s="195" t="s">
        <v>3320</v>
      </c>
      <c r="C7171" s="196">
        <v>0</v>
      </c>
      <c r="D7171" s="196">
        <v>0.04</v>
      </c>
      <c r="E7171" s="195" t="s">
        <v>589</v>
      </c>
      <c r="F7171" s="195" t="s">
        <v>430</v>
      </c>
    </row>
    <row r="7172" spans="1:6" x14ac:dyDescent="0.25">
      <c r="A7172" s="189" t="str">
        <f t="shared" si="112"/>
        <v>MO-MD 200 RP2-1600.41W</v>
      </c>
      <c r="B7172" s="195" t="s">
        <v>3321</v>
      </c>
      <c r="C7172" s="196">
        <v>0</v>
      </c>
      <c r="D7172" s="196">
        <v>0.41</v>
      </c>
      <c r="E7172" s="195" t="s">
        <v>593</v>
      </c>
      <c r="F7172" s="195" t="s">
        <v>432</v>
      </c>
    </row>
    <row r="7173" spans="1:6" x14ac:dyDescent="0.25">
      <c r="A7173" s="189" t="str">
        <f t="shared" si="112"/>
        <v>MO-MD 200 RP2-160.030.16E</v>
      </c>
      <c r="B7173" s="195" t="s">
        <v>3321</v>
      </c>
      <c r="C7173" s="196">
        <v>0.03</v>
      </c>
      <c r="D7173" s="196">
        <v>0.16</v>
      </c>
      <c r="E7173" s="195" t="s">
        <v>598</v>
      </c>
      <c r="F7173" s="195" t="s">
        <v>19</v>
      </c>
    </row>
    <row r="7174" spans="1:6" x14ac:dyDescent="0.25">
      <c r="A7174" s="189" t="str">
        <f t="shared" si="112"/>
        <v>MO-MD 200 RP2-1700.41W</v>
      </c>
      <c r="B7174" s="195" t="s">
        <v>3322</v>
      </c>
      <c r="C7174" s="196">
        <v>0</v>
      </c>
      <c r="D7174" s="196">
        <v>0.41</v>
      </c>
      <c r="E7174" s="195" t="s">
        <v>593</v>
      </c>
      <c r="F7174" s="195" t="s">
        <v>432</v>
      </c>
    </row>
    <row r="7175" spans="1:6" x14ac:dyDescent="0.25">
      <c r="A7175" s="189" t="str">
        <f t="shared" si="112"/>
        <v>MO-MD 200 RP2-800.3W</v>
      </c>
      <c r="B7175" s="195" t="s">
        <v>3323</v>
      </c>
      <c r="C7175" s="196">
        <v>0</v>
      </c>
      <c r="D7175" s="196">
        <v>0.3</v>
      </c>
      <c r="E7175" s="195" t="s">
        <v>593</v>
      </c>
      <c r="F7175" s="195" t="s">
        <v>432</v>
      </c>
    </row>
    <row r="7176" spans="1:6" x14ac:dyDescent="0.25">
      <c r="A7176" s="189" t="str">
        <f t="shared" si="112"/>
        <v>MO-MD 200 RP3-1300.29E</v>
      </c>
      <c r="B7176" s="195" t="s">
        <v>3324</v>
      </c>
      <c r="C7176" s="196">
        <v>0</v>
      </c>
      <c r="D7176" s="196">
        <v>0.28999999999999998</v>
      </c>
      <c r="E7176" s="195" t="s">
        <v>598</v>
      </c>
      <c r="F7176" s="195" t="s">
        <v>19</v>
      </c>
    </row>
    <row r="7177" spans="1:6" x14ac:dyDescent="0.25">
      <c r="A7177" s="189" t="str">
        <f t="shared" si="112"/>
        <v>MO-MD 200 RP3-1600.45E</v>
      </c>
      <c r="B7177" s="195" t="s">
        <v>3325</v>
      </c>
      <c r="C7177" s="196">
        <v>0</v>
      </c>
      <c r="D7177" s="196">
        <v>0.45</v>
      </c>
      <c r="E7177" s="195" t="s">
        <v>598</v>
      </c>
      <c r="F7177" s="195" t="s">
        <v>19</v>
      </c>
    </row>
    <row r="7178" spans="1:6" x14ac:dyDescent="0.25">
      <c r="A7178" s="189" t="str">
        <f t="shared" si="112"/>
        <v>MO-MD 200 RP3-1700.29E</v>
      </c>
      <c r="B7178" s="195" t="s">
        <v>3326</v>
      </c>
      <c r="C7178" s="196">
        <v>0</v>
      </c>
      <c r="D7178" s="196">
        <v>0.28999999999999998</v>
      </c>
      <c r="E7178" s="195" t="s">
        <v>598</v>
      </c>
      <c r="F7178" s="195" t="s">
        <v>19</v>
      </c>
    </row>
    <row r="7179" spans="1:6" x14ac:dyDescent="0.25">
      <c r="A7179" s="189" t="str">
        <f t="shared" si="112"/>
        <v>MO-MD 200 RP3-800.65E</v>
      </c>
      <c r="B7179" s="195" t="s">
        <v>3327</v>
      </c>
      <c r="C7179" s="196">
        <v>0</v>
      </c>
      <c r="D7179" s="196">
        <v>0.65</v>
      </c>
      <c r="E7179" s="195" t="s">
        <v>598</v>
      </c>
      <c r="F7179" s="195" t="s">
        <v>19</v>
      </c>
    </row>
    <row r="7180" spans="1:6" x14ac:dyDescent="0.25">
      <c r="A7180" s="189" t="str">
        <f t="shared" si="112"/>
        <v>MO-MD 200 RP4-1000.2N</v>
      </c>
      <c r="B7180" s="195" t="s">
        <v>3328</v>
      </c>
      <c r="C7180" s="196">
        <v>0</v>
      </c>
      <c r="D7180" s="196">
        <v>0.2</v>
      </c>
      <c r="E7180" s="195" t="s">
        <v>589</v>
      </c>
      <c r="F7180" s="195" t="s">
        <v>430</v>
      </c>
    </row>
    <row r="7181" spans="1:6" x14ac:dyDescent="0.25">
      <c r="A7181" s="189" t="str">
        <f t="shared" si="112"/>
        <v>MO-MD 200 RP4-1300.04N</v>
      </c>
      <c r="B7181" s="195" t="s">
        <v>3329</v>
      </c>
      <c r="C7181" s="196">
        <v>0</v>
      </c>
      <c r="D7181" s="196">
        <v>0.04</v>
      </c>
      <c r="E7181" s="195" t="s">
        <v>589</v>
      </c>
      <c r="F7181" s="195" t="s">
        <v>430</v>
      </c>
    </row>
    <row r="7182" spans="1:6" x14ac:dyDescent="0.25">
      <c r="A7182" s="189" t="str">
        <f t="shared" si="112"/>
        <v>MO-MD 200 RP4-1600.48N</v>
      </c>
      <c r="B7182" s="195" t="s">
        <v>3330</v>
      </c>
      <c r="C7182" s="196">
        <v>0</v>
      </c>
      <c r="D7182" s="196">
        <v>0.48</v>
      </c>
      <c r="E7182" s="195" t="s">
        <v>589</v>
      </c>
      <c r="F7182" s="195" t="s">
        <v>430</v>
      </c>
    </row>
    <row r="7183" spans="1:6" x14ac:dyDescent="0.25">
      <c r="A7183" s="189" t="str">
        <f t="shared" si="112"/>
        <v>MO-MD 200 RP4-1700.23E</v>
      </c>
      <c r="B7183" s="195" t="s">
        <v>3331</v>
      </c>
      <c r="C7183" s="196">
        <v>0</v>
      </c>
      <c r="D7183" s="196">
        <v>0.23</v>
      </c>
      <c r="E7183" s="195" t="s">
        <v>598</v>
      </c>
      <c r="F7183" s="195" t="s">
        <v>19</v>
      </c>
    </row>
    <row r="7184" spans="1:6" x14ac:dyDescent="0.25">
      <c r="A7184" s="189" t="str">
        <f t="shared" si="112"/>
        <v>MO-MD 200 RP4-800.45N</v>
      </c>
      <c r="B7184" s="195" t="s">
        <v>3332</v>
      </c>
      <c r="C7184" s="196">
        <v>0</v>
      </c>
      <c r="D7184" s="196">
        <v>0.45</v>
      </c>
      <c r="E7184" s="195" t="s">
        <v>589</v>
      </c>
      <c r="F7184" s="195" t="s">
        <v>430</v>
      </c>
    </row>
    <row r="7185" spans="1:6" x14ac:dyDescent="0.25">
      <c r="A7185" s="189" t="str">
        <f t="shared" si="112"/>
        <v>MO-MD 200 RP4-80.120.23S</v>
      </c>
      <c r="B7185" s="195" t="s">
        <v>3332</v>
      </c>
      <c r="C7185" s="196">
        <v>0.12</v>
      </c>
      <c r="D7185" s="196">
        <v>0.23</v>
      </c>
      <c r="E7185" s="195" t="s">
        <v>595</v>
      </c>
      <c r="F7185" s="195" t="s">
        <v>438</v>
      </c>
    </row>
    <row r="7186" spans="1:6" x14ac:dyDescent="0.25">
      <c r="A7186" s="189" t="str">
        <f t="shared" si="112"/>
        <v>MO-MD 200 RP5-1000.04E</v>
      </c>
      <c r="B7186" s="195" t="s">
        <v>3333</v>
      </c>
      <c r="C7186" s="196">
        <v>0</v>
      </c>
      <c r="D7186" s="196">
        <v>0.04</v>
      </c>
      <c r="E7186" s="195" t="s">
        <v>598</v>
      </c>
      <c r="F7186" s="195" t="s">
        <v>19</v>
      </c>
    </row>
    <row r="7187" spans="1:6" x14ac:dyDescent="0.25">
      <c r="A7187" s="189" t="str">
        <f t="shared" si="112"/>
        <v>MO-MD 200 RP5-1300.25S</v>
      </c>
      <c r="B7187" s="195" t="s">
        <v>3334</v>
      </c>
      <c r="C7187" s="196">
        <v>0</v>
      </c>
      <c r="D7187" s="196">
        <v>0.25</v>
      </c>
      <c r="E7187" s="195" t="s">
        <v>595</v>
      </c>
      <c r="F7187" s="195" t="s">
        <v>438</v>
      </c>
    </row>
    <row r="7188" spans="1:6" x14ac:dyDescent="0.25">
      <c r="A7188" s="189" t="str">
        <f t="shared" si="112"/>
        <v>MO-MD 200 RP5-1600.47S</v>
      </c>
      <c r="B7188" s="195" t="s">
        <v>3335</v>
      </c>
      <c r="C7188" s="196">
        <v>0</v>
      </c>
      <c r="D7188" s="196">
        <v>0.47</v>
      </c>
      <c r="E7188" s="195" t="s">
        <v>595</v>
      </c>
      <c r="F7188" s="195" t="s">
        <v>438</v>
      </c>
    </row>
    <row r="7189" spans="1:6" x14ac:dyDescent="0.25">
      <c r="A7189" s="189" t="str">
        <f t="shared" si="112"/>
        <v>MO-MD 200 RP5-800.05E</v>
      </c>
      <c r="B7189" s="195" t="s">
        <v>3336</v>
      </c>
      <c r="C7189" s="196">
        <v>0</v>
      </c>
      <c r="D7189" s="196">
        <v>0.05</v>
      </c>
      <c r="E7189" s="195" t="s">
        <v>598</v>
      </c>
      <c r="F7189" s="195" t="s">
        <v>19</v>
      </c>
    </row>
    <row r="7190" spans="1:6" x14ac:dyDescent="0.25">
      <c r="A7190" s="189" t="str">
        <f t="shared" si="112"/>
        <v>MO-MD 200 RP6-1000.22E</v>
      </c>
      <c r="B7190" s="195" t="s">
        <v>3337</v>
      </c>
      <c r="C7190" s="196">
        <v>0</v>
      </c>
      <c r="D7190" s="196">
        <v>0.22</v>
      </c>
      <c r="E7190" s="195" t="s">
        <v>598</v>
      </c>
      <c r="F7190" s="195" t="s">
        <v>19</v>
      </c>
    </row>
    <row r="7191" spans="1:6" x14ac:dyDescent="0.25">
      <c r="A7191" s="189" t="str">
        <f t="shared" si="112"/>
        <v>MO-MD 200 RP6-1300.05S</v>
      </c>
      <c r="B7191" s="195" t="s">
        <v>3338</v>
      </c>
      <c r="C7191" s="196">
        <v>0</v>
      </c>
      <c r="D7191" s="196">
        <v>0.05</v>
      </c>
      <c r="E7191" s="195" t="s">
        <v>595</v>
      </c>
      <c r="F7191" s="195" t="s">
        <v>438</v>
      </c>
    </row>
    <row r="7192" spans="1:6" x14ac:dyDescent="0.25">
      <c r="A7192" s="189" t="str">
        <f t="shared" si="112"/>
        <v>MO-MD 200 RP6-1600.46E</v>
      </c>
      <c r="B7192" s="195" t="s">
        <v>3339</v>
      </c>
      <c r="C7192" s="196">
        <v>0</v>
      </c>
      <c r="D7192" s="196">
        <v>0.46</v>
      </c>
      <c r="E7192" s="195" t="s">
        <v>598</v>
      </c>
      <c r="F7192" s="195" t="s">
        <v>19</v>
      </c>
    </row>
    <row r="7193" spans="1:6" x14ac:dyDescent="0.25">
      <c r="A7193" s="189" t="str">
        <f t="shared" si="112"/>
        <v>MO-MD 200 RP6-160.110.22W</v>
      </c>
      <c r="B7193" s="195" t="s">
        <v>3339</v>
      </c>
      <c r="C7193" s="196">
        <v>0.11</v>
      </c>
      <c r="D7193" s="196">
        <v>0.22</v>
      </c>
      <c r="E7193" s="195" t="s">
        <v>593</v>
      </c>
      <c r="F7193" s="195" t="s">
        <v>432</v>
      </c>
    </row>
    <row r="7194" spans="1:6" x14ac:dyDescent="0.25">
      <c r="A7194" s="189" t="str">
        <f t="shared" si="112"/>
        <v>MO-MD 200 RP6-800.22E</v>
      </c>
      <c r="B7194" s="195" t="s">
        <v>3340</v>
      </c>
      <c r="C7194" s="196">
        <v>0</v>
      </c>
      <c r="D7194" s="196">
        <v>0.22</v>
      </c>
      <c r="E7194" s="195" t="s">
        <v>598</v>
      </c>
      <c r="F7194" s="195" t="s">
        <v>19</v>
      </c>
    </row>
    <row r="7195" spans="1:6" x14ac:dyDescent="0.25">
      <c r="A7195" s="189" t="str">
        <f t="shared" si="112"/>
        <v>MO-MD 200 RP7-1300.26W</v>
      </c>
      <c r="B7195" s="195" t="s">
        <v>3341</v>
      </c>
      <c r="C7195" s="196">
        <v>0</v>
      </c>
      <c r="D7195" s="196">
        <v>0.26</v>
      </c>
      <c r="E7195" s="195" t="s">
        <v>593</v>
      </c>
      <c r="F7195" s="195" t="s">
        <v>432</v>
      </c>
    </row>
    <row r="7196" spans="1:6" x14ac:dyDescent="0.25">
      <c r="A7196" s="189" t="str">
        <f t="shared" si="112"/>
        <v>MO-MD 200 RP7-1600.55W</v>
      </c>
      <c r="B7196" s="195" t="s">
        <v>3342</v>
      </c>
      <c r="C7196" s="196">
        <v>0</v>
      </c>
      <c r="D7196" s="196">
        <v>0.55000000000000004</v>
      </c>
      <c r="E7196" s="195" t="s">
        <v>593</v>
      </c>
      <c r="F7196" s="195" t="s">
        <v>432</v>
      </c>
    </row>
    <row r="7197" spans="1:6" x14ac:dyDescent="0.25">
      <c r="A7197" s="189" t="str">
        <f t="shared" si="112"/>
        <v>MO-MD 200 RP7-800.64W</v>
      </c>
      <c r="B7197" s="195" t="s">
        <v>3343</v>
      </c>
      <c r="C7197" s="196">
        <v>0</v>
      </c>
      <c r="D7197" s="196">
        <v>0.64</v>
      </c>
      <c r="E7197" s="195" t="s">
        <v>593</v>
      </c>
      <c r="F7197" s="195" t="s">
        <v>432</v>
      </c>
    </row>
    <row r="7198" spans="1:6" x14ac:dyDescent="0.25">
      <c r="A7198" s="189" t="str">
        <f t="shared" si="112"/>
        <v>MO-MD 200 RP8-1000.31S</v>
      </c>
      <c r="B7198" s="195" t="s">
        <v>3344</v>
      </c>
      <c r="C7198" s="196">
        <v>0</v>
      </c>
      <c r="D7198" s="196">
        <v>0.31</v>
      </c>
      <c r="E7198" s="195" t="s">
        <v>595</v>
      </c>
      <c r="F7198" s="195" t="s">
        <v>438</v>
      </c>
    </row>
    <row r="7199" spans="1:6" x14ac:dyDescent="0.25">
      <c r="A7199" s="189" t="str">
        <f t="shared" si="112"/>
        <v>MO-MD 200 RP8-100.030.08N</v>
      </c>
      <c r="B7199" s="195" t="s">
        <v>3344</v>
      </c>
      <c r="C7199" s="196">
        <v>0.03</v>
      </c>
      <c r="D7199" s="196">
        <v>0.08</v>
      </c>
      <c r="E7199" s="195" t="s">
        <v>589</v>
      </c>
      <c r="F7199" s="195" t="s">
        <v>430</v>
      </c>
    </row>
    <row r="7200" spans="1:6" x14ac:dyDescent="0.25">
      <c r="A7200" s="189" t="str">
        <f t="shared" si="112"/>
        <v>MO-MD 200 RP8-1300.05S</v>
      </c>
      <c r="B7200" s="195" t="s">
        <v>3345</v>
      </c>
      <c r="C7200" s="196">
        <v>0</v>
      </c>
      <c r="D7200" s="196">
        <v>0.05</v>
      </c>
      <c r="E7200" s="195" t="s">
        <v>595</v>
      </c>
      <c r="F7200" s="195" t="s">
        <v>438</v>
      </c>
    </row>
    <row r="7201" spans="1:6" x14ac:dyDescent="0.25">
      <c r="A7201" s="189" t="str">
        <f t="shared" si="112"/>
        <v>MO-MD 200 RP8-1600.55S</v>
      </c>
      <c r="B7201" s="195" t="s">
        <v>3346</v>
      </c>
      <c r="C7201" s="196">
        <v>0</v>
      </c>
      <c r="D7201" s="196">
        <v>0.55000000000000004</v>
      </c>
      <c r="E7201" s="195" t="s">
        <v>595</v>
      </c>
      <c r="F7201" s="195" t="s">
        <v>438</v>
      </c>
    </row>
    <row r="7202" spans="1:6" x14ac:dyDescent="0.25">
      <c r="A7202" s="189" t="str">
        <f t="shared" si="112"/>
        <v>MO-MD 200 RP8-800.36S</v>
      </c>
      <c r="B7202" s="195" t="s">
        <v>3347</v>
      </c>
      <c r="C7202" s="196">
        <v>0</v>
      </c>
      <c r="D7202" s="196">
        <v>0.36</v>
      </c>
      <c r="E7202" s="195" t="s">
        <v>595</v>
      </c>
      <c r="F7202" s="195" t="s">
        <v>438</v>
      </c>
    </row>
    <row r="7203" spans="1:6" x14ac:dyDescent="0.25">
      <c r="A7203" s="189" t="str">
        <f t="shared" si="112"/>
        <v>MO-MD 200 RP9-1700.08N</v>
      </c>
      <c r="B7203" s="195" t="s">
        <v>3348</v>
      </c>
      <c r="C7203" s="196">
        <v>0</v>
      </c>
      <c r="D7203" s="196">
        <v>0.08</v>
      </c>
      <c r="E7203" s="195" t="s">
        <v>589</v>
      </c>
      <c r="F7203" s="195" t="s">
        <v>430</v>
      </c>
    </row>
    <row r="7204" spans="1:6" x14ac:dyDescent="0.25">
      <c r="A7204" s="189" t="str">
        <f t="shared" si="112"/>
        <v>MO-MD 200A RP1-100.03N</v>
      </c>
      <c r="B7204" s="195" t="s">
        <v>3349</v>
      </c>
      <c r="C7204" s="196">
        <v>0</v>
      </c>
      <c r="D7204" s="196">
        <v>0.03</v>
      </c>
      <c r="E7204" s="195" t="s">
        <v>589</v>
      </c>
      <c r="F7204" s="195" t="s">
        <v>430</v>
      </c>
    </row>
    <row r="7205" spans="1:6" x14ac:dyDescent="0.25">
      <c r="A7205" s="189" t="str">
        <f t="shared" si="112"/>
        <v>MO-MD 200A RP2-100.02E</v>
      </c>
      <c r="B7205" s="195" t="s">
        <v>3350</v>
      </c>
      <c r="C7205" s="196">
        <v>0</v>
      </c>
      <c r="D7205" s="196">
        <v>0.02</v>
      </c>
      <c r="E7205" s="195" t="s">
        <v>598</v>
      </c>
      <c r="F7205" s="195" t="s">
        <v>19</v>
      </c>
    </row>
    <row r="7206" spans="1:6" x14ac:dyDescent="0.25">
      <c r="A7206" s="189" t="str">
        <f t="shared" si="112"/>
        <v>MO-MD 200A RP3-100.21E</v>
      </c>
      <c r="B7206" s="195" t="s">
        <v>3351</v>
      </c>
      <c r="C7206" s="196">
        <v>0</v>
      </c>
      <c r="D7206" s="196">
        <v>0.21</v>
      </c>
      <c r="E7206" s="195" t="s">
        <v>598</v>
      </c>
      <c r="F7206" s="195" t="s">
        <v>19</v>
      </c>
    </row>
    <row r="7207" spans="1:6" x14ac:dyDescent="0.25">
      <c r="A7207" s="189" t="str">
        <f t="shared" si="112"/>
        <v>MO-MD 200A RP4-100.29N</v>
      </c>
      <c r="B7207" s="195" t="s">
        <v>3352</v>
      </c>
      <c r="C7207" s="196">
        <v>0</v>
      </c>
      <c r="D7207" s="196">
        <v>0.28999999999999998</v>
      </c>
      <c r="E7207" s="195" t="s">
        <v>589</v>
      </c>
      <c r="F7207" s="195" t="s">
        <v>430</v>
      </c>
    </row>
    <row r="7208" spans="1:6" x14ac:dyDescent="0.25">
      <c r="A7208" s="189" t="str">
        <f t="shared" si="112"/>
        <v>MO-MD 200A RP4-10.240.26S</v>
      </c>
      <c r="B7208" s="195" t="s">
        <v>3352</v>
      </c>
      <c r="C7208" s="196">
        <v>0.24</v>
      </c>
      <c r="D7208" s="196">
        <v>0.26</v>
      </c>
      <c r="E7208" s="195" t="s">
        <v>595</v>
      </c>
      <c r="F7208" s="195" t="s">
        <v>438</v>
      </c>
    </row>
    <row r="7209" spans="1:6" x14ac:dyDescent="0.25">
      <c r="A7209" s="189" t="str">
        <f t="shared" si="112"/>
        <v>MO-MD 200A RP5-100.27S</v>
      </c>
      <c r="B7209" s="195" t="s">
        <v>3353</v>
      </c>
      <c r="C7209" s="196">
        <v>0</v>
      </c>
      <c r="D7209" s="196">
        <v>0.27</v>
      </c>
      <c r="E7209" s="195" t="s">
        <v>595</v>
      </c>
      <c r="F7209" s="195" t="s">
        <v>438</v>
      </c>
    </row>
    <row r="7210" spans="1:6" x14ac:dyDescent="0.25">
      <c r="A7210" s="189" t="str">
        <f t="shared" si="112"/>
        <v>MO-MD 200A RP5-10.20.21N</v>
      </c>
      <c r="B7210" s="195" t="s">
        <v>3353</v>
      </c>
      <c r="C7210" s="196">
        <v>0.2</v>
      </c>
      <c r="D7210" s="196">
        <v>0.21</v>
      </c>
      <c r="E7210" s="195" t="s">
        <v>589</v>
      </c>
      <c r="F7210" s="195" t="s">
        <v>430</v>
      </c>
    </row>
    <row r="7211" spans="1:6" x14ac:dyDescent="0.25">
      <c r="A7211" s="189" t="str">
        <f t="shared" si="112"/>
        <v>MO-MD 200A RP6-100.38S</v>
      </c>
      <c r="B7211" s="195" t="s">
        <v>3354</v>
      </c>
      <c r="C7211" s="196">
        <v>0</v>
      </c>
      <c r="D7211" s="196">
        <v>0.38</v>
      </c>
      <c r="E7211" s="195" t="s">
        <v>595</v>
      </c>
      <c r="F7211" s="195" t="s">
        <v>438</v>
      </c>
    </row>
    <row r="7212" spans="1:6" x14ac:dyDescent="0.25">
      <c r="A7212" s="189" t="str">
        <f t="shared" si="112"/>
        <v>MO-MD 200A RP7-100.07S</v>
      </c>
      <c r="B7212" s="195" t="s">
        <v>3355</v>
      </c>
      <c r="C7212" s="196">
        <v>0</v>
      </c>
      <c r="D7212" s="196">
        <v>7.0000000000000007E-2</v>
      </c>
      <c r="E7212" s="195" t="s">
        <v>595</v>
      </c>
      <c r="F7212" s="195" t="s">
        <v>438</v>
      </c>
    </row>
    <row r="7213" spans="1:6" x14ac:dyDescent="0.25">
      <c r="A7213" s="189" t="str">
        <f t="shared" si="112"/>
        <v>MO-MD 200A RP8-100.04N</v>
      </c>
      <c r="B7213" s="195" t="s">
        <v>3356</v>
      </c>
      <c r="C7213" s="196">
        <v>0</v>
      </c>
      <c r="D7213" s="196">
        <v>0.04</v>
      </c>
      <c r="E7213" s="195" t="s">
        <v>589</v>
      </c>
      <c r="F7213" s="195" t="s">
        <v>430</v>
      </c>
    </row>
    <row r="7214" spans="1:6" x14ac:dyDescent="0.25">
      <c r="A7214" s="189" t="str">
        <f t="shared" si="112"/>
        <v>MO-MD 270.541.18S</v>
      </c>
      <c r="B7214" s="195" t="s">
        <v>466</v>
      </c>
      <c r="C7214" s="196">
        <v>0.54</v>
      </c>
      <c r="D7214" s="196">
        <v>1.18</v>
      </c>
      <c r="E7214" s="195" t="s">
        <v>595</v>
      </c>
      <c r="F7214" s="195" t="s">
        <v>438</v>
      </c>
    </row>
    <row r="7215" spans="1:6" x14ac:dyDescent="0.25">
      <c r="A7215" s="189" t="str">
        <f t="shared" si="112"/>
        <v>MO-MD 270.71.18N</v>
      </c>
      <c r="B7215" s="195" t="s">
        <v>466</v>
      </c>
      <c r="C7215" s="196">
        <v>0.7</v>
      </c>
      <c r="D7215" s="196">
        <v>1.18</v>
      </c>
      <c r="E7215" s="195" t="s">
        <v>589</v>
      </c>
      <c r="F7215" s="195" t="s">
        <v>430</v>
      </c>
    </row>
    <row r="7216" spans="1:6" x14ac:dyDescent="0.25">
      <c r="A7216" s="189" t="str">
        <f t="shared" si="112"/>
        <v>MO-MD 271.183.13N</v>
      </c>
      <c r="B7216" s="195" t="s">
        <v>466</v>
      </c>
      <c r="C7216" s="196">
        <v>1.18</v>
      </c>
      <c r="D7216" s="196">
        <v>3.13</v>
      </c>
      <c r="E7216" s="195" t="s">
        <v>583</v>
      </c>
      <c r="F7216" s="195" t="s">
        <v>430</v>
      </c>
    </row>
    <row r="7217" spans="1:6" x14ac:dyDescent="0.25">
      <c r="A7217" s="189" t="str">
        <f t="shared" si="112"/>
        <v>MO-MD 271.183.13S</v>
      </c>
      <c r="B7217" s="195" t="s">
        <v>466</v>
      </c>
      <c r="C7217" s="196">
        <v>1.18</v>
      </c>
      <c r="D7217" s="196">
        <v>3.13</v>
      </c>
      <c r="E7217" s="195" t="s">
        <v>583</v>
      </c>
      <c r="F7217" s="195" t="s">
        <v>438</v>
      </c>
    </row>
    <row r="7218" spans="1:6" x14ac:dyDescent="0.25">
      <c r="A7218" s="189" t="str">
        <f t="shared" si="112"/>
        <v>MO-MD 273.133.75N</v>
      </c>
      <c r="B7218" s="195" t="s">
        <v>466</v>
      </c>
      <c r="C7218" s="196">
        <v>3.13</v>
      </c>
      <c r="D7218" s="196">
        <v>3.75</v>
      </c>
      <c r="E7218" s="195" t="s">
        <v>583</v>
      </c>
      <c r="F7218" s="195" t="s">
        <v>430</v>
      </c>
    </row>
    <row r="7219" spans="1:6" x14ac:dyDescent="0.25">
      <c r="A7219" s="189" t="str">
        <f t="shared" si="112"/>
        <v>MO-MD 273.133.75S</v>
      </c>
      <c r="B7219" s="195" t="s">
        <v>466</v>
      </c>
      <c r="C7219" s="196">
        <v>3.13</v>
      </c>
      <c r="D7219" s="196">
        <v>3.75</v>
      </c>
      <c r="E7219" s="195" t="s">
        <v>583</v>
      </c>
      <c r="F7219" s="195" t="s">
        <v>438</v>
      </c>
    </row>
    <row r="7220" spans="1:6" x14ac:dyDescent="0.25">
      <c r="A7220" s="189" t="str">
        <f t="shared" si="112"/>
        <v>MO-MD 273.753.99N</v>
      </c>
      <c r="B7220" s="195" t="s">
        <v>466</v>
      </c>
      <c r="C7220" s="196">
        <v>3.75</v>
      </c>
      <c r="D7220" s="196">
        <v>3.99</v>
      </c>
      <c r="E7220" s="195" t="s">
        <v>583</v>
      </c>
      <c r="F7220" s="195" t="s">
        <v>430</v>
      </c>
    </row>
    <row r="7221" spans="1:6" x14ac:dyDescent="0.25">
      <c r="A7221" s="189" t="str">
        <f t="shared" si="112"/>
        <v>MO-MD 273.753.99S</v>
      </c>
      <c r="B7221" s="195" t="s">
        <v>466</v>
      </c>
      <c r="C7221" s="196">
        <v>3.75</v>
      </c>
      <c r="D7221" s="196">
        <v>3.99</v>
      </c>
      <c r="E7221" s="195" t="s">
        <v>583</v>
      </c>
      <c r="F7221" s="195" t="s">
        <v>438</v>
      </c>
    </row>
    <row r="7222" spans="1:6" x14ac:dyDescent="0.25">
      <c r="A7222" s="189" t="str">
        <f t="shared" si="112"/>
        <v>MO-MD 273.994.65N</v>
      </c>
      <c r="B7222" s="195" t="s">
        <v>466</v>
      </c>
      <c r="C7222" s="196">
        <v>3.99</v>
      </c>
      <c r="D7222" s="196">
        <v>4.6500000000000004</v>
      </c>
      <c r="E7222" s="195" t="s">
        <v>583</v>
      </c>
      <c r="F7222" s="195" t="s">
        <v>430</v>
      </c>
    </row>
    <row r="7223" spans="1:6" x14ac:dyDescent="0.25">
      <c r="A7223" s="189" t="str">
        <f t="shared" si="112"/>
        <v>MO-MD 273.994.65S</v>
      </c>
      <c r="B7223" s="195" t="s">
        <v>466</v>
      </c>
      <c r="C7223" s="196">
        <v>3.99</v>
      </c>
      <c r="D7223" s="196">
        <v>4.6500000000000004</v>
      </c>
      <c r="E7223" s="195" t="s">
        <v>583</v>
      </c>
      <c r="F7223" s="195" t="s">
        <v>438</v>
      </c>
    </row>
    <row r="7224" spans="1:6" x14ac:dyDescent="0.25">
      <c r="A7224" s="189" t="str">
        <f t="shared" si="112"/>
        <v>MO-MD 274.655.33N</v>
      </c>
      <c r="B7224" s="195" t="s">
        <v>466</v>
      </c>
      <c r="C7224" s="196">
        <v>4.6500000000000004</v>
      </c>
      <c r="D7224" s="196">
        <v>5.33</v>
      </c>
      <c r="E7224" s="195" t="s">
        <v>583</v>
      </c>
      <c r="F7224" s="195" t="s">
        <v>430</v>
      </c>
    </row>
    <row r="7225" spans="1:6" x14ac:dyDescent="0.25">
      <c r="A7225" s="189" t="str">
        <f t="shared" si="112"/>
        <v>MO-MD 274.655.33S</v>
      </c>
      <c r="B7225" s="195" t="s">
        <v>466</v>
      </c>
      <c r="C7225" s="196">
        <v>4.6500000000000004</v>
      </c>
      <c r="D7225" s="196">
        <v>5.33</v>
      </c>
      <c r="E7225" s="195" t="s">
        <v>583</v>
      </c>
      <c r="F7225" s="195" t="s">
        <v>438</v>
      </c>
    </row>
    <row r="7226" spans="1:6" x14ac:dyDescent="0.25">
      <c r="A7226" s="189" t="str">
        <f t="shared" si="112"/>
        <v>MO-MD 275.335.7N</v>
      </c>
      <c r="B7226" s="195" t="s">
        <v>466</v>
      </c>
      <c r="C7226" s="196">
        <v>5.33</v>
      </c>
      <c r="D7226" s="196">
        <v>5.7</v>
      </c>
      <c r="E7226" s="195" t="s">
        <v>583</v>
      </c>
      <c r="F7226" s="195" t="s">
        <v>430</v>
      </c>
    </row>
    <row r="7227" spans="1:6" x14ac:dyDescent="0.25">
      <c r="A7227" s="189" t="str">
        <f t="shared" si="112"/>
        <v>MO-MD 275.335.7S</v>
      </c>
      <c r="B7227" s="195" t="s">
        <v>466</v>
      </c>
      <c r="C7227" s="196">
        <v>5.33</v>
      </c>
      <c r="D7227" s="196">
        <v>5.7</v>
      </c>
      <c r="E7227" s="195" t="s">
        <v>583</v>
      </c>
      <c r="F7227" s="195" t="s">
        <v>438</v>
      </c>
    </row>
    <row r="7228" spans="1:6" x14ac:dyDescent="0.25">
      <c r="A7228" s="189" t="str">
        <f t="shared" si="112"/>
        <v>MO-MD 275.77.29N</v>
      </c>
      <c r="B7228" s="195" t="s">
        <v>466</v>
      </c>
      <c r="C7228" s="196">
        <v>5.7</v>
      </c>
      <c r="D7228" s="196">
        <v>7.29</v>
      </c>
      <c r="E7228" s="195" t="s">
        <v>583</v>
      </c>
      <c r="F7228" s="195" t="s">
        <v>430</v>
      </c>
    </row>
    <row r="7229" spans="1:6" x14ac:dyDescent="0.25">
      <c r="A7229" s="189" t="str">
        <f t="shared" si="112"/>
        <v>MO-MD 275.77.29S</v>
      </c>
      <c r="B7229" s="195" t="s">
        <v>466</v>
      </c>
      <c r="C7229" s="196">
        <v>5.7</v>
      </c>
      <c r="D7229" s="196">
        <v>7.29</v>
      </c>
      <c r="E7229" s="195" t="s">
        <v>583</v>
      </c>
      <c r="F7229" s="195" t="s">
        <v>438</v>
      </c>
    </row>
    <row r="7230" spans="1:6" x14ac:dyDescent="0.25">
      <c r="A7230" s="189" t="str">
        <f t="shared" si="112"/>
        <v>MO-MD 277.297.65N</v>
      </c>
      <c r="B7230" s="195" t="s">
        <v>466</v>
      </c>
      <c r="C7230" s="196">
        <v>7.29</v>
      </c>
      <c r="D7230" s="196">
        <v>7.65</v>
      </c>
      <c r="E7230" s="195" t="s">
        <v>583</v>
      </c>
      <c r="F7230" s="195" t="s">
        <v>430</v>
      </c>
    </row>
    <row r="7231" spans="1:6" x14ac:dyDescent="0.25">
      <c r="A7231" s="189" t="str">
        <f t="shared" si="112"/>
        <v>MO-MD 277.297.65S</v>
      </c>
      <c r="B7231" s="195" t="s">
        <v>466</v>
      </c>
      <c r="C7231" s="196">
        <v>7.29</v>
      </c>
      <c r="D7231" s="196">
        <v>7.65</v>
      </c>
      <c r="E7231" s="195" t="s">
        <v>583</v>
      </c>
      <c r="F7231" s="195" t="s">
        <v>438</v>
      </c>
    </row>
    <row r="7232" spans="1:6" x14ac:dyDescent="0.25">
      <c r="A7232" s="189" t="str">
        <f t="shared" si="112"/>
        <v>MO-MD 277.657.9N</v>
      </c>
      <c r="B7232" s="195" t="s">
        <v>466</v>
      </c>
      <c r="C7232" s="196">
        <v>7.65</v>
      </c>
      <c r="D7232" s="196">
        <v>7.9</v>
      </c>
      <c r="E7232" s="195" t="s">
        <v>583</v>
      </c>
      <c r="F7232" s="195" t="s">
        <v>430</v>
      </c>
    </row>
    <row r="7233" spans="1:6" x14ac:dyDescent="0.25">
      <c r="A7233" s="189" t="str">
        <f t="shared" si="112"/>
        <v>MO-MD 277.657.9S</v>
      </c>
      <c r="B7233" s="195" t="s">
        <v>466</v>
      </c>
      <c r="C7233" s="196">
        <v>7.65</v>
      </c>
      <c r="D7233" s="196">
        <v>7.9</v>
      </c>
      <c r="E7233" s="195" t="s">
        <v>583</v>
      </c>
      <c r="F7233" s="195" t="s">
        <v>438</v>
      </c>
    </row>
    <row r="7234" spans="1:6" x14ac:dyDescent="0.25">
      <c r="A7234" s="189" t="str">
        <f t="shared" si="112"/>
        <v>MO-MD 277.98.7N</v>
      </c>
      <c r="B7234" s="195" t="s">
        <v>466</v>
      </c>
      <c r="C7234" s="196">
        <v>7.9</v>
      </c>
      <c r="D7234" s="196">
        <v>8.6999999999999993</v>
      </c>
      <c r="E7234" s="195" t="s">
        <v>583</v>
      </c>
      <c r="F7234" s="195" t="s">
        <v>430</v>
      </c>
    </row>
    <row r="7235" spans="1:6" x14ac:dyDescent="0.25">
      <c r="A7235" s="189" t="str">
        <f t="shared" ref="A7235:A7298" si="113">B7235&amp;C7235&amp;D7235&amp;F7235</f>
        <v>MO-MD 277.98.7S</v>
      </c>
      <c r="B7235" s="195" t="s">
        <v>466</v>
      </c>
      <c r="C7235" s="196">
        <v>7.9</v>
      </c>
      <c r="D7235" s="196">
        <v>8.6999999999999993</v>
      </c>
      <c r="E7235" s="195" t="s">
        <v>583</v>
      </c>
      <c r="F7235" s="195" t="s">
        <v>438</v>
      </c>
    </row>
    <row r="7236" spans="1:6" x14ac:dyDescent="0.25">
      <c r="A7236" s="189" t="str">
        <f t="shared" si="113"/>
        <v>MO-MD 278.710.27N</v>
      </c>
      <c r="B7236" s="195" t="s">
        <v>466</v>
      </c>
      <c r="C7236" s="196">
        <v>8.6999999999999993</v>
      </c>
      <c r="D7236" s="196">
        <v>10.27</v>
      </c>
      <c r="E7236" s="195" t="s">
        <v>583</v>
      </c>
      <c r="F7236" s="195" t="s">
        <v>430</v>
      </c>
    </row>
    <row r="7237" spans="1:6" x14ac:dyDescent="0.25">
      <c r="A7237" s="189" t="str">
        <f t="shared" si="113"/>
        <v>MO-MD 278.710.27S</v>
      </c>
      <c r="B7237" s="195" t="s">
        <v>466</v>
      </c>
      <c r="C7237" s="196">
        <v>8.6999999999999993</v>
      </c>
      <c r="D7237" s="196">
        <v>10.27</v>
      </c>
      <c r="E7237" s="195" t="s">
        <v>583</v>
      </c>
      <c r="F7237" s="195" t="s">
        <v>438</v>
      </c>
    </row>
    <row r="7238" spans="1:6" x14ac:dyDescent="0.25">
      <c r="A7238" s="189" t="str">
        <f t="shared" si="113"/>
        <v>MO-MD 2710.2711.53N</v>
      </c>
      <c r="B7238" s="195" t="s">
        <v>466</v>
      </c>
      <c r="C7238" s="196">
        <v>10.27</v>
      </c>
      <c r="D7238" s="196">
        <v>11.53</v>
      </c>
      <c r="E7238" s="195" t="s">
        <v>583</v>
      </c>
      <c r="F7238" s="195" t="s">
        <v>430</v>
      </c>
    </row>
    <row r="7239" spans="1:6" x14ac:dyDescent="0.25">
      <c r="A7239" s="189" t="str">
        <f t="shared" si="113"/>
        <v>MO-MD 2710.2711.53S</v>
      </c>
      <c r="B7239" s="195" t="s">
        <v>466</v>
      </c>
      <c r="C7239" s="196">
        <v>10.27</v>
      </c>
      <c r="D7239" s="196">
        <v>11.53</v>
      </c>
      <c r="E7239" s="195" t="s">
        <v>583</v>
      </c>
      <c r="F7239" s="195" t="s">
        <v>438</v>
      </c>
    </row>
    <row r="7240" spans="1:6" x14ac:dyDescent="0.25">
      <c r="A7240" s="189" t="str">
        <f t="shared" si="113"/>
        <v>MO-MD 2711.5311.62N</v>
      </c>
      <c r="B7240" s="195" t="s">
        <v>466</v>
      </c>
      <c r="C7240" s="196">
        <v>11.53</v>
      </c>
      <c r="D7240" s="196">
        <v>11.62</v>
      </c>
      <c r="E7240" s="195" t="s">
        <v>583</v>
      </c>
      <c r="F7240" s="195" t="s">
        <v>430</v>
      </c>
    </row>
    <row r="7241" spans="1:6" x14ac:dyDescent="0.25">
      <c r="A7241" s="189" t="str">
        <f t="shared" si="113"/>
        <v>MO-MD 2711.5311.62S</v>
      </c>
      <c r="B7241" s="195" t="s">
        <v>466</v>
      </c>
      <c r="C7241" s="196">
        <v>11.53</v>
      </c>
      <c r="D7241" s="196">
        <v>11.62</v>
      </c>
      <c r="E7241" s="195" t="s">
        <v>583</v>
      </c>
      <c r="F7241" s="195" t="s">
        <v>438</v>
      </c>
    </row>
    <row r="7242" spans="1:6" x14ac:dyDescent="0.25">
      <c r="A7242" s="189" t="str">
        <f t="shared" si="113"/>
        <v>MO-MD 2809.81E</v>
      </c>
      <c r="B7242" s="195" t="s">
        <v>467</v>
      </c>
      <c r="C7242" s="196">
        <v>0</v>
      </c>
      <c r="D7242" s="196">
        <v>9.81</v>
      </c>
      <c r="E7242" s="195" t="s">
        <v>583</v>
      </c>
      <c r="F7242" s="195" t="s">
        <v>19</v>
      </c>
    </row>
    <row r="7243" spans="1:6" x14ac:dyDescent="0.25">
      <c r="A7243" s="189" t="str">
        <f t="shared" si="113"/>
        <v>MO-MD 2809.81W</v>
      </c>
      <c r="B7243" s="195" t="s">
        <v>467</v>
      </c>
      <c r="C7243" s="196">
        <v>0</v>
      </c>
      <c r="D7243" s="196">
        <v>9.81</v>
      </c>
      <c r="E7243" s="195" t="s">
        <v>583</v>
      </c>
      <c r="F7243" s="195" t="s">
        <v>432</v>
      </c>
    </row>
    <row r="7244" spans="1:6" x14ac:dyDescent="0.25">
      <c r="A7244" s="189" t="str">
        <f t="shared" si="113"/>
        <v>MO-MD 289.8113.18E</v>
      </c>
      <c r="B7244" s="195" t="s">
        <v>467</v>
      </c>
      <c r="C7244" s="196">
        <v>9.81</v>
      </c>
      <c r="D7244" s="196">
        <v>13.18</v>
      </c>
      <c r="E7244" s="195" t="s">
        <v>583</v>
      </c>
      <c r="F7244" s="195" t="s">
        <v>19</v>
      </c>
    </row>
    <row r="7245" spans="1:6" x14ac:dyDescent="0.25">
      <c r="A7245" s="189" t="str">
        <f t="shared" si="113"/>
        <v>MO-MD 289.8113.18W</v>
      </c>
      <c r="B7245" s="195" t="s">
        <v>467</v>
      </c>
      <c r="C7245" s="196">
        <v>9.81</v>
      </c>
      <c r="D7245" s="196">
        <v>13.18</v>
      </c>
      <c r="E7245" s="195" t="s">
        <v>583</v>
      </c>
      <c r="F7245" s="195" t="s">
        <v>432</v>
      </c>
    </row>
    <row r="7246" spans="1:6" x14ac:dyDescent="0.25">
      <c r="A7246" s="189" t="str">
        <f t="shared" si="113"/>
        <v>MO-MD 2813.1815.7E</v>
      </c>
      <c r="B7246" s="195" t="s">
        <v>467</v>
      </c>
      <c r="C7246" s="196">
        <v>13.18</v>
      </c>
      <c r="D7246" s="196">
        <v>15.7</v>
      </c>
      <c r="E7246" s="195" t="s">
        <v>583</v>
      </c>
      <c r="F7246" s="195" t="s">
        <v>19</v>
      </c>
    </row>
    <row r="7247" spans="1:6" x14ac:dyDescent="0.25">
      <c r="A7247" s="189" t="str">
        <f t="shared" si="113"/>
        <v>MO-MD 2813.1815.7W</v>
      </c>
      <c r="B7247" s="195" t="s">
        <v>467</v>
      </c>
      <c r="C7247" s="196">
        <v>13.18</v>
      </c>
      <c r="D7247" s="196">
        <v>15.7</v>
      </c>
      <c r="E7247" s="195" t="s">
        <v>583</v>
      </c>
      <c r="F7247" s="195" t="s">
        <v>432</v>
      </c>
    </row>
    <row r="7248" spans="1:6" x14ac:dyDescent="0.25">
      <c r="A7248" s="189" t="str">
        <f t="shared" si="113"/>
        <v>MO-MD 2820.5522.15E</v>
      </c>
      <c r="B7248" s="195" t="s">
        <v>467</v>
      </c>
      <c r="C7248" s="196">
        <v>20.55</v>
      </c>
      <c r="D7248" s="196">
        <v>22.15</v>
      </c>
      <c r="E7248" s="195" t="s">
        <v>583</v>
      </c>
      <c r="F7248" s="195" t="s">
        <v>19</v>
      </c>
    </row>
    <row r="7249" spans="1:6" x14ac:dyDescent="0.25">
      <c r="A7249" s="189" t="str">
        <f t="shared" si="113"/>
        <v>MO-MD 2820.5522.15W</v>
      </c>
      <c r="B7249" s="195" t="s">
        <v>467</v>
      </c>
      <c r="C7249" s="196">
        <v>20.55</v>
      </c>
      <c r="D7249" s="196">
        <v>22.15</v>
      </c>
      <c r="E7249" s="195" t="s">
        <v>583</v>
      </c>
      <c r="F7249" s="195" t="s">
        <v>432</v>
      </c>
    </row>
    <row r="7250" spans="1:6" x14ac:dyDescent="0.25">
      <c r="A7250" s="189" t="str">
        <f t="shared" si="113"/>
        <v>MO-MD 2822.1522.52E</v>
      </c>
      <c r="B7250" s="195" t="s">
        <v>467</v>
      </c>
      <c r="C7250" s="196">
        <v>22.15</v>
      </c>
      <c r="D7250" s="196">
        <v>22.52</v>
      </c>
      <c r="E7250" s="195" t="s">
        <v>583</v>
      </c>
      <c r="F7250" s="195" t="s">
        <v>19</v>
      </c>
    </row>
    <row r="7251" spans="1:6" x14ac:dyDescent="0.25">
      <c r="A7251" s="189" t="str">
        <f t="shared" si="113"/>
        <v>MO-MD 2822.1522.52W</v>
      </c>
      <c r="B7251" s="195" t="s">
        <v>467</v>
      </c>
      <c r="C7251" s="196">
        <v>22.15</v>
      </c>
      <c r="D7251" s="196">
        <v>22.52</v>
      </c>
      <c r="E7251" s="195" t="s">
        <v>583</v>
      </c>
      <c r="F7251" s="195" t="s">
        <v>432</v>
      </c>
    </row>
    <row r="7252" spans="1:6" x14ac:dyDescent="0.25">
      <c r="A7252" s="189" t="str">
        <f t="shared" si="113"/>
        <v>MO-MD 2827.328.56E</v>
      </c>
      <c r="B7252" s="195" t="s">
        <v>467</v>
      </c>
      <c r="C7252" s="196">
        <v>27.3</v>
      </c>
      <c r="D7252" s="196">
        <v>28.56</v>
      </c>
      <c r="E7252" s="195" t="s">
        <v>598</v>
      </c>
      <c r="F7252" s="195" t="s">
        <v>19</v>
      </c>
    </row>
    <row r="7253" spans="1:6" x14ac:dyDescent="0.25">
      <c r="A7253" s="189" t="str">
        <f t="shared" si="113"/>
        <v>MO-MD 2827.6528.56W</v>
      </c>
      <c r="B7253" s="195" t="s">
        <v>467</v>
      </c>
      <c r="C7253" s="196">
        <v>27.65</v>
      </c>
      <c r="D7253" s="196">
        <v>28.56</v>
      </c>
      <c r="E7253" s="195" t="s">
        <v>593</v>
      </c>
      <c r="F7253" s="195" t="s">
        <v>432</v>
      </c>
    </row>
    <row r="7254" spans="1:6" x14ac:dyDescent="0.25">
      <c r="A7254" s="189" t="str">
        <f t="shared" si="113"/>
        <v>MO-MD 2828.5629.3E</v>
      </c>
      <c r="B7254" s="195" t="s">
        <v>467</v>
      </c>
      <c r="C7254" s="196">
        <v>28.56</v>
      </c>
      <c r="D7254" s="196">
        <v>29.3</v>
      </c>
      <c r="E7254" s="195" t="s">
        <v>583</v>
      </c>
      <c r="F7254" s="195" t="s">
        <v>19</v>
      </c>
    </row>
    <row r="7255" spans="1:6" x14ac:dyDescent="0.25">
      <c r="A7255" s="189" t="str">
        <f t="shared" si="113"/>
        <v>MO-MD 2828.5629.3W</v>
      </c>
      <c r="B7255" s="195" t="s">
        <v>467</v>
      </c>
      <c r="C7255" s="196">
        <v>28.56</v>
      </c>
      <c r="D7255" s="196">
        <v>29.3</v>
      </c>
      <c r="E7255" s="195" t="s">
        <v>583</v>
      </c>
      <c r="F7255" s="195" t="s">
        <v>432</v>
      </c>
    </row>
    <row r="7256" spans="1:6" x14ac:dyDescent="0.25">
      <c r="A7256" s="189" t="str">
        <f t="shared" si="113"/>
        <v>MO-MD 28 RP2-2200.21W</v>
      </c>
      <c r="B7256" s="195" t="s">
        <v>3357</v>
      </c>
      <c r="C7256" s="196">
        <v>0</v>
      </c>
      <c r="D7256" s="196">
        <v>0.21</v>
      </c>
      <c r="E7256" s="195" t="s">
        <v>593</v>
      </c>
      <c r="F7256" s="195" t="s">
        <v>432</v>
      </c>
    </row>
    <row r="7257" spans="1:6" x14ac:dyDescent="0.25">
      <c r="A7257" s="189" t="str">
        <f t="shared" si="113"/>
        <v>MO-MD 28 RP5-2200.24E</v>
      </c>
      <c r="B7257" s="195" t="s">
        <v>3358</v>
      </c>
      <c r="C7257" s="196">
        <v>0</v>
      </c>
      <c r="D7257" s="196">
        <v>0.24</v>
      </c>
      <c r="E7257" s="195" t="s">
        <v>598</v>
      </c>
      <c r="F7257" s="195" t="s">
        <v>19</v>
      </c>
    </row>
    <row r="7258" spans="1:6" x14ac:dyDescent="0.25">
      <c r="A7258" s="189" t="str">
        <f t="shared" si="113"/>
        <v>MO-MD 32001N</v>
      </c>
      <c r="B7258" s="195" t="s">
        <v>3359</v>
      </c>
      <c r="C7258" s="196">
        <v>0</v>
      </c>
      <c r="D7258" s="196">
        <v>1</v>
      </c>
      <c r="E7258" s="195" t="s">
        <v>589</v>
      </c>
      <c r="F7258" s="195" t="s">
        <v>430</v>
      </c>
    </row>
    <row r="7259" spans="1:6" x14ac:dyDescent="0.25">
      <c r="A7259" s="189" t="str">
        <f t="shared" si="113"/>
        <v>MO-MD 3200.041S</v>
      </c>
      <c r="B7259" s="195" t="s">
        <v>3359</v>
      </c>
      <c r="C7259" s="196">
        <v>0.04</v>
      </c>
      <c r="D7259" s="196">
        <v>1</v>
      </c>
      <c r="E7259" s="195" t="s">
        <v>595</v>
      </c>
      <c r="F7259" s="195" t="s">
        <v>438</v>
      </c>
    </row>
    <row r="7260" spans="1:6" x14ac:dyDescent="0.25">
      <c r="A7260" s="189" t="str">
        <f t="shared" si="113"/>
        <v>MO-MD 32012.18N</v>
      </c>
      <c r="B7260" s="195" t="s">
        <v>3359</v>
      </c>
      <c r="C7260" s="196">
        <v>1</v>
      </c>
      <c r="D7260" s="196">
        <v>2.1800000000000002</v>
      </c>
      <c r="E7260" s="195" t="s">
        <v>583</v>
      </c>
      <c r="F7260" s="195" t="s">
        <v>430</v>
      </c>
    </row>
    <row r="7261" spans="1:6" x14ac:dyDescent="0.25">
      <c r="A7261" s="189" t="str">
        <f t="shared" si="113"/>
        <v>MO-MD 32012.18S</v>
      </c>
      <c r="B7261" s="195" t="s">
        <v>3359</v>
      </c>
      <c r="C7261" s="196">
        <v>1</v>
      </c>
      <c r="D7261" s="196">
        <v>2.1800000000000002</v>
      </c>
      <c r="E7261" s="195" t="s">
        <v>583</v>
      </c>
      <c r="F7261" s="195" t="s">
        <v>438</v>
      </c>
    </row>
    <row r="7262" spans="1:6" x14ac:dyDescent="0.25">
      <c r="A7262" s="189" t="str">
        <f t="shared" si="113"/>
        <v>MO-MD 3202.182.68N</v>
      </c>
      <c r="B7262" s="195" t="s">
        <v>3359</v>
      </c>
      <c r="C7262" s="196">
        <v>2.1800000000000002</v>
      </c>
      <c r="D7262" s="196">
        <v>2.68</v>
      </c>
      <c r="E7262" s="195" t="s">
        <v>583</v>
      </c>
      <c r="F7262" s="195" t="s">
        <v>430</v>
      </c>
    </row>
    <row r="7263" spans="1:6" x14ac:dyDescent="0.25">
      <c r="A7263" s="189" t="str">
        <f t="shared" si="113"/>
        <v>MO-MD 3202.182.68S</v>
      </c>
      <c r="B7263" s="195" t="s">
        <v>3359</v>
      </c>
      <c r="C7263" s="196">
        <v>2.1800000000000002</v>
      </c>
      <c r="D7263" s="196">
        <v>2.68</v>
      </c>
      <c r="E7263" s="195" t="s">
        <v>583</v>
      </c>
      <c r="F7263" s="195" t="s">
        <v>438</v>
      </c>
    </row>
    <row r="7264" spans="1:6" x14ac:dyDescent="0.25">
      <c r="A7264" s="189" t="str">
        <f t="shared" si="113"/>
        <v>MO-MD 35514.5515.02N</v>
      </c>
      <c r="B7264" s="195" t="s">
        <v>459</v>
      </c>
      <c r="C7264" s="196">
        <v>14.55</v>
      </c>
      <c r="D7264" s="196">
        <v>15.02</v>
      </c>
      <c r="E7264" s="195" t="s">
        <v>589</v>
      </c>
      <c r="F7264" s="195" t="s">
        <v>430</v>
      </c>
    </row>
    <row r="7265" spans="1:6" x14ac:dyDescent="0.25">
      <c r="A7265" s="189" t="str">
        <f t="shared" si="113"/>
        <v>MO-MD 35514.5515.19S</v>
      </c>
      <c r="B7265" s="195" t="s">
        <v>459</v>
      </c>
      <c r="C7265" s="196">
        <v>14.55</v>
      </c>
      <c r="D7265" s="196">
        <v>15.19</v>
      </c>
      <c r="E7265" s="195" t="s">
        <v>595</v>
      </c>
      <c r="F7265" s="195" t="s">
        <v>438</v>
      </c>
    </row>
    <row r="7266" spans="1:6" x14ac:dyDescent="0.25">
      <c r="A7266" s="189" t="str">
        <f t="shared" si="113"/>
        <v>MO-MD 35520.222.51N</v>
      </c>
      <c r="B7266" s="195" t="s">
        <v>459</v>
      </c>
      <c r="C7266" s="196">
        <v>20.2</v>
      </c>
      <c r="D7266" s="196">
        <v>22.51</v>
      </c>
      <c r="E7266" s="195" t="s">
        <v>589</v>
      </c>
      <c r="F7266" s="195" t="s">
        <v>430</v>
      </c>
    </row>
    <row r="7267" spans="1:6" x14ac:dyDescent="0.25">
      <c r="A7267" s="189" t="str">
        <f t="shared" si="113"/>
        <v>MO-MD 35520.222.9S</v>
      </c>
      <c r="B7267" s="195" t="s">
        <v>459</v>
      </c>
      <c r="C7267" s="196">
        <v>20.2</v>
      </c>
      <c r="D7267" s="196">
        <v>22.9</v>
      </c>
      <c r="E7267" s="195" t="s">
        <v>595</v>
      </c>
      <c r="F7267" s="195" t="s">
        <v>438</v>
      </c>
    </row>
    <row r="7268" spans="1:6" x14ac:dyDescent="0.25">
      <c r="A7268" s="189" t="str">
        <f t="shared" si="113"/>
        <v>MO-MD 35522.5222.9N</v>
      </c>
      <c r="B7268" s="195" t="s">
        <v>459</v>
      </c>
      <c r="C7268" s="196">
        <v>22.52</v>
      </c>
      <c r="D7268" s="196">
        <v>22.9</v>
      </c>
      <c r="E7268" s="195" t="s">
        <v>589</v>
      </c>
      <c r="F7268" s="195" t="s">
        <v>430</v>
      </c>
    </row>
    <row r="7269" spans="1:6" x14ac:dyDescent="0.25">
      <c r="A7269" s="189" t="str">
        <f t="shared" si="113"/>
        <v>MO-MD 35522.923.65N</v>
      </c>
      <c r="B7269" s="195" t="s">
        <v>459</v>
      </c>
      <c r="C7269" s="196">
        <v>22.9</v>
      </c>
      <c r="D7269" s="196">
        <v>23.65</v>
      </c>
      <c r="E7269" s="195" t="s">
        <v>583</v>
      </c>
      <c r="F7269" s="195" t="s">
        <v>430</v>
      </c>
    </row>
    <row r="7270" spans="1:6" x14ac:dyDescent="0.25">
      <c r="A7270" s="189" t="str">
        <f t="shared" si="113"/>
        <v>MO-MD 35522.923.65S</v>
      </c>
      <c r="B7270" s="195" t="s">
        <v>459</v>
      </c>
      <c r="C7270" s="196">
        <v>22.9</v>
      </c>
      <c r="D7270" s="196">
        <v>23.65</v>
      </c>
      <c r="E7270" s="195" t="s">
        <v>583</v>
      </c>
      <c r="F7270" s="195" t="s">
        <v>438</v>
      </c>
    </row>
    <row r="7271" spans="1:6" x14ac:dyDescent="0.25">
      <c r="A7271" s="189" t="str">
        <f t="shared" si="113"/>
        <v>MO-MD 35523.6524N</v>
      </c>
      <c r="B7271" s="195" t="s">
        <v>459</v>
      </c>
      <c r="C7271" s="196">
        <v>23.65</v>
      </c>
      <c r="D7271" s="196">
        <v>24</v>
      </c>
      <c r="E7271" s="195" t="s">
        <v>583</v>
      </c>
      <c r="F7271" s="195" t="s">
        <v>430</v>
      </c>
    </row>
    <row r="7272" spans="1:6" x14ac:dyDescent="0.25">
      <c r="A7272" s="189" t="str">
        <f t="shared" si="113"/>
        <v>MO-MD 35523.6524S</v>
      </c>
      <c r="B7272" s="195" t="s">
        <v>459</v>
      </c>
      <c r="C7272" s="196">
        <v>23.65</v>
      </c>
      <c r="D7272" s="196">
        <v>24</v>
      </c>
      <c r="E7272" s="195" t="s">
        <v>583</v>
      </c>
      <c r="F7272" s="195" t="s">
        <v>438</v>
      </c>
    </row>
    <row r="7273" spans="1:6" x14ac:dyDescent="0.25">
      <c r="A7273" s="189" t="str">
        <f t="shared" si="113"/>
        <v>MO-MD 3552426.83N</v>
      </c>
      <c r="B7273" s="195" t="s">
        <v>459</v>
      </c>
      <c r="C7273" s="196">
        <v>24</v>
      </c>
      <c r="D7273" s="196">
        <v>26.83</v>
      </c>
      <c r="E7273" s="195" t="s">
        <v>583</v>
      </c>
      <c r="F7273" s="195" t="s">
        <v>430</v>
      </c>
    </row>
    <row r="7274" spans="1:6" x14ac:dyDescent="0.25">
      <c r="A7274" s="189" t="str">
        <f t="shared" si="113"/>
        <v>MO-MD 3552426.83S</v>
      </c>
      <c r="B7274" s="195" t="s">
        <v>459</v>
      </c>
      <c r="C7274" s="196">
        <v>24</v>
      </c>
      <c r="D7274" s="196">
        <v>26.83</v>
      </c>
      <c r="E7274" s="195" t="s">
        <v>583</v>
      </c>
      <c r="F7274" s="195" t="s">
        <v>438</v>
      </c>
    </row>
    <row r="7275" spans="1:6" x14ac:dyDescent="0.25">
      <c r="A7275" s="189" t="str">
        <f t="shared" si="113"/>
        <v>MO-MD 355 RP2-700.14N</v>
      </c>
      <c r="B7275" s="195" t="s">
        <v>3360</v>
      </c>
      <c r="C7275" s="196">
        <v>0</v>
      </c>
      <c r="D7275" s="196">
        <v>0.14000000000000001</v>
      </c>
      <c r="E7275" s="195" t="s">
        <v>589</v>
      </c>
      <c r="F7275" s="195" t="s">
        <v>430</v>
      </c>
    </row>
    <row r="7276" spans="1:6" x14ac:dyDescent="0.25">
      <c r="A7276" s="189" t="str">
        <f t="shared" si="113"/>
        <v>MO-MD 355 RP4-700.09N</v>
      </c>
      <c r="B7276" s="195" t="s">
        <v>3361</v>
      </c>
      <c r="C7276" s="196">
        <v>0</v>
      </c>
      <c r="D7276" s="196">
        <v>0.09</v>
      </c>
      <c r="E7276" s="195" t="s">
        <v>589</v>
      </c>
      <c r="F7276" s="195" t="s">
        <v>430</v>
      </c>
    </row>
    <row r="7277" spans="1:6" x14ac:dyDescent="0.25">
      <c r="A7277" s="189" t="str">
        <f t="shared" si="113"/>
        <v>MO-MD 355 RP6-700.09S</v>
      </c>
      <c r="B7277" s="195" t="s">
        <v>3362</v>
      </c>
      <c r="C7277" s="196">
        <v>0</v>
      </c>
      <c r="D7277" s="196">
        <v>0.09</v>
      </c>
      <c r="E7277" s="195" t="s">
        <v>595</v>
      </c>
      <c r="F7277" s="195" t="s">
        <v>438</v>
      </c>
    </row>
    <row r="7278" spans="1:6" x14ac:dyDescent="0.25">
      <c r="A7278" s="189" t="str">
        <f t="shared" si="113"/>
        <v>MO-MD 39600.05W</v>
      </c>
      <c r="B7278" s="195" t="s">
        <v>3363</v>
      </c>
      <c r="C7278" s="196">
        <v>0</v>
      </c>
      <c r="D7278" s="196">
        <v>0.05</v>
      </c>
      <c r="E7278" s="195" t="s">
        <v>593</v>
      </c>
      <c r="F7278" s="195" t="s">
        <v>432</v>
      </c>
    </row>
    <row r="7279" spans="1:6" x14ac:dyDescent="0.25">
      <c r="A7279" s="189" t="str">
        <f t="shared" si="113"/>
        <v>MO-MD 39600.65E</v>
      </c>
      <c r="B7279" s="195" t="s">
        <v>3363</v>
      </c>
      <c r="C7279" s="196">
        <v>0</v>
      </c>
      <c r="D7279" s="196">
        <v>0.65</v>
      </c>
      <c r="E7279" s="195" t="s">
        <v>598</v>
      </c>
      <c r="F7279" s="195" t="s">
        <v>19</v>
      </c>
    </row>
    <row r="7280" spans="1:6" x14ac:dyDescent="0.25">
      <c r="A7280" s="189" t="str">
        <f t="shared" si="113"/>
        <v>MO-MD 3960.050.7W</v>
      </c>
      <c r="B7280" s="195" t="s">
        <v>3363</v>
      </c>
      <c r="C7280" s="196">
        <v>0.05</v>
      </c>
      <c r="D7280" s="196">
        <v>0.7</v>
      </c>
      <c r="E7280" s="195" t="s">
        <v>593</v>
      </c>
      <c r="F7280" s="195" t="s">
        <v>432</v>
      </c>
    </row>
    <row r="7281" spans="1:6" x14ac:dyDescent="0.25">
      <c r="A7281" s="189" t="str">
        <f t="shared" si="113"/>
        <v>MO-MD 3960.650.7E</v>
      </c>
      <c r="B7281" s="195" t="s">
        <v>3363</v>
      </c>
      <c r="C7281" s="196">
        <v>0.65</v>
      </c>
      <c r="D7281" s="196">
        <v>0.7</v>
      </c>
      <c r="E7281" s="195" t="s">
        <v>598</v>
      </c>
      <c r="F7281" s="195" t="s">
        <v>19</v>
      </c>
    </row>
    <row r="7282" spans="1:6" x14ac:dyDescent="0.25">
      <c r="A7282" s="189" t="str">
        <f t="shared" si="113"/>
        <v>MO-MD 3960.70.85W</v>
      </c>
      <c r="B7282" s="195" t="s">
        <v>3363</v>
      </c>
      <c r="C7282" s="196">
        <v>0.7</v>
      </c>
      <c r="D7282" s="196">
        <v>0.85</v>
      </c>
      <c r="E7282" s="195" t="s">
        <v>593</v>
      </c>
      <c r="F7282" s="195" t="s">
        <v>432</v>
      </c>
    </row>
    <row r="7283" spans="1:6" x14ac:dyDescent="0.25">
      <c r="A7283" s="189" t="str">
        <f t="shared" si="113"/>
        <v>MO-MD 3960.72.21E</v>
      </c>
      <c r="B7283" s="195" t="s">
        <v>3363</v>
      </c>
      <c r="C7283" s="196">
        <v>0.7</v>
      </c>
      <c r="D7283" s="196">
        <v>2.21</v>
      </c>
      <c r="E7283" s="195" t="s">
        <v>598</v>
      </c>
      <c r="F7283" s="195" t="s">
        <v>19</v>
      </c>
    </row>
    <row r="7284" spans="1:6" x14ac:dyDescent="0.25">
      <c r="A7284" s="189" t="str">
        <f t="shared" si="113"/>
        <v>MO-MD 3960.852.21W</v>
      </c>
      <c r="B7284" s="195" t="s">
        <v>3363</v>
      </c>
      <c r="C7284" s="196">
        <v>0.85</v>
      </c>
      <c r="D7284" s="196">
        <v>2.21</v>
      </c>
      <c r="E7284" s="195" t="s">
        <v>593</v>
      </c>
      <c r="F7284" s="195" t="s">
        <v>432</v>
      </c>
    </row>
    <row r="7285" spans="1:6" x14ac:dyDescent="0.25">
      <c r="A7285" s="189" t="str">
        <f t="shared" si="113"/>
        <v>MO-MD 396A00.1W</v>
      </c>
      <c r="B7285" s="195" t="s">
        <v>3364</v>
      </c>
      <c r="C7285" s="196">
        <v>0</v>
      </c>
      <c r="D7285" s="196">
        <v>0.1</v>
      </c>
      <c r="E7285" s="195" t="s">
        <v>593</v>
      </c>
      <c r="F7285" s="195" t="s">
        <v>432</v>
      </c>
    </row>
    <row r="7286" spans="1:6" x14ac:dyDescent="0.25">
      <c r="A7286" s="189" t="str">
        <f t="shared" si="113"/>
        <v>MO-MD 41000.45E</v>
      </c>
      <c r="B7286" s="195" t="s">
        <v>460</v>
      </c>
      <c r="C7286" s="196">
        <v>0</v>
      </c>
      <c r="D7286" s="196">
        <v>0.45</v>
      </c>
      <c r="E7286" s="195" t="s">
        <v>598</v>
      </c>
      <c r="F7286" s="195" t="s">
        <v>19</v>
      </c>
    </row>
    <row r="7287" spans="1:6" x14ac:dyDescent="0.25">
      <c r="A7287" s="189" t="str">
        <f t="shared" si="113"/>
        <v>MO-MD 4100.030.45W</v>
      </c>
      <c r="B7287" s="195" t="s">
        <v>460</v>
      </c>
      <c r="C7287" s="196">
        <v>0.03</v>
      </c>
      <c r="D7287" s="196">
        <v>0.45</v>
      </c>
      <c r="E7287" s="195" t="s">
        <v>593</v>
      </c>
      <c r="F7287" s="195" t="s">
        <v>432</v>
      </c>
    </row>
    <row r="7288" spans="1:6" x14ac:dyDescent="0.25">
      <c r="A7288" s="189" t="str">
        <f t="shared" si="113"/>
        <v>MO-MD 4100.451E</v>
      </c>
      <c r="B7288" s="195" t="s">
        <v>460</v>
      </c>
      <c r="C7288" s="196">
        <v>0.45</v>
      </c>
      <c r="D7288" s="196">
        <v>1</v>
      </c>
      <c r="E7288" s="195" t="s">
        <v>598</v>
      </c>
      <c r="F7288" s="195" t="s">
        <v>19</v>
      </c>
    </row>
    <row r="7289" spans="1:6" x14ac:dyDescent="0.25">
      <c r="A7289" s="189" t="str">
        <f t="shared" si="113"/>
        <v>MO-MD 4100.71W</v>
      </c>
      <c r="B7289" s="195" t="s">
        <v>460</v>
      </c>
      <c r="C7289" s="196">
        <v>0.7</v>
      </c>
      <c r="D7289" s="196">
        <v>1</v>
      </c>
      <c r="E7289" s="195" t="s">
        <v>593</v>
      </c>
      <c r="F7289" s="195" t="s">
        <v>432</v>
      </c>
    </row>
    <row r="7290" spans="1:6" x14ac:dyDescent="0.25">
      <c r="A7290" s="189" t="str">
        <f t="shared" si="113"/>
        <v>MO-MD 41013.44E</v>
      </c>
      <c r="B7290" s="195" t="s">
        <v>460</v>
      </c>
      <c r="C7290" s="196">
        <v>1</v>
      </c>
      <c r="D7290" s="196">
        <v>3.44</v>
      </c>
      <c r="E7290" s="195" t="s">
        <v>583</v>
      </c>
      <c r="F7290" s="195" t="s">
        <v>19</v>
      </c>
    </row>
    <row r="7291" spans="1:6" x14ac:dyDescent="0.25">
      <c r="A7291" s="189" t="str">
        <f t="shared" si="113"/>
        <v>MO-MD 41013.44W</v>
      </c>
      <c r="B7291" s="195" t="s">
        <v>460</v>
      </c>
      <c r="C7291" s="196">
        <v>1</v>
      </c>
      <c r="D7291" s="196">
        <v>3.44</v>
      </c>
      <c r="E7291" s="195" t="s">
        <v>583</v>
      </c>
      <c r="F7291" s="195" t="s">
        <v>432</v>
      </c>
    </row>
    <row r="7292" spans="1:6" x14ac:dyDescent="0.25">
      <c r="A7292" s="189" t="str">
        <f t="shared" si="113"/>
        <v>MO-MD 4103.54.24E</v>
      </c>
      <c r="B7292" s="195" t="s">
        <v>460</v>
      </c>
      <c r="C7292" s="196">
        <v>3.5</v>
      </c>
      <c r="D7292" s="196">
        <v>4.24</v>
      </c>
      <c r="E7292" s="195" t="s">
        <v>583</v>
      </c>
      <c r="F7292" s="195" t="s">
        <v>19</v>
      </c>
    </row>
    <row r="7293" spans="1:6" x14ac:dyDescent="0.25">
      <c r="A7293" s="189" t="str">
        <f t="shared" si="113"/>
        <v>MO-MD 4103.54.24W</v>
      </c>
      <c r="B7293" s="195" t="s">
        <v>460</v>
      </c>
      <c r="C7293" s="196">
        <v>3.5</v>
      </c>
      <c r="D7293" s="196">
        <v>4.24</v>
      </c>
      <c r="E7293" s="195" t="s">
        <v>583</v>
      </c>
      <c r="F7293" s="195" t="s">
        <v>432</v>
      </c>
    </row>
    <row r="7294" spans="1:6" x14ac:dyDescent="0.25">
      <c r="A7294" s="189" t="str">
        <f t="shared" si="113"/>
        <v>MO-MD 4104.244.42E</v>
      </c>
      <c r="B7294" s="195" t="s">
        <v>460</v>
      </c>
      <c r="C7294" s="196">
        <v>4.24</v>
      </c>
      <c r="D7294" s="196">
        <v>4.42</v>
      </c>
      <c r="E7294" s="195" t="s">
        <v>583</v>
      </c>
      <c r="F7294" s="195" t="s">
        <v>19</v>
      </c>
    </row>
    <row r="7295" spans="1:6" x14ac:dyDescent="0.25">
      <c r="A7295" s="189" t="str">
        <f t="shared" si="113"/>
        <v>MO-MD 4104.244.42W</v>
      </c>
      <c r="B7295" s="195" t="s">
        <v>460</v>
      </c>
      <c r="C7295" s="196">
        <v>4.24</v>
      </c>
      <c r="D7295" s="196">
        <v>4.42</v>
      </c>
      <c r="E7295" s="195" t="s">
        <v>583</v>
      </c>
      <c r="F7295" s="195" t="s">
        <v>432</v>
      </c>
    </row>
    <row r="7296" spans="1:6" x14ac:dyDescent="0.25">
      <c r="A7296" s="189" t="str">
        <f t="shared" si="113"/>
        <v>MO-MD 4104.425E</v>
      </c>
      <c r="B7296" s="195" t="s">
        <v>460</v>
      </c>
      <c r="C7296" s="196">
        <v>4.42</v>
      </c>
      <c r="D7296" s="196">
        <v>5</v>
      </c>
      <c r="E7296" s="195" t="s">
        <v>583</v>
      </c>
      <c r="F7296" s="195" t="s">
        <v>19</v>
      </c>
    </row>
    <row r="7297" spans="1:6" x14ac:dyDescent="0.25">
      <c r="A7297" s="189" t="str">
        <f t="shared" si="113"/>
        <v>MO-MD 4104.425W</v>
      </c>
      <c r="B7297" s="195" t="s">
        <v>460</v>
      </c>
      <c r="C7297" s="196">
        <v>4.42</v>
      </c>
      <c r="D7297" s="196">
        <v>5</v>
      </c>
      <c r="E7297" s="195" t="s">
        <v>583</v>
      </c>
      <c r="F7297" s="195" t="s">
        <v>432</v>
      </c>
    </row>
    <row r="7298" spans="1:6" x14ac:dyDescent="0.25">
      <c r="A7298" s="189" t="str">
        <f t="shared" si="113"/>
        <v>MO-MD 41055.17E</v>
      </c>
      <c r="B7298" s="195" t="s">
        <v>460</v>
      </c>
      <c r="C7298" s="196">
        <v>5</v>
      </c>
      <c r="D7298" s="196">
        <v>5.17</v>
      </c>
      <c r="E7298" s="195" t="s">
        <v>583</v>
      </c>
      <c r="F7298" s="195" t="s">
        <v>19</v>
      </c>
    </row>
    <row r="7299" spans="1:6" x14ac:dyDescent="0.25">
      <c r="A7299" s="189" t="str">
        <f t="shared" ref="A7299:A7362" si="114">B7299&amp;C7299&amp;D7299&amp;F7299</f>
        <v>MO-MD 41055.17W</v>
      </c>
      <c r="B7299" s="195" t="s">
        <v>460</v>
      </c>
      <c r="C7299" s="196">
        <v>5</v>
      </c>
      <c r="D7299" s="196">
        <v>5.17</v>
      </c>
      <c r="E7299" s="195" t="s">
        <v>583</v>
      </c>
      <c r="F7299" s="195" t="s">
        <v>432</v>
      </c>
    </row>
    <row r="7300" spans="1:6" x14ac:dyDescent="0.25">
      <c r="A7300" s="189" t="str">
        <f t="shared" si="114"/>
        <v>MO-MD 4105.175.29E</v>
      </c>
      <c r="B7300" s="195" t="s">
        <v>460</v>
      </c>
      <c r="C7300" s="196">
        <v>5.17</v>
      </c>
      <c r="D7300" s="196">
        <v>5.29</v>
      </c>
      <c r="E7300" s="195" t="s">
        <v>583</v>
      </c>
      <c r="F7300" s="195" t="s">
        <v>19</v>
      </c>
    </row>
    <row r="7301" spans="1:6" x14ac:dyDescent="0.25">
      <c r="A7301" s="189" t="str">
        <f t="shared" si="114"/>
        <v>MO-MD 4105.175.29W</v>
      </c>
      <c r="B7301" s="195" t="s">
        <v>460</v>
      </c>
      <c r="C7301" s="196">
        <v>5.17</v>
      </c>
      <c r="D7301" s="196">
        <v>5.29</v>
      </c>
      <c r="E7301" s="195" t="s">
        <v>583</v>
      </c>
      <c r="F7301" s="195" t="s">
        <v>432</v>
      </c>
    </row>
    <row r="7302" spans="1:6" x14ac:dyDescent="0.25">
      <c r="A7302" s="189" t="str">
        <f t="shared" si="114"/>
        <v>MO-MD 4105.295.56E</v>
      </c>
      <c r="B7302" s="195" t="s">
        <v>460</v>
      </c>
      <c r="C7302" s="196">
        <v>5.29</v>
      </c>
      <c r="D7302" s="196">
        <v>5.56</v>
      </c>
      <c r="E7302" s="195" t="s">
        <v>583</v>
      </c>
      <c r="F7302" s="195" t="s">
        <v>19</v>
      </c>
    </row>
    <row r="7303" spans="1:6" x14ac:dyDescent="0.25">
      <c r="A7303" s="189" t="str">
        <f t="shared" si="114"/>
        <v>MO-MD 4105.295.56W</v>
      </c>
      <c r="B7303" s="195" t="s">
        <v>460</v>
      </c>
      <c r="C7303" s="196">
        <v>5.29</v>
      </c>
      <c r="D7303" s="196">
        <v>5.56</v>
      </c>
      <c r="E7303" s="195" t="s">
        <v>583</v>
      </c>
      <c r="F7303" s="195" t="s">
        <v>432</v>
      </c>
    </row>
    <row r="7304" spans="1:6" x14ac:dyDescent="0.25">
      <c r="A7304" s="189" t="str">
        <f t="shared" si="114"/>
        <v>MO-MD 4105.565.63E</v>
      </c>
      <c r="B7304" s="195" t="s">
        <v>460</v>
      </c>
      <c r="C7304" s="196">
        <v>5.56</v>
      </c>
      <c r="D7304" s="196">
        <v>5.63</v>
      </c>
      <c r="E7304" s="195" t="s">
        <v>583</v>
      </c>
      <c r="F7304" s="195" t="s">
        <v>19</v>
      </c>
    </row>
    <row r="7305" spans="1:6" x14ac:dyDescent="0.25">
      <c r="A7305" s="189" t="str">
        <f t="shared" si="114"/>
        <v>MO-MD 4105.565.63W</v>
      </c>
      <c r="B7305" s="195" t="s">
        <v>460</v>
      </c>
      <c r="C7305" s="196">
        <v>5.56</v>
      </c>
      <c r="D7305" s="196">
        <v>5.63</v>
      </c>
      <c r="E7305" s="195" t="s">
        <v>583</v>
      </c>
      <c r="F7305" s="195" t="s">
        <v>432</v>
      </c>
    </row>
    <row r="7306" spans="1:6" x14ac:dyDescent="0.25">
      <c r="A7306" s="189" t="str">
        <f t="shared" si="114"/>
        <v>MO-MD 4105.636.16E</v>
      </c>
      <c r="B7306" s="195" t="s">
        <v>460</v>
      </c>
      <c r="C7306" s="196">
        <v>5.63</v>
      </c>
      <c r="D7306" s="196">
        <v>6.16</v>
      </c>
      <c r="E7306" s="195" t="s">
        <v>583</v>
      </c>
      <c r="F7306" s="195" t="s">
        <v>19</v>
      </c>
    </row>
    <row r="7307" spans="1:6" x14ac:dyDescent="0.25">
      <c r="A7307" s="189" t="str">
        <f t="shared" si="114"/>
        <v>MO-MD 4105.636.16W</v>
      </c>
      <c r="B7307" s="195" t="s">
        <v>460</v>
      </c>
      <c r="C7307" s="196">
        <v>5.63</v>
      </c>
      <c r="D7307" s="196">
        <v>6.16</v>
      </c>
      <c r="E7307" s="195" t="s">
        <v>583</v>
      </c>
      <c r="F7307" s="195" t="s">
        <v>432</v>
      </c>
    </row>
    <row r="7308" spans="1:6" x14ac:dyDescent="0.25">
      <c r="A7308" s="189" t="str">
        <f t="shared" si="114"/>
        <v>MO-MD 4106.166.31E</v>
      </c>
      <c r="B7308" s="195" t="s">
        <v>460</v>
      </c>
      <c r="C7308" s="196">
        <v>6.16</v>
      </c>
      <c r="D7308" s="196">
        <v>6.31</v>
      </c>
      <c r="E7308" s="195" t="s">
        <v>583</v>
      </c>
      <c r="F7308" s="195" t="s">
        <v>19</v>
      </c>
    </row>
    <row r="7309" spans="1:6" x14ac:dyDescent="0.25">
      <c r="A7309" s="189" t="str">
        <f t="shared" si="114"/>
        <v>MO-MD 4106.166.31W</v>
      </c>
      <c r="B7309" s="195" t="s">
        <v>460</v>
      </c>
      <c r="C7309" s="196">
        <v>6.16</v>
      </c>
      <c r="D7309" s="196">
        <v>6.31</v>
      </c>
      <c r="E7309" s="195" t="s">
        <v>583</v>
      </c>
      <c r="F7309" s="195" t="s">
        <v>432</v>
      </c>
    </row>
    <row r="7310" spans="1:6" x14ac:dyDescent="0.25">
      <c r="A7310" s="189" t="str">
        <f t="shared" si="114"/>
        <v>MO-MD 54700.59E</v>
      </c>
      <c r="B7310" s="195" t="s">
        <v>3365</v>
      </c>
      <c r="C7310" s="196">
        <v>0</v>
      </c>
      <c r="D7310" s="196">
        <v>0.59</v>
      </c>
      <c r="E7310" s="195" t="s">
        <v>583</v>
      </c>
      <c r="F7310" s="195" t="s">
        <v>19</v>
      </c>
    </row>
    <row r="7311" spans="1:6" x14ac:dyDescent="0.25">
      <c r="A7311" s="189" t="str">
        <f t="shared" si="114"/>
        <v>MO-MD 54700.59W</v>
      </c>
      <c r="B7311" s="195" t="s">
        <v>3365</v>
      </c>
      <c r="C7311" s="196">
        <v>0</v>
      </c>
      <c r="D7311" s="196">
        <v>0.59</v>
      </c>
      <c r="E7311" s="195" t="s">
        <v>583</v>
      </c>
      <c r="F7311" s="195" t="s">
        <v>432</v>
      </c>
    </row>
    <row r="7312" spans="1:6" x14ac:dyDescent="0.25">
      <c r="A7312" s="189" t="str">
        <f t="shared" si="114"/>
        <v>MO-MD 5470.591.05E</v>
      </c>
      <c r="B7312" s="195" t="s">
        <v>3365</v>
      </c>
      <c r="C7312" s="196">
        <v>0.59</v>
      </c>
      <c r="D7312" s="196">
        <v>1.05</v>
      </c>
      <c r="E7312" s="195" t="s">
        <v>583</v>
      </c>
      <c r="F7312" s="195" t="s">
        <v>19</v>
      </c>
    </row>
    <row r="7313" spans="1:6" x14ac:dyDescent="0.25">
      <c r="A7313" s="189" t="str">
        <f t="shared" si="114"/>
        <v>MO-MD 5470.591.05W</v>
      </c>
      <c r="B7313" s="195" t="s">
        <v>3365</v>
      </c>
      <c r="C7313" s="196">
        <v>0.59</v>
      </c>
      <c r="D7313" s="196">
        <v>1.05</v>
      </c>
      <c r="E7313" s="195" t="s">
        <v>583</v>
      </c>
      <c r="F7313" s="195" t="s">
        <v>432</v>
      </c>
    </row>
    <row r="7314" spans="1:6" x14ac:dyDescent="0.25">
      <c r="A7314" s="189" t="str">
        <f t="shared" si="114"/>
        <v>MO-MD 5471.051.8E</v>
      </c>
      <c r="B7314" s="195" t="s">
        <v>3365</v>
      </c>
      <c r="C7314" s="196">
        <v>1.05</v>
      </c>
      <c r="D7314" s="196">
        <v>1.8</v>
      </c>
      <c r="E7314" s="195" t="s">
        <v>583</v>
      </c>
      <c r="F7314" s="195" t="s">
        <v>19</v>
      </c>
    </row>
    <row r="7315" spans="1:6" x14ac:dyDescent="0.25">
      <c r="A7315" s="189" t="str">
        <f t="shared" si="114"/>
        <v>MO-MD 5471.051.8W</v>
      </c>
      <c r="B7315" s="195" t="s">
        <v>3365</v>
      </c>
      <c r="C7315" s="196">
        <v>1.05</v>
      </c>
      <c r="D7315" s="196">
        <v>1.8</v>
      </c>
      <c r="E7315" s="195" t="s">
        <v>583</v>
      </c>
      <c r="F7315" s="195" t="s">
        <v>432</v>
      </c>
    </row>
    <row r="7316" spans="1:6" x14ac:dyDescent="0.25">
      <c r="A7316" s="189" t="str">
        <f t="shared" si="114"/>
        <v>MO-MD 61400.98N</v>
      </c>
      <c r="B7316" s="195" t="s">
        <v>3366</v>
      </c>
      <c r="C7316" s="196">
        <v>0</v>
      </c>
      <c r="D7316" s="196">
        <v>0.98</v>
      </c>
      <c r="E7316" s="195" t="s">
        <v>589</v>
      </c>
      <c r="F7316" s="195" t="s">
        <v>430</v>
      </c>
    </row>
    <row r="7317" spans="1:6" x14ac:dyDescent="0.25">
      <c r="A7317" s="189" t="str">
        <f t="shared" si="114"/>
        <v>MO-MD 61401.02S</v>
      </c>
      <c r="B7317" s="195" t="s">
        <v>3366</v>
      </c>
      <c r="C7317" s="196">
        <v>0</v>
      </c>
      <c r="D7317" s="196">
        <v>1.02</v>
      </c>
      <c r="E7317" s="195" t="s">
        <v>595</v>
      </c>
      <c r="F7317" s="195" t="s">
        <v>438</v>
      </c>
    </row>
    <row r="7318" spans="1:6" x14ac:dyDescent="0.25">
      <c r="A7318" s="189" t="str">
        <f t="shared" si="114"/>
        <v>MO-MD 6141.111.97N</v>
      </c>
      <c r="B7318" s="195" t="s">
        <v>3366</v>
      </c>
      <c r="C7318" s="196">
        <v>1.1100000000000001</v>
      </c>
      <c r="D7318" s="196">
        <v>1.97</v>
      </c>
      <c r="E7318" s="195" t="s">
        <v>583</v>
      </c>
      <c r="F7318" s="195" t="s">
        <v>430</v>
      </c>
    </row>
    <row r="7319" spans="1:6" x14ac:dyDescent="0.25">
      <c r="A7319" s="189" t="str">
        <f t="shared" si="114"/>
        <v>MO-MD 6141.111.97S</v>
      </c>
      <c r="B7319" s="195" t="s">
        <v>3366</v>
      </c>
      <c r="C7319" s="196">
        <v>1.1100000000000001</v>
      </c>
      <c r="D7319" s="196">
        <v>1.97</v>
      </c>
      <c r="E7319" s="195" t="s">
        <v>583</v>
      </c>
      <c r="F7319" s="195" t="s">
        <v>438</v>
      </c>
    </row>
    <row r="7320" spans="1:6" x14ac:dyDescent="0.25">
      <c r="A7320" s="189" t="str">
        <f t="shared" si="114"/>
        <v>MO-MD 614A00.02E</v>
      </c>
      <c r="B7320" s="195" t="s">
        <v>3367</v>
      </c>
      <c r="C7320" s="196">
        <v>0</v>
      </c>
      <c r="D7320" s="196">
        <v>0.02</v>
      </c>
      <c r="E7320" s="195" t="s">
        <v>598</v>
      </c>
      <c r="F7320" s="195" t="s">
        <v>19</v>
      </c>
    </row>
    <row r="7321" spans="1:6" x14ac:dyDescent="0.25">
      <c r="A7321" s="189" t="str">
        <f t="shared" si="114"/>
        <v>MO-MD 614B00.02S</v>
      </c>
      <c r="B7321" s="195" t="s">
        <v>3368</v>
      </c>
      <c r="C7321" s="196">
        <v>0</v>
      </c>
      <c r="D7321" s="196">
        <v>0.02</v>
      </c>
      <c r="E7321" s="195" t="s">
        <v>595</v>
      </c>
      <c r="F7321" s="195" t="s">
        <v>438</v>
      </c>
    </row>
    <row r="7322" spans="1:6" x14ac:dyDescent="0.25">
      <c r="A7322" s="189" t="str">
        <f t="shared" si="114"/>
        <v>MO-MD 614C00.03W</v>
      </c>
      <c r="B7322" s="195" t="s">
        <v>3369</v>
      </c>
      <c r="C7322" s="196">
        <v>0</v>
      </c>
      <c r="D7322" s="196">
        <v>0.03</v>
      </c>
      <c r="E7322" s="195" t="s">
        <v>593</v>
      </c>
      <c r="F7322" s="195" t="s">
        <v>432</v>
      </c>
    </row>
    <row r="7323" spans="1:6" x14ac:dyDescent="0.25">
      <c r="A7323" s="189" t="str">
        <f t="shared" si="114"/>
        <v>MO-MD 614D00.03N</v>
      </c>
      <c r="B7323" s="195" t="s">
        <v>3370</v>
      </c>
      <c r="C7323" s="196">
        <v>0</v>
      </c>
      <c r="D7323" s="196">
        <v>0.03</v>
      </c>
      <c r="E7323" s="195" t="s">
        <v>589</v>
      </c>
      <c r="F7323" s="195" t="s">
        <v>430</v>
      </c>
    </row>
    <row r="7324" spans="1:6" x14ac:dyDescent="0.25">
      <c r="A7324" s="189" t="str">
        <f t="shared" si="114"/>
        <v>MO-MD 6501111.55S</v>
      </c>
      <c r="B7324" s="195" t="s">
        <v>3371</v>
      </c>
      <c r="C7324" s="196">
        <v>11</v>
      </c>
      <c r="D7324" s="196">
        <v>11.55</v>
      </c>
      <c r="E7324" s="195" t="s">
        <v>595</v>
      </c>
      <c r="F7324" s="195" t="s">
        <v>438</v>
      </c>
    </row>
    <row r="7325" spans="1:6" x14ac:dyDescent="0.25">
      <c r="A7325" s="189" t="str">
        <f t="shared" si="114"/>
        <v>MO-MD 65011.212N</v>
      </c>
      <c r="B7325" s="195" t="s">
        <v>3371</v>
      </c>
      <c r="C7325" s="196">
        <v>11.2</v>
      </c>
      <c r="D7325" s="196">
        <v>12</v>
      </c>
      <c r="E7325" s="195" t="s">
        <v>589</v>
      </c>
      <c r="F7325" s="195" t="s">
        <v>430</v>
      </c>
    </row>
    <row r="7326" spans="1:6" x14ac:dyDescent="0.25">
      <c r="A7326" s="189" t="str">
        <f t="shared" si="114"/>
        <v>MO-MD 65011.5512S</v>
      </c>
      <c r="B7326" s="195" t="s">
        <v>3371</v>
      </c>
      <c r="C7326" s="196">
        <v>11.55</v>
      </c>
      <c r="D7326" s="196">
        <v>12</v>
      </c>
      <c r="E7326" s="195" t="s">
        <v>595</v>
      </c>
      <c r="F7326" s="195" t="s">
        <v>438</v>
      </c>
    </row>
    <row r="7327" spans="1:6" x14ac:dyDescent="0.25">
      <c r="A7327" s="189" t="str">
        <f t="shared" si="114"/>
        <v>MO-MD 6501212.1N</v>
      </c>
      <c r="B7327" s="195" t="s">
        <v>3371</v>
      </c>
      <c r="C7327" s="196">
        <v>12</v>
      </c>
      <c r="D7327" s="196">
        <v>12.1</v>
      </c>
      <c r="E7327" s="195" t="s">
        <v>583</v>
      </c>
      <c r="F7327" s="195" t="s">
        <v>430</v>
      </c>
    </row>
    <row r="7328" spans="1:6" x14ac:dyDescent="0.25">
      <c r="A7328" s="189" t="str">
        <f t="shared" si="114"/>
        <v>MO-MD 6501212.1S</v>
      </c>
      <c r="B7328" s="195" t="s">
        <v>3371</v>
      </c>
      <c r="C7328" s="196">
        <v>12</v>
      </c>
      <c r="D7328" s="196">
        <v>12.1</v>
      </c>
      <c r="E7328" s="195" t="s">
        <v>583</v>
      </c>
      <c r="F7328" s="195" t="s">
        <v>438</v>
      </c>
    </row>
    <row r="7329" spans="1:6" x14ac:dyDescent="0.25">
      <c r="A7329" s="189" t="str">
        <f t="shared" si="114"/>
        <v>MO-MD 65012.113.5N</v>
      </c>
      <c r="B7329" s="195" t="s">
        <v>3371</v>
      </c>
      <c r="C7329" s="196">
        <v>12.1</v>
      </c>
      <c r="D7329" s="196">
        <v>13.5</v>
      </c>
      <c r="E7329" s="195" t="s">
        <v>583</v>
      </c>
      <c r="F7329" s="195" t="s">
        <v>430</v>
      </c>
    </row>
    <row r="7330" spans="1:6" x14ac:dyDescent="0.25">
      <c r="A7330" s="189" t="str">
        <f t="shared" si="114"/>
        <v>MO-MD 65012.113.5S</v>
      </c>
      <c r="B7330" s="195" t="s">
        <v>3371</v>
      </c>
      <c r="C7330" s="196">
        <v>12.1</v>
      </c>
      <c r="D7330" s="196">
        <v>13.5</v>
      </c>
      <c r="E7330" s="195" t="s">
        <v>583</v>
      </c>
      <c r="F7330" s="195" t="s">
        <v>438</v>
      </c>
    </row>
    <row r="7331" spans="1:6" x14ac:dyDescent="0.25">
      <c r="A7331" s="189" t="str">
        <f t="shared" si="114"/>
        <v>MO-MD 65013.513.54S</v>
      </c>
      <c r="B7331" s="195" t="s">
        <v>3371</v>
      </c>
      <c r="C7331" s="196">
        <v>13.5</v>
      </c>
      <c r="D7331" s="196">
        <v>13.54</v>
      </c>
      <c r="E7331" s="195" t="s">
        <v>595</v>
      </c>
      <c r="F7331" s="195" t="s">
        <v>438</v>
      </c>
    </row>
    <row r="7332" spans="1:6" x14ac:dyDescent="0.25">
      <c r="A7332" s="189" t="str">
        <f t="shared" si="114"/>
        <v>MO-MD 65013.514.85N</v>
      </c>
      <c r="B7332" s="195" t="s">
        <v>3371</v>
      </c>
      <c r="C7332" s="196">
        <v>13.5</v>
      </c>
      <c r="D7332" s="196">
        <v>14.85</v>
      </c>
      <c r="E7332" s="195" t="s">
        <v>589</v>
      </c>
      <c r="F7332" s="195" t="s">
        <v>430</v>
      </c>
    </row>
    <row r="7333" spans="1:6" x14ac:dyDescent="0.25">
      <c r="A7333" s="189" t="str">
        <f t="shared" si="114"/>
        <v>MO-MD 65013.5413.61S</v>
      </c>
      <c r="B7333" s="195" t="s">
        <v>3371</v>
      </c>
      <c r="C7333" s="196">
        <v>13.54</v>
      </c>
      <c r="D7333" s="196">
        <v>13.61</v>
      </c>
      <c r="E7333" s="195" t="s">
        <v>595</v>
      </c>
      <c r="F7333" s="195" t="s">
        <v>438</v>
      </c>
    </row>
    <row r="7334" spans="1:6" x14ac:dyDescent="0.25">
      <c r="A7334" s="189" t="str">
        <f t="shared" si="114"/>
        <v>MO-MD 65013.6114.85S</v>
      </c>
      <c r="B7334" s="195" t="s">
        <v>3371</v>
      </c>
      <c r="C7334" s="196">
        <v>13.61</v>
      </c>
      <c r="D7334" s="196">
        <v>14.85</v>
      </c>
      <c r="E7334" s="195" t="s">
        <v>595</v>
      </c>
      <c r="F7334" s="195" t="s">
        <v>438</v>
      </c>
    </row>
    <row r="7335" spans="1:6" x14ac:dyDescent="0.25">
      <c r="A7335" s="189" t="str">
        <f t="shared" si="114"/>
        <v>MO-MD 65014.8517N</v>
      </c>
      <c r="B7335" s="195" t="s">
        <v>3371</v>
      </c>
      <c r="C7335" s="196">
        <v>14.85</v>
      </c>
      <c r="D7335" s="196">
        <v>17</v>
      </c>
      <c r="E7335" s="195" t="s">
        <v>583</v>
      </c>
      <c r="F7335" s="195" t="s">
        <v>430</v>
      </c>
    </row>
    <row r="7336" spans="1:6" x14ac:dyDescent="0.25">
      <c r="A7336" s="189" t="str">
        <f t="shared" si="114"/>
        <v>MO-MD 65014.8517S</v>
      </c>
      <c r="B7336" s="195" t="s">
        <v>3371</v>
      </c>
      <c r="C7336" s="196">
        <v>14.85</v>
      </c>
      <c r="D7336" s="196">
        <v>17</v>
      </c>
      <c r="E7336" s="195" t="s">
        <v>583</v>
      </c>
      <c r="F7336" s="195" t="s">
        <v>438</v>
      </c>
    </row>
    <row r="7337" spans="1:6" x14ac:dyDescent="0.25">
      <c r="A7337" s="189" t="str">
        <f t="shared" si="114"/>
        <v>MO-MD 6501720.5N</v>
      </c>
      <c r="B7337" s="195" t="s">
        <v>3371</v>
      </c>
      <c r="C7337" s="196">
        <v>17</v>
      </c>
      <c r="D7337" s="196">
        <v>20.5</v>
      </c>
      <c r="E7337" s="195" t="s">
        <v>583</v>
      </c>
      <c r="F7337" s="195" t="s">
        <v>430</v>
      </c>
    </row>
    <row r="7338" spans="1:6" x14ac:dyDescent="0.25">
      <c r="A7338" s="189" t="str">
        <f t="shared" si="114"/>
        <v>MO-MD 6501720.5S</v>
      </c>
      <c r="B7338" s="195" t="s">
        <v>3371</v>
      </c>
      <c r="C7338" s="196">
        <v>17</v>
      </c>
      <c r="D7338" s="196">
        <v>20.5</v>
      </c>
      <c r="E7338" s="195" t="s">
        <v>583</v>
      </c>
      <c r="F7338" s="195" t="s">
        <v>438</v>
      </c>
    </row>
    <row r="7339" spans="1:6" x14ac:dyDescent="0.25">
      <c r="A7339" s="189" t="str">
        <f t="shared" si="114"/>
        <v>MO-MD 65020.525.08N</v>
      </c>
      <c r="B7339" s="195" t="s">
        <v>3371</v>
      </c>
      <c r="C7339" s="196">
        <v>20.5</v>
      </c>
      <c r="D7339" s="196">
        <v>25.08</v>
      </c>
      <c r="E7339" s="195" t="s">
        <v>583</v>
      </c>
      <c r="F7339" s="195" t="s">
        <v>430</v>
      </c>
    </row>
    <row r="7340" spans="1:6" x14ac:dyDescent="0.25">
      <c r="A7340" s="189" t="str">
        <f t="shared" si="114"/>
        <v>MO-MD 65020.525.08S</v>
      </c>
      <c r="B7340" s="195" t="s">
        <v>3371</v>
      </c>
      <c r="C7340" s="196">
        <v>20.5</v>
      </c>
      <c r="D7340" s="196">
        <v>25.08</v>
      </c>
      <c r="E7340" s="195" t="s">
        <v>583</v>
      </c>
      <c r="F7340" s="195" t="s">
        <v>438</v>
      </c>
    </row>
    <row r="7341" spans="1:6" x14ac:dyDescent="0.25">
      <c r="A7341" s="189" t="str">
        <f t="shared" si="114"/>
        <v>MO-MD 65500.55N</v>
      </c>
      <c r="B7341" s="195" t="s">
        <v>3372</v>
      </c>
      <c r="C7341" s="196">
        <v>0</v>
      </c>
      <c r="D7341" s="196">
        <v>0.55000000000000004</v>
      </c>
      <c r="E7341" s="195" t="s">
        <v>589</v>
      </c>
      <c r="F7341" s="195" t="s">
        <v>430</v>
      </c>
    </row>
    <row r="7342" spans="1:6" x14ac:dyDescent="0.25">
      <c r="A7342" s="189" t="str">
        <f t="shared" si="114"/>
        <v>MO-MD 6550.551.86N</v>
      </c>
      <c r="B7342" s="195" t="s">
        <v>3372</v>
      </c>
      <c r="C7342" s="196">
        <v>0.55000000000000004</v>
      </c>
      <c r="D7342" s="196">
        <v>1.86</v>
      </c>
      <c r="E7342" s="195" t="s">
        <v>589</v>
      </c>
      <c r="F7342" s="195" t="s">
        <v>430</v>
      </c>
    </row>
    <row r="7343" spans="1:6" x14ac:dyDescent="0.25">
      <c r="A7343" s="189" t="str">
        <f t="shared" si="114"/>
        <v>MO-MD 6550.561.86S</v>
      </c>
      <c r="B7343" s="195" t="s">
        <v>3372</v>
      </c>
      <c r="C7343" s="196">
        <v>0.56000000000000005</v>
      </c>
      <c r="D7343" s="196">
        <v>1.86</v>
      </c>
      <c r="E7343" s="195" t="s">
        <v>595</v>
      </c>
      <c r="F7343" s="195" t="s">
        <v>438</v>
      </c>
    </row>
    <row r="7344" spans="1:6" x14ac:dyDescent="0.25">
      <c r="A7344" s="189" t="str">
        <f t="shared" si="114"/>
        <v>MO-MD 655A00.21S</v>
      </c>
      <c r="B7344" s="195" t="s">
        <v>3373</v>
      </c>
      <c r="C7344" s="196">
        <v>0</v>
      </c>
      <c r="D7344" s="196">
        <v>0.21</v>
      </c>
      <c r="E7344" s="195" t="s">
        <v>595</v>
      </c>
      <c r="F7344" s="195" t="s">
        <v>438</v>
      </c>
    </row>
    <row r="7345" spans="1:6" x14ac:dyDescent="0.25">
      <c r="A7345" s="189" t="str">
        <f t="shared" si="114"/>
        <v>MO-MD 655A00.49N</v>
      </c>
      <c r="B7345" s="195" t="s">
        <v>3373</v>
      </c>
      <c r="C7345" s="196">
        <v>0</v>
      </c>
      <c r="D7345" s="196">
        <v>0.49</v>
      </c>
      <c r="E7345" s="195" t="s">
        <v>589</v>
      </c>
      <c r="F7345" s="195" t="s">
        <v>430</v>
      </c>
    </row>
    <row r="7346" spans="1:6" x14ac:dyDescent="0.25">
      <c r="A7346" s="189" t="str">
        <f t="shared" si="114"/>
        <v>MO-MD 655A0.210.46S</v>
      </c>
      <c r="B7346" s="195" t="s">
        <v>3373</v>
      </c>
      <c r="C7346" s="196">
        <v>0.21</v>
      </c>
      <c r="D7346" s="196">
        <v>0.46</v>
      </c>
      <c r="E7346" s="195" t="s">
        <v>595</v>
      </c>
      <c r="F7346" s="195" t="s">
        <v>438</v>
      </c>
    </row>
    <row r="7347" spans="1:6" x14ac:dyDescent="0.25">
      <c r="A7347" s="189" t="str">
        <f t="shared" si="114"/>
        <v>MO-MD 655A0.460.49S</v>
      </c>
      <c r="B7347" s="195" t="s">
        <v>3373</v>
      </c>
      <c r="C7347" s="196">
        <v>0.46</v>
      </c>
      <c r="D7347" s="196">
        <v>0.49</v>
      </c>
      <c r="E7347" s="195" t="s">
        <v>595</v>
      </c>
      <c r="F7347" s="195" t="s">
        <v>438</v>
      </c>
    </row>
    <row r="7348" spans="1:6" x14ac:dyDescent="0.25">
      <c r="A7348" s="189" t="str">
        <f t="shared" si="114"/>
        <v>MO-MD 655B00.38E</v>
      </c>
      <c r="B7348" s="195" t="s">
        <v>3374</v>
      </c>
      <c r="C7348" s="196">
        <v>0</v>
      </c>
      <c r="D7348" s="196">
        <v>0.38</v>
      </c>
      <c r="E7348" s="195" t="s">
        <v>598</v>
      </c>
      <c r="F7348" s="195" t="s">
        <v>19</v>
      </c>
    </row>
    <row r="7349" spans="1:6" x14ac:dyDescent="0.25">
      <c r="A7349" s="189" t="str">
        <f t="shared" si="114"/>
        <v>MO-MD 655C00.28E</v>
      </c>
      <c r="B7349" s="195" t="s">
        <v>3375</v>
      </c>
      <c r="C7349" s="196">
        <v>0</v>
      </c>
      <c r="D7349" s="196">
        <v>0.28000000000000003</v>
      </c>
      <c r="E7349" s="195" t="s">
        <v>598</v>
      </c>
      <c r="F7349" s="195" t="s">
        <v>19</v>
      </c>
    </row>
    <row r="7350" spans="1:6" x14ac:dyDescent="0.25">
      <c r="A7350" s="189" t="str">
        <f t="shared" si="114"/>
        <v>MO-MD 655D00.01E</v>
      </c>
      <c r="B7350" s="195" t="s">
        <v>3376</v>
      </c>
      <c r="C7350" s="196">
        <v>0</v>
      </c>
      <c r="D7350" s="196">
        <v>0.01</v>
      </c>
      <c r="E7350" s="195" t="s">
        <v>598</v>
      </c>
      <c r="F7350" s="195" t="s">
        <v>19</v>
      </c>
    </row>
    <row r="7351" spans="1:6" x14ac:dyDescent="0.25">
      <c r="A7351" s="189" t="str">
        <f t="shared" si="114"/>
        <v>MO-MD 655D00.01W</v>
      </c>
      <c r="B7351" s="195" t="s">
        <v>3376</v>
      </c>
      <c r="C7351" s="196">
        <v>0</v>
      </c>
      <c r="D7351" s="196">
        <v>0.01</v>
      </c>
      <c r="E7351" s="195" t="s">
        <v>593</v>
      </c>
      <c r="F7351" s="195" t="s">
        <v>432</v>
      </c>
    </row>
    <row r="7352" spans="1:6" x14ac:dyDescent="0.25">
      <c r="A7352" s="189" t="str">
        <f t="shared" si="114"/>
        <v>MO-MD 655D0.270.29E</v>
      </c>
      <c r="B7352" s="195" t="s">
        <v>3376</v>
      </c>
      <c r="C7352" s="196">
        <v>0.27</v>
      </c>
      <c r="D7352" s="196">
        <v>0.28999999999999998</v>
      </c>
      <c r="E7352" s="195" t="s">
        <v>598</v>
      </c>
      <c r="F7352" s="195" t="s">
        <v>19</v>
      </c>
    </row>
    <row r="7353" spans="1:6" x14ac:dyDescent="0.25">
      <c r="A7353" s="189" t="str">
        <f t="shared" si="114"/>
        <v>MO-MD 655D0.270.29W</v>
      </c>
      <c r="B7353" s="195" t="s">
        <v>3376</v>
      </c>
      <c r="C7353" s="196">
        <v>0.27</v>
      </c>
      <c r="D7353" s="196">
        <v>0.28999999999999998</v>
      </c>
      <c r="E7353" s="195" t="s">
        <v>593</v>
      </c>
      <c r="F7353" s="195" t="s">
        <v>432</v>
      </c>
    </row>
    <row r="7354" spans="1:6" x14ac:dyDescent="0.25">
      <c r="A7354" s="189" t="str">
        <f t="shared" si="114"/>
        <v>MO-MD 655E00.02W</v>
      </c>
      <c r="B7354" s="195" t="s">
        <v>3377</v>
      </c>
      <c r="C7354" s="196">
        <v>0</v>
      </c>
      <c r="D7354" s="196">
        <v>0.02</v>
      </c>
      <c r="E7354" s="195" t="s">
        <v>593</v>
      </c>
      <c r="F7354" s="195" t="s">
        <v>432</v>
      </c>
    </row>
    <row r="7355" spans="1:6" x14ac:dyDescent="0.25">
      <c r="A7355" s="189" t="str">
        <f t="shared" si="114"/>
        <v>MO-MD 655F00.01W</v>
      </c>
      <c r="B7355" s="195" t="s">
        <v>3378</v>
      </c>
      <c r="C7355" s="196">
        <v>0</v>
      </c>
      <c r="D7355" s="196">
        <v>0.01</v>
      </c>
      <c r="E7355" s="195" t="s">
        <v>593</v>
      </c>
      <c r="F7355" s="195" t="s">
        <v>432</v>
      </c>
    </row>
    <row r="7356" spans="1:6" x14ac:dyDescent="0.25">
      <c r="A7356" s="189" t="str">
        <f t="shared" si="114"/>
        <v>MO-MD 655G00.01E</v>
      </c>
      <c r="B7356" s="195" t="s">
        <v>3379</v>
      </c>
      <c r="C7356" s="196">
        <v>0</v>
      </c>
      <c r="D7356" s="196">
        <v>0.01</v>
      </c>
      <c r="E7356" s="195" t="s">
        <v>598</v>
      </c>
      <c r="F7356" s="195" t="s">
        <v>19</v>
      </c>
    </row>
    <row r="7357" spans="1:6" x14ac:dyDescent="0.25">
      <c r="A7357" s="189" t="str">
        <f t="shared" si="114"/>
        <v>MO-MD 655G00.01W</v>
      </c>
      <c r="B7357" s="195" t="s">
        <v>3379</v>
      </c>
      <c r="C7357" s="196">
        <v>0</v>
      </c>
      <c r="D7357" s="196">
        <v>0.01</v>
      </c>
      <c r="E7357" s="195" t="s">
        <v>593</v>
      </c>
      <c r="F7357" s="195" t="s">
        <v>432</v>
      </c>
    </row>
    <row r="7358" spans="1:6" x14ac:dyDescent="0.25">
      <c r="A7358" s="189" t="str">
        <f t="shared" si="114"/>
        <v>MO-MD 655H00.01E</v>
      </c>
      <c r="B7358" s="195" t="s">
        <v>3380</v>
      </c>
      <c r="C7358" s="196">
        <v>0</v>
      </c>
      <c r="D7358" s="196">
        <v>0.01</v>
      </c>
      <c r="E7358" s="195" t="s">
        <v>598</v>
      </c>
      <c r="F7358" s="195" t="s">
        <v>19</v>
      </c>
    </row>
    <row r="7359" spans="1:6" x14ac:dyDescent="0.25">
      <c r="A7359" s="189" t="str">
        <f t="shared" si="114"/>
        <v>MO-MD 655H00.01W</v>
      </c>
      <c r="B7359" s="195" t="s">
        <v>3380</v>
      </c>
      <c r="C7359" s="196">
        <v>0</v>
      </c>
      <c r="D7359" s="196">
        <v>0.01</v>
      </c>
      <c r="E7359" s="195" t="s">
        <v>593</v>
      </c>
      <c r="F7359" s="195" t="s">
        <v>432</v>
      </c>
    </row>
    <row r="7360" spans="1:6" x14ac:dyDescent="0.25">
      <c r="A7360" s="189" t="str">
        <f t="shared" si="114"/>
        <v>MO-MD 66000.05N</v>
      </c>
      <c r="B7360" s="195" t="s">
        <v>3381</v>
      </c>
      <c r="C7360" s="196">
        <v>0</v>
      </c>
      <c r="D7360" s="196">
        <v>0.05</v>
      </c>
      <c r="E7360" s="195" t="s">
        <v>589</v>
      </c>
      <c r="F7360" s="195" t="s">
        <v>430</v>
      </c>
    </row>
    <row r="7361" spans="1:6" x14ac:dyDescent="0.25">
      <c r="A7361" s="189" t="str">
        <f t="shared" si="114"/>
        <v>MO-MD 66000.05S</v>
      </c>
      <c r="B7361" s="195" t="s">
        <v>3381</v>
      </c>
      <c r="C7361" s="196">
        <v>0</v>
      </c>
      <c r="D7361" s="196">
        <v>0.05</v>
      </c>
      <c r="E7361" s="195" t="s">
        <v>595</v>
      </c>
      <c r="F7361" s="195" t="s">
        <v>438</v>
      </c>
    </row>
    <row r="7362" spans="1:6" x14ac:dyDescent="0.25">
      <c r="A7362" s="189" t="str">
        <f t="shared" si="114"/>
        <v>MO-MD 8001.42E</v>
      </c>
      <c r="B7362" s="195" t="s">
        <v>3382</v>
      </c>
      <c r="C7362" s="196">
        <v>0</v>
      </c>
      <c r="D7362" s="196">
        <v>1.42</v>
      </c>
      <c r="E7362" s="195" t="s">
        <v>583</v>
      </c>
      <c r="F7362" s="195" t="s">
        <v>19</v>
      </c>
    </row>
    <row r="7363" spans="1:6" x14ac:dyDescent="0.25">
      <c r="A7363" s="189" t="str">
        <f t="shared" ref="A7363:A7426" si="115">B7363&amp;C7363&amp;D7363&amp;F7363</f>
        <v>MO-MD 8001.42W</v>
      </c>
      <c r="B7363" s="195" t="s">
        <v>3382</v>
      </c>
      <c r="C7363" s="196">
        <v>0</v>
      </c>
      <c r="D7363" s="196">
        <v>1.42</v>
      </c>
      <c r="E7363" s="195" t="s">
        <v>583</v>
      </c>
      <c r="F7363" s="195" t="s">
        <v>432</v>
      </c>
    </row>
    <row r="7364" spans="1:6" x14ac:dyDescent="0.25">
      <c r="A7364" s="189" t="str">
        <f t="shared" si="115"/>
        <v>MO-MD 89900.09E</v>
      </c>
      <c r="B7364" s="195" t="s">
        <v>3383</v>
      </c>
      <c r="C7364" s="196">
        <v>0</v>
      </c>
      <c r="D7364" s="196">
        <v>0.09</v>
      </c>
      <c r="E7364" s="195" t="s">
        <v>598</v>
      </c>
      <c r="F7364" s="195" t="s">
        <v>19</v>
      </c>
    </row>
    <row r="7365" spans="1:6" x14ac:dyDescent="0.25">
      <c r="A7365" s="189" t="str">
        <f t="shared" si="115"/>
        <v>MO-MD 89900.17W</v>
      </c>
      <c r="B7365" s="195" t="s">
        <v>3383</v>
      </c>
      <c r="C7365" s="196">
        <v>0</v>
      </c>
      <c r="D7365" s="196">
        <v>0.17</v>
      </c>
      <c r="E7365" s="195" t="s">
        <v>593</v>
      </c>
      <c r="F7365" s="195" t="s">
        <v>432</v>
      </c>
    </row>
    <row r="7366" spans="1:6" x14ac:dyDescent="0.25">
      <c r="A7366" s="189" t="str">
        <f t="shared" si="115"/>
        <v>MO-MD 899A00.09E</v>
      </c>
      <c r="B7366" s="195" t="s">
        <v>3384</v>
      </c>
      <c r="C7366" s="196">
        <v>0</v>
      </c>
      <c r="D7366" s="196">
        <v>0.09</v>
      </c>
      <c r="E7366" s="195" t="s">
        <v>598</v>
      </c>
      <c r="F7366" s="195" t="s">
        <v>19</v>
      </c>
    </row>
    <row r="7367" spans="1:6" x14ac:dyDescent="0.25">
      <c r="A7367" s="189" t="str">
        <f t="shared" si="115"/>
        <v>MO-MD 899A00.09W</v>
      </c>
      <c r="B7367" s="195" t="s">
        <v>3384</v>
      </c>
      <c r="C7367" s="196">
        <v>0</v>
      </c>
      <c r="D7367" s="196">
        <v>0.09</v>
      </c>
      <c r="E7367" s="195" t="s">
        <v>593</v>
      </c>
      <c r="F7367" s="195" t="s">
        <v>432</v>
      </c>
    </row>
    <row r="7368" spans="1:6" x14ac:dyDescent="0.25">
      <c r="A7368" s="189" t="str">
        <f t="shared" si="115"/>
        <v>MO-MD 92800.19N</v>
      </c>
      <c r="B7368" s="195" t="s">
        <v>3385</v>
      </c>
      <c r="C7368" s="196">
        <v>0</v>
      </c>
      <c r="D7368" s="196">
        <v>0.19</v>
      </c>
      <c r="E7368" s="195" t="s">
        <v>589</v>
      </c>
      <c r="F7368" s="195" t="s">
        <v>430</v>
      </c>
    </row>
    <row r="7369" spans="1:6" x14ac:dyDescent="0.25">
      <c r="A7369" s="189" t="str">
        <f t="shared" si="115"/>
        <v>MO-MD 92800.19S</v>
      </c>
      <c r="B7369" s="195" t="s">
        <v>3385</v>
      </c>
      <c r="C7369" s="196">
        <v>0</v>
      </c>
      <c r="D7369" s="196">
        <v>0.19</v>
      </c>
      <c r="E7369" s="195" t="s">
        <v>595</v>
      </c>
      <c r="F7369" s="195" t="s">
        <v>438</v>
      </c>
    </row>
    <row r="7370" spans="1:6" x14ac:dyDescent="0.25">
      <c r="A7370" s="189" t="str">
        <f t="shared" si="115"/>
        <v>MO-MD 928C00.04N</v>
      </c>
      <c r="B7370" s="195" t="s">
        <v>3386</v>
      </c>
      <c r="C7370" s="196">
        <v>0</v>
      </c>
      <c r="D7370" s="196">
        <v>0.04</v>
      </c>
      <c r="E7370" s="195" t="s">
        <v>589</v>
      </c>
      <c r="F7370" s="195" t="s">
        <v>430</v>
      </c>
    </row>
    <row r="7371" spans="1:6" x14ac:dyDescent="0.25">
      <c r="A7371" s="189" t="str">
        <f t="shared" si="115"/>
        <v>MO-MD 928C00.04S</v>
      </c>
      <c r="B7371" s="195" t="s">
        <v>3386</v>
      </c>
      <c r="C7371" s="196">
        <v>0</v>
      </c>
      <c r="D7371" s="196">
        <v>0.04</v>
      </c>
      <c r="E7371" s="195" t="s">
        <v>595</v>
      </c>
      <c r="F7371" s="195" t="s">
        <v>438</v>
      </c>
    </row>
    <row r="7372" spans="1:6" x14ac:dyDescent="0.25">
      <c r="A7372" s="189" t="str">
        <f t="shared" si="115"/>
        <v>MO-MD 929A2.192.25E</v>
      </c>
      <c r="B7372" s="195" t="s">
        <v>4509</v>
      </c>
      <c r="C7372" s="196">
        <v>2.19</v>
      </c>
      <c r="D7372" s="196">
        <v>2.25</v>
      </c>
      <c r="E7372" s="195" t="s">
        <v>598</v>
      </c>
      <c r="F7372" s="195" t="s">
        <v>19</v>
      </c>
    </row>
    <row r="7373" spans="1:6" x14ac:dyDescent="0.25">
      <c r="A7373" s="189" t="str">
        <f t="shared" si="115"/>
        <v>MO-MD 929C0.560.74N</v>
      </c>
      <c r="B7373" s="195" t="s">
        <v>3387</v>
      </c>
      <c r="C7373" s="196">
        <v>0.56000000000000005</v>
      </c>
      <c r="D7373" s="196">
        <v>0.74</v>
      </c>
      <c r="E7373" s="195" t="s">
        <v>589</v>
      </c>
      <c r="F7373" s="195" t="s">
        <v>430</v>
      </c>
    </row>
    <row r="7374" spans="1:6" x14ac:dyDescent="0.25">
      <c r="A7374" s="189" t="str">
        <f t="shared" si="115"/>
        <v>MO-MD 929C0.560.74S</v>
      </c>
      <c r="B7374" s="195" t="s">
        <v>3387</v>
      </c>
      <c r="C7374" s="196">
        <v>0.56000000000000005</v>
      </c>
      <c r="D7374" s="196">
        <v>0.74</v>
      </c>
      <c r="E7374" s="195" t="s">
        <v>595</v>
      </c>
      <c r="F7374" s="195" t="s">
        <v>438</v>
      </c>
    </row>
    <row r="7375" spans="1:6" x14ac:dyDescent="0.25">
      <c r="A7375" s="189" t="str">
        <f t="shared" si="115"/>
        <v>MO-MD 929D00.04N</v>
      </c>
      <c r="B7375" s="195" t="s">
        <v>3388</v>
      </c>
      <c r="C7375" s="196">
        <v>0</v>
      </c>
      <c r="D7375" s="196">
        <v>0.04</v>
      </c>
      <c r="E7375" s="195" t="s">
        <v>589</v>
      </c>
      <c r="F7375" s="195" t="s">
        <v>430</v>
      </c>
    </row>
    <row r="7376" spans="1:6" x14ac:dyDescent="0.25">
      <c r="A7376" s="189" t="str">
        <f t="shared" si="115"/>
        <v>MO-MD 929D00.04S</v>
      </c>
      <c r="B7376" s="195" t="s">
        <v>3388</v>
      </c>
      <c r="C7376" s="196">
        <v>0</v>
      </c>
      <c r="D7376" s="196">
        <v>0.04</v>
      </c>
      <c r="E7376" s="195" t="s">
        <v>595</v>
      </c>
      <c r="F7376" s="195" t="s">
        <v>438</v>
      </c>
    </row>
    <row r="7377" spans="1:6" x14ac:dyDescent="0.25">
      <c r="A7377" s="189" t="str">
        <f t="shared" si="115"/>
        <v>MO-MD 929D0.040.05N</v>
      </c>
      <c r="B7377" s="195" t="s">
        <v>3388</v>
      </c>
      <c r="C7377" s="196">
        <v>0.04</v>
      </c>
      <c r="D7377" s="196">
        <v>0.05</v>
      </c>
      <c r="E7377" s="195" t="s">
        <v>589</v>
      </c>
      <c r="F7377" s="195" t="s">
        <v>430</v>
      </c>
    </row>
    <row r="7378" spans="1:6" x14ac:dyDescent="0.25">
      <c r="A7378" s="189" t="str">
        <f t="shared" si="115"/>
        <v>MO-MD 929D0.040.05S</v>
      </c>
      <c r="B7378" s="195" t="s">
        <v>3388</v>
      </c>
      <c r="C7378" s="196">
        <v>0.04</v>
      </c>
      <c r="D7378" s="196">
        <v>0.05</v>
      </c>
      <c r="E7378" s="195" t="s">
        <v>595</v>
      </c>
      <c r="F7378" s="195" t="s">
        <v>438</v>
      </c>
    </row>
    <row r="7379" spans="1:6" x14ac:dyDescent="0.25">
      <c r="A7379" s="189" t="str">
        <f t="shared" si="115"/>
        <v>MO-MD 929E1.051.08N</v>
      </c>
      <c r="B7379" s="195" t="s">
        <v>3389</v>
      </c>
      <c r="C7379" s="196">
        <v>1.05</v>
      </c>
      <c r="D7379" s="196">
        <v>1.08</v>
      </c>
      <c r="E7379" s="195" t="s">
        <v>589</v>
      </c>
      <c r="F7379" s="195" t="s">
        <v>430</v>
      </c>
    </row>
    <row r="7380" spans="1:6" x14ac:dyDescent="0.25">
      <c r="A7380" s="189" t="str">
        <f t="shared" si="115"/>
        <v>MO-MD 929E1.051.08S</v>
      </c>
      <c r="B7380" s="195" t="s">
        <v>3389</v>
      </c>
      <c r="C7380" s="196">
        <v>1.05</v>
      </c>
      <c r="D7380" s="196">
        <v>1.08</v>
      </c>
      <c r="E7380" s="195" t="s">
        <v>595</v>
      </c>
      <c r="F7380" s="195" t="s">
        <v>438</v>
      </c>
    </row>
    <row r="7381" spans="1:6" x14ac:dyDescent="0.25">
      <c r="A7381" s="189" t="str">
        <f t="shared" si="115"/>
        <v>MO-MD 929E1.081.09N</v>
      </c>
      <c r="B7381" s="195" t="s">
        <v>3389</v>
      </c>
      <c r="C7381" s="196">
        <v>1.08</v>
      </c>
      <c r="D7381" s="196">
        <v>1.0900000000000001</v>
      </c>
      <c r="E7381" s="195" t="s">
        <v>589</v>
      </c>
      <c r="F7381" s="195" t="s">
        <v>430</v>
      </c>
    </row>
    <row r="7382" spans="1:6" x14ac:dyDescent="0.25">
      <c r="A7382" s="189" t="str">
        <f t="shared" si="115"/>
        <v>MO-MD 929E1.081.09S</v>
      </c>
      <c r="B7382" s="195" t="s">
        <v>3389</v>
      </c>
      <c r="C7382" s="196">
        <v>1.08</v>
      </c>
      <c r="D7382" s="196">
        <v>1.0900000000000001</v>
      </c>
      <c r="E7382" s="195" t="s">
        <v>595</v>
      </c>
      <c r="F7382" s="195" t="s">
        <v>438</v>
      </c>
    </row>
    <row r="7383" spans="1:6" x14ac:dyDescent="0.25">
      <c r="A7383" s="189" t="str">
        <f t="shared" si="115"/>
        <v>MO-MD 970.911.61N</v>
      </c>
      <c r="B7383" s="195" t="s">
        <v>3390</v>
      </c>
      <c r="C7383" s="196">
        <v>0.91</v>
      </c>
      <c r="D7383" s="196">
        <v>1.61</v>
      </c>
      <c r="E7383" s="195" t="s">
        <v>583</v>
      </c>
      <c r="F7383" s="195" t="s">
        <v>430</v>
      </c>
    </row>
    <row r="7384" spans="1:6" x14ac:dyDescent="0.25">
      <c r="A7384" s="189" t="str">
        <f t="shared" si="115"/>
        <v>MO-MD 970.911.61S</v>
      </c>
      <c r="B7384" s="195" t="s">
        <v>3390</v>
      </c>
      <c r="C7384" s="196">
        <v>0.91</v>
      </c>
      <c r="D7384" s="196">
        <v>1.61</v>
      </c>
      <c r="E7384" s="195" t="s">
        <v>583</v>
      </c>
      <c r="F7384" s="195" t="s">
        <v>438</v>
      </c>
    </row>
    <row r="7385" spans="1:6" x14ac:dyDescent="0.25">
      <c r="A7385" s="189" t="str">
        <f t="shared" si="115"/>
        <v>MO-MD 9712.212.34N</v>
      </c>
      <c r="B7385" s="195" t="s">
        <v>3390</v>
      </c>
      <c r="C7385" s="196">
        <v>12.2</v>
      </c>
      <c r="D7385" s="196">
        <v>12.34</v>
      </c>
      <c r="E7385" s="195" t="s">
        <v>583</v>
      </c>
      <c r="F7385" s="195" t="s">
        <v>430</v>
      </c>
    </row>
    <row r="7386" spans="1:6" x14ac:dyDescent="0.25">
      <c r="A7386" s="189" t="str">
        <f t="shared" si="115"/>
        <v>MO-MD 9712.212.34S</v>
      </c>
      <c r="B7386" s="195" t="s">
        <v>3390</v>
      </c>
      <c r="C7386" s="196">
        <v>12.2</v>
      </c>
      <c r="D7386" s="196">
        <v>12.34</v>
      </c>
      <c r="E7386" s="195" t="s">
        <v>583</v>
      </c>
      <c r="F7386" s="195" t="s">
        <v>438</v>
      </c>
    </row>
    <row r="7387" spans="1:6" x14ac:dyDescent="0.25">
      <c r="A7387" s="189" t="str">
        <f t="shared" si="115"/>
        <v>MO-MD 9712.3412.9N</v>
      </c>
      <c r="B7387" s="195" t="s">
        <v>3390</v>
      </c>
      <c r="C7387" s="196">
        <v>12.34</v>
      </c>
      <c r="D7387" s="196">
        <v>12.9</v>
      </c>
      <c r="E7387" s="195" t="s">
        <v>583</v>
      </c>
      <c r="F7387" s="195" t="s">
        <v>430</v>
      </c>
    </row>
    <row r="7388" spans="1:6" x14ac:dyDescent="0.25">
      <c r="A7388" s="189" t="str">
        <f t="shared" si="115"/>
        <v>MO-MD 9712.3412.9S</v>
      </c>
      <c r="B7388" s="195" t="s">
        <v>3390</v>
      </c>
      <c r="C7388" s="196">
        <v>12.34</v>
      </c>
      <c r="D7388" s="196">
        <v>12.9</v>
      </c>
      <c r="E7388" s="195" t="s">
        <v>583</v>
      </c>
      <c r="F7388" s="195" t="s">
        <v>438</v>
      </c>
    </row>
    <row r="7389" spans="1:6" x14ac:dyDescent="0.25">
      <c r="A7389" s="189" t="str">
        <f t="shared" si="115"/>
        <v>MO-MD 9712.914.08N</v>
      </c>
      <c r="B7389" s="195" t="s">
        <v>3390</v>
      </c>
      <c r="C7389" s="196">
        <v>12.9</v>
      </c>
      <c r="D7389" s="196">
        <v>14.08</v>
      </c>
      <c r="E7389" s="195" t="s">
        <v>583</v>
      </c>
      <c r="F7389" s="195" t="s">
        <v>430</v>
      </c>
    </row>
    <row r="7390" spans="1:6" x14ac:dyDescent="0.25">
      <c r="A7390" s="189" t="str">
        <f t="shared" si="115"/>
        <v>MO-MD 9712.914.08S</v>
      </c>
      <c r="B7390" s="195" t="s">
        <v>3390</v>
      </c>
      <c r="C7390" s="196">
        <v>12.9</v>
      </c>
      <c r="D7390" s="196">
        <v>14.08</v>
      </c>
      <c r="E7390" s="195" t="s">
        <v>583</v>
      </c>
      <c r="F7390" s="195" t="s">
        <v>438</v>
      </c>
    </row>
    <row r="7391" spans="1:6" x14ac:dyDescent="0.25">
      <c r="A7391" s="189" t="str">
        <f t="shared" si="115"/>
        <v>MO-MD 9714.0814.63N</v>
      </c>
      <c r="B7391" s="195" t="s">
        <v>3390</v>
      </c>
      <c r="C7391" s="196">
        <v>14.08</v>
      </c>
      <c r="D7391" s="196">
        <v>14.63</v>
      </c>
      <c r="E7391" s="195" t="s">
        <v>589</v>
      </c>
      <c r="F7391" s="195" t="s">
        <v>430</v>
      </c>
    </row>
    <row r="7392" spans="1:6" x14ac:dyDescent="0.25">
      <c r="A7392" s="189" t="str">
        <f t="shared" si="115"/>
        <v>MO-MD 9714.0818.05S</v>
      </c>
      <c r="B7392" s="195" t="s">
        <v>3390</v>
      </c>
      <c r="C7392" s="196">
        <v>14.08</v>
      </c>
      <c r="D7392" s="196">
        <v>18.05</v>
      </c>
      <c r="E7392" s="195" t="s">
        <v>595</v>
      </c>
      <c r="F7392" s="195" t="s">
        <v>438</v>
      </c>
    </row>
    <row r="7393" spans="1:6" x14ac:dyDescent="0.25">
      <c r="A7393" s="189" t="str">
        <f t="shared" si="115"/>
        <v>MO-MD 9714.8918.05N</v>
      </c>
      <c r="B7393" s="195" t="s">
        <v>3390</v>
      </c>
      <c r="C7393" s="196">
        <v>14.89</v>
      </c>
      <c r="D7393" s="196">
        <v>18.05</v>
      </c>
      <c r="E7393" s="195" t="s">
        <v>589</v>
      </c>
      <c r="F7393" s="195" t="s">
        <v>430</v>
      </c>
    </row>
    <row r="7394" spans="1:6" x14ac:dyDescent="0.25">
      <c r="A7394" s="189" t="str">
        <f t="shared" si="115"/>
        <v>MO-MD 9718.0518.22N</v>
      </c>
      <c r="B7394" s="195" t="s">
        <v>3390</v>
      </c>
      <c r="C7394" s="196">
        <v>18.05</v>
      </c>
      <c r="D7394" s="196">
        <v>18.22</v>
      </c>
      <c r="E7394" s="195" t="s">
        <v>583</v>
      </c>
      <c r="F7394" s="195" t="s">
        <v>430</v>
      </c>
    </row>
    <row r="7395" spans="1:6" x14ac:dyDescent="0.25">
      <c r="A7395" s="189" t="str">
        <f t="shared" si="115"/>
        <v>MO-MD 9718.0518.22S</v>
      </c>
      <c r="B7395" s="195" t="s">
        <v>3390</v>
      </c>
      <c r="C7395" s="196">
        <v>18.05</v>
      </c>
      <c r="D7395" s="196">
        <v>18.22</v>
      </c>
      <c r="E7395" s="195" t="s">
        <v>583</v>
      </c>
      <c r="F7395" s="195" t="s">
        <v>438</v>
      </c>
    </row>
    <row r="7396" spans="1:6" x14ac:dyDescent="0.25">
      <c r="A7396" s="189" t="str">
        <f t="shared" si="115"/>
        <v>MO-MD 97A00.32N</v>
      </c>
      <c r="B7396" s="195" t="s">
        <v>3391</v>
      </c>
      <c r="C7396" s="196">
        <v>0</v>
      </c>
      <c r="D7396" s="196">
        <v>0.32</v>
      </c>
      <c r="E7396" s="195" t="s">
        <v>589</v>
      </c>
      <c r="F7396" s="195" t="s">
        <v>430</v>
      </c>
    </row>
    <row r="7397" spans="1:6" x14ac:dyDescent="0.25">
      <c r="A7397" s="189" t="str">
        <f t="shared" si="115"/>
        <v>MO-MD 97A00.32S</v>
      </c>
      <c r="B7397" s="195" t="s">
        <v>3391</v>
      </c>
      <c r="C7397" s="196">
        <v>0</v>
      </c>
      <c r="D7397" s="196">
        <v>0.32</v>
      </c>
      <c r="E7397" s="195" t="s">
        <v>595</v>
      </c>
      <c r="F7397" s="195" t="s">
        <v>438</v>
      </c>
    </row>
    <row r="7398" spans="1:6" x14ac:dyDescent="0.25">
      <c r="A7398" s="189" t="str">
        <f t="shared" si="115"/>
        <v>MO-MD 998A00.08E</v>
      </c>
      <c r="B7398" s="195" t="s">
        <v>3392</v>
      </c>
      <c r="C7398" s="196">
        <v>0</v>
      </c>
      <c r="D7398" s="196">
        <v>0.08</v>
      </c>
      <c r="E7398" s="195" t="s">
        <v>598</v>
      </c>
      <c r="F7398" s="195" t="s">
        <v>19</v>
      </c>
    </row>
    <row r="7399" spans="1:6" x14ac:dyDescent="0.25">
      <c r="A7399" s="189" t="str">
        <f t="shared" si="115"/>
        <v>MO-MD 998A00.08W</v>
      </c>
      <c r="B7399" s="195" t="s">
        <v>3392</v>
      </c>
      <c r="C7399" s="196">
        <v>0</v>
      </c>
      <c r="D7399" s="196">
        <v>0.08</v>
      </c>
      <c r="E7399" s="195" t="s">
        <v>593</v>
      </c>
      <c r="F7399" s="195" t="s">
        <v>432</v>
      </c>
    </row>
    <row r="7400" spans="1:6" x14ac:dyDescent="0.25">
      <c r="A7400" s="189" t="str">
        <f t="shared" si="115"/>
        <v>MO-US 290.81.75N</v>
      </c>
      <c r="B7400" s="195" t="s">
        <v>461</v>
      </c>
      <c r="C7400" s="196">
        <v>0.8</v>
      </c>
      <c r="D7400" s="196">
        <v>1.75</v>
      </c>
      <c r="E7400" s="195" t="s">
        <v>583</v>
      </c>
      <c r="F7400" s="195" t="s">
        <v>430</v>
      </c>
    </row>
    <row r="7401" spans="1:6" x14ac:dyDescent="0.25">
      <c r="A7401" s="189" t="str">
        <f t="shared" si="115"/>
        <v>MO-US 290.81.75S</v>
      </c>
      <c r="B7401" s="195" t="s">
        <v>461</v>
      </c>
      <c r="C7401" s="196">
        <v>0.8</v>
      </c>
      <c r="D7401" s="196">
        <v>1.75</v>
      </c>
      <c r="E7401" s="195" t="s">
        <v>583</v>
      </c>
      <c r="F7401" s="195" t="s">
        <v>438</v>
      </c>
    </row>
    <row r="7402" spans="1:6" x14ac:dyDescent="0.25">
      <c r="A7402" s="189" t="str">
        <f t="shared" si="115"/>
        <v>MO-US 29 RP1-11A00.03N</v>
      </c>
      <c r="B7402" s="195" t="s">
        <v>3393</v>
      </c>
      <c r="C7402" s="196">
        <v>0</v>
      </c>
      <c r="D7402" s="196">
        <v>0.03</v>
      </c>
      <c r="E7402" s="195" t="s">
        <v>589</v>
      </c>
      <c r="F7402" s="195" t="s">
        <v>430</v>
      </c>
    </row>
    <row r="7403" spans="1:6" x14ac:dyDescent="0.25">
      <c r="A7403" s="189" t="str">
        <f t="shared" si="115"/>
        <v>MO-US 29 RP1-300.04N</v>
      </c>
      <c r="B7403" s="195" t="s">
        <v>3394</v>
      </c>
      <c r="C7403" s="196">
        <v>0</v>
      </c>
      <c r="D7403" s="196">
        <v>0.04</v>
      </c>
      <c r="E7403" s="195" t="s">
        <v>589</v>
      </c>
      <c r="F7403" s="195" t="s">
        <v>430</v>
      </c>
    </row>
    <row r="7404" spans="1:6" x14ac:dyDescent="0.25">
      <c r="A7404" s="189" t="str">
        <f t="shared" si="115"/>
        <v>MO-US 29 RP1-700.03N</v>
      </c>
      <c r="B7404" s="195" t="s">
        <v>3395</v>
      </c>
      <c r="C7404" s="196">
        <v>0</v>
      </c>
      <c r="D7404" s="196">
        <v>0.03</v>
      </c>
      <c r="E7404" s="195" t="s">
        <v>589</v>
      </c>
      <c r="F7404" s="195" t="s">
        <v>430</v>
      </c>
    </row>
    <row r="7405" spans="1:6" x14ac:dyDescent="0.25">
      <c r="A7405" s="189" t="str">
        <f t="shared" si="115"/>
        <v>MO-US 29 RP2-11A00.28W</v>
      </c>
      <c r="B7405" s="195" t="s">
        <v>3396</v>
      </c>
      <c r="C7405" s="196">
        <v>0</v>
      </c>
      <c r="D7405" s="196">
        <v>0.28000000000000003</v>
      </c>
      <c r="E7405" s="195" t="s">
        <v>593</v>
      </c>
      <c r="F7405" s="195" t="s">
        <v>432</v>
      </c>
    </row>
    <row r="7406" spans="1:6" x14ac:dyDescent="0.25">
      <c r="A7406" s="189" t="str">
        <f t="shared" si="115"/>
        <v>MO-US 29 RP2-11B00.23N</v>
      </c>
      <c r="B7406" s="195" t="s">
        <v>3397</v>
      </c>
      <c r="C7406" s="196">
        <v>0</v>
      </c>
      <c r="D7406" s="196">
        <v>0.23</v>
      </c>
      <c r="E7406" s="195" t="s">
        <v>589</v>
      </c>
      <c r="F7406" s="195" t="s">
        <v>430</v>
      </c>
    </row>
    <row r="7407" spans="1:6" x14ac:dyDescent="0.25">
      <c r="A7407" s="189" t="str">
        <f t="shared" si="115"/>
        <v>MO-US 29 RP2-300.17W</v>
      </c>
      <c r="B7407" s="195" t="s">
        <v>3398</v>
      </c>
      <c r="C7407" s="196">
        <v>0</v>
      </c>
      <c r="D7407" s="196">
        <v>0.17</v>
      </c>
      <c r="E7407" s="195" t="s">
        <v>593</v>
      </c>
      <c r="F7407" s="195" t="s">
        <v>432</v>
      </c>
    </row>
    <row r="7408" spans="1:6" x14ac:dyDescent="0.25">
      <c r="A7408" s="189" t="str">
        <f t="shared" si="115"/>
        <v>MO-US 29 RP2-700.16N</v>
      </c>
      <c r="B7408" s="195" t="s">
        <v>3399</v>
      </c>
      <c r="C7408" s="196">
        <v>0</v>
      </c>
      <c r="D7408" s="196">
        <v>0.16</v>
      </c>
      <c r="E7408" s="195" t="s">
        <v>589</v>
      </c>
      <c r="F7408" s="195" t="s">
        <v>430</v>
      </c>
    </row>
    <row r="7409" spans="1:6" x14ac:dyDescent="0.25">
      <c r="A7409" s="189" t="str">
        <f t="shared" si="115"/>
        <v>MO-US 29 RP2-800.23N</v>
      </c>
      <c r="B7409" s="195" t="s">
        <v>3400</v>
      </c>
      <c r="C7409" s="196">
        <v>0</v>
      </c>
      <c r="D7409" s="196">
        <v>0.23</v>
      </c>
      <c r="E7409" s="195" t="s">
        <v>589</v>
      </c>
      <c r="F7409" s="195" t="s">
        <v>430</v>
      </c>
    </row>
    <row r="7410" spans="1:6" x14ac:dyDescent="0.25">
      <c r="A7410" s="189" t="str">
        <f t="shared" si="115"/>
        <v>MO-US 29 RP3-11A00.03N</v>
      </c>
      <c r="B7410" s="195" t="s">
        <v>3401</v>
      </c>
      <c r="C7410" s="196">
        <v>0</v>
      </c>
      <c r="D7410" s="196">
        <v>0.03</v>
      </c>
      <c r="E7410" s="195" t="s">
        <v>589</v>
      </c>
      <c r="F7410" s="195" t="s">
        <v>430</v>
      </c>
    </row>
    <row r="7411" spans="1:6" x14ac:dyDescent="0.25">
      <c r="A7411" s="189" t="str">
        <f t="shared" si="115"/>
        <v>MO-US 29 RP3-300.18E</v>
      </c>
      <c r="B7411" s="195" t="s">
        <v>3402</v>
      </c>
      <c r="C7411" s="196">
        <v>0</v>
      </c>
      <c r="D7411" s="196">
        <v>0.18</v>
      </c>
      <c r="E7411" s="195" t="s">
        <v>598</v>
      </c>
      <c r="F7411" s="195" t="s">
        <v>19</v>
      </c>
    </row>
    <row r="7412" spans="1:6" x14ac:dyDescent="0.25">
      <c r="A7412" s="189" t="str">
        <f t="shared" si="115"/>
        <v>MO-US 29 RP3-700.01N</v>
      </c>
      <c r="B7412" s="195" t="s">
        <v>3403</v>
      </c>
      <c r="C7412" s="196">
        <v>0</v>
      </c>
      <c r="D7412" s="196">
        <v>0.01</v>
      </c>
      <c r="E7412" s="195" t="s">
        <v>589</v>
      </c>
      <c r="F7412" s="195" t="s">
        <v>430</v>
      </c>
    </row>
    <row r="7413" spans="1:6" x14ac:dyDescent="0.25">
      <c r="A7413" s="189" t="str">
        <f t="shared" si="115"/>
        <v>MO-US 29 RP4-10B00.18N</v>
      </c>
      <c r="B7413" s="195" t="s">
        <v>3404</v>
      </c>
      <c r="C7413" s="196">
        <v>0</v>
      </c>
      <c r="D7413" s="196">
        <v>0.18</v>
      </c>
      <c r="E7413" s="195" t="s">
        <v>589</v>
      </c>
      <c r="F7413" s="195" t="s">
        <v>430</v>
      </c>
    </row>
    <row r="7414" spans="1:6" x14ac:dyDescent="0.25">
      <c r="A7414" s="189" t="str">
        <f t="shared" si="115"/>
        <v>MO-US 29 RP4-11A00.23E</v>
      </c>
      <c r="B7414" s="195" t="s">
        <v>3405</v>
      </c>
      <c r="C7414" s="196">
        <v>0</v>
      </c>
      <c r="D7414" s="196">
        <v>0.23</v>
      </c>
      <c r="E7414" s="195" t="s">
        <v>598</v>
      </c>
      <c r="F7414" s="195" t="s">
        <v>19</v>
      </c>
    </row>
    <row r="7415" spans="1:6" x14ac:dyDescent="0.25">
      <c r="A7415" s="189" t="str">
        <f t="shared" si="115"/>
        <v>MO-US 29 RP4-300.26N</v>
      </c>
      <c r="B7415" s="195" t="s">
        <v>3406</v>
      </c>
      <c r="C7415" s="196">
        <v>0</v>
      </c>
      <c r="D7415" s="196">
        <v>0.26</v>
      </c>
      <c r="E7415" s="195" t="s">
        <v>589</v>
      </c>
      <c r="F7415" s="195" t="s">
        <v>430</v>
      </c>
    </row>
    <row r="7416" spans="1:6" x14ac:dyDescent="0.25">
      <c r="A7416" s="189" t="str">
        <f t="shared" si="115"/>
        <v>MO-US 29 RP4-700.2N</v>
      </c>
      <c r="B7416" s="195" t="s">
        <v>3407</v>
      </c>
      <c r="C7416" s="196">
        <v>0</v>
      </c>
      <c r="D7416" s="196">
        <v>0.2</v>
      </c>
      <c r="E7416" s="195" t="s">
        <v>589</v>
      </c>
      <c r="F7416" s="195" t="s">
        <v>430</v>
      </c>
    </row>
    <row r="7417" spans="1:6" x14ac:dyDescent="0.25">
      <c r="A7417" s="189" t="str">
        <f t="shared" si="115"/>
        <v>MO-US 29 RP5-10B00.24S</v>
      </c>
      <c r="B7417" s="195" t="s">
        <v>3408</v>
      </c>
      <c r="C7417" s="196">
        <v>0</v>
      </c>
      <c r="D7417" s="196">
        <v>0.24</v>
      </c>
      <c r="E7417" s="195" t="s">
        <v>595</v>
      </c>
      <c r="F7417" s="195" t="s">
        <v>438</v>
      </c>
    </row>
    <row r="7418" spans="1:6" x14ac:dyDescent="0.25">
      <c r="A7418" s="189" t="str">
        <f t="shared" si="115"/>
        <v>MO-US 29 RP5-300.13S</v>
      </c>
      <c r="B7418" s="195" t="s">
        <v>3409</v>
      </c>
      <c r="C7418" s="196">
        <v>0</v>
      </c>
      <c r="D7418" s="196">
        <v>0.13</v>
      </c>
      <c r="E7418" s="195" t="s">
        <v>595</v>
      </c>
      <c r="F7418" s="195" t="s">
        <v>438</v>
      </c>
    </row>
    <row r="7419" spans="1:6" x14ac:dyDescent="0.25">
      <c r="A7419" s="189" t="str">
        <f t="shared" si="115"/>
        <v>MO-US 29 RP5-700.03S</v>
      </c>
      <c r="B7419" s="195" t="s">
        <v>3410</v>
      </c>
      <c r="C7419" s="196">
        <v>0</v>
      </c>
      <c r="D7419" s="196">
        <v>0.03</v>
      </c>
      <c r="E7419" s="195" t="s">
        <v>595</v>
      </c>
      <c r="F7419" s="195" t="s">
        <v>438</v>
      </c>
    </row>
    <row r="7420" spans="1:6" x14ac:dyDescent="0.25">
      <c r="A7420" s="189" t="str">
        <f t="shared" si="115"/>
        <v>MO-US 29 RP5-800.23S</v>
      </c>
      <c r="B7420" s="195" t="s">
        <v>3411</v>
      </c>
      <c r="C7420" s="196">
        <v>0</v>
      </c>
      <c r="D7420" s="196">
        <v>0.23</v>
      </c>
      <c r="E7420" s="195" t="s">
        <v>595</v>
      </c>
      <c r="F7420" s="195" t="s">
        <v>438</v>
      </c>
    </row>
    <row r="7421" spans="1:6" x14ac:dyDescent="0.25">
      <c r="A7421" s="189" t="str">
        <f t="shared" si="115"/>
        <v>MO-US 29 RP6-11A00.35S</v>
      </c>
      <c r="B7421" s="195" t="s">
        <v>3412</v>
      </c>
      <c r="C7421" s="196">
        <v>0</v>
      </c>
      <c r="D7421" s="196">
        <v>0.35</v>
      </c>
      <c r="E7421" s="195" t="s">
        <v>595</v>
      </c>
      <c r="F7421" s="195" t="s">
        <v>438</v>
      </c>
    </row>
    <row r="7422" spans="1:6" x14ac:dyDescent="0.25">
      <c r="A7422" s="189" t="str">
        <f t="shared" si="115"/>
        <v>MO-US 29 RP6-300.16E</v>
      </c>
      <c r="B7422" s="195" t="s">
        <v>3413</v>
      </c>
      <c r="C7422" s="196">
        <v>0</v>
      </c>
      <c r="D7422" s="196">
        <v>0.16</v>
      </c>
      <c r="E7422" s="195" t="s">
        <v>598</v>
      </c>
      <c r="F7422" s="195" t="s">
        <v>19</v>
      </c>
    </row>
    <row r="7423" spans="1:6" x14ac:dyDescent="0.25">
      <c r="A7423" s="189" t="str">
        <f t="shared" si="115"/>
        <v>MO-US 29 RP6-700.26S</v>
      </c>
      <c r="B7423" s="195" t="s">
        <v>3414</v>
      </c>
      <c r="C7423" s="196">
        <v>0</v>
      </c>
      <c r="D7423" s="196">
        <v>0.26</v>
      </c>
      <c r="E7423" s="195" t="s">
        <v>595</v>
      </c>
      <c r="F7423" s="195" t="s">
        <v>438</v>
      </c>
    </row>
    <row r="7424" spans="1:6" x14ac:dyDescent="0.25">
      <c r="A7424" s="189" t="str">
        <f t="shared" si="115"/>
        <v>MO-US 29 RP6-800.17N</v>
      </c>
      <c r="B7424" s="195" t="s">
        <v>3415</v>
      </c>
      <c r="C7424" s="196">
        <v>0</v>
      </c>
      <c r="D7424" s="196">
        <v>0.17</v>
      </c>
      <c r="E7424" s="195" t="s">
        <v>589</v>
      </c>
      <c r="F7424" s="195" t="s">
        <v>430</v>
      </c>
    </row>
    <row r="7425" spans="1:6" x14ac:dyDescent="0.25">
      <c r="A7425" s="189" t="str">
        <f t="shared" si="115"/>
        <v>MO-US 29 RP7-300.17W</v>
      </c>
      <c r="B7425" s="195" t="s">
        <v>3416</v>
      </c>
      <c r="C7425" s="196">
        <v>0</v>
      </c>
      <c r="D7425" s="196">
        <v>0.17</v>
      </c>
      <c r="E7425" s="195" t="s">
        <v>593</v>
      </c>
      <c r="F7425" s="195" t="s">
        <v>432</v>
      </c>
    </row>
    <row r="7426" spans="1:6" x14ac:dyDescent="0.25">
      <c r="A7426" s="189" t="str">
        <f t="shared" si="115"/>
        <v>MO-US 29 RP7-700.01S</v>
      </c>
      <c r="B7426" s="195" t="s">
        <v>3417</v>
      </c>
      <c r="C7426" s="196">
        <v>0</v>
      </c>
      <c r="D7426" s="196">
        <v>0.01</v>
      </c>
      <c r="E7426" s="195" t="s">
        <v>595</v>
      </c>
      <c r="F7426" s="195" t="s">
        <v>438</v>
      </c>
    </row>
    <row r="7427" spans="1:6" x14ac:dyDescent="0.25">
      <c r="A7427" s="189" t="str">
        <f t="shared" ref="A7427:A7490" si="116">B7427&amp;C7427&amp;D7427&amp;F7427</f>
        <v>MO-US 29 RP8-11A00.15S</v>
      </c>
      <c r="B7427" s="195" t="s">
        <v>3418</v>
      </c>
      <c r="C7427" s="196">
        <v>0</v>
      </c>
      <c r="D7427" s="196">
        <v>0.15</v>
      </c>
      <c r="E7427" s="195" t="s">
        <v>595</v>
      </c>
      <c r="F7427" s="195" t="s">
        <v>438</v>
      </c>
    </row>
    <row r="7428" spans="1:6" x14ac:dyDescent="0.25">
      <c r="A7428" s="189" t="str">
        <f t="shared" si="116"/>
        <v>MO-US 29 RP8-11B00.32S</v>
      </c>
      <c r="B7428" s="195" t="s">
        <v>3419</v>
      </c>
      <c r="C7428" s="196">
        <v>0</v>
      </c>
      <c r="D7428" s="196">
        <v>0.32</v>
      </c>
      <c r="E7428" s="195" t="s">
        <v>595</v>
      </c>
      <c r="F7428" s="195" t="s">
        <v>438</v>
      </c>
    </row>
    <row r="7429" spans="1:6" x14ac:dyDescent="0.25">
      <c r="A7429" s="189" t="str">
        <f t="shared" si="116"/>
        <v>MO-US 29 RP8-300.25S</v>
      </c>
      <c r="B7429" s="195" t="s">
        <v>3420</v>
      </c>
      <c r="C7429" s="196">
        <v>0</v>
      </c>
      <c r="D7429" s="196">
        <v>0.25</v>
      </c>
      <c r="E7429" s="195" t="s">
        <v>595</v>
      </c>
      <c r="F7429" s="195" t="s">
        <v>438</v>
      </c>
    </row>
    <row r="7430" spans="1:6" x14ac:dyDescent="0.25">
      <c r="A7430" s="189" t="str">
        <f t="shared" si="116"/>
        <v>MO-US 29 RP8-700.21S</v>
      </c>
      <c r="B7430" s="195" t="s">
        <v>3421</v>
      </c>
      <c r="C7430" s="196">
        <v>0</v>
      </c>
      <c r="D7430" s="196">
        <v>0.21</v>
      </c>
      <c r="E7430" s="195" t="s">
        <v>595</v>
      </c>
      <c r="F7430" s="195" t="s">
        <v>438</v>
      </c>
    </row>
    <row r="7431" spans="1:6" x14ac:dyDescent="0.25">
      <c r="A7431" s="189" t="str">
        <f t="shared" si="116"/>
        <v>MO-US 29 RP9-11A00.16E</v>
      </c>
      <c r="B7431" s="195" t="s">
        <v>3422</v>
      </c>
      <c r="C7431" s="196">
        <v>0</v>
      </c>
      <c r="D7431" s="196">
        <v>0.16</v>
      </c>
      <c r="E7431" s="195" t="s">
        <v>598</v>
      </c>
      <c r="F7431" s="195" t="s">
        <v>19</v>
      </c>
    </row>
    <row r="7432" spans="1:6" x14ac:dyDescent="0.25">
      <c r="A7432" s="189" t="str">
        <f t="shared" si="116"/>
        <v>PG-CO 12021.583.59N</v>
      </c>
      <c r="B7432" s="195" t="s">
        <v>3423</v>
      </c>
      <c r="C7432" s="196">
        <v>1.58</v>
      </c>
      <c r="D7432" s="196">
        <v>3.59</v>
      </c>
      <c r="E7432" s="195" t="s">
        <v>583</v>
      </c>
      <c r="F7432" s="195" t="s">
        <v>430</v>
      </c>
    </row>
    <row r="7433" spans="1:6" x14ac:dyDescent="0.25">
      <c r="A7433" s="189" t="str">
        <f t="shared" si="116"/>
        <v>PG-CO 12021.583.59S</v>
      </c>
      <c r="B7433" s="195" t="s">
        <v>3423</v>
      </c>
      <c r="C7433" s="196">
        <v>1.58</v>
      </c>
      <c r="D7433" s="196">
        <v>3.59</v>
      </c>
      <c r="E7433" s="195" t="s">
        <v>583</v>
      </c>
      <c r="F7433" s="195" t="s">
        <v>438</v>
      </c>
    </row>
    <row r="7434" spans="1:6" x14ac:dyDescent="0.25">
      <c r="A7434" s="189" t="str">
        <f t="shared" si="116"/>
        <v>PG-CO 121000.16E</v>
      </c>
      <c r="B7434" s="195" t="s">
        <v>3424</v>
      </c>
      <c r="C7434" s="196">
        <v>0</v>
      </c>
      <c r="D7434" s="196">
        <v>0.16</v>
      </c>
      <c r="E7434" s="195" t="s">
        <v>583</v>
      </c>
      <c r="F7434" s="195" t="s">
        <v>19</v>
      </c>
    </row>
    <row r="7435" spans="1:6" x14ac:dyDescent="0.25">
      <c r="A7435" s="189" t="str">
        <f t="shared" si="116"/>
        <v>PG-CO 121000.16W</v>
      </c>
      <c r="B7435" s="195" t="s">
        <v>3424</v>
      </c>
      <c r="C7435" s="196">
        <v>0</v>
      </c>
      <c r="D7435" s="196">
        <v>0.16</v>
      </c>
      <c r="E7435" s="195" t="s">
        <v>583</v>
      </c>
      <c r="F7435" s="195" t="s">
        <v>432</v>
      </c>
    </row>
    <row r="7436" spans="1:6" x14ac:dyDescent="0.25">
      <c r="A7436" s="189" t="str">
        <f t="shared" si="116"/>
        <v>PG-CO 12100.160.28E</v>
      </c>
      <c r="B7436" s="195" t="s">
        <v>3424</v>
      </c>
      <c r="C7436" s="196">
        <v>0.16</v>
      </c>
      <c r="D7436" s="196">
        <v>0.28000000000000003</v>
      </c>
      <c r="E7436" s="195" t="s">
        <v>598</v>
      </c>
      <c r="F7436" s="195" t="s">
        <v>19</v>
      </c>
    </row>
    <row r="7437" spans="1:6" x14ac:dyDescent="0.25">
      <c r="A7437" s="189" t="str">
        <f t="shared" si="116"/>
        <v>PG-CO 12100.160.28W</v>
      </c>
      <c r="B7437" s="195" t="s">
        <v>3424</v>
      </c>
      <c r="C7437" s="196">
        <v>0.16</v>
      </c>
      <c r="D7437" s="196">
        <v>0.28000000000000003</v>
      </c>
      <c r="E7437" s="195" t="s">
        <v>593</v>
      </c>
      <c r="F7437" s="195" t="s">
        <v>432</v>
      </c>
    </row>
    <row r="7438" spans="1:6" x14ac:dyDescent="0.25">
      <c r="A7438" s="189" t="str">
        <f t="shared" si="116"/>
        <v>PG-CO 15400.82E</v>
      </c>
      <c r="B7438" s="195" t="s">
        <v>3425</v>
      </c>
      <c r="C7438" s="196">
        <v>0</v>
      </c>
      <c r="D7438" s="196">
        <v>0.82</v>
      </c>
      <c r="E7438" s="195" t="s">
        <v>583</v>
      </c>
      <c r="F7438" s="195" t="s">
        <v>19</v>
      </c>
    </row>
    <row r="7439" spans="1:6" x14ac:dyDescent="0.25">
      <c r="A7439" s="189" t="str">
        <f t="shared" si="116"/>
        <v>PG-CO 15400.82W</v>
      </c>
      <c r="B7439" s="195" t="s">
        <v>3425</v>
      </c>
      <c r="C7439" s="196">
        <v>0</v>
      </c>
      <c r="D7439" s="196">
        <v>0.82</v>
      </c>
      <c r="E7439" s="195" t="s">
        <v>583</v>
      </c>
      <c r="F7439" s="195" t="s">
        <v>432</v>
      </c>
    </row>
    <row r="7440" spans="1:6" x14ac:dyDescent="0.25">
      <c r="A7440" s="189" t="str">
        <f t="shared" si="116"/>
        <v>PG-CO 213.273.63N</v>
      </c>
      <c r="B7440" s="195" t="s">
        <v>3426</v>
      </c>
      <c r="C7440" s="196">
        <v>3.27</v>
      </c>
      <c r="D7440" s="196">
        <v>3.63</v>
      </c>
      <c r="E7440" s="195" t="s">
        <v>583</v>
      </c>
      <c r="F7440" s="195" t="s">
        <v>430</v>
      </c>
    </row>
    <row r="7441" spans="1:6" x14ac:dyDescent="0.25">
      <c r="A7441" s="189" t="str">
        <f t="shared" si="116"/>
        <v>PG-CO 213.273.63S</v>
      </c>
      <c r="B7441" s="195" t="s">
        <v>3426</v>
      </c>
      <c r="C7441" s="196">
        <v>3.27</v>
      </c>
      <c r="D7441" s="196">
        <v>3.63</v>
      </c>
      <c r="E7441" s="195" t="s">
        <v>583</v>
      </c>
      <c r="F7441" s="195" t="s">
        <v>438</v>
      </c>
    </row>
    <row r="7442" spans="1:6" x14ac:dyDescent="0.25">
      <c r="A7442" s="189" t="str">
        <f t="shared" si="116"/>
        <v>PG-CO 27370.390.64N</v>
      </c>
      <c r="B7442" s="195" t="s">
        <v>3427</v>
      </c>
      <c r="C7442" s="196">
        <v>0.39</v>
      </c>
      <c r="D7442" s="196">
        <v>0.64</v>
      </c>
      <c r="E7442" s="195" t="s">
        <v>583</v>
      </c>
      <c r="F7442" s="195" t="s">
        <v>430</v>
      </c>
    </row>
    <row r="7443" spans="1:6" x14ac:dyDescent="0.25">
      <c r="A7443" s="189" t="str">
        <f t="shared" si="116"/>
        <v>PG-CO 27370.390.64S</v>
      </c>
      <c r="B7443" s="195" t="s">
        <v>3427</v>
      </c>
      <c r="C7443" s="196">
        <v>0.39</v>
      </c>
      <c r="D7443" s="196">
        <v>0.64</v>
      </c>
      <c r="E7443" s="195" t="s">
        <v>583</v>
      </c>
      <c r="F7443" s="195" t="s">
        <v>438</v>
      </c>
    </row>
    <row r="7444" spans="1:6" x14ac:dyDescent="0.25">
      <c r="A7444" s="189" t="str">
        <f t="shared" si="116"/>
        <v>PG-CO 358400.47N</v>
      </c>
      <c r="B7444" s="195" t="s">
        <v>3428</v>
      </c>
      <c r="C7444" s="196">
        <v>0</v>
      </c>
      <c r="D7444" s="196">
        <v>0.47</v>
      </c>
      <c r="E7444" s="195" t="s">
        <v>583</v>
      </c>
      <c r="F7444" s="195" t="s">
        <v>430</v>
      </c>
    </row>
    <row r="7445" spans="1:6" x14ac:dyDescent="0.25">
      <c r="A7445" s="189" t="str">
        <f t="shared" si="116"/>
        <v>PG-CO 358400.47S</v>
      </c>
      <c r="B7445" s="195" t="s">
        <v>3428</v>
      </c>
      <c r="C7445" s="196">
        <v>0</v>
      </c>
      <c r="D7445" s="196">
        <v>0.47</v>
      </c>
      <c r="E7445" s="195" t="s">
        <v>583</v>
      </c>
      <c r="F7445" s="195" t="s">
        <v>438</v>
      </c>
    </row>
    <row r="7446" spans="1:6" x14ac:dyDescent="0.25">
      <c r="A7446" s="189" t="str">
        <f t="shared" si="116"/>
        <v>PG-CO 3660.832.27N</v>
      </c>
      <c r="B7446" s="195" t="s">
        <v>3429</v>
      </c>
      <c r="C7446" s="196">
        <v>0.83</v>
      </c>
      <c r="D7446" s="196">
        <v>2.27</v>
      </c>
      <c r="E7446" s="195" t="s">
        <v>583</v>
      </c>
      <c r="F7446" s="195" t="s">
        <v>430</v>
      </c>
    </row>
    <row r="7447" spans="1:6" x14ac:dyDescent="0.25">
      <c r="A7447" s="189" t="str">
        <f t="shared" si="116"/>
        <v>PG-CO 3660.832.27S</v>
      </c>
      <c r="B7447" s="195" t="s">
        <v>3429</v>
      </c>
      <c r="C7447" s="196">
        <v>0.83</v>
      </c>
      <c r="D7447" s="196">
        <v>2.27</v>
      </c>
      <c r="E7447" s="195" t="s">
        <v>583</v>
      </c>
      <c r="F7447" s="195" t="s">
        <v>438</v>
      </c>
    </row>
    <row r="7448" spans="1:6" x14ac:dyDescent="0.25">
      <c r="A7448" s="189" t="str">
        <f t="shared" si="116"/>
        <v>PG-CO 36681.771.89E</v>
      </c>
      <c r="B7448" s="195" t="s">
        <v>3430</v>
      </c>
      <c r="C7448" s="196">
        <v>1.77</v>
      </c>
      <c r="D7448" s="196">
        <v>1.89</v>
      </c>
      <c r="E7448" s="195" t="s">
        <v>583</v>
      </c>
      <c r="F7448" s="195" t="s">
        <v>19</v>
      </c>
    </row>
    <row r="7449" spans="1:6" x14ac:dyDescent="0.25">
      <c r="A7449" s="189" t="str">
        <f t="shared" si="116"/>
        <v>PG-CO 36681.771.89W</v>
      </c>
      <c r="B7449" s="195" t="s">
        <v>3430</v>
      </c>
      <c r="C7449" s="196">
        <v>1.77</v>
      </c>
      <c r="D7449" s="196">
        <v>1.89</v>
      </c>
      <c r="E7449" s="195" t="s">
        <v>583</v>
      </c>
      <c r="F7449" s="195" t="s">
        <v>432</v>
      </c>
    </row>
    <row r="7450" spans="1:6" x14ac:dyDescent="0.25">
      <c r="A7450" s="189" t="str">
        <f t="shared" si="116"/>
        <v>PG-CO 423100.28N</v>
      </c>
      <c r="B7450" s="195" t="s">
        <v>3431</v>
      </c>
      <c r="C7450" s="196">
        <v>0</v>
      </c>
      <c r="D7450" s="196">
        <v>0.28000000000000003</v>
      </c>
      <c r="E7450" s="195" t="s">
        <v>583</v>
      </c>
      <c r="F7450" s="195" t="s">
        <v>430</v>
      </c>
    </row>
    <row r="7451" spans="1:6" x14ac:dyDescent="0.25">
      <c r="A7451" s="189" t="str">
        <f t="shared" si="116"/>
        <v>PG-CO 423100.28S</v>
      </c>
      <c r="B7451" s="195" t="s">
        <v>3431</v>
      </c>
      <c r="C7451" s="196">
        <v>0</v>
      </c>
      <c r="D7451" s="196">
        <v>0.28000000000000003</v>
      </c>
      <c r="E7451" s="195" t="s">
        <v>583</v>
      </c>
      <c r="F7451" s="195" t="s">
        <v>438</v>
      </c>
    </row>
    <row r="7452" spans="1:6" x14ac:dyDescent="0.25">
      <c r="A7452" s="189" t="str">
        <f t="shared" si="116"/>
        <v>PG-GV 119 RP1-100.17W</v>
      </c>
      <c r="B7452" s="195" t="s">
        <v>3432</v>
      </c>
      <c r="C7452" s="196">
        <v>0</v>
      </c>
      <c r="D7452" s="196">
        <v>0.17</v>
      </c>
      <c r="E7452" s="195" t="s">
        <v>593</v>
      </c>
      <c r="F7452" s="195" t="s">
        <v>432</v>
      </c>
    </row>
    <row r="7453" spans="1:6" x14ac:dyDescent="0.25">
      <c r="A7453" s="189" t="str">
        <f t="shared" si="116"/>
        <v>PG-GV 119 RP1-600.12W</v>
      </c>
      <c r="B7453" s="195" t="s">
        <v>3433</v>
      </c>
      <c r="C7453" s="196">
        <v>0</v>
      </c>
      <c r="D7453" s="196">
        <v>0.12</v>
      </c>
      <c r="E7453" s="195" t="s">
        <v>593</v>
      </c>
      <c r="F7453" s="195" t="s">
        <v>432</v>
      </c>
    </row>
    <row r="7454" spans="1:6" x14ac:dyDescent="0.25">
      <c r="A7454" s="189" t="str">
        <f t="shared" si="116"/>
        <v>PG-GV 119 RP2-100.21E</v>
      </c>
      <c r="B7454" s="195" t="s">
        <v>3434</v>
      </c>
      <c r="C7454" s="196">
        <v>0</v>
      </c>
      <c r="D7454" s="196">
        <v>0.21</v>
      </c>
      <c r="E7454" s="195" t="s">
        <v>598</v>
      </c>
      <c r="F7454" s="195" t="s">
        <v>19</v>
      </c>
    </row>
    <row r="7455" spans="1:6" x14ac:dyDescent="0.25">
      <c r="A7455" s="189" t="str">
        <f t="shared" si="116"/>
        <v>PG-GV 119 RP2-600.26N</v>
      </c>
      <c r="B7455" s="195" t="s">
        <v>3435</v>
      </c>
      <c r="C7455" s="196">
        <v>0</v>
      </c>
      <c r="D7455" s="196">
        <v>0.26</v>
      </c>
      <c r="E7455" s="195" t="s">
        <v>589</v>
      </c>
      <c r="F7455" s="195" t="s">
        <v>430</v>
      </c>
    </row>
    <row r="7456" spans="1:6" x14ac:dyDescent="0.25">
      <c r="A7456" s="189" t="str">
        <f t="shared" si="116"/>
        <v>PG-GV 119 RP4-100.01W</v>
      </c>
      <c r="B7456" s="195" t="s">
        <v>3436</v>
      </c>
      <c r="C7456" s="196">
        <v>0</v>
      </c>
      <c r="D7456" s="196">
        <v>0.01</v>
      </c>
      <c r="E7456" s="195" t="s">
        <v>593</v>
      </c>
      <c r="F7456" s="195" t="s">
        <v>432</v>
      </c>
    </row>
    <row r="7457" spans="1:6" x14ac:dyDescent="0.25">
      <c r="A7457" s="189" t="str">
        <f t="shared" si="116"/>
        <v>PG-GV 119 RP4-600.08N</v>
      </c>
      <c r="B7457" s="195" t="s">
        <v>3437</v>
      </c>
      <c r="C7457" s="196">
        <v>0</v>
      </c>
      <c r="D7457" s="196">
        <v>0.08</v>
      </c>
      <c r="E7457" s="195" t="s">
        <v>589</v>
      </c>
      <c r="F7457" s="195" t="s">
        <v>430</v>
      </c>
    </row>
    <row r="7458" spans="1:6" x14ac:dyDescent="0.25">
      <c r="A7458" s="189" t="str">
        <f t="shared" si="116"/>
        <v>PG-GV 119 RP5-100.12S</v>
      </c>
      <c r="B7458" s="195" t="s">
        <v>3438</v>
      </c>
      <c r="C7458" s="196">
        <v>0</v>
      </c>
      <c r="D7458" s="196">
        <v>0.12</v>
      </c>
      <c r="E7458" s="195" t="s">
        <v>595</v>
      </c>
      <c r="F7458" s="195" t="s">
        <v>438</v>
      </c>
    </row>
    <row r="7459" spans="1:6" x14ac:dyDescent="0.25">
      <c r="A7459" s="189" t="str">
        <f t="shared" si="116"/>
        <v>PG-GV 119 RP5-300.14E</v>
      </c>
      <c r="B7459" s="195" t="s">
        <v>3439</v>
      </c>
      <c r="C7459" s="196">
        <v>0</v>
      </c>
      <c r="D7459" s="196">
        <v>0.14000000000000001</v>
      </c>
      <c r="E7459" s="195" t="s">
        <v>598</v>
      </c>
      <c r="F7459" s="195" t="s">
        <v>19</v>
      </c>
    </row>
    <row r="7460" spans="1:6" x14ac:dyDescent="0.25">
      <c r="A7460" s="189" t="str">
        <f t="shared" si="116"/>
        <v>PG-GV 119 RP6-100.16E</v>
      </c>
      <c r="B7460" s="195" t="s">
        <v>3440</v>
      </c>
      <c r="C7460" s="196">
        <v>0</v>
      </c>
      <c r="D7460" s="196">
        <v>0.16</v>
      </c>
      <c r="E7460" s="195" t="s">
        <v>598</v>
      </c>
      <c r="F7460" s="195" t="s">
        <v>19</v>
      </c>
    </row>
    <row r="7461" spans="1:6" x14ac:dyDescent="0.25">
      <c r="A7461" s="189" t="str">
        <f t="shared" si="116"/>
        <v>PG-GV 119 RP6-300.16E</v>
      </c>
      <c r="B7461" s="195" t="s">
        <v>3441</v>
      </c>
      <c r="C7461" s="196">
        <v>0</v>
      </c>
      <c r="D7461" s="196">
        <v>0.16</v>
      </c>
      <c r="E7461" s="195" t="s">
        <v>598</v>
      </c>
      <c r="F7461" s="195" t="s">
        <v>19</v>
      </c>
    </row>
    <row r="7462" spans="1:6" x14ac:dyDescent="0.25">
      <c r="A7462" s="189" t="str">
        <f t="shared" si="116"/>
        <v>PG-GV 119 RP6-600.12E</v>
      </c>
      <c r="B7462" s="195" t="s">
        <v>3442</v>
      </c>
      <c r="C7462" s="196">
        <v>0</v>
      </c>
      <c r="D7462" s="196">
        <v>0.12</v>
      </c>
      <c r="E7462" s="195" t="s">
        <v>598</v>
      </c>
      <c r="F7462" s="195" t="s">
        <v>19</v>
      </c>
    </row>
    <row r="7463" spans="1:6" x14ac:dyDescent="0.25">
      <c r="A7463" s="189" t="str">
        <f t="shared" si="116"/>
        <v>PG-GV 119 RP7-300.16W</v>
      </c>
      <c r="B7463" s="195" t="s">
        <v>3443</v>
      </c>
      <c r="C7463" s="196">
        <v>0</v>
      </c>
      <c r="D7463" s="196">
        <v>0.16</v>
      </c>
      <c r="E7463" s="195" t="s">
        <v>593</v>
      </c>
      <c r="F7463" s="195" t="s">
        <v>432</v>
      </c>
    </row>
    <row r="7464" spans="1:6" x14ac:dyDescent="0.25">
      <c r="A7464" s="189" t="str">
        <f t="shared" si="116"/>
        <v>PG-GV 119 RP7-600.26N</v>
      </c>
      <c r="B7464" s="195" t="s">
        <v>3444</v>
      </c>
      <c r="C7464" s="196">
        <v>0</v>
      </c>
      <c r="D7464" s="196">
        <v>0.26</v>
      </c>
      <c r="E7464" s="195" t="s">
        <v>589</v>
      </c>
      <c r="F7464" s="195" t="s">
        <v>430</v>
      </c>
    </row>
    <row r="7465" spans="1:6" x14ac:dyDescent="0.25">
      <c r="A7465" s="189" t="str">
        <f t="shared" si="116"/>
        <v>PG-GV 119 RP8-300.16W</v>
      </c>
      <c r="B7465" s="195" t="s">
        <v>3445</v>
      </c>
      <c r="C7465" s="196">
        <v>0</v>
      </c>
      <c r="D7465" s="196">
        <v>0.16</v>
      </c>
      <c r="E7465" s="195" t="s">
        <v>593</v>
      </c>
      <c r="F7465" s="195" t="s">
        <v>432</v>
      </c>
    </row>
    <row r="7466" spans="1:6" x14ac:dyDescent="0.25">
      <c r="A7466" s="189" t="str">
        <f t="shared" si="116"/>
        <v>PG-GV 119 RP8-600.04S</v>
      </c>
      <c r="B7466" s="195" t="s">
        <v>3446</v>
      </c>
      <c r="C7466" s="196">
        <v>0</v>
      </c>
      <c r="D7466" s="196">
        <v>0.04</v>
      </c>
      <c r="E7466" s="195" t="s">
        <v>595</v>
      </c>
      <c r="F7466" s="195" t="s">
        <v>438</v>
      </c>
    </row>
    <row r="7467" spans="1:6" x14ac:dyDescent="0.25">
      <c r="A7467" s="189" t="str">
        <f t="shared" si="116"/>
        <v>PG-IS 495 RP4-280.350.42N</v>
      </c>
      <c r="B7467" s="195" t="s">
        <v>3447</v>
      </c>
      <c r="C7467" s="196">
        <v>0.35</v>
      </c>
      <c r="D7467" s="196">
        <v>0.42</v>
      </c>
      <c r="E7467" s="195" t="s">
        <v>589</v>
      </c>
      <c r="F7467" s="195" t="s">
        <v>430</v>
      </c>
    </row>
    <row r="7468" spans="1:6" x14ac:dyDescent="0.25">
      <c r="A7468" s="189" t="str">
        <f t="shared" si="116"/>
        <v>PG-IS 595 RP10-1300.59W</v>
      </c>
      <c r="B7468" s="195" t="s">
        <v>3448</v>
      </c>
      <c r="C7468" s="196">
        <v>0</v>
      </c>
      <c r="D7468" s="196">
        <v>0.59</v>
      </c>
      <c r="E7468" s="195" t="s">
        <v>593</v>
      </c>
      <c r="F7468" s="195" t="s">
        <v>432</v>
      </c>
    </row>
    <row r="7469" spans="1:6" x14ac:dyDescent="0.25">
      <c r="A7469" s="189" t="str">
        <f t="shared" si="116"/>
        <v>PG-IS 595 RP10-130.590.81W</v>
      </c>
      <c r="B7469" s="195" t="s">
        <v>3448</v>
      </c>
      <c r="C7469" s="196">
        <v>0.59</v>
      </c>
      <c r="D7469" s="196">
        <v>0.81</v>
      </c>
      <c r="E7469" s="195" t="s">
        <v>593</v>
      </c>
      <c r="F7469" s="195" t="s">
        <v>432</v>
      </c>
    </row>
    <row r="7470" spans="1:6" x14ac:dyDescent="0.25">
      <c r="A7470" s="189" t="str">
        <f t="shared" si="116"/>
        <v>PG-IS 595 RP10-800.5S</v>
      </c>
      <c r="B7470" s="195" t="s">
        <v>3449</v>
      </c>
      <c r="C7470" s="196">
        <v>0</v>
      </c>
      <c r="D7470" s="196">
        <v>0.5</v>
      </c>
      <c r="E7470" s="195" t="s">
        <v>595</v>
      </c>
      <c r="F7470" s="195" t="s">
        <v>438</v>
      </c>
    </row>
    <row r="7471" spans="1:6" x14ac:dyDescent="0.25">
      <c r="A7471" s="189" t="str">
        <f t="shared" si="116"/>
        <v>PG-IS 595 RP1-1100.4E</v>
      </c>
      <c r="B7471" s="195" t="s">
        <v>3450</v>
      </c>
      <c r="C7471" s="196">
        <v>0</v>
      </c>
      <c r="D7471" s="196">
        <v>0.4</v>
      </c>
      <c r="E7471" s="195" t="s">
        <v>598</v>
      </c>
      <c r="F7471" s="195" t="s">
        <v>19</v>
      </c>
    </row>
    <row r="7472" spans="1:6" x14ac:dyDescent="0.25">
      <c r="A7472" s="189" t="str">
        <f t="shared" si="116"/>
        <v>PG-IS 595 RP1-1300.31E</v>
      </c>
      <c r="B7472" s="195" t="s">
        <v>3451</v>
      </c>
      <c r="C7472" s="196">
        <v>0</v>
      </c>
      <c r="D7472" s="196">
        <v>0.31</v>
      </c>
      <c r="E7472" s="195" t="s">
        <v>598</v>
      </c>
      <c r="F7472" s="195" t="s">
        <v>19</v>
      </c>
    </row>
    <row r="7473" spans="1:6" x14ac:dyDescent="0.25">
      <c r="A7473" s="189" t="str">
        <f t="shared" si="116"/>
        <v>PG-IS 595 RP1-130.310.58E</v>
      </c>
      <c r="B7473" s="195" t="s">
        <v>3451</v>
      </c>
      <c r="C7473" s="196">
        <v>0.31</v>
      </c>
      <c r="D7473" s="196">
        <v>0.57999999999999996</v>
      </c>
      <c r="E7473" s="195" t="s">
        <v>598</v>
      </c>
      <c r="F7473" s="195" t="s">
        <v>19</v>
      </c>
    </row>
    <row r="7474" spans="1:6" x14ac:dyDescent="0.25">
      <c r="A7474" s="189" t="str">
        <f t="shared" si="116"/>
        <v>PG-IS 595 RP1-800.03E</v>
      </c>
      <c r="B7474" s="195" t="s">
        <v>3452</v>
      </c>
      <c r="C7474" s="196">
        <v>0</v>
      </c>
      <c r="D7474" s="196">
        <v>0.03</v>
      </c>
      <c r="E7474" s="195" t="s">
        <v>598</v>
      </c>
      <c r="F7474" s="195" t="s">
        <v>19</v>
      </c>
    </row>
    <row r="7475" spans="1:6" x14ac:dyDescent="0.25">
      <c r="A7475" s="189" t="str">
        <f t="shared" si="116"/>
        <v>PG-IS 595 RP2-1100.35N</v>
      </c>
      <c r="B7475" s="195" t="s">
        <v>3453</v>
      </c>
      <c r="C7475" s="196">
        <v>0</v>
      </c>
      <c r="D7475" s="196">
        <v>0.35</v>
      </c>
      <c r="E7475" s="195" t="s">
        <v>589</v>
      </c>
      <c r="F7475" s="195" t="s">
        <v>430</v>
      </c>
    </row>
    <row r="7476" spans="1:6" x14ac:dyDescent="0.25">
      <c r="A7476" s="189" t="str">
        <f t="shared" si="116"/>
        <v>PG-IS 595 RP2-110.170.31S</v>
      </c>
      <c r="B7476" s="195" t="s">
        <v>3453</v>
      </c>
      <c r="C7476" s="196">
        <v>0.17</v>
      </c>
      <c r="D7476" s="196">
        <v>0.31</v>
      </c>
      <c r="E7476" s="195" t="s">
        <v>595</v>
      </c>
      <c r="F7476" s="195" t="s">
        <v>438</v>
      </c>
    </row>
    <row r="7477" spans="1:6" x14ac:dyDescent="0.25">
      <c r="A7477" s="189" t="str">
        <f t="shared" si="116"/>
        <v>PG-IS 595 RP2-1300.42N</v>
      </c>
      <c r="B7477" s="195" t="s">
        <v>3454</v>
      </c>
      <c r="C7477" s="196">
        <v>0</v>
      </c>
      <c r="D7477" s="196">
        <v>0.42</v>
      </c>
      <c r="E7477" s="195" t="s">
        <v>589</v>
      </c>
      <c r="F7477" s="195" t="s">
        <v>430</v>
      </c>
    </row>
    <row r="7478" spans="1:6" x14ac:dyDescent="0.25">
      <c r="A7478" s="189" t="str">
        <f t="shared" si="116"/>
        <v>PG-IS 595 RP2-800.05E</v>
      </c>
      <c r="B7478" s="195" t="s">
        <v>3455</v>
      </c>
      <c r="C7478" s="196">
        <v>0</v>
      </c>
      <c r="D7478" s="196">
        <v>0.05</v>
      </c>
      <c r="E7478" s="195" t="s">
        <v>598</v>
      </c>
      <c r="F7478" s="195" t="s">
        <v>19</v>
      </c>
    </row>
    <row r="7479" spans="1:6" x14ac:dyDescent="0.25">
      <c r="A7479" s="189" t="str">
        <f t="shared" si="116"/>
        <v>PG-IS 595 RP3-1300.9N</v>
      </c>
      <c r="B7479" s="195" t="s">
        <v>3456</v>
      </c>
      <c r="C7479" s="196">
        <v>0</v>
      </c>
      <c r="D7479" s="196">
        <v>0.9</v>
      </c>
      <c r="E7479" s="195" t="s">
        <v>589</v>
      </c>
      <c r="F7479" s="195" t="s">
        <v>430</v>
      </c>
    </row>
    <row r="7480" spans="1:6" x14ac:dyDescent="0.25">
      <c r="A7480" s="189" t="str">
        <f t="shared" si="116"/>
        <v>PG-IS 595 RP3-800.09E</v>
      </c>
      <c r="B7480" s="195" t="s">
        <v>3457</v>
      </c>
      <c r="C7480" s="196">
        <v>0</v>
      </c>
      <c r="D7480" s="196">
        <v>0.09</v>
      </c>
      <c r="E7480" s="195" t="s">
        <v>598</v>
      </c>
      <c r="F7480" s="195" t="s">
        <v>19</v>
      </c>
    </row>
    <row r="7481" spans="1:6" x14ac:dyDescent="0.25">
      <c r="A7481" s="189" t="str">
        <f t="shared" si="116"/>
        <v>PG-IS 595 RP4-1100.38N</v>
      </c>
      <c r="B7481" s="195" t="s">
        <v>3458</v>
      </c>
      <c r="C7481" s="196">
        <v>0</v>
      </c>
      <c r="D7481" s="196">
        <v>0.38</v>
      </c>
      <c r="E7481" s="195" t="s">
        <v>589</v>
      </c>
      <c r="F7481" s="195" t="s">
        <v>430</v>
      </c>
    </row>
    <row r="7482" spans="1:6" x14ac:dyDescent="0.25">
      <c r="A7482" s="189" t="str">
        <f t="shared" si="116"/>
        <v>PG-IS 595 RP4-1300.55N</v>
      </c>
      <c r="B7482" s="195" t="s">
        <v>3459</v>
      </c>
      <c r="C7482" s="196">
        <v>0</v>
      </c>
      <c r="D7482" s="196">
        <v>0.55000000000000004</v>
      </c>
      <c r="E7482" s="195" t="s">
        <v>589</v>
      </c>
      <c r="F7482" s="195" t="s">
        <v>430</v>
      </c>
    </row>
    <row r="7483" spans="1:6" x14ac:dyDescent="0.25">
      <c r="A7483" s="189" t="str">
        <f t="shared" si="116"/>
        <v>PG-IS 595 RP4-800.13E</v>
      </c>
      <c r="B7483" s="195" t="s">
        <v>3460</v>
      </c>
      <c r="C7483" s="196">
        <v>0</v>
      </c>
      <c r="D7483" s="196">
        <v>0.13</v>
      </c>
      <c r="E7483" s="195" t="s">
        <v>598</v>
      </c>
      <c r="F7483" s="195" t="s">
        <v>19</v>
      </c>
    </row>
    <row r="7484" spans="1:6" x14ac:dyDescent="0.25">
      <c r="A7484" s="189" t="str">
        <f t="shared" si="116"/>
        <v>PG-IS 595 RP5-1100.33S</v>
      </c>
      <c r="B7484" s="195" t="s">
        <v>3461</v>
      </c>
      <c r="C7484" s="196">
        <v>0</v>
      </c>
      <c r="D7484" s="196">
        <v>0.33</v>
      </c>
      <c r="E7484" s="195" t="s">
        <v>595</v>
      </c>
      <c r="F7484" s="195" t="s">
        <v>438</v>
      </c>
    </row>
    <row r="7485" spans="1:6" x14ac:dyDescent="0.25">
      <c r="A7485" s="189" t="str">
        <f t="shared" si="116"/>
        <v>PG-IS 595 RP5-1300.17S</v>
      </c>
      <c r="B7485" s="195" t="s">
        <v>3462</v>
      </c>
      <c r="C7485" s="196">
        <v>0</v>
      </c>
      <c r="D7485" s="196">
        <v>0.17</v>
      </c>
      <c r="E7485" s="195" t="s">
        <v>595</v>
      </c>
      <c r="F7485" s="195" t="s">
        <v>438</v>
      </c>
    </row>
    <row r="7486" spans="1:6" x14ac:dyDescent="0.25">
      <c r="A7486" s="189" t="str">
        <f t="shared" si="116"/>
        <v>PG-IS 595 RP5-130.170.25S</v>
      </c>
      <c r="B7486" s="195" t="s">
        <v>3462</v>
      </c>
      <c r="C7486" s="196">
        <v>0.17</v>
      </c>
      <c r="D7486" s="196">
        <v>0.25</v>
      </c>
      <c r="E7486" s="195" t="s">
        <v>595</v>
      </c>
      <c r="F7486" s="195" t="s">
        <v>438</v>
      </c>
    </row>
    <row r="7487" spans="1:6" x14ac:dyDescent="0.25">
      <c r="A7487" s="189" t="str">
        <f t="shared" si="116"/>
        <v>PG-IS 595 RP5-800.45S</v>
      </c>
      <c r="B7487" s="195" t="s">
        <v>3463</v>
      </c>
      <c r="C7487" s="196">
        <v>0</v>
      </c>
      <c r="D7487" s="196">
        <v>0.45</v>
      </c>
      <c r="E7487" s="195" t="s">
        <v>595</v>
      </c>
      <c r="F7487" s="195" t="s">
        <v>438</v>
      </c>
    </row>
    <row r="7488" spans="1:6" x14ac:dyDescent="0.25">
      <c r="A7488" s="189" t="str">
        <f t="shared" si="116"/>
        <v>PG-IS 595 RP6-1100.37E</v>
      </c>
      <c r="B7488" s="195" t="s">
        <v>3464</v>
      </c>
      <c r="C7488" s="196">
        <v>0</v>
      </c>
      <c r="D7488" s="196">
        <v>0.37</v>
      </c>
      <c r="E7488" s="195" t="s">
        <v>598</v>
      </c>
      <c r="F7488" s="195" t="s">
        <v>19</v>
      </c>
    </row>
    <row r="7489" spans="1:6" x14ac:dyDescent="0.25">
      <c r="A7489" s="189" t="str">
        <f t="shared" si="116"/>
        <v>PG-IS 595 RP6-1300.55E</v>
      </c>
      <c r="B7489" s="195" t="s">
        <v>3465</v>
      </c>
      <c r="C7489" s="196">
        <v>0</v>
      </c>
      <c r="D7489" s="196">
        <v>0.55000000000000004</v>
      </c>
      <c r="E7489" s="195" t="s">
        <v>598</v>
      </c>
      <c r="F7489" s="195" t="s">
        <v>19</v>
      </c>
    </row>
    <row r="7490" spans="1:6" x14ac:dyDescent="0.25">
      <c r="A7490" s="189" t="str">
        <f t="shared" si="116"/>
        <v>PG-IS 595 RP6-800.32E</v>
      </c>
      <c r="B7490" s="195" t="s">
        <v>3466</v>
      </c>
      <c r="C7490" s="196">
        <v>0</v>
      </c>
      <c r="D7490" s="196">
        <v>0.32</v>
      </c>
      <c r="E7490" s="195" t="s">
        <v>598</v>
      </c>
      <c r="F7490" s="195" t="s">
        <v>19</v>
      </c>
    </row>
    <row r="7491" spans="1:6" x14ac:dyDescent="0.25">
      <c r="A7491" s="189" t="str">
        <f t="shared" ref="A7491:A7554" si="117">B7491&amp;C7491&amp;D7491&amp;F7491</f>
        <v>PG-IS 595 RP7-1100.05W</v>
      </c>
      <c r="B7491" s="195" t="s">
        <v>3467</v>
      </c>
      <c r="C7491" s="196">
        <v>0</v>
      </c>
      <c r="D7491" s="196">
        <v>0.05</v>
      </c>
      <c r="E7491" s="195" t="s">
        <v>593</v>
      </c>
      <c r="F7491" s="195" t="s">
        <v>432</v>
      </c>
    </row>
    <row r="7492" spans="1:6" x14ac:dyDescent="0.25">
      <c r="A7492" s="189" t="str">
        <f t="shared" si="117"/>
        <v>PG-IS 595 RP7-1300.2W</v>
      </c>
      <c r="B7492" s="195" t="s">
        <v>3468</v>
      </c>
      <c r="C7492" s="196">
        <v>0</v>
      </c>
      <c r="D7492" s="196">
        <v>0.2</v>
      </c>
      <c r="E7492" s="195" t="s">
        <v>593</v>
      </c>
      <c r="F7492" s="195" t="s">
        <v>432</v>
      </c>
    </row>
    <row r="7493" spans="1:6" x14ac:dyDescent="0.25">
      <c r="A7493" s="189" t="str">
        <f t="shared" si="117"/>
        <v>PG-IS 595 RP7-130.20.32W</v>
      </c>
      <c r="B7493" s="195" t="s">
        <v>3468</v>
      </c>
      <c r="C7493" s="196">
        <v>0.2</v>
      </c>
      <c r="D7493" s="196">
        <v>0.32</v>
      </c>
      <c r="E7493" s="195" t="s">
        <v>593</v>
      </c>
      <c r="F7493" s="195" t="s">
        <v>432</v>
      </c>
    </row>
    <row r="7494" spans="1:6" x14ac:dyDescent="0.25">
      <c r="A7494" s="189" t="str">
        <f t="shared" si="117"/>
        <v>PG-IS 595 RP7-800.29W</v>
      </c>
      <c r="B7494" s="195" t="s">
        <v>3469</v>
      </c>
      <c r="C7494" s="196">
        <v>0</v>
      </c>
      <c r="D7494" s="196">
        <v>0.28999999999999998</v>
      </c>
      <c r="E7494" s="195" t="s">
        <v>593</v>
      </c>
      <c r="F7494" s="195" t="s">
        <v>432</v>
      </c>
    </row>
    <row r="7495" spans="1:6" x14ac:dyDescent="0.25">
      <c r="A7495" s="189" t="str">
        <f t="shared" si="117"/>
        <v>PG-IS 595 RP8-1100.33S</v>
      </c>
      <c r="B7495" s="195" t="s">
        <v>3470</v>
      </c>
      <c r="C7495" s="196">
        <v>0</v>
      </c>
      <c r="D7495" s="196">
        <v>0.33</v>
      </c>
      <c r="E7495" s="195" t="s">
        <v>595</v>
      </c>
      <c r="F7495" s="195" t="s">
        <v>438</v>
      </c>
    </row>
    <row r="7496" spans="1:6" x14ac:dyDescent="0.25">
      <c r="A7496" s="189" t="str">
        <f t="shared" si="117"/>
        <v>PG-IS 595 RP8-1300.72S</v>
      </c>
      <c r="B7496" s="195" t="s">
        <v>3471</v>
      </c>
      <c r="C7496" s="196">
        <v>0</v>
      </c>
      <c r="D7496" s="196">
        <v>0.72</v>
      </c>
      <c r="E7496" s="195" t="s">
        <v>595</v>
      </c>
      <c r="F7496" s="195" t="s">
        <v>438</v>
      </c>
    </row>
    <row r="7497" spans="1:6" x14ac:dyDescent="0.25">
      <c r="A7497" s="189" t="str">
        <f t="shared" si="117"/>
        <v>PG-IS 595 RP8-800.21S</v>
      </c>
      <c r="B7497" s="195" t="s">
        <v>3472</v>
      </c>
      <c r="C7497" s="196">
        <v>0</v>
      </c>
      <c r="D7497" s="196">
        <v>0.21</v>
      </c>
      <c r="E7497" s="195" t="s">
        <v>595</v>
      </c>
      <c r="F7497" s="195" t="s">
        <v>438</v>
      </c>
    </row>
    <row r="7498" spans="1:6" x14ac:dyDescent="0.25">
      <c r="A7498" s="189" t="str">
        <f t="shared" si="117"/>
        <v>PG-IS 595 RP9-1300.42N</v>
      </c>
      <c r="B7498" s="195" t="s">
        <v>3473</v>
      </c>
      <c r="C7498" s="196">
        <v>0</v>
      </c>
      <c r="D7498" s="196">
        <v>0.42</v>
      </c>
      <c r="E7498" s="195" t="s">
        <v>589</v>
      </c>
      <c r="F7498" s="195" t="s">
        <v>430</v>
      </c>
    </row>
    <row r="7499" spans="1:6" x14ac:dyDescent="0.25">
      <c r="A7499" s="189" t="str">
        <f t="shared" si="117"/>
        <v>PG-IS 595 RP9-800.06N</v>
      </c>
      <c r="B7499" s="195" t="s">
        <v>3474</v>
      </c>
      <c r="C7499" s="196">
        <v>0</v>
      </c>
      <c r="D7499" s="196">
        <v>0.06</v>
      </c>
      <c r="E7499" s="195" t="s">
        <v>589</v>
      </c>
      <c r="F7499" s="195" t="s">
        <v>430</v>
      </c>
    </row>
    <row r="7500" spans="1:6" x14ac:dyDescent="0.25">
      <c r="A7500" s="189" t="str">
        <f t="shared" si="117"/>
        <v>PG-IS 95 RP10-1500.04N</v>
      </c>
      <c r="B7500" s="195" t="s">
        <v>3475</v>
      </c>
      <c r="C7500" s="196">
        <v>0</v>
      </c>
      <c r="D7500" s="196">
        <v>0.04</v>
      </c>
      <c r="E7500" s="195" t="s">
        <v>589</v>
      </c>
      <c r="F7500" s="195" t="s">
        <v>430</v>
      </c>
    </row>
    <row r="7501" spans="1:6" x14ac:dyDescent="0.25">
      <c r="A7501" s="189" t="str">
        <f t="shared" si="117"/>
        <v>PG-IS 95 RP10-1700.07N</v>
      </c>
      <c r="B7501" s="195" t="s">
        <v>3476</v>
      </c>
      <c r="C7501" s="196">
        <v>0</v>
      </c>
      <c r="D7501" s="196">
        <v>7.0000000000000007E-2</v>
      </c>
      <c r="E7501" s="195" t="s">
        <v>589</v>
      </c>
      <c r="F7501" s="195" t="s">
        <v>430</v>
      </c>
    </row>
    <row r="7502" spans="1:6" x14ac:dyDescent="0.25">
      <c r="A7502" s="189" t="str">
        <f t="shared" si="117"/>
        <v>PG-IS 95 RP10-1900.41E</v>
      </c>
      <c r="B7502" s="195" t="s">
        <v>3477</v>
      </c>
      <c r="C7502" s="196">
        <v>0</v>
      </c>
      <c r="D7502" s="196">
        <v>0.41</v>
      </c>
      <c r="E7502" s="195" t="s">
        <v>598</v>
      </c>
      <c r="F7502" s="195" t="s">
        <v>19</v>
      </c>
    </row>
    <row r="7503" spans="1:6" x14ac:dyDescent="0.25">
      <c r="A7503" s="189" t="str">
        <f t="shared" si="117"/>
        <v>PG-IS 95 RP10-200.21E</v>
      </c>
      <c r="B7503" s="195" t="s">
        <v>3478</v>
      </c>
      <c r="C7503" s="196">
        <v>0</v>
      </c>
      <c r="D7503" s="196">
        <v>0.21</v>
      </c>
      <c r="E7503" s="195" t="s">
        <v>598</v>
      </c>
      <c r="F7503" s="195" t="s">
        <v>19</v>
      </c>
    </row>
    <row r="7504" spans="1:6" x14ac:dyDescent="0.25">
      <c r="A7504" s="189" t="str">
        <f t="shared" si="117"/>
        <v>PG-IS 95 RP10-20.210.56E</v>
      </c>
      <c r="B7504" s="195" t="s">
        <v>3478</v>
      </c>
      <c r="C7504" s="196">
        <v>0.21</v>
      </c>
      <c r="D7504" s="196">
        <v>0.56000000000000005</v>
      </c>
      <c r="E7504" s="195" t="s">
        <v>598</v>
      </c>
      <c r="F7504" s="195" t="s">
        <v>19</v>
      </c>
    </row>
    <row r="7505" spans="1:6" x14ac:dyDescent="0.25">
      <c r="A7505" s="189" t="str">
        <f t="shared" si="117"/>
        <v>PG-IS 95 RP10-20.560.67E</v>
      </c>
      <c r="B7505" s="195" t="s">
        <v>3478</v>
      </c>
      <c r="C7505" s="196">
        <v>0.56000000000000005</v>
      </c>
      <c r="D7505" s="196">
        <v>0.67</v>
      </c>
      <c r="E7505" s="195" t="s">
        <v>598</v>
      </c>
      <c r="F7505" s="195" t="s">
        <v>19</v>
      </c>
    </row>
    <row r="7506" spans="1:6" x14ac:dyDescent="0.25">
      <c r="A7506" s="189" t="str">
        <f t="shared" si="117"/>
        <v>PG-IS 95 RP10-2200.29S</v>
      </c>
      <c r="B7506" s="195" t="s">
        <v>3479</v>
      </c>
      <c r="C7506" s="196">
        <v>0</v>
      </c>
      <c r="D7506" s="196">
        <v>0.28999999999999998</v>
      </c>
      <c r="E7506" s="195" t="s">
        <v>595</v>
      </c>
      <c r="F7506" s="195" t="s">
        <v>438</v>
      </c>
    </row>
    <row r="7507" spans="1:6" x14ac:dyDescent="0.25">
      <c r="A7507" s="189" t="str">
        <f t="shared" si="117"/>
        <v>PG-IS 95 RP10-2501.27E</v>
      </c>
      <c r="B7507" s="195" t="s">
        <v>3480</v>
      </c>
      <c r="C7507" s="196">
        <v>0</v>
      </c>
      <c r="D7507" s="196">
        <v>1.27</v>
      </c>
      <c r="E7507" s="195" t="s">
        <v>598</v>
      </c>
      <c r="F7507" s="195" t="s">
        <v>19</v>
      </c>
    </row>
    <row r="7508" spans="1:6" x14ac:dyDescent="0.25">
      <c r="A7508" s="189" t="str">
        <f t="shared" si="117"/>
        <v>PG-IS 95 RP10-400.04S</v>
      </c>
      <c r="B7508" s="195" t="s">
        <v>3481</v>
      </c>
      <c r="C7508" s="196">
        <v>0</v>
      </c>
      <c r="D7508" s="196">
        <v>0.04</v>
      </c>
      <c r="E7508" s="195" t="s">
        <v>595</v>
      </c>
      <c r="F7508" s="195" t="s">
        <v>438</v>
      </c>
    </row>
    <row r="7509" spans="1:6" x14ac:dyDescent="0.25">
      <c r="A7509" s="189" t="str">
        <f t="shared" si="117"/>
        <v>PG-IS 95 RP1-1100.27N</v>
      </c>
      <c r="B7509" s="195" t="s">
        <v>3482</v>
      </c>
      <c r="C7509" s="196">
        <v>0</v>
      </c>
      <c r="D7509" s="196">
        <v>0.27</v>
      </c>
      <c r="E7509" s="195" t="s">
        <v>589</v>
      </c>
      <c r="F7509" s="195" t="s">
        <v>430</v>
      </c>
    </row>
    <row r="7510" spans="1:6" x14ac:dyDescent="0.25">
      <c r="A7510" s="189" t="str">
        <f t="shared" si="117"/>
        <v>PG-IS 95 RP11-1900.43S</v>
      </c>
      <c r="B7510" s="195" t="s">
        <v>3483</v>
      </c>
      <c r="C7510" s="196">
        <v>0</v>
      </c>
      <c r="D7510" s="196">
        <v>0.43</v>
      </c>
      <c r="E7510" s="195" t="s">
        <v>595</v>
      </c>
      <c r="F7510" s="195" t="s">
        <v>438</v>
      </c>
    </row>
    <row r="7511" spans="1:6" x14ac:dyDescent="0.25">
      <c r="A7511" s="189" t="str">
        <f t="shared" si="117"/>
        <v>PG-IS 95 RP11-201.34N</v>
      </c>
      <c r="B7511" s="195" t="s">
        <v>3484</v>
      </c>
      <c r="C7511" s="196">
        <v>0</v>
      </c>
      <c r="D7511" s="196">
        <v>1.34</v>
      </c>
      <c r="E7511" s="195" t="s">
        <v>589</v>
      </c>
      <c r="F7511" s="195" t="s">
        <v>430</v>
      </c>
    </row>
    <row r="7512" spans="1:6" x14ac:dyDescent="0.25">
      <c r="A7512" s="189" t="str">
        <f t="shared" si="117"/>
        <v>PG-IS 95 RP1-1500.04S</v>
      </c>
      <c r="B7512" s="195" t="s">
        <v>3485</v>
      </c>
      <c r="C7512" s="196">
        <v>0</v>
      </c>
      <c r="D7512" s="196">
        <v>0.04</v>
      </c>
      <c r="E7512" s="195" t="s">
        <v>595</v>
      </c>
      <c r="F7512" s="195" t="s">
        <v>438</v>
      </c>
    </row>
    <row r="7513" spans="1:6" x14ac:dyDescent="0.25">
      <c r="A7513" s="189" t="str">
        <f t="shared" si="117"/>
        <v>PG-IS 95 RP1-1600.01N</v>
      </c>
      <c r="B7513" s="195" t="s">
        <v>3486</v>
      </c>
      <c r="C7513" s="196">
        <v>0</v>
      </c>
      <c r="D7513" s="196">
        <v>0.01</v>
      </c>
      <c r="E7513" s="195" t="s">
        <v>589</v>
      </c>
      <c r="F7513" s="195" t="s">
        <v>430</v>
      </c>
    </row>
    <row r="7514" spans="1:6" x14ac:dyDescent="0.25">
      <c r="A7514" s="189" t="str">
        <f t="shared" si="117"/>
        <v>PG-IS 95 RP1-1900.25N</v>
      </c>
      <c r="B7514" s="195" t="s">
        <v>3487</v>
      </c>
      <c r="C7514" s="196">
        <v>0</v>
      </c>
      <c r="D7514" s="196">
        <v>0.25</v>
      </c>
      <c r="E7514" s="195" t="s">
        <v>589</v>
      </c>
      <c r="F7514" s="195" t="s">
        <v>430</v>
      </c>
    </row>
    <row r="7515" spans="1:6" x14ac:dyDescent="0.25">
      <c r="A7515" s="189" t="str">
        <f t="shared" si="117"/>
        <v>PG-IS 95 RP1-200.24N</v>
      </c>
      <c r="B7515" s="195" t="s">
        <v>3488</v>
      </c>
      <c r="C7515" s="196">
        <v>0</v>
      </c>
      <c r="D7515" s="196">
        <v>0.24</v>
      </c>
      <c r="E7515" s="195" t="s">
        <v>589</v>
      </c>
      <c r="F7515" s="195" t="s">
        <v>430</v>
      </c>
    </row>
    <row r="7516" spans="1:6" x14ac:dyDescent="0.25">
      <c r="A7516" s="189" t="str">
        <f t="shared" si="117"/>
        <v>PG-IS 95 RP1-20.240.66N</v>
      </c>
      <c r="B7516" s="195" t="s">
        <v>3488</v>
      </c>
      <c r="C7516" s="196">
        <v>0.24</v>
      </c>
      <c r="D7516" s="196">
        <v>0.66</v>
      </c>
      <c r="E7516" s="195" t="s">
        <v>589</v>
      </c>
      <c r="F7516" s="195" t="s">
        <v>430</v>
      </c>
    </row>
    <row r="7517" spans="1:6" x14ac:dyDescent="0.25">
      <c r="A7517" s="189" t="str">
        <f t="shared" si="117"/>
        <v>PG-IS 95 RP1-20.660.78N</v>
      </c>
      <c r="B7517" s="195" t="s">
        <v>3488</v>
      </c>
      <c r="C7517" s="196">
        <v>0.66</v>
      </c>
      <c r="D7517" s="196">
        <v>0.78</v>
      </c>
      <c r="E7517" s="195" t="s">
        <v>589</v>
      </c>
      <c r="F7517" s="195" t="s">
        <v>430</v>
      </c>
    </row>
    <row r="7518" spans="1:6" x14ac:dyDescent="0.25">
      <c r="A7518" s="189" t="str">
        <f t="shared" si="117"/>
        <v>PG-IS 95 RP1-20.780.91N</v>
      </c>
      <c r="B7518" s="195" t="s">
        <v>3488</v>
      </c>
      <c r="C7518" s="196">
        <v>0.78</v>
      </c>
      <c r="D7518" s="196">
        <v>0.91</v>
      </c>
      <c r="E7518" s="195" t="s">
        <v>589</v>
      </c>
      <c r="F7518" s="195" t="s">
        <v>430</v>
      </c>
    </row>
    <row r="7519" spans="1:6" x14ac:dyDescent="0.25">
      <c r="A7519" s="189" t="str">
        <f t="shared" si="117"/>
        <v>PG-IS 95 RP1-2000.16N</v>
      </c>
      <c r="B7519" s="195" t="s">
        <v>3489</v>
      </c>
      <c r="C7519" s="196">
        <v>0</v>
      </c>
      <c r="D7519" s="196">
        <v>0.16</v>
      </c>
      <c r="E7519" s="195" t="s">
        <v>589</v>
      </c>
      <c r="F7519" s="195" t="s">
        <v>430</v>
      </c>
    </row>
    <row r="7520" spans="1:6" x14ac:dyDescent="0.25">
      <c r="A7520" s="189" t="str">
        <f t="shared" si="117"/>
        <v>PG-IS 95 RP1-2200.22N</v>
      </c>
      <c r="B7520" s="195" t="s">
        <v>3490</v>
      </c>
      <c r="C7520" s="196">
        <v>0</v>
      </c>
      <c r="D7520" s="196">
        <v>0.22</v>
      </c>
      <c r="E7520" s="195" t="s">
        <v>589</v>
      </c>
      <c r="F7520" s="195" t="s">
        <v>430</v>
      </c>
    </row>
    <row r="7521" spans="1:6" x14ac:dyDescent="0.25">
      <c r="A7521" s="189" t="str">
        <f t="shared" si="117"/>
        <v>PG-IS 95 RP12-201.27S</v>
      </c>
      <c r="B7521" s="195" t="s">
        <v>3491</v>
      </c>
      <c r="C7521" s="196">
        <v>0</v>
      </c>
      <c r="D7521" s="196">
        <v>1.27</v>
      </c>
      <c r="E7521" s="195" t="s">
        <v>595</v>
      </c>
      <c r="F7521" s="195" t="s">
        <v>438</v>
      </c>
    </row>
    <row r="7522" spans="1:6" x14ac:dyDescent="0.25">
      <c r="A7522" s="189" t="str">
        <f t="shared" si="117"/>
        <v>PG-IS 95 RP1-2300.24N</v>
      </c>
      <c r="B7522" s="195" t="s">
        <v>3492</v>
      </c>
      <c r="C7522" s="196">
        <v>0</v>
      </c>
      <c r="D7522" s="196">
        <v>0.24</v>
      </c>
      <c r="E7522" s="195" t="s">
        <v>589</v>
      </c>
      <c r="F7522" s="195" t="s">
        <v>430</v>
      </c>
    </row>
    <row r="7523" spans="1:6" x14ac:dyDescent="0.25">
      <c r="A7523" s="189" t="str">
        <f t="shared" si="117"/>
        <v>PG-IS 95 RP1-2500.14N</v>
      </c>
      <c r="B7523" s="195" t="s">
        <v>3493</v>
      </c>
      <c r="C7523" s="196">
        <v>0</v>
      </c>
      <c r="D7523" s="196">
        <v>0.14000000000000001</v>
      </c>
      <c r="E7523" s="195" t="s">
        <v>589</v>
      </c>
      <c r="F7523" s="195" t="s">
        <v>430</v>
      </c>
    </row>
    <row r="7524" spans="1:6" x14ac:dyDescent="0.25">
      <c r="A7524" s="189" t="str">
        <f t="shared" si="117"/>
        <v>PG-IS 95 RP1-2700.49N</v>
      </c>
      <c r="B7524" s="195" t="s">
        <v>3494</v>
      </c>
      <c r="C7524" s="196">
        <v>0</v>
      </c>
      <c r="D7524" s="196">
        <v>0.49</v>
      </c>
      <c r="E7524" s="195" t="s">
        <v>589</v>
      </c>
      <c r="F7524" s="195" t="s">
        <v>430</v>
      </c>
    </row>
    <row r="7525" spans="1:6" x14ac:dyDescent="0.25">
      <c r="A7525" s="189" t="str">
        <f t="shared" si="117"/>
        <v>PG-IS 95 RP1-2900.24N</v>
      </c>
      <c r="B7525" s="195" t="s">
        <v>3495</v>
      </c>
      <c r="C7525" s="196">
        <v>0</v>
      </c>
      <c r="D7525" s="196">
        <v>0.24</v>
      </c>
      <c r="E7525" s="195" t="s">
        <v>589</v>
      </c>
      <c r="F7525" s="195" t="s">
        <v>430</v>
      </c>
    </row>
    <row r="7526" spans="1:6" x14ac:dyDescent="0.25">
      <c r="A7526" s="189" t="str">
        <f t="shared" si="117"/>
        <v>PG-IS 95 RP1-300.22N</v>
      </c>
      <c r="B7526" s="195" t="s">
        <v>3496</v>
      </c>
      <c r="C7526" s="196">
        <v>0</v>
      </c>
      <c r="D7526" s="196">
        <v>0.22</v>
      </c>
      <c r="E7526" s="195" t="s">
        <v>589</v>
      </c>
      <c r="F7526" s="195" t="s">
        <v>430</v>
      </c>
    </row>
    <row r="7527" spans="1:6" x14ac:dyDescent="0.25">
      <c r="A7527" s="189" t="str">
        <f t="shared" si="117"/>
        <v>PG-IS 95 RP1-3101.03N</v>
      </c>
      <c r="B7527" s="195" t="s">
        <v>3497</v>
      </c>
      <c r="C7527" s="196">
        <v>0</v>
      </c>
      <c r="D7527" s="196">
        <v>1.03</v>
      </c>
      <c r="E7527" s="195" t="s">
        <v>589</v>
      </c>
      <c r="F7527" s="195" t="s">
        <v>430</v>
      </c>
    </row>
    <row r="7528" spans="1:6" x14ac:dyDescent="0.25">
      <c r="A7528" s="189" t="str">
        <f t="shared" si="117"/>
        <v>PG-IS 95 RP13-200.56N</v>
      </c>
      <c r="B7528" s="195" t="s">
        <v>3498</v>
      </c>
      <c r="C7528" s="196">
        <v>0</v>
      </c>
      <c r="D7528" s="196">
        <v>0.56000000000000005</v>
      </c>
      <c r="E7528" s="195" t="s">
        <v>589</v>
      </c>
      <c r="F7528" s="195" t="s">
        <v>430</v>
      </c>
    </row>
    <row r="7529" spans="1:6" x14ac:dyDescent="0.25">
      <c r="A7529" s="189" t="str">
        <f t="shared" si="117"/>
        <v>PG-IS 95 RP1-3300.28N</v>
      </c>
      <c r="B7529" s="195" t="s">
        <v>3499</v>
      </c>
      <c r="C7529" s="196">
        <v>0</v>
      </c>
      <c r="D7529" s="196">
        <v>0.28000000000000003</v>
      </c>
      <c r="E7529" s="195" t="s">
        <v>589</v>
      </c>
      <c r="F7529" s="195" t="s">
        <v>430</v>
      </c>
    </row>
    <row r="7530" spans="1:6" x14ac:dyDescent="0.25">
      <c r="A7530" s="189" t="str">
        <f t="shared" si="117"/>
        <v>PG-IS 95 RP1-400.19N</v>
      </c>
      <c r="B7530" s="195" t="s">
        <v>3500</v>
      </c>
      <c r="C7530" s="196">
        <v>0</v>
      </c>
      <c r="D7530" s="196">
        <v>0.19</v>
      </c>
      <c r="E7530" s="195" t="s">
        <v>589</v>
      </c>
      <c r="F7530" s="195" t="s">
        <v>430</v>
      </c>
    </row>
    <row r="7531" spans="1:6" x14ac:dyDescent="0.25">
      <c r="A7531" s="189" t="str">
        <f t="shared" si="117"/>
        <v>PG-IS 95 RP14-200.45E</v>
      </c>
      <c r="B7531" s="195" t="s">
        <v>3501</v>
      </c>
      <c r="C7531" s="196">
        <v>0</v>
      </c>
      <c r="D7531" s="196">
        <v>0.45</v>
      </c>
      <c r="E7531" s="195" t="s">
        <v>598</v>
      </c>
      <c r="F7531" s="195" t="s">
        <v>19</v>
      </c>
    </row>
    <row r="7532" spans="1:6" x14ac:dyDescent="0.25">
      <c r="A7532" s="189" t="str">
        <f t="shared" si="117"/>
        <v>PG-IS 95 RP15-200.27S</v>
      </c>
      <c r="B7532" s="195" t="s">
        <v>3502</v>
      </c>
      <c r="C7532" s="196">
        <v>0</v>
      </c>
      <c r="D7532" s="196">
        <v>0.27</v>
      </c>
      <c r="E7532" s="195" t="s">
        <v>595</v>
      </c>
      <c r="F7532" s="195" t="s">
        <v>438</v>
      </c>
    </row>
    <row r="7533" spans="1:6" x14ac:dyDescent="0.25">
      <c r="A7533" s="189" t="str">
        <f t="shared" si="117"/>
        <v>PG-IS 95 RP16-200.36W</v>
      </c>
      <c r="B7533" s="195" t="s">
        <v>3503</v>
      </c>
      <c r="C7533" s="196">
        <v>0</v>
      </c>
      <c r="D7533" s="196">
        <v>0.36</v>
      </c>
      <c r="E7533" s="195" t="s">
        <v>593</v>
      </c>
      <c r="F7533" s="195" t="s">
        <v>432</v>
      </c>
    </row>
    <row r="7534" spans="1:6" x14ac:dyDescent="0.25">
      <c r="A7534" s="189" t="str">
        <f t="shared" si="117"/>
        <v>PG-IS 95 RP1-700.28N</v>
      </c>
      <c r="B7534" s="195" t="s">
        <v>3504</v>
      </c>
      <c r="C7534" s="196">
        <v>0</v>
      </c>
      <c r="D7534" s="196">
        <v>0.28000000000000003</v>
      </c>
      <c r="E7534" s="195" t="s">
        <v>589</v>
      </c>
      <c r="F7534" s="195" t="s">
        <v>430</v>
      </c>
    </row>
    <row r="7535" spans="1:6" x14ac:dyDescent="0.25">
      <c r="A7535" s="189" t="str">
        <f t="shared" si="117"/>
        <v>PG-IS 95 RP17-200.16S</v>
      </c>
      <c r="B7535" s="195" t="s">
        <v>3505</v>
      </c>
      <c r="C7535" s="196">
        <v>0</v>
      </c>
      <c r="D7535" s="196">
        <v>0.16</v>
      </c>
      <c r="E7535" s="195" t="s">
        <v>595</v>
      </c>
      <c r="F7535" s="195" t="s">
        <v>438</v>
      </c>
    </row>
    <row r="7536" spans="1:6" x14ac:dyDescent="0.25">
      <c r="A7536" s="189" t="str">
        <f t="shared" si="117"/>
        <v>PG-IS 95 RP18-200.16N</v>
      </c>
      <c r="B7536" s="195" t="s">
        <v>3506</v>
      </c>
      <c r="C7536" s="196">
        <v>0</v>
      </c>
      <c r="D7536" s="196">
        <v>0.16</v>
      </c>
      <c r="E7536" s="195" t="s">
        <v>589</v>
      </c>
      <c r="F7536" s="195" t="s">
        <v>430</v>
      </c>
    </row>
    <row r="7537" spans="1:6" x14ac:dyDescent="0.25">
      <c r="A7537" s="189" t="str">
        <f t="shared" si="117"/>
        <v>PG-IS 95 RP19-200.18N</v>
      </c>
      <c r="B7537" s="195" t="s">
        <v>3507</v>
      </c>
      <c r="C7537" s="196">
        <v>0</v>
      </c>
      <c r="D7537" s="196">
        <v>0.18</v>
      </c>
      <c r="E7537" s="195" t="s">
        <v>589</v>
      </c>
      <c r="F7537" s="195" t="s">
        <v>430</v>
      </c>
    </row>
    <row r="7538" spans="1:6" x14ac:dyDescent="0.25">
      <c r="A7538" s="189" t="str">
        <f t="shared" si="117"/>
        <v>PG-IS 95 RP20-200.17N</v>
      </c>
      <c r="B7538" s="195" t="s">
        <v>3508</v>
      </c>
      <c r="C7538" s="196">
        <v>0</v>
      </c>
      <c r="D7538" s="196">
        <v>0.17</v>
      </c>
      <c r="E7538" s="195" t="s">
        <v>589</v>
      </c>
      <c r="F7538" s="195" t="s">
        <v>430</v>
      </c>
    </row>
    <row r="7539" spans="1:6" x14ac:dyDescent="0.25">
      <c r="A7539" s="189" t="str">
        <f t="shared" si="117"/>
        <v>PG-IS 95 RP2-1100.32N</v>
      </c>
      <c r="B7539" s="195" t="s">
        <v>3509</v>
      </c>
      <c r="C7539" s="196">
        <v>0</v>
      </c>
      <c r="D7539" s="196">
        <v>0.32</v>
      </c>
      <c r="E7539" s="195" t="s">
        <v>589</v>
      </c>
      <c r="F7539" s="195" t="s">
        <v>430</v>
      </c>
    </row>
    <row r="7540" spans="1:6" x14ac:dyDescent="0.25">
      <c r="A7540" s="189" t="str">
        <f t="shared" si="117"/>
        <v>PG-IS 95 RP21-200.21N</v>
      </c>
      <c r="B7540" s="195" t="s">
        <v>3510</v>
      </c>
      <c r="C7540" s="196">
        <v>0</v>
      </c>
      <c r="D7540" s="196">
        <v>0.21</v>
      </c>
      <c r="E7540" s="195" t="s">
        <v>589</v>
      </c>
      <c r="F7540" s="195" t="s">
        <v>430</v>
      </c>
    </row>
    <row r="7541" spans="1:6" x14ac:dyDescent="0.25">
      <c r="A7541" s="189" t="str">
        <f t="shared" si="117"/>
        <v>PG-IS 95 RP2-1300.32N</v>
      </c>
      <c r="B7541" s="195" t="s">
        <v>3511</v>
      </c>
      <c r="C7541" s="196">
        <v>0</v>
      </c>
      <c r="D7541" s="196">
        <v>0.32</v>
      </c>
      <c r="E7541" s="195" t="s">
        <v>589</v>
      </c>
      <c r="F7541" s="195" t="s">
        <v>430</v>
      </c>
    </row>
    <row r="7542" spans="1:6" x14ac:dyDescent="0.25">
      <c r="A7542" s="189" t="str">
        <f t="shared" si="117"/>
        <v>PG-IS 95 RP2-1500.3N</v>
      </c>
      <c r="B7542" s="195" t="s">
        <v>3512</v>
      </c>
      <c r="C7542" s="196">
        <v>0</v>
      </c>
      <c r="D7542" s="196">
        <v>0.3</v>
      </c>
      <c r="E7542" s="195" t="s">
        <v>589</v>
      </c>
      <c r="F7542" s="195" t="s">
        <v>430</v>
      </c>
    </row>
    <row r="7543" spans="1:6" x14ac:dyDescent="0.25">
      <c r="A7543" s="189" t="str">
        <f t="shared" si="117"/>
        <v>PG-IS 95 RP2-1600.22N</v>
      </c>
      <c r="B7543" s="195" t="s">
        <v>3513</v>
      </c>
      <c r="C7543" s="196">
        <v>0</v>
      </c>
      <c r="D7543" s="196">
        <v>0.22</v>
      </c>
      <c r="E7543" s="195" t="s">
        <v>589</v>
      </c>
      <c r="F7543" s="195" t="s">
        <v>430</v>
      </c>
    </row>
    <row r="7544" spans="1:6" x14ac:dyDescent="0.25">
      <c r="A7544" s="189" t="str">
        <f t="shared" si="117"/>
        <v>PG-IS 95 RP2-160.220.24N</v>
      </c>
      <c r="B7544" s="195" t="s">
        <v>3513</v>
      </c>
      <c r="C7544" s="196">
        <v>0.22</v>
      </c>
      <c r="D7544" s="196">
        <v>0.24</v>
      </c>
      <c r="E7544" s="195" t="s">
        <v>589</v>
      </c>
      <c r="F7544" s="195" t="s">
        <v>430</v>
      </c>
    </row>
    <row r="7545" spans="1:6" x14ac:dyDescent="0.25">
      <c r="A7545" s="189" t="str">
        <f t="shared" si="117"/>
        <v>PG-IS 95 RP2-1700.35N</v>
      </c>
      <c r="B7545" s="195" t="s">
        <v>3514</v>
      </c>
      <c r="C7545" s="196">
        <v>0</v>
      </c>
      <c r="D7545" s="196">
        <v>0.35</v>
      </c>
      <c r="E7545" s="195" t="s">
        <v>589</v>
      </c>
      <c r="F7545" s="195" t="s">
        <v>430</v>
      </c>
    </row>
    <row r="7546" spans="1:6" x14ac:dyDescent="0.25">
      <c r="A7546" s="189" t="str">
        <f t="shared" si="117"/>
        <v>PG-IS 95 RP2-1900.32N</v>
      </c>
      <c r="B7546" s="195" t="s">
        <v>3515</v>
      </c>
      <c r="C7546" s="196">
        <v>0</v>
      </c>
      <c r="D7546" s="196">
        <v>0.32</v>
      </c>
      <c r="E7546" s="195" t="s">
        <v>589</v>
      </c>
      <c r="F7546" s="195" t="s">
        <v>430</v>
      </c>
    </row>
    <row r="7547" spans="1:6" x14ac:dyDescent="0.25">
      <c r="A7547" s="189" t="str">
        <f t="shared" si="117"/>
        <v>PG-IS 95 RP2-200.47W</v>
      </c>
      <c r="B7547" s="195" t="s">
        <v>3516</v>
      </c>
      <c r="C7547" s="196">
        <v>0</v>
      </c>
      <c r="D7547" s="196">
        <v>0.47</v>
      </c>
      <c r="E7547" s="195" t="s">
        <v>593</v>
      </c>
      <c r="F7547" s="195" t="s">
        <v>432</v>
      </c>
    </row>
    <row r="7548" spans="1:6" x14ac:dyDescent="0.25">
      <c r="A7548" s="189" t="str">
        <f t="shared" si="117"/>
        <v>PG-IS 95 RP2-2000.22E</v>
      </c>
      <c r="B7548" s="195" t="s">
        <v>3517</v>
      </c>
      <c r="C7548" s="196">
        <v>0</v>
      </c>
      <c r="D7548" s="196">
        <v>0.22</v>
      </c>
      <c r="E7548" s="195" t="s">
        <v>598</v>
      </c>
      <c r="F7548" s="195" t="s">
        <v>19</v>
      </c>
    </row>
    <row r="7549" spans="1:6" x14ac:dyDescent="0.25">
      <c r="A7549" s="189" t="str">
        <f t="shared" si="117"/>
        <v>PG-IS 95 RP2-2200.3W</v>
      </c>
      <c r="B7549" s="195" t="s">
        <v>3518</v>
      </c>
      <c r="C7549" s="196">
        <v>0</v>
      </c>
      <c r="D7549" s="196">
        <v>0.3</v>
      </c>
      <c r="E7549" s="195" t="s">
        <v>593</v>
      </c>
      <c r="F7549" s="195" t="s">
        <v>432</v>
      </c>
    </row>
    <row r="7550" spans="1:6" x14ac:dyDescent="0.25">
      <c r="A7550" s="189" t="str">
        <f t="shared" si="117"/>
        <v>PG-IS 95 RP22-200.38N</v>
      </c>
      <c r="B7550" s="195" t="s">
        <v>3519</v>
      </c>
      <c r="C7550" s="196">
        <v>0</v>
      </c>
      <c r="D7550" s="196">
        <v>0.38</v>
      </c>
      <c r="E7550" s="195" t="s">
        <v>589</v>
      </c>
      <c r="F7550" s="195" t="s">
        <v>430</v>
      </c>
    </row>
    <row r="7551" spans="1:6" x14ac:dyDescent="0.25">
      <c r="A7551" s="189" t="str">
        <f t="shared" si="117"/>
        <v>PG-IS 95 RP2-2300.33N</v>
      </c>
      <c r="B7551" s="195" t="s">
        <v>3520</v>
      </c>
      <c r="C7551" s="196">
        <v>0</v>
      </c>
      <c r="D7551" s="196">
        <v>0.33</v>
      </c>
      <c r="E7551" s="195" t="s">
        <v>589</v>
      </c>
      <c r="F7551" s="195" t="s">
        <v>430</v>
      </c>
    </row>
    <row r="7552" spans="1:6" x14ac:dyDescent="0.25">
      <c r="A7552" s="189" t="str">
        <f t="shared" si="117"/>
        <v>PG-IS 95 RP2-2900.34N</v>
      </c>
      <c r="B7552" s="195" t="s">
        <v>3521</v>
      </c>
      <c r="C7552" s="196">
        <v>0</v>
      </c>
      <c r="D7552" s="196">
        <v>0.34</v>
      </c>
      <c r="E7552" s="195" t="s">
        <v>589</v>
      </c>
      <c r="F7552" s="195" t="s">
        <v>430</v>
      </c>
    </row>
    <row r="7553" spans="1:6" x14ac:dyDescent="0.25">
      <c r="A7553" s="189" t="str">
        <f t="shared" si="117"/>
        <v>PG-IS 95 RP2-300.14W</v>
      </c>
      <c r="B7553" s="195" t="s">
        <v>3522</v>
      </c>
      <c r="C7553" s="196">
        <v>0</v>
      </c>
      <c r="D7553" s="196">
        <v>0.14000000000000001</v>
      </c>
      <c r="E7553" s="195" t="s">
        <v>593</v>
      </c>
      <c r="F7553" s="195" t="s">
        <v>432</v>
      </c>
    </row>
    <row r="7554" spans="1:6" x14ac:dyDescent="0.25">
      <c r="A7554" s="189" t="str">
        <f t="shared" si="117"/>
        <v>PG-IS 95 RP2-30.140.24W</v>
      </c>
      <c r="B7554" s="195" t="s">
        <v>3522</v>
      </c>
      <c r="C7554" s="196">
        <v>0.14000000000000001</v>
      </c>
      <c r="D7554" s="196">
        <v>0.24</v>
      </c>
      <c r="E7554" s="195" t="s">
        <v>593</v>
      </c>
      <c r="F7554" s="195" t="s">
        <v>432</v>
      </c>
    </row>
    <row r="7555" spans="1:6" x14ac:dyDescent="0.25">
      <c r="A7555" s="189" t="str">
        <f t="shared" ref="A7555:A7618" si="118">B7555&amp;C7555&amp;D7555&amp;F7555</f>
        <v>PG-IS 95 RP2-30.170.21E</v>
      </c>
      <c r="B7555" s="195" t="s">
        <v>3522</v>
      </c>
      <c r="C7555" s="196">
        <v>0.17</v>
      </c>
      <c r="D7555" s="196">
        <v>0.21</v>
      </c>
      <c r="E7555" s="195" t="s">
        <v>598</v>
      </c>
      <c r="F7555" s="195" t="s">
        <v>19</v>
      </c>
    </row>
    <row r="7556" spans="1:6" x14ac:dyDescent="0.25">
      <c r="A7556" s="189" t="str">
        <f t="shared" si="118"/>
        <v>PG-IS 95 RP2-3100.58N</v>
      </c>
      <c r="B7556" s="195" t="s">
        <v>3523</v>
      </c>
      <c r="C7556" s="196">
        <v>0</v>
      </c>
      <c r="D7556" s="196">
        <v>0.57999999999999996</v>
      </c>
      <c r="E7556" s="195" t="s">
        <v>589</v>
      </c>
      <c r="F7556" s="195" t="s">
        <v>430</v>
      </c>
    </row>
    <row r="7557" spans="1:6" x14ac:dyDescent="0.25">
      <c r="A7557" s="189" t="str">
        <f t="shared" si="118"/>
        <v>PG-IS 95 RP23-200.31S</v>
      </c>
      <c r="B7557" s="195" t="s">
        <v>3524</v>
      </c>
      <c r="C7557" s="196">
        <v>0</v>
      </c>
      <c r="D7557" s="196">
        <v>0.31</v>
      </c>
      <c r="E7557" s="195" t="s">
        <v>595</v>
      </c>
      <c r="F7557" s="195" t="s">
        <v>438</v>
      </c>
    </row>
    <row r="7558" spans="1:6" x14ac:dyDescent="0.25">
      <c r="A7558" s="189" t="str">
        <f t="shared" si="118"/>
        <v>PG-IS 95 RP2-3300.47W</v>
      </c>
      <c r="B7558" s="195" t="s">
        <v>3525</v>
      </c>
      <c r="C7558" s="196">
        <v>0</v>
      </c>
      <c r="D7558" s="196">
        <v>0.47</v>
      </c>
      <c r="E7558" s="195" t="s">
        <v>593</v>
      </c>
      <c r="F7558" s="195" t="s">
        <v>432</v>
      </c>
    </row>
    <row r="7559" spans="1:6" x14ac:dyDescent="0.25">
      <c r="A7559" s="189" t="str">
        <f t="shared" si="118"/>
        <v>PG-IS 95 RP2-400.24W</v>
      </c>
      <c r="B7559" s="195" t="s">
        <v>3526</v>
      </c>
      <c r="C7559" s="196">
        <v>0</v>
      </c>
      <c r="D7559" s="196">
        <v>0.24</v>
      </c>
      <c r="E7559" s="195" t="s">
        <v>593</v>
      </c>
      <c r="F7559" s="195" t="s">
        <v>432</v>
      </c>
    </row>
    <row r="7560" spans="1:6" x14ac:dyDescent="0.25">
      <c r="A7560" s="189" t="str">
        <f t="shared" si="118"/>
        <v>PG-IS 95 RP24-200.62N</v>
      </c>
      <c r="B7560" s="195" t="s">
        <v>3527</v>
      </c>
      <c r="C7560" s="196">
        <v>0</v>
      </c>
      <c r="D7560" s="196">
        <v>0.62</v>
      </c>
      <c r="E7560" s="195" t="s">
        <v>589</v>
      </c>
      <c r="F7560" s="195" t="s">
        <v>430</v>
      </c>
    </row>
    <row r="7561" spans="1:6" x14ac:dyDescent="0.25">
      <c r="A7561" s="189" t="str">
        <f t="shared" si="118"/>
        <v>PG-IS 95 RP25-200.02W</v>
      </c>
      <c r="B7561" s="195" t="s">
        <v>3528</v>
      </c>
      <c r="C7561" s="196">
        <v>0</v>
      </c>
      <c r="D7561" s="196">
        <v>0.02</v>
      </c>
      <c r="E7561" s="195" t="s">
        <v>593</v>
      </c>
      <c r="F7561" s="195" t="s">
        <v>432</v>
      </c>
    </row>
    <row r="7562" spans="1:6" x14ac:dyDescent="0.25">
      <c r="A7562" s="189" t="str">
        <f t="shared" si="118"/>
        <v>PG-IS 95 RP26-200.07E</v>
      </c>
      <c r="B7562" s="195" t="s">
        <v>3529</v>
      </c>
      <c r="C7562" s="196">
        <v>0</v>
      </c>
      <c r="D7562" s="196">
        <v>7.0000000000000007E-2</v>
      </c>
      <c r="E7562" s="195" t="s">
        <v>598</v>
      </c>
      <c r="F7562" s="195" t="s">
        <v>19</v>
      </c>
    </row>
    <row r="7563" spans="1:6" x14ac:dyDescent="0.25">
      <c r="A7563" s="189" t="str">
        <f t="shared" si="118"/>
        <v>PG-IS 95 RP2-700.3N</v>
      </c>
      <c r="B7563" s="195" t="s">
        <v>3530</v>
      </c>
      <c r="C7563" s="196">
        <v>0</v>
      </c>
      <c r="D7563" s="196">
        <v>0.3</v>
      </c>
      <c r="E7563" s="195" t="s">
        <v>589</v>
      </c>
      <c r="F7563" s="195" t="s">
        <v>430</v>
      </c>
    </row>
    <row r="7564" spans="1:6" x14ac:dyDescent="0.25">
      <c r="A7564" s="189" t="str">
        <f t="shared" si="118"/>
        <v>PG-IS 95 RP27-200.11N</v>
      </c>
      <c r="B7564" s="195" t="s">
        <v>3531</v>
      </c>
      <c r="C7564" s="196">
        <v>0</v>
      </c>
      <c r="D7564" s="196">
        <v>0.11</v>
      </c>
      <c r="E7564" s="195" t="s">
        <v>589</v>
      </c>
      <c r="F7564" s="195" t="s">
        <v>430</v>
      </c>
    </row>
    <row r="7565" spans="1:6" x14ac:dyDescent="0.25">
      <c r="A7565" s="189" t="str">
        <f t="shared" si="118"/>
        <v>PG-IS 95 RP3-1100.25S</v>
      </c>
      <c r="B7565" s="195" t="s">
        <v>3532</v>
      </c>
      <c r="C7565" s="196">
        <v>0</v>
      </c>
      <c r="D7565" s="196">
        <v>0.25</v>
      </c>
      <c r="E7565" s="195" t="s">
        <v>595</v>
      </c>
      <c r="F7565" s="195" t="s">
        <v>438</v>
      </c>
    </row>
    <row r="7566" spans="1:6" x14ac:dyDescent="0.25">
      <c r="A7566" s="189" t="str">
        <f t="shared" si="118"/>
        <v>PG-IS 95 RP3-1500.22S</v>
      </c>
      <c r="B7566" s="195" t="s">
        <v>3533</v>
      </c>
      <c r="C7566" s="196">
        <v>0</v>
      </c>
      <c r="D7566" s="196">
        <v>0.22</v>
      </c>
      <c r="E7566" s="195" t="s">
        <v>595</v>
      </c>
      <c r="F7566" s="195" t="s">
        <v>438</v>
      </c>
    </row>
    <row r="7567" spans="1:6" x14ac:dyDescent="0.25">
      <c r="A7567" s="189" t="str">
        <f t="shared" si="118"/>
        <v>PG-IS 95 RP3-1700.21S</v>
      </c>
      <c r="B7567" s="195" t="s">
        <v>3534</v>
      </c>
      <c r="C7567" s="196">
        <v>0</v>
      </c>
      <c r="D7567" s="196">
        <v>0.21</v>
      </c>
      <c r="E7567" s="195" t="s">
        <v>595</v>
      </c>
      <c r="F7567" s="195" t="s">
        <v>438</v>
      </c>
    </row>
    <row r="7568" spans="1:6" x14ac:dyDescent="0.25">
      <c r="A7568" s="189" t="str">
        <f t="shared" si="118"/>
        <v>PG-IS 95 RP3-1901E</v>
      </c>
      <c r="B7568" s="195" t="s">
        <v>3535</v>
      </c>
      <c r="C7568" s="196">
        <v>0</v>
      </c>
      <c r="D7568" s="196">
        <v>1</v>
      </c>
      <c r="E7568" s="195" t="s">
        <v>598</v>
      </c>
      <c r="F7568" s="195" t="s">
        <v>19</v>
      </c>
    </row>
    <row r="7569" spans="1:6" x14ac:dyDescent="0.25">
      <c r="A7569" s="189" t="str">
        <f t="shared" si="118"/>
        <v>PG-IS 95 RP3-200.85E</v>
      </c>
      <c r="B7569" s="195" t="s">
        <v>3536</v>
      </c>
      <c r="C7569" s="196">
        <v>0</v>
      </c>
      <c r="D7569" s="196">
        <v>0.85</v>
      </c>
      <c r="E7569" s="195" t="s">
        <v>598</v>
      </c>
      <c r="F7569" s="195" t="s">
        <v>19</v>
      </c>
    </row>
    <row r="7570" spans="1:6" x14ac:dyDescent="0.25">
      <c r="A7570" s="189" t="str">
        <f t="shared" si="118"/>
        <v>PG-IS 95 RP3-2000.05N</v>
      </c>
      <c r="B7570" s="195" t="s">
        <v>3537</v>
      </c>
      <c r="C7570" s="196">
        <v>0</v>
      </c>
      <c r="D7570" s="196">
        <v>0.05</v>
      </c>
      <c r="E7570" s="195" t="s">
        <v>589</v>
      </c>
      <c r="F7570" s="195" t="s">
        <v>430</v>
      </c>
    </row>
    <row r="7571" spans="1:6" x14ac:dyDescent="0.25">
      <c r="A7571" s="189" t="str">
        <f t="shared" si="118"/>
        <v>PG-IS 95 RP3-2200.24E</v>
      </c>
      <c r="B7571" s="195" t="s">
        <v>3538</v>
      </c>
      <c r="C7571" s="196">
        <v>0</v>
      </c>
      <c r="D7571" s="196">
        <v>0.24</v>
      </c>
      <c r="E7571" s="195" t="s">
        <v>598</v>
      </c>
      <c r="F7571" s="195" t="s">
        <v>19</v>
      </c>
    </row>
    <row r="7572" spans="1:6" x14ac:dyDescent="0.25">
      <c r="A7572" s="189" t="str">
        <f t="shared" si="118"/>
        <v>PG-IS 95 RP3-2300.02S</v>
      </c>
      <c r="B7572" s="195" t="s">
        <v>3539</v>
      </c>
      <c r="C7572" s="196">
        <v>0</v>
      </c>
      <c r="D7572" s="196">
        <v>0.02</v>
      </c>
      <c r="E7572" s="195" t="s">
        <v>595</v>
      </c>
      <c r="F7572" s="195" t="s">
        <v>438</v>
      </c>
    </row>
    <row r="7573" spans="1:6" x14ac:dyDescent="0.25">
      <c r="A7573" s="189" t="str">
        <f t="shared" si="118"/>
        <v>PG-IS 95 RP3-2500.17S</v>
      </c>
      <c r="B7573" s="195" t="s">
        <v>3540</v>
      </c>
      <c r="C7573" s="196">
        <v>0</v>
      </c>
      <c r="D7573" s="196">
        <v>0.17</v>
      </c>
      <c r="E7573" s="195" t="s">
        <v>595</v>
      </c>
      <c r="F7573" s="195" t="s">
        <v>438</v>
      </c>
    </row>
    <row r="7574" spans="1:6" x14ac:dyDescent="0.25">
      <c r="A7574" s="189" t="str">
        <f t="shared" si="118"/>
        <v>PG-IS 95 RP3-2700.5E</v>
      </c>
      <c r="B7574" s="195" t="s">
        <v>3541</v>
      </c>
      <c r="C7574" s="196">
        <v>0</v>
      </c>
      <c r="D7574" s="196">
        <v>0.5</v>
      </c>
      <c r="E7574" s="195" t="s">
        <v>598</v>
      </c>
      <c r="F7574" s="195" t="s">
        <v>19</v>
      </c>
    </row>
    <row r="7575" spans="1:6" x14ac:dyDescent="0.25">
      <c r="A7575" s="189" t="str">
        <f t="shared" si="118"/>
        <v>PG-IS 95 RP3-2900.3E</v>
      </c>
      <c r="B7575" s="195" t="s">
        <v>3542</v>
      </c>
      <c r="C7575" s="196">
        <v>0</v>
      </c>
      <c r="D7575" s="196">
        <v>0.3</v>
      </c>
      <c r="E7575" s="195" t="s">
        <v>598</v>
      </c>
      <c r="F7575" s="195" t="s">
        <v>19</v>
      </c>
    </row>
    <row r="7576" spans="1:6" x14ac:dyDescent="0.25">
      <c r="A7576" s="189" t="str">
        <f t="shared" si="118"/>
        <v>PG-IS 95 RP3-300.15S</v>
      </c>
      <c r="B7576" s="195" t="s">
        <v>3543</v>
      </c>
      <c r="C7576" s="196">
        <v>0</v>
      </c>
      <c r="D7576" s="196">
        <v>0.15</v>
      </c>
      <c r="E7576" s="195" t="s">
        <v>595</v>
      </c>
      <c r="F7576" s="195" t="s">
        <v>438</v>
      </c>
    </row>
    <row r="7577" spans="1:6" x14ac:dyDescent="0.25">
      <c r="A7577" s="189" t="str">
        <f t="shared" si="118"/>
        <v>PG-IS 95 RP3-3100.71E</v>
      </c>
      <c r="B7577" s="195" t="s">
        <v>3544</v>
      </c>
      <c r="C7577" s="196">
        <v>0</v>
      </c>
      <c r="D7577" s="196">
        <v>0.71</v>
      </c>
      <c r="E7577" s="195" t="s">
        <v>598</v>
      </c>
      <c r="F7577" s="195" t="s">
        <v>19</v>
      </c>
    </row>
    <row r="7578" spans="1:6" x14ac:dyDescent="0.25">
      <c r="A7578" s="189" t="str">
        <f t="shared" si="118"/>
        <v>PG-IS 95 RP3-3300.39E</v>
      </c>
      <c r="B7578" s="195" t="s">
        <v>3545</v>
      </c>
      <c r="C7578" s="196">
        <v>0</v>
      </c>
      <c r="D7578" s="196">
        <v>0.39</v>
      </c>
      <c r="E7578" s="195" t="s">
        <v>598</v>
      </c>
      <c r="F7578" s="195" t="s">
        <v>19</v>
      </c>
    </row>
    <row r="7579" spans="1:6" x14ac:dyDescent="0.25">
      <c r="A7579" s="189" t="str">
        <f t="shared" si="118"/>
        <v>PG-IS 95 RP3-400.23E</v>
      </c>
      <c r="B7579" s="195" t="s">
        <v>3546</v>
      </c>
      <c r="C7579" s="196">
        <v>0</v>
      </c>
      <c r="D7579" s="196">
        <v>0.23</v>
      </c>
      <c r="E7579" s="195" t="s">
        <v>598</v>
      </c>
      <c r="F7579" s="195" t="s">
        <v>19</v>
      </c>
    </row>
    <row r="7580" spans="1:6" x14ac:dyDescent="0.25">
      <c r="A7580" s="189" t="str">
        <f t="shared" si="118"/>
        <v>PG-IS 95 RP3-700.17S</v>
      </c>
      <c r="B7580" s="195" t="s">
        <v>3547</v>
      </c>
      <c r="C7580" s="196">
        <v>0</v>
      </c>
      <c r="D7580" s="196">
        <v>0.17</v>
      </c>
      <c r="E7580" s="195" t="s">
        <v>595</v>
      </c>
      <c r="F7580" s="195" t="s">
        <v>438</v>
      </c>
    </row>
    <row r="7581" spans="1:6" x14ac:dyDescent="0.25">
      <c r="A7581" s="189" t="str">
        <f t="shared" si="118"/>
        <v>PG-IS 95 RP4-1100.35N</v>
      </c>
      <c r="B7581" s="195" t="s">
        <v>3548</v>
      </c>
      <c r="C7581" s="196">
        <v>0</v>
      </c>
      <c r="D7581" s="196">
        <v>0.35</v>
      </c>
      <c r="E7581" s="195" t="s">
        <v>589</v>
      </c>
      <c r="F7581" s="195" t="s">
        <v>430</v>
      </c>
    </row>
    <row r="7582" spans="1:6" x14ac:dyDescent="0.25">
      <c r="A7582" s="189" t="str">
        <f t="shared" si="118"/>
        <v>PG-IS 95 RP4-1300.33N</v>
      </c>
      <c r="B7582" s="195" t="s">
        <v>3549</v>
      </c>
      <c r="C7582" s="196">
        <v>0</v>
      </c>
      <c r="D7582" s="196">
        <v>0.33</v>
      </c>
      <c r="E7582" s="195" t="s">
        <v>589</v>
      </c>
      <c r="F7582" s="195" t="s">
        <v>430</v>
      </c>
    </row>
    <row r="7583" spans="1:6" x14ac:dyDescent="0.25">
      <c r="A7583" s="189" t="str">
        <f t="shared" si="118"/>
        <v>PG-IS 95 RP4-1500.02N</v>
      </c>
      <c r="B7583" s="195" t="s">
        <v>3550</v>
      </c>
      <c r="C7583" s="196">
        <v>0</v>
      </c>
      <c r="D7583" s="196">
        <v>0.02</v>
      </c>
      <c r="E7583" s="195" t="s">
        <v>589</v>
      </c>
      <c r="F7583" s="195" t="s">
        <v>430</v>
      </c>
    </row>
    <row r="7584" spans="1:6" x14ac:dyDescent="0.25">
      <c r="A7584" s="189" t="str">
        <f t="shared" si="118"/>
        <v>PG-IS 95 RP4-150.020.33N</v>
      </c>
      <c r="B7584" s="195" t="s">
        <v>3550</v>
      </c>
      <c r="C7584" s="196">
        <v>0.02</v>
      </c>
      <c r="D7584" s="196">
        <v>0.33</v>
      </c>
      <c r="E7584" s="195" t="s">
        <v>589</v>
      </c>
      <c r="F7584" s="195" t="s">
        <v>430</v>
      </c>
    </row>
    <row r="7585" spans="1:6" x14ac:dyDescent="0.25">
      <c r="A7585" s="189" t="str">
        <f t="shared" si="118"/>
        <v>PG-IS 95 RP4-1600.24N</v>
      </c>
      <c r="B7585" s="195" t="s">
        <v>3551</v>
      </c>
      <c r="C7585" s="196">
        <v>0</v>
      </c>
      <c r="D7585" s="196">
        <v>0.24</v>
      </c>
      <c r="E7585" s="195" t="s">
        <v>589</v>
      </c>
      <c r="F7585" s="195" t="s">
        <v>430</v>
      </c>
    </row>
    <row r="7586" spans="1:6" x14ac:dyDescent="0.25">
      <c r="A7586" s="189" t="str">
        <f t="shared" si="118"/>
        <v>PG-IS 95 RP4-1700.28N</v>
      </c>
      <c r="B7586" s="195" t="s">
        <v>3552</v>
      </c>
      <c r="C7586" s="196">
        <v>0</v>
      </c>
      <c r="D7586" s="196">
        <v>0.28000000000000003</v>
      </c>
      <c r="E7586" s="195" t="s">
        <v>589</v>
      </c>
      <c r="F7586" s="195" t="s">
        <v>430</v>
      </c>
    </row>
    <row r="7587" spans="1:6" x14ac:dyDescent="0.25">
      <c r="A7587" s="189" t="str">
        <f t="shared" si="118"/>
        <v>PG-IS 95 RP4-1900.36N</v>
      </c>
      <c r="B7587" s="195" t="s">
        <v>3553</v>
      </c>
      <c r="C7587" s="196">
        <v>0</v>
      </c>
      <c r="D7587" s="196">
        <v>0.36</v>
      </c>
      <c r="E7587" s="195" t="s">
        <v>589</v>
      </c>
      <c r="F7587" s="195" t="s">
        <v>430</v>
      </c>
    </row>
    <row r="7588" spans="1:6" x14ac:dyDescent="0.25">
      <c r="A7588" s="189" t="str">
        <f t="shared" si="118"/>
        <v>PG-IS 95 RP4-200.45N</v>
      </c>
      <c r="B7588" s="195" t="s">
        <v>3554</v>
      </c>
      <c r="C7588" s="196">
        <v>0</v>
      </c>
      <c r="D7588" s="196">
        <v>0.45</v>
      </c>
      <c r="E7588" s="195" t="s">
        <v>589</v>
      </c>
      <c r="F7588" s="195" t="s">
        <v>430</v>
      </c>
    </row>
    <row r="7589" spans="1:6" x14ac:dyDescent="0.25">
      <c r="A7589" s="189" t="str">
        <f t="shared" si="118"/>
        <v>PG-IS 95 RP4-2000.2N</v>
      </c>
      <c r="B7589" s="195" t="s">
        <v>3555</v>
      </c>
      <c r="C7589" s="196">
        <v>0</v>
      </c>
      <c r="D7589" s="196">
        <v>0.2</v>
      </c>
      <c r="E7589" s="195" t="s">
        <v>589</v>
      </c>
      <c r="F7589" s="195" t="s">
        <v>430</v>
      </c>
    </row>
    <row r="7590" spans="1:6" x14ac:dyDescent="0.25">
      <c r="A7590" s="189" t="str">
        <f t="shared" si="118"/>
        <v>PG-IS 95 RP4-2200.35N</v>
      </c>
      <c r="B7590" s="195" t="s">
        <v>3556</v>
      </c>
      <c r="C7590" s="196">
        <v>0</v>
      </c>
      <c r="D7590" s="196">
        <v>0.35</v>
      </c>
      <c r="E7590" s="195" t="s">
        <v>589</v>
      </c>
      <c r="F7590" s="195" t="s">
        <v>430</v>
      </c>
    </row>
    <row r="7591" spans="1:6" x14ac:dyDescent="0.25">
      <c r="A7591" s="189" t="str">
        <f t="shared" si="118"/>
        <v>PG-IS 95 RP4-2300.3N</v>
      </c>
      <c r="B7591" s="195" t="s">
        <v>3557</v>
      </c>
      <c r="C7591" s="196">
        <v>0</v>
      </c>
      <c r="D7591" s="196">
        <v>0.3</v>
      </c>
      <c r="E7591" s="195" t="s">
        <v>589</v>
      </c>
      <c r="F7591" s="195" t="s">
        <v>430</v>
      </c>
    </row>
    <row r="7592" spans="1:6" x14ac:dyDescent="0.25">
      <c r="A7592" s="189" t="str">
        <f t="shared" si="118"/>
        <v>PG-IS 95 RP4-2500.19N</v>
      </c>
      <c r="B7592" s="195" t="s">
        <v>3558</v>
      </c>
      <c r="C7592" s="196">
        <v>0</v>
      </c>
      <c r="D7592" s="196">
        <v>0.19</v>
      </c>
      <c r="E7592" s="195" t="s">
        <v>589</v>
      </c>
      <c r="F7592" s="195" t="s">
        <v>430</v>
      </c>
    </row>
    <row r="7593" spans="1:6" x14ac:dyDescent="0.25">
      <c r="A7593" s="189" t="str">
        <f t="shared" si="118"/>
        <v>PG-IS 95 RP4-2700.5N</v>
      </c>
      <c r="B7593" s="195" t="s">
        <v>3559</v>
      </c>
      <c r="C7593" s="196">
        <v>0</v>
      </c>
      <c r="D7593" s="196">
        <v>0.5</v>
      </c>
      <c r="E7593" s="195" t="s">
        <v>589</v>
      </c>
      <c r="F7593" s="195" t="s">
        <v>430</v>
      </c>
    </row>
    <row r="7594" spans="1:6" x14ac:dyDescent="0.25">
      <c r="A7594" s="189" t="str">
        <f t="shared" si="118"/>
        <v>PG-IS 95 RP4-2900.43N</v>
      </c>
      <c r="B7594" s="195" t="s">
        <v>3560</v>
      </c>
      <c r="C7594" s="196">
        <v>0</v>
      </c>
      <c r="D7594" s="196">
        <v>0.43</v>
      </c>
      <c r="E7594" s="195" t="s">
        <v>589</v>
      </c>
      <c r="F7594" s="195" t="s">
        <v>430</v>
      </c>
    </row>
    <row r="7595" spans="1:6" x14ac:dyDescent="0.25">
      <c r="A7595" s="189" t="str">
        <f t="shared" si="118"/>
        <v>PG-IS 95 RP4-300.71N</v>
      </c>
      <c r="B7595" s="195" t="s">
        <v>3561</v>
      </c>
      <c r="C7595" s="196">
        <v>0</v>
      </c>
      <c r="D7595" s="196">
        <v>0.71</v>
      </c>
      <c r="E7595" s="195" t="s">
        <v>589</v>
      </c>
      <c r="F7595" s="195" t="s">
        <v>430</v>
      </c>
    </row>
    <row r="7596" spans="1:6" x14ac:dyDescent="0.25">
      <c r="A7596" s="189" t="str">
        <f t="shared" si="118"/>
        <v>PG-IS 95 RP4-3100.34N</v>
      </c>
      <c r="B7596" s="195" t="s">
        <v>3562</v>
      </c>
      <c r="C7596" s="196">
        <v>0</v>
      </c>
      <c r="D7596" s="196">
        <v>0.34</v>
      </c>
      <c r="E7596" s="195" t="s">
        <v>589</v>
      </c>
      <c r="F7596" s="195" t="s">
        <v>430</v>
      </c>
    </row>
    <row r="7597" spans="1:6" x14ac:dyDescent="0.25">
      <c r="A7597" s="189" t="str">
        <f t="shared" si="118"/>
        <v>PG-IS 95 RP4-3300.9N</v>
      </c>
      <c r="B7597" s="195" t="s">
        <v>3563</v>
      </c>
      <c r="C7597" s="196">
        <v>0</v>
      </c>
      <c r="D7597" s="196">
        <v>0.9</v>
      </c>
      <c r="E7597" s="195" t="s">
        <v>589</v>
      </c>
      <c r="F7597" s="195" t="s">
        <v>430</v>
      </c>
    </row>
    <row r="7598" spans="1:6" x14ac:dyDescent="0.25">
      <c r="A7598" s="189" t="str">
        <f t="shared" si="118"/>
        <v>PG-IS 95 RP4-400.32E</v>
      </c>
      <c r="B7598" s="195" t="s">
        <v>3564</v>
      </c>
      <c r="C7598" s="196">
        <v>0</v>
      </c>
      <c r="D7598" s="196">
        <v>0.32</v>
      </c>
      <c r="E7598" s="195" t="s">
        <v>598</v>
      </c>
      <c r="F7598" s="195" t="s">
        <v>19</v>
      </c>
    </row>
    <row r="7599" spans="1:6" x14ac:dyDescent="0.25">
      <c r="A7599" s="189" t="str">
        <f t="shared" si="118"/>
        <v>PG-IS 95 RP4-700.26N</v>
      </c>
      <c r="B7599" s="195" t="s">
        <v>3565</v>
      </c>
      <c r="C7599" s="196">
        <v>0</v>
      </c>
      <c r="D7599" s="196">
        <v>0.26</v>
      </c>
      <c r="E7599" s="195" t="s">
        <v>589</v>
      </c>
      <c r="F7599" s="195" t="s">
        <v>430</v>
      </c>
    </row>
    <row r="7600" spans="1:6" x14ac:dyDescent="0.25">
      <c r="A7600" s="189" t="str">
        <f t="shared" si="118"/>
        <v>PG-IS 95 RP4-900.17N</v>
      </c>
      <c r="B7600" s="195" t="s">
        <v>3566</v>
      </c>
      <c r="C7600" s="196">
        <v>0</v>
      </c>
      <c r="D7600" s="196">
        <v>0.17</v>
      </c>
      <c r="E7600" s="195" t="s">
        <v>589</v>
      </c>
      <c r="F7600" s="195" t="s">
        <v>430</v>
      </c>
    </row>
    <row r="7601" spans="1:6" x14ac:dyDescent="0.25">
      <c r="A7601" s="189" t="str">
        <f t="shared" si="118"/>
        <v>PG-IS 95 RP5-1100.26S</v>
      </c>
      <c r="B7601" s="195" t="s">
        <v>3567</v>
      </c>
      <c r="C7601" s="196">
        <v>0</v>
      </c>
      <c r="D7601" s="196">
        <v>0.26</v>
      </c>
      <c r="E7601" s="195" t="s">
        <v>595</v>
      </c>
      <c r="F7601" s="195" t="s">
        <v>438</v>
      </c>
    </row>
    <row r="7602" spans="1:6" x14ac:dyDescent="0.25">
      <c r="A7602" s="189" t="str">
        <f t="shared" si="118"/>
        <v>PG-IS 95 RP5-1500.18S</v>
      </c>
      <c r="B7602" s="195" t="s">
        <v>3568</v>
      </c>
      <c r="C7602" s="196">
        <v>0</v>
      </c>
      <c r="D7602" s="196">
        <v>0.18</v>
      </c>
      <c r="E7602" s="195" t="s">
        <v>595</v>
      </c>
      <c r="F7602" s="195" t="s">
        <v>438</v>
      </c>
    </row>
    <row r="7603" spans="1:6" x14ac:dyDescent="0.25">
      <c r="A7603" s="189" t="str">
        <f t="shared" si="118"/>
        <v>PG-IS 95 RP5-1700.21S</v>
      </c>
      <c r="B7603" s="195" t="s">
        <v>3569</v>
      </c>
      <c r="C7603" s="196">
        <v>0</v>
      </c>
      <c r="D7603" s="196">
        <v>0.21</v>
      </c>
      <c r="E7603" s="195" t="s">
        <v>595</v>
      </c>
      <c r="F7603" s="195" t="s">
        <v>438</v>
      </c>
    </row>
    <row r="7604" spans="1:6" x14ac:dyDescent="0.25">
      <c r="A7604" s="189" t="str">
        <f t="shared" si="118"/>
        <v>PG-IS 95 RP5-1900.8S</v>
      </c>
      <c r="B7604" s="195" t="s">
        <v>3570</v>
      </c>
      <c r="C7604" s="196">
        <v>0</v>
      </c>
      <c r="D7604" s="196">
        <v>0.8</v>
      </c>
      <c r="E7604" s="195" t="s">
        <v>595</v>
      </c>
      <c r="F7604" s="195" t="s">
        <v>438</v>
      </c>
    </row>
    <row r="7605" spans="1:6" x14ac:dyDescent="0.25">
      <c r="A7605" s="189" t="str">
        <f t="shared" si="118"/>
        <v>PG-IS 95 RP5-200.19E</v>
      </c>
      <c r="B7605" s="195" t="s">
        <v>3571</v>
      </c>
      <c r="C7605" s="196">
        <v>0</v>
      </c>
      <c r="D7605" s="196">
        <v>0.19</v>
      </c>
      <c r="E7605" s="195" t="s">
        <v>598</v>
      </c>
      <c r="F7605" s="195" t="s">
        <v>19</v>
      </c>
    </row>
    <row r="7606" spans="1:6" x14ac:dyDescent="0.25">
      <c r="A7606" s="189" t="str">
        <f t="shared" si="118"/>
        <v>PG-IS 95 RP5-20.190.4E</v>
      </c>
      <c r="B7606" s="195" t="s">
        <v>3571</v>
      </c>
      <c r="C7606" s="196">
        <v>0.19</v>
      </c>
      <c r="D7606" s="196">
        <v>0.4</v>
      </c>
      <c r="E7606" s="195" t="s">
        <v>598</v>
      </c>
      <c r="F7606" s="195" t="s">
        <v>19</v>
      </c>
    </row>
    <row r="7607" spans="1:6" x14ac:dyDescent="0.25">
      <c r="A7607" s="189" t="str">
        <f t="shared" si="118"/>
        <v>PG-IS 95 RP5-2000.04S</v>
      </c>
      <c r="B7607" s="195" t="s">
        <v>3572</v>
      </c>
      <c r="C7607" s="196">
        <v>0</v>
      </c>
      <c r="D7607" s="196">
        <v>0.04</v>
      </c>
      <c r="E7607" s="195" t="s">
        <v>595</v>
      </c>
      <c r="F7607" s="195" t="s">
        <v>438</v>
      </c>
    </row>
    <row r="7608" spans="1:6" x14ac:dyDescent="0.25">
      <c r="A7608" s="189" t="str">
        <f t="shared" si="118"/>
        <v>PG-IS 95 RP5-2200.21S</v>
      </c>
      <c r="B7608" s="195" t="s">
        <v>3573</v>
      </c>
      <c r="C7608" s="196">
        <v>0</v>
      </c>
      <c r="D7608" s="196">
        <v>0.21</v>
      </c>
      <c r="E7608" s="195" t="s">
        <v>595</v>
      </c>
      <c r="F7608" s="195" t="s">
        <v>438</v>
      </c>
    </row>
    <row r="7609" spans="1:6" x14ac:dyDescent="0.25">
      <c r="A7609" s="189" t="str">
        <f t="shared" si="118"/>
        <v>PG-IS 95 RP5-2300.25W</v>
      </c>
      <c r="B7609" s="195" t="s">
        <v>3574</v>
      </c>
      <c r="C7609" s="196">
        <v>0</v>
      </c>
      <c r="D7609" s="196">
        <v>0.25</v>
      </c>
      <c r="E7609" s="195" t="s">
        <v>593</v>
      </c>
      <c r="F7609" s="195" t="s">
        <v>432</v>
      </c>
    </row>
    <row r="7610" spans="1:6" x14ac:dyDescent="0.25">
      <c r="A7610" s="189" t="str">
        <f t="shared" si="118"/>
        <v>PG-IS 95 RP5-2500.15S</v>
      </c>
      <c r="B7610" s="195" t="s">
        <v>3575</v>
      </c>
      <c r="C7610" s="196">
        <v>0</v>
      </c>
      <c r="D7610" s="196">
        <v>0.15</v>
      </c>
      <c r="E7610" s="195" t="s">
        <v>595</v>
      </c>
      <c r="F7610" s="195" t="s">
        <v>438</v>
      </c>
    </row>
    <row r="7611" spans="1:6" x14ac:dyDescent="0.25">
      <c r="A7611" s="189" t="str">
        <f t="shared" si="118"/>
        <v>PG-IS 95 RP5-2700.31S</v>
      </c>
      <c r="B7611" s="195" t="s">
        <v>3576</v>
      </c>
      <c r="C7611" s="196">
        <v>0</v>
      </c>
      <c r="D7611" s="196">
        <v>0.31</v>
      </c>
      <c r="E7611" s="195" t="s">
        <v>595</v>
      </c>
      <c r="F7611" s="195" t="s">
        <v>438</v>
      </c>
    </row>
    <row r="7612" spans="1:6" x14ac:dyDescent="0.25">
      <c r="A7612" s="189" t="str">
        <f t="shared" si="118"/>
        <v>PG-IS 95 RP5-2900.24N</v>
      </c>
      <c r="B7612" s="195" t="s">
        <v>3577</v>
      </c>
      <c r="C7612" s="196">
        <v>0</v>
      </c>
      <c r="D7612" s="196">
        <v>0.24</v>
      </c>
      <c r="E7612" s="195" t="s">
        <v>589</v>
      </c>
      <c r="F7612" s="195" t="s">
        <v>430</v>
      </c>
    </row>
    <row r="7613" spans="1:6" x14ac:dyDescent="0.25">
      <c r="A7613" s="189" t="str">
        <f t="shared" si="118"/>
        <v>PG-IS 95 RP5-3100.25S</v>
      </c>
      <c r="B7613" s="195" t="s">
        <v>3578</v>
      </c>
      <c r="C7613" s="196">
        <v>0</v>
      </c>
      <c r="D7613" s="196">
        <v>0.25</v>
      </c>
      <c r="E7613" s="195" t="s">
        <v>595</v>
      </c>
      <c r="F7613" s="195" t="s">
        <v>438</v>
      </c>
    </row>
    <row r="7614" spans="1:6" x14ac:dyDescent="0.25">
      <c r="A7614" s="189" t="str">
        <f t="shared" si="118"/>
        <v>PG-IS 95 RP5-3300.45S</v>
      </c>
      <c r="B7614" s="195" t="s">
        <v>3579</v>
      </c>
      <c r="C7614" s="196">
        <v>0</v>
      </c>
      <c r="D7614" s="196">
        <v>0.45</v>
      </c>
      <c r="E7614" s="195" t="s">
        <v>595</v>
      </c>
      <c r="F7614" s="195" t="s">
        <v>438</v>
      </c>
    </row>
    <row r="7615" spans="1:6" x14ac:dyDescent="0.25">
      <c r="A7615" s="189" t="str">
        <f t="shared" si="118"/>
        <v>PG-IS 95 RP5-400.23S</v>
      </c>
      <c r="B7615" s="195" t="s">
        <v>3580</v>
      </c>
      <c r="C7615" s="196">
        <v>0</v>
      </c>
      <c r="D7615" s="196">
        <v>0.23</v>
      </c>
      <c r="E7615" s="195" t="s">
        <v>595</v>
      </c>
      <c r="F7615" s="195" t="s">
        <v>438</v>
      </c>
    </row>
    <row r="7616" spans="1:6" x14ac:dyDescent="0.25">
      <c r="A7616" s="189" t="str">
        <f t="shared" si="118"/>
        <v>PG-IS 95 RP5-700.32S</v>
      </c>
      <c r="B7616" s="195" t="s">
        <v>3581</v>
      </c>
      <c r="C7616" s="196">
        <v>0</v>
      </c>
      <c r="D7616" s="196">
        <v>0.32</v>
      </c>
      <c r="E7616" s="195" t="s">
        <v>595</v>
      </c>
      <c r="F7616" s="195" t="s">
        <v>438</v>
      </c>
    </row>
    <row r="7617" spans="1:6" x14ac:dyDescent="0.25">
      <c r="A7617" s="189" t="str">
        <f t="shared" si="118"/>
        <v>PG-IS 95 RP5-900.03E</v>
      </c>
      <c r="B7617" s="195" t="s">
        <v>3582</v>
      </c>
      <c r="C7617" s="196">
        <v>0</v>
      </c>
      <c r="D7617" s="196">
        <v>0.03</v>
      </c>
      <c r="E7617" s="195" t="s">
        <v>598</v>
      </c>
      <c r="F7617" s="195" t="s">
        <v>19</v>
      </c>
    </row>
    <row r="7618" spans="1:6" x14ac:dyDescent="0.25">
      <c r="A7618" s="189" t="str">
        <f t="shared" si="118"/>
        <v>PG-IS 95 RP6-1100.33S</v>
      </c>
      <c r="B7618" s="195" t="s">
        <v>3583</v>
      </c>
      <c r="C7618" s="196">
        <v>0</v>
      </c>
      <c r="D7618" s="196">
        <v>0.33</v>
      </c>
      <c r="E7618" s="195" t="s">
        <v>595</v>
      </c>
      <c r="F7618" s="195" t="s">
        <v>438</v>
      </c>
    </row>
    <row r="7619" spans="1:6" x14ac:dyDescent="0.25">
      <c r="A7619" s="189" t="str">
        <f t="shared" ref="A7619:A7682" si="119">B7619&amp;C7619&amp;D7619&amp;F7619</f>
        <v>PG-IS 95 RP6-1300.28S</v>
      </c>
      <c r="B7619" s="195" t="s">
        <v>3584</v>
      </c>
      <c r="C7619" s="196">
        <v>0</v>
      </c>
      <c r="D7619" s="196">
        <v>0.28000000000000003</v>
      </c>
      <c r="E7619" s="195" t="s">
        <v>595</v>
      </c>
      <c r="F7619" s="195" t="s">
        <v>438</v>
      </c>
    </row>
    <row r="7620" spans="1:6" x14ac:dyDescent="0.25">
      <c r="A7620" s="189" t="str">
        <f t="shared" si="119"/>
        <v>PG-IS 95 RP6-1500.27S</v>
      </c>
      <c r="B7620" s="195" t="s">
        <v>3585</v>
      </c>
      <c r="C7620" s="196">
        <v>0</v>
      </c>
      <c r="D7620" s="196">
        <v>0.27</v>
      </c>
      <c r="E7620" s="195" t="s">
        <v>595</v>
      </c>
      <c r="F7620" s="195" t="s">
        <v>438</v>
      </c>
    </row>
    <row r="7621" spans="1:6" x14ac:dyDescent="0.25">
      <c r="A7621" s="189" t="str">
        <f t="shared" si="119"/>
        <v>PG-IS 95 RP6-1600.15S</v>
      </c>
      <c r="B7621" s="195" t="s">
        <v>3586</v>
      </c>
      <c r="C7621" s="196">
        <v>0</v>
      </c>
      <c r="D7621" s="196">
        <v>0.15</v>
      </c>
      <c r="E7621" s="195" t="s">
        <v>595</v>
      </c>
      <c r="F7621" s="195" t="s">
        <v>438</v>
      </c>
    </row>
    <row r="7622" spans="1:6" x14ac:dyDescent="0.25">
      <c r="A7622" s="189" t="str">
        <f t="shared" si="119"/>
        <v>PG-IS 95 RP6-1700.32S</v>
      </c>
      <c r="B7622" s="195" t="s">
        <v>3587</v>
      </c>
      <c r="C7622" s="196">
        <v>0</v>
      </c>
      <c r="D7622" s="196">
        <v>0.32</v>
      </c>
      <c r="E7622" s="195" t="s">
        <v>595</v>
      </c>
      <c r="F7622" s="195" t="s">
        <v>438</v>
      </c>
    </row>
    <row r="7623" spans="1:6" x14ac:dyDescent="0.25">
      <c r="A7623" s="189" t="str">
        <f t="shared" si="119"/>
        <v>PG-IS 95 RP6-170.140.2N</v>
      </c>
      <c r="B7623" s="195" t="s">
        <v>3587</v>
      </c>
      <c r="C7623" s="196">
        <v>0.14000000000000001</v>
      </c>
      <c r="D7623" s="196">
        <v>0.2</v>
      </c>
      <c r="E7623" s="195" t="s">
        <v>589</v>
      </c>
      <c r="F7623" s="195" t="s">
        <v>430</v>
      </c>
    </row>
    <row r="7624" spans="1:6" x14ac:dyDescent="0.25">
      <c r="A7624" s="189" t="str">
        <f t="shared" si="119"/>
        <v>PG-IS 95 RP6-1900.21S</v>
      </c>
      <c r="B7624" s="195" t="s">
        <v>3588</v>
      </c>
      <c r="C7624" s="196">
        <v>0</v>
      </c>
      <c r="D7624" s="196">
        <v>0.21</v>
      </c>
      <c r="E7624" s="195" t="s">
        <v>595</v>
      </c>
      <c r="F7624" s="195" t="s">
        <v>438</v>
      </c>
    </row>
    <row r="7625" spans="1:6" x14ac:dyDescent="0.25">
      <c r="A7625" s="189" t="str">
        <f t="shared" si="119"/>
        <v>PG-IS 95 RP6-200.23E</v>
      </c>
      <c r="B7625" s="195" t="s">
        <v>3589</v>
      </c>
      <c r="C7625" s="196">
        <v>0</v>
      </c>
      <c r="D7625" s="196">
        <v>0.23</v>
      </c>
      <c r="E7625" s="195" t="s">
        <v>598</v>
      </c>
      <c r="F7625" s="195" t="s">
        <v>19</v>
      </c>
    </row>
    <row r="7626" spans="1:6" x14ac:dyDescent="0.25">
      <c r="A7626" s="189" t="str">
        <f t="shared" si="119"/>
        <v>PG-IS 95 RP6-20.230.35E</v>
      </c>
      <c r="B7626" s="195" t="s">
        <v>3589</v>
      </c>
      <c r="C7626" s="196">
        <v>0.23</v>
      </c>
      <c r="D7626" s="196">
        <v>0.35</v>
      </c>
      <c r="E7626" s="195" t="s">
        <v>598</v>
      </c>
      <c r="F7626" s="195" t="s">
        <v>19</v>
      </c>
    </row>
    <row r="7627" spans="1:6" x14ac:dyDescent="0.25">
      <c r="A7627" s="189" t="str">
        <f t="shared" si="119"/>
        <v>PG-IS 95 RP6-20.350.58E</v>
      </c>
      <c r="B7627" s="195" t="s">
        <v>3589</v>
      </c>
      <c r="C7627" s="196">
        <v>0.35</v>
      </c>
      <c r="D7627" s="196">
        <v>0.57999999999999996</v>
      </c>
      <c r="E7627" s="195" t="s">
        <v>598</v>
      </c>
      <c r="F7627" s="195" t="s">
        <v>19</v>
      </c>
    </row>
    <row r="7628" spans="1:6" x14ac:dyDescent="0.25">
      <c r="A7628" s="189" t="str">
        <f t="shared" si="119"/>
        <v>PG-IS 95 RP6-2000.03N</v>
      </c>
      <c r="B7628" s="195" t="s">
        <v>3590</v>
      </c>
      <c r="C7628" s="196">
        <v>0</v>
      </c>
      <c r="D7628" s="196">
        <v>0.03</v>
      </c>
      <c r="E7628" s="195" t="s">
        <v>589</v>
      </c>
      <c r="F7628" s="195" t="s">
        <v>430</v>
      </c>
    </row>
    <row r="7629" spans="1:6" x14ac:dyDescent="0.25">
      <c r="A7629" s="189" t="str">
        <f t="shared" si="119"/>
        <v>PG-IS 95 RP6-2200.33E</v>
      </c>
      <c r="B7629" s="195" t="s">
        <v>3591</v>
      </c>
      <c r="C7629" s="196">
        <v>0</v>
      </c>
      <c r="D7629" s="196">
        <v>0.33</v>
      </c>
      <c r="E7629" s="195" t="s">
        <v>598</v>
      </c>
      <c r="F7629" s="195" t="s">
        <v>19</v>
      </c>
    </row>
    <row r="7630" spans="1:6" x14ac:dyDescent="0.25">
      <c r="A7630" s="189" t="str">
        <f t="shared" si="119"/>
        <v>PG-IS 95 RP6-2300.34S</v>
      </c>
      <c r="B7630" s="195" t="s">
        <v>3592</v>
      </c>
      <c r="C7630" s="196">
        <v>0</v>
      </c>
      <c r="D7630" s="196">
        <v>0.34</v>
      </c>
      <c r="E7630" s="195" t="s">
        <v>595</v>
      </c>
      <c r="F7630" s="195" t="s">
        <v>438</v>
      </c>
    </row>
    <row r="7631" spans="1:6" x14ac:dyDescent="0.25">
      <c r="A7631" s="189" t="str">
        <f t="shared" si="119"/>
        <v>PG-IS 95 RP6-2500.25S</v>
      </c>
      <c r="B7631" s="195" t="s">
        <v>3593</v>
      </c>
      <c r="C7631" s="196">
        <v>0</v>
      </c>
      <c r="D7631" s="196">
        <v>0.25</v>
      </c>
      <c r="E7631" s="195" t="s">
        <v>595</v>
      </c>
      <c r="F7631" s="195" t="s">
        <v>438</v>
      </c>
    </row>
    <row r="7632" spans="1:6" x14ac:dyDescent="0.25">
      <c r="A7632" s="189" t="str">
        <f t="shared" si="119"/>
        <v>PG-IS 95 RP6-250.150.25N</v>
      </c>
      <c r="B7632" s="195" t="s">
        <v>3593</v>
      </c>
      <c r="C7632" s="196">
        <v>0.15</v>
      </c>
      <c r="D7632" s="196">
        <v>0.25</v>
      </c>
      <c r="E7632" s="195" t="s">
        <v>589</v>
      </c>
      <c r="F7632" s="195" t="s">
        <v>430</v>
      </c>
    </row>
    <row r="7633" spans="1:6" x14ac:dyDescent="0.25">
      <c r="A7633" s="189" t="str">
        <f t="shared" si="119"/>
        <v>PG-IS 95 RP6-2700.17S</v>
      </c>
      <c r="B7633" s="195" t="s">
        <v>3594</v>
      </c>
      <c r="C7633" s="196">
        <v>0</v>
      </c>
      <c r="D7633" s="196">
        <v>0.17</v>
      </c>
      <c r="E7633" s="195" t="s">
        <v>595</v>
      </c>
      <c r="F7633" s="195" t="s">
        <v>438</v>
      </c>
    </row>
    <row r="7634" spans="1:6" x14ac:dyDescent="0.25">
      <c r="A7634" s="189" t="str">
        <f t="shared" si="119"/>
        <v>PG-IS 95 RP6-2900.38E</v>
      </c>
      <c r="B7634" s="195" t="s">
        <v>3595</v>
      </c>
      <c r="C7634" s="196">
        <v>0</v>
      </c>
      <c r="D7634" s="196">
        <v>0.38</v>
      </c>
      <c r="E7634" s="195" t="s">
        <v>598</v>
      </c>
      <c r="F7634" s="195" t="s">
        <v>19</v>
      </c>
    </row>
    <row r="7635" spans="1:6" x14ac:dyDescent="0.25">
      <c r="A7635" s="189" t="str">
        <f t="shared" si="119"/>
        <v>PG-IS 95 RP6-3100.53E</v>
      </c>
      <c r="B7635" s="195" t="s">
        <v>3596</v>
      </c>
      <c r="C7635" s="196">
        <v>0</v>
      </c>
      <c r="D7635" s="196">
        <v>0.53</v>
      </c>
      <c r="E7635" s="195" t="s">
        <v>598</v>
      </c>
      <c r="F7635" s="195" t="s">
        <v>19</v>
      </c>
    </row>
    <row r="7636" spans="1:6" x14ac:dyDescent="0.25">
      <c r="A7636" s="189" t="str">
        <f t="shared" si="119"/>
        <v>PG-IS 95 RP6-310.110.29W</v>
      </c>
      <c r="B7636" s="195" t="s">
        <v>3596</v>
      </c>
      <c r="C7636" s="196">
        <v>0.11</v>
      </c>
      <c r="D7636" s="196">
        <v>0.28999999999999998</v>
      </c>
      <c r="E7636" s="195" t="s">
        <v>593</v>
      </c>
      <c r="F7636" s="195" t="s">
        <v>432</v>
      </c>
    </row>
    <row r="7637" spans="1:6" x14ac:dyDescent="0.25">
      <c r="A7637" s="189" t="str">
        <f t="shared" si="119"/>
        <v>PG-IS 95 RP6-3300.54E</v>
      </c>
      <c r="B7637" s="195" t="s">
        <v>3597</v>
      </c>
      <c r="C7637" s="196">
        <v>0</v>
      </c>
      <c r="D7637" s="196">
        <v>0.54</v>
      </c>
      <c r="E7637" s="195" t="s">
        <v>598</v>
      </c>
      <c r="F7637" s="195" t="s">
        <v>19</v>
      </c>
    </row>
    <row r="7638" spans="1:6" x14ac:dyDescent="0.25">
      <c r="A7638" s="189" t="str">
        <f t="shared" si="119"/>
        <v>PG-IS 95 RP6-400.22E</v>
      </c>
      <c r="B7638" s="195" t="s">
        <v>3598</v>
      </c>
      <c r="C7638" s="196">
        <v>0</v>
      </c>
      <c r="D7638" s="196">
        <v>0.22</v>
      </c>
      <c r="E7638" s="195" t="s">
        <v>598</v>
      </c>
      <c r="F7638" s="195" t="s">
        <v>19</v>
      </c>
    </row>
    <row r="7639" spans="1:6" x14ac:dyDescent="0.25">
      <c r="A7639" s="189" t="str">
        <f t="shared" si="119"/>
        <v>PG-IS 95 RP6-700.58S</v>
      </c>
      <c r="B7639" s="195" t="s">
        <v>3599</v>
      </c>
      <c r="C7639" s="196">
        <v>0</v>
      </c>
      <c r="D7639" s="196">
        <v>0.57999999999999996</v>
      </c>
      <c r="E7639" s="195" t="s">
        <v>595</v>
      </c>
      <c r="F7639" s="195" t="s">
        <v>438</v>
      </c>
    </row>
    <row r="7640" spans="1:6" x14ac:dyDescent="0.25">
      <c r="A7640" s="189" t="str">
        <f t="shared" si="119"/>
        <v>PG-IS 95 RP6-900.26E</v>
      </c>
      <c r="B7640" s="195" t="s">
        <v>3600</v>
      </c>
      <c r="C7640" s="196">
        <v>0</v>
      </c>
      <c r="D7640" s="196">
        <v>0.26</v>
      </c>
      <c r="E7640" s="195" t="s">
        <v>598</v>
      </c>
      <c r="F7640" s="195" t="s">
        <v>19</v>
      </c>
    </row>
    <row r="7641" spans="1:6" x14ac:dyDescent="0.25">
      <c r="A7641" s="189" t="str">
        <f t="shared" si="119"/>
        <v>PG-IS 95 RP7-1100.18S</v>
      </c>
      <c r="B7641" s="195" t="s">
        <v>3601</v>
      </c>
      <c r="C7641" s="196">
        <v>0</v>
      </c>
      <c r="D7641" s="196">
        <v>0.18</v>
      </c>
      <c r="E7641" s="195" t="s">
        <v>595</v>
      </c>
      <c r="F7641" s="195" t="s">
        <v>438</v>
      </c>
    </row>
    <row r="7642" spans="1:6" x14ac:dyDescent="0.25">
      <c r="A7642" s="189" t="str">
        <f t="shared" si="119"/>
        <v>PG-IS 95 RP7-1500.04N</v>
      </c>
      <c r="B7642" s="195" t="s">
        <v>3602</v>
      </c>
      <c r="C7642" s="196">
        <v>0</v>
      </c>
      <c r="D7642" s="196">
        <v>0.04</v>
      </c>
      <c r="E7642" s="195" t="s">
        <v>589</v>
      </c>
      <c r="F7642" s="195" t="s">
        <v>430</v>
      </c>
    </row>
    <row r="7643" spans="1:6" x14ac:dyDescent="0.25">
      <c r="A7643" s="189" t="str">
        <f t="shared" si="119"/>
        <v>PG-IS 95 RP7-1700.08S</v>
      </c>
      <c r="B7643" s="195" t="s">
        <v>3603</v>
      </c>
      <c r="C7643" s="196">
        <v>0</v>
      </c>
      <c r="D7643" s="196">
        <v>0.08</v>
      </c>
      <c r="E7643" s="195" t="s">
        <v>595</v>
      </c>
      <c r="F7643" s="195" t="s">
        <v>438</v>
      </c>
    </row>
    <row r="7644" spans="1:6" x14ac:dyDescent="0.25">
      <c r="A7644" s="189" t="str">
        <f t="shared" si="119"/>
        <v>PG-IS 95 RP7-1900.8W</v>
      </c>
      <c r="B7644" s="195" t="s">
        <v>3604</v>
      </c>
      <c r="C7644" s="196">
        <v>0</v>
      </c>
      <c r="D7644" s="196">
        <v>0.8</v>
      </c>
      <c r="E7644" s="195" t="s">
        <v>593</v>
      </c>
      <c r="F7644" s="195" t="s">
        <v>432</v>
      </c>
    </row>
    <row r="7645" spans="1:6" x14ac:dyDescent="0.25">
      <c r="A7645" s="189" t="str">
        <f t="shared" si="119"/>
        <v>PG-IS 95 RP7-200.22W</v>
      </c>
      <c r="B7645" s="195" t="s">
        <v>3605</v>
      </c>
      <c r="C7645" s="196">
        <v>0</v>
      </c>
      <c r="D7645" s="196">
        <v>0.22</v>
      </c>
      <c r="E7645" s="195" t="s">
        <v>593</v>
      </c>
      <c r="F7645" s="195" t="s">
        <v>432</v>
      </c>
    </row>
    <row r="7646" spans="1:6" x14ac:dyDescent="0.25">
      <c r="A7646" s="189" t="str">
        <f t="shared" si="119"/>
        <v>PG-IS 95 RP7-2000.2W</v>
      </c>
      <c r="B7646" s="195" t="s">
        <v>3606</v>
      </c>
      <c r="C7646" s="196">
        <v>0</v>
      </c>
      <c r="D7646" s="196">
        <v>0.2</v>
      </c>
      <c r="E7646" s="195" t="s">
        <v>593</v>
      </c>
      <c r="F7646" s="195" t="s">
        <v>432</v>
      </c>
    </row>
    <row r="7647" spans="1:6" x14ac:dyDescent="0.25">
      <c r="A7647" s="189" t="str">
        <f t="shared" si="119"/>
        <v>PG-IS 95 RP7-2200.23W</v>
      </c>
      <c r="B7647" s="195" t="s">
        <v>3607</v>
      </c>
      <c r="C7647" s="196">
        <v>0</v>
      </c>
      <c r="D7647" s="196">
        <v>0.23</v>
      </c>
      <c r="E7647" s="195" t="s">
        <v>593</v>
      </c>
      <c r="F7647" s="195" t="s">
        <v>432</v>
      </c>
    </row>
    <row r="7648" spans="1:6" x14ac:dyDescent="0.25">
      <c r="A7648" s="189" t="str">
        <f t="shared" si="119"/>
        <v>PG-IS 95 RP7-2500.21W</v>
      </c>
      <c r="B7648" s="195" t="s">
        <v>3608</v>
      </c>
      <c r="C7648" s="196">
        <v>0</v>
      </c>
      <c r="D7648" s="196">
        <v>0.21</v>
      </c>
      <c r="E7648" s="195" t="s">
        <v>593</v>
      </c>
      <c r="F7648" s="195" t="s">
        <v>432</v>
      </c>
    </row>
    <row r="7649" spans="1:6" x14ac:dyDescent="0.25">
      <c r="A7649" s="189" t="str">
        <f t="shared" si="119"/>
        <v>PG-IS 95 RP7-2700.53W</v>
      </c>
      <c r="B7649" s="195" t="s">
        <v>3609</v>
      </c>
      <c r="C7649" s="196">
        <v>0</v>
      </c>
      <c r="D7649" s="196">
        <v>0.53</v>
      </c>
      <c r="E7649" s="195" t="s">
        <v>593</v>
      </c>
      <c r="F7649" s="195" t="s">
        <v>432</v>
      </c>
    </row>
    <row r="7650" spans="1:6" x14ac:dyDescent="0.25">
      <c r="A7650" s="189" t="str">
        <f t="shared" si="119"/>
        <v>PG-IS 95 RP7-2900.28W</v>
      </c>
      <c r="B7650" s="195" t="s">
        <v>3610</v>
      </c>
      <c r="C7650" s="196">
        <v>0</v>
      </c>
      <c r="D7650" s="196">
        <v>0.28000000000000003</v>
      </c>
      <c r="E7650" s="195" t="s">
        <v>593</v>
      </c>
      <c r="F7650" s="195" t="s">
        <v>432</v>
      </c>
    </row>
    <row r="7651" spans="1:6" x14ac:dyDescent="0.25">
      <c r="A7651" s="189" t="str">
        <f t="shared" si="119"/>
        <v>PG-IS 95 RP7-300.04W</v>
      </c>
      <c r="B7651" s="195" t="s">
        <v>3611</v>
      </c>
      <c r="C7651" s="196">
        <v>0</v>
      </c>
      <c r="D7651" s="196">
        <v>0.04</v>
      </c>
      <c r="E7651" s="195" t="s">
        <v>593</v>
      </c>
      <c r="F7651" s="195" t="s">
        <v>432</v>
      </c>
    </row>
    <row r="7652" spans="1:6" x14ac:dyDescent="0.25">
      <c r="A7652" s="189" t="str">
        <f t="shared" si="119"/>
        <v>PG-IS 95 RP7-3101.12W</v>
      </c>
      <c r="B7652" s="195" t="s">
        <v>3612</v>
      </c>
      <c r="C7652" s="196">
        <v>0</v>
      </c>
      <c r="D7652" s="196">
        <v>1.1200000000000001</v>
      </c>
      <c r="E7652" s="195" t="s">
        <v>593</v>
      </c>
      <c r="F7652" s="195" t="s">
        <v>432</v>
      </c>
    </row>
    <row r="7653" spans="1:6" x14ac:dyDescent="0.25">
      <c r="A7653" s="189" t="str">
        <f t="shared" si="119"/>
        <v>PG-IS 95 RP7-3301.63W</v>
      </c>
      <c r="B7653" s="195" t="s">
        <v>3613</v>
      </c>
      <c r="C7653" s="196">
        <v>0</v>
      </c>
      <c r="D7653" s="196">
        <v>1.63</v>
      </c>
      <c r="E7653" s="195" t="s">
        <v>593</v>
      </c>
      <c r="F7653" s="195" t="s">
        <v>432</v>
      </c>
    </row>
    <row r="7654" spans="1:6" x14ac:dyDescent="0.25">
      <c r="A7654" s="189" t="str">
        <f t="shared" si="119"/>
        <v>PG-IS 95 RP7-400.26W</v>
      </c>
      <c r="B7654" s="195" t="s">
        <v>3614</v>
      </c>
      <c r="C7654" s="196">
        <v>0</v>
      </c>
      <c r="D7654" s="196">
        <v>0.26</v>
      </c>
      <c r="E7654" s="195" t="s">
        <v>593</v>
      </c>
      <c r="F7654" s="195" t="s">
        <v>432</v>
      </c>
    </row>
    <row r="7655" spans="1:6" x14ac:dyDescent="0.25">
      <c r="A7655" s="189" t="str">
        <f t="shared" si="119"/>
        <v>PG-IS 95 RP7-700.5N</v>
      </c>
      <c r="B7655" s="195" t="s">
        <v>3615</v>
      </c>
      <c r="C7655" s="196">
        <v>0</v>
      </c>
      <c r="D7655" s="196">
        <v>0.5</v>
      </c>
      <c r="E7655" s="195" t="s">
        <v>589</v>
      </c>
      <c r="F7655" s="195" t="s">
        <v>430</v>
      </c>
    </row>
    <row r="7656" spans="1:6" x14ac:dyDescent="0.25">
      <c r="A7656" s="189" t="str">
        <f t="shared" si="119"/>
        <v>PG-IS 95 RP7-900.21W</v>
      </c>
      <c r="B7656" s="195" t="s">
        <v>3616</v>
      </c>
      <c r="C7656" s="196">
        <v>0</v>
      </c>
      <c r="D7656" s="196">
        <v>0.21</v>
      </c>
      <c r="E7656" s="195" t="s">
        <v>593</v>
      </c>
      <c r="F7656" s="195" t="s">
        <v>432</v>
      </c>
    </row>
    <row r="7657" spans="1:6" x14ac:dyDescent="0.25">
      <c r="A7657" s="189" t="str">
        <f t="shared" si="119"/>
        <v>PG-IS 95 RP8-1100.27S</v>
      </c>
      <c r="B7657" s="195" t="s">
        <v>3617</v>
      </c>
      <c r="C7657" s="196">
        <v>0</v>
      </c>
      <c r="D7657" s="196">
        <v>0.27</v>
      </c>
      <c r="E7657" s="195" t="s">
        <v>595</v>
      </c>
      <c r="F7657" s="195" t="s">
        <v>438</v>
      </c>
    </row>
    <row r="7658" spans="1:6" x14ac:dyDescent="0.25">
      <c r="A7658" s="189" t="str">
        <f t="shared" si="119"/>
        <v>PG-IS 95 RP8-1300.36W</v>
      </c>
      <c r="B7658" s="195" t="s">
        <v>3618</v>
      </c>
      <c r="C7658" s="196">
        <v>0</v>
      </c>
      <c r="D7658" s="196">
        <v>0.36</v>
      </c>
      <c r="E7658" s="195" t="s">
        <v>593</v>
      </c>
      <c r="F7658" s="195" t="s">
        <v>432</v>
      </c>
    </row>
    <row r="7659" spans="1:6" x14ac:dyDescent="0.25">
      <c r="A7659" s="189" t="str">
        <f t="shared" si="119"/>
        <v>PG-IS 95 RP8-1500.36S</v>
      </c>
      <c r="B7659" s="195" t="s">
        <v>3619</v>
      </c>
      <c r="C7659" s="196">
        <v>0</v>
      </c>
      <c r="D7659" s="196">
        <v>0.36</v>
      </c>
      <c r="E7659" s="195" t="s">
        <v>595</v>
      </c>
      <c r="F7659" s="195" t="s">
        <v>438</v>
      </c>
    </row>
    <row r="7660" spans="1:6" x14ac:dyDescent="0.25">
      <c r="A7660" s="189" t="str">
        <f t="shared" si="119"/>
        <v>PG-IS 95 RP8-1600.06S</v>
      </c>
      <c r="B7660" s="195" t="s">
        <v>3620</v>
      </c>
      <c r="C7660" s="196">
        <v>0</v>
      </c>
      <c r="D7660" s="196">
        <v>0.06</v>
      </c>
      <c r="E7660" s="195" t="s">
        <v>595</v>
      </c>
      <c r="F7660" s="195" t="s">
        <v>438</v>
      </c>
    </row>
    <row r="7661" spans="1:6" x14ac:dyDescent="0.25">
      <c r="A7661" s="189" t="str">
        <f t="shared" si="119"/>
        <v>PG-IS 95 RP8-160.060.19S</v>
      </c>
      <c r="B7661" s="195" t="s">
        <v>3620</v>
      </c>
      <c r="C7661" s="196">
        <v>0.06</v>
      </c>
      <c r="D7661" s="196">
        <v>0.19</v>
      </c>
      <c r="E7661" s="195" t="s">
        <v>595</v>
      </c>
      <c r="F7661" s="195" t="s">
        <v>438</v>
      </c>
    </row>
    <row r="7662" spans="1:6" x14ac:dyDescent="0.25">
      <c r="A7662" s="189" t="str">
        <f t="shared" si="119"/>
        <v>PG-IS 95 RP8-1700.24S</v>
      </c>
      <c r="B7662" s="195" t="s">
        <v>3621</v>
      </c>
      <c r="C7662" s="196">
        <v>0</v>
      </c>
      <c r="D7662" s="196">
        <v>0.24</v>
      </c>
      <c r="E7662" s="195" t="s">
        <v>595</v>
      </c>
      <c r="F7662" s="195" t="s">
        <v>438</v>
      </c>
    </row>
    <row r="7663" spans="1:6" x14ac:dyDescent="0.25">
      <c r="A7663" s="189" t="str">
        <f t="shared" si="119"/>
        <v>PG-IS 95 RP8-1900.32S</v>
      </c>
      <c r="B7663" s="195" t="s">
        <v>3622</v>
      </c>
      <c r="C7663" s="196">
        <v>0</v>
      </c>
      <c r="D7663" s="196">
        <v>0.32</v>
      </c>
      <c r="E7663" s="195" t="s">
        <v>595</v>
      </c>
      <c r="F7663" s="195" t="s">
        <v>438</v>
      </c>
    </row>
    <row r="7664" spans="1:6" x14ac:dyDescent="0.25">
      <c r="A7664" s="189" t="str">
        <f t="shared" si="119"/>
        <v>PG-IS 95 RP8-200.48S</v>
      </c>
      <c r="B7664" s="195" t="s">
        <v>3623</v>
      </c>
      <c r="C7664" s="196">
        <v>0</v>
      </c>
      <c r="D7664" s="196">
        <v>0.48</v>
      </c>
      <c r="E7664" s="195" t="s">
        <v>595</v>
      </c>
      <c r="F7664" s="195" t="s">
        <v>438</v>
      </c>
    </row>
    <row r="7665" spans="1:6" x14ac:dyDescent="0.25">
      <c r="A7665" s="189" t="str">
        <f t="shared" si="119"/>
        <v>PG-IS 95 RP8-2000.28S</v>
      </c>
      <c r="B7665" s="195" t="s">
        <v>3624</v>
      </c>
      <c r="C7665" s="196">
        <v>0</v>
      </c>
      <c r="D7665" s="196">
        <v>0.28000000000000003</v>
      </c>
      <c r="E7665" s="195" t="s">
        <v>595</v>
      </c>
      <c r="F7665" s="195" t="s">
        <v>438</v>
      </c>
    </row>
    <row r="7666" spans="1:6" x14ac:dyDescent="0.25">
      <c r="A7666" s="189" t="str">
        <f t="shared" si="119"/>
        <v>PG-IS 95 RP8-200.180.23N</v>
      </c>
      <c r="B7666" s="195" t="s">
        <v>3624</v>
      </c>
      <c r="C7666" s="196">
        <v>0.18</v>
      </c>
      <c r="D7666" s="196">
        <v>0.23</v>
      </c>
      <c r="E7666" s="195" t="s">
        <v>589</v>
      </c>
      <c r="F7666" s="195" t="s">
        <v>430</v>
      </c>
    </row>
    <row r="7667" spans="1:6" x14ac:dyDescent="0.25">
      <c r="A7667" s="189" t="str">
        <f t="shared" si="119"/>
        <v>PG-IS 95 RP8-2200.34S</v>
      </c>
      <c r="B7667" s="195" t="s">
        <v>3625</v>
      </c>
      <c r="C7667" s="196">
        <v>0</v>
      </c>
      <c r="D7667" s="196">
        <v>0.34</v>
      </c>
      <c r="E7667" s="195" t="s">
        <v>595</v>
      </c>
      <c r="F7667" s="195" t="s">
        <v>438</v>
      </c>
    </row>
    <row r="7668" spans="1:6" x14ac:dyDescent="0.25">
      <c r="A7668" s="189" t="str">
        <f t="shared" si="119"/>
        <v>PG-IS 95 RP8-2300.23S</v>
      </c>
      <c r="B7668" s="195" t="s">
        <v>3626</v>
      </c>
      <c r="C7668" s="196">
        <v>0</v>
      </c>
      <c r="D7668" s="196">
        <v>0.23</v>
      </c>
      <c r="E7668" s="195" t="s">
        <v>595</v>
      </c>
      <c r="F7668" s="195" t="s">
        <v>438</v>
      </c>
    </row>
    <row r="7669" spans="1:6" x14ac:dyDescent="0.25">
      <c r="A7669" s="189" t="str">
        <f t="shared" si="119"/>
        <v>PG-IS 95 RP8-2500.2W</v>
      </c>
      <c r="B7669" s="195" t="s">
        <v>3627</v>
      </c>
      <c r="C7669" s="196">
        <v>0</v>
      </c>
      <c r="D7669" s="196">
        <v>0.2</v>
      </c>
      <c r="E7669" s="195" t="s">
        <v>593</v>
      </c>
      <c r="F7669" s="195" t="s">
        <v>432</v>
      </c>
    </row>
    <row r="7670" spans="1:6" x14ac:dyDescent="0.25">
      <c r="A7670" s="189" t="str">
        <f t="shared" si="119"/>
        <v>PG-IS 95 RP8-2700.6W</v>
      </c>
      <c r="B7670" s="195" t="s">
        <v>3628</v>
      </c>
      <c r="C7670" s="196">
        <v>0</v>
      </c>
      <c r="D7670" s="196">
        <v>0.6</v>
      </c>
      <c r="E7670" s="195" t="s">
        <v>593</v>
      </c>
      <c r="F7670" s="195" t="s">
        <v>432</v>
      </c>
    </row>
    <row r="7671" spans="1:6" x14ac:dyDescent="0.25">
      <c r="A7671" s="189" t="str">
        <f t="shared" si="119"/>
        <v>PG-IS 95 RP8-2900.52S</v>
      </c>
      <c r="B7671" s="195" t="s">
        <v>3629</v>
      </c>
      <c r="C7671" s="196">
        <v>0</v>
      </c>
      <c r="D7671" s="196">
        <v>0.52</v>
      </c>
      <c r="E7671" s="195" t="s">
        <v>595</v>
      </c>
      <c r="F7671" s="195" t="s">
        <v>438</v>
      </c>
    </row>
    <row r="7672" spans="1:6" x14ac:dyDescent="0.25">
      <c r="A7672" s="189" t="str">
        <f t="shared" si="119"/>
        <v>PG-IS 95 RP8-300.23S</v>
      </c>
      <c r="B7672" s="195" t="s">
        <v>3630</v>
      </c>
      <c r="C7672" s="196">
        <v>0</v>
      </c>
      <c r="D7672" s="196">
        <v>0.23</v>
      </c>
      <c r="E7672" s="195" t="s">
        <v>595</v>
      </c>
      <c r="F7672" s="195" t="s">
        <v>438</v>
      </c>
    </row>
    <row r="7673" spans="1:6" x14ac:dyDescent="0.25">
      <c r="A7673" s="189" t="str">
        <f t="shared" si="119"/>
        <v>PG-IS 95 RP8-3100.61S</v>
      </c>
      <c r="B7673" s="195" t="s">
        <v>3631</v>
      </c>
      <c r="C7673" s="196">
        <v>0</v>
      </c>
      <c r="D7673" s="196">
        <v>0.61</v>
      </c>
      <c r="E7673" s="195" t="s">
        <v>595</v>
      </c>
      <c r="F7673" s="195" t="s">
        <v>438</v>
      </c>
    </row>
    <row r="7674" spans="1:6" x14ac:dyDescent="0.25">
      <c r="A7674" s="189" t="str">
        <f t="shared" si="119"/>
        <v>PG-IS 95 RP8-3300.44S</v>
      </c>
      <c r="B7674" s="195" t="s">
        <v>3632</v>
      </c>
      <c r="C7674" s="196">
        <v>0</v>
      </c>
      <c r="D7674" s="196">
        <v>0.44</v>
      </c>
      <c r="E7674" s="195" t="s">
        <v>595</v>
      </c>
      <c r="F7674" s="195" t="s">
        <v>438</v>
      </c>
    </row>
    <row r="7675" spans="1:6" x14ac:dyDescent="0.25">
      <c r="A7675" s="189" t="str">
        <f t="shared" si="119"/>
        <v>PG-IS 95 RP8-400.37S</v>
      </c>
      <c r="B7675" s="195" t="s">
        <v>3633</v>
      </c>
      <c r="C7675" s="196">
        <v>0</v>
      </c>
      <c r="D7675" s="196">
        <v>0.37</v>
      </c>
      <c r="E7675" s="195" t="s">
        <v>595</v>
      </c>
      <c r="F7675" s="195" t="s">
        <v>438</v>
      </c>
    </row>
    <row r="7676" spans="1:6" x14ac:dyDescent="0.25">
      <c r="A7676" s="189" t="str">
        <f t="shared" si="119"/>
        <v>PG-IS 95 RP8-700.21S</v>
      </c>
      <c r="B7676" s="195" t="s">
        <v>3634</v>
      </c>
      <c r="C7676" s="196">
        <v>0</v>
      </c>
      <c r="D7676" s="196">
        <v>0.21</v>
      </c>
      <c r="E7676" s="195" t="s">
        <v>595</v>
      </c>
      <c r="F7676" s="195" t="s">
        <v>438</v>
      </c>
    </row>
    <row r="7677" spans="1:6" x14ac:dyDescent="0.25">
      <c r="A7677" s="189" t="str">
        <f t="shared" si="119"/>
        <v>PG-IS 95 RP8-900.26S</v>
      </c>
      <c r="B7677" s="195" t="s">
        <v>3635</v>
      </c>
      <c r="C7677" s="196">
        <v>0</v>
      </c>
      <c r="D7677" s="196">
        <v>0.26</v>
      </c>
      <c r="E7677" s="195" t="s">
        <v>595</v>
      </c>
      <c r="F7677" s="195" t="s">
        <v>438</v>
      </c>
    </row>
    <row r="7678" spans="1:6" x14ac:dyDescent="0.25">
      <c r="A7678" s="189" t="str">
        <f t="shared" si="119"/>
        <v>PG-IS 95 RP9-1500.05S</v>
      </c>
      <c r="B7678" s="195" t="s">
        <v>3636</v>
      </c>
      <c r="C7678" s="196">
        <v>0</v>
      </c>
      <c r="D7678" s="196">
        <v>0.05</v>
      </c>
      <c r="E7678" s="195" t="s">
        <v>595</v>
      </c>
      <c r="F7678" s="195" t="s">
        <v>438</v>
      </c>
    </row>
    <row r="7679" spans="1:6" x14ac:dyDescent="0.25">
      <c r="A7679" s="189" t="str">
        <f t="shared" si="119"/>
        <v>PG-IS 95 RP9-1700.05N</v>
      </c>
      <c r="B7679" s="195" t="s">
        <v>3637</v>
      </c>
      <c r="C7679" s="196">
        <v>0</v>
      </c>
      <c r="D7679" s="196">
        <v>0.05</v>
      </c>
      <c r="E7679" s="195" t="s">
        <v>589</v>
      </c>
      <c r="F7679" s="195" t="s">
        <v>430</v>
      </c>
    </row>
    <row r="7680" spans="1:6" x14ac:dyDescent="0.25">
      <c r="A7680" s="189" t="str">
        <f t="shared" si="119"/>
        <v>PG-IS 95 RP9-1901.19W</v>
      </c>
      <c r="B7680" s="195" t="s">
        <v>3638</v>
      </c>
      <c r="C7680" s="196">
        <v>0</v>
      </c>
      <c r="D7680" s="196">
        <v>1.19</v>
      </c>
      <c r="E7680" s="195" t="s">
        <v>593</v>
      </c>
      <c r="F7680" s="195" t="s">
        <v>432</v>
      </c>
    </row>
    <row r="7681" spans="1:6" x14ac:dyDescent="0.25">
      <c r="A7681" s="189" t="str">
        <f t="shared" si="119"/>
        <v>PG-IS 95 RP9-200.68S</v>
      </c>
      <c r="B7681" s="195" t="s">
        <v>3639</v>
      </c>
      <c r="C7681" s="196">
        <v>0</v>
      </c>
      <c r="D7681" s="196">
        <v>0.68</v>
      </c>
      <c r="E7681" s="195" t="s">
        <v>595</v>
      </c>
      <c r="F7681" s="195" t="s">
        <v>438</v>
      </c>
    </row>
    <row r="7682" spans="1:6" x14ac:dyDescent="0.25">
      <c r="A7682" s="189" t="str">
        <f t="shared" si="119"/>
        <v>PG-IS 95 RP9-20.590.68N</v>
      </c>
      <c r="B7682" s="195" t="s">
        <v>3639</v>
      </c>
      <c r="C7682" s="196">
        <v>0.59</v>
      </c>
      <c r="D7682" s="196">
        <v>0.68</v>
      </c>
      <c r="E7682" s="195" t="s">
        <v>589</v>
      </c>
      <c r="F7682" s="195" t="s">
        <v>430</v>
      </c>
    </row>
    <row r="7683" spans="1:6" x14ac:dyDescent="0.25">
      <c r="A7683" s="189" t="str">
        <f t="shared" ref="A7683:A7746" si="120">B7683&amp;C7683&amp;D7683&amp;F7683</f>
        <v>PG-IS 95 RP9-20.680.71N</v>
      </c>
      <c r="B7683" s="195" t="s">
        <v>3639</v>
      </c>
      <c r="C7683" s="196">
        <v>0.68</v>
      </c>
      <c r="D7683" s="196">
        <v>0.71</v>
      </c>
      <c r="E7683" s="195" t="s">
        <v>589</v>
      </c>
      <c r="F7683" s="195" t="s">
        <v>430</v>
      </c>
    </row>
    <row r="7684" spans="1:6" x14ac:dyDescent="0.25">
      <c r="A7684" s="189" t="str">
        <f t="shared" si="120"/>
        <v>PG-IS 95 RP9-20.680.86S</v>
      </c>
      <c r="B7684" s="195" t="s">
        <v>3639</v>
      </c>
      <c r="C7684" s="196">
        <v>0.68</v>
      </c>
      <c r="D7684" s="196">
        <v>0.86</v>
      </c>
      <c r="E7684" s="195" t="s">
        <v>595</v>
      </c>
      <c r="F7684" s="195" t="s">
        <v>438</v>
      </c>
    </row>
    <row r="7685" spans="1:6" x14ac:dyDescent="0.25">
      <c r="A7685" s="189" t="str">
        <f t="shared" si="120"/>
        <v>PG-IS 95 RP9-2200.3N</v>
      </c>
      <c r="B7685" s="195" t="s">
        <v>3640</v>
      </c>
      <c r="C7685" s="196">
        <v>0</v>
      </c>
      <c r="D7685" s="196">
        <v>0.3</v>
      </c>
      <c r="E7685" s="195" t="s">
        <v>589</v>
      </c>
      <c r="F7685" s="195" t="s">
        <v>430</v>
      </c>
    </row>
    <row r="7686" spans="1:6" x14ac:dyDescent="0.25">
      <c r="A7686" s="189" t="str">
        <f t="shared" si="120"/>
        <v>PG-IS 95 RP9-2901.07N</v>
      </c>
      <c r="B7686" s="195" t="s">
        <v>3641</v>
      </c>
      <c r="C7686" s="196">
        <v>0</v>
      </c>
      <c r="D7686" s="196">
        <v>1.07</v>
      </c>
      <c r="E7686" s="195" t="s">
        <v>589</v>
      </c>
      <c r="F7686" s="195" t="s">
        <v>430</v>
      </c>
    </row>
    <row r="7687" spans="1:6" x14ac:dyDescent="0.25">
      <c r="A7687" s="189" t="str">
        <f t="shared" si="120"/>
        <v>PG-IS 95 RP9-300.14N</v>
      </c>
      <c r="B7687" s="195" t="s">
        <v>3642</v>
      </c>
      <c r="C7687" s="196">
        <v>0</v>
      </c>
      <c r="D7687" s="196">
        <v>0.14000000000000001</v>
      </c>
      <c r="E7687" s="195" t="s">
        <v>589</v>
      </c>
      <c r="F7687" s="195" t="s">
        <v>430</v>
      </c>
    </row>
    <row r="7688" spans="1:6" x14ac:dyDescent="0.25">
      <c r="A7688" s="189" t="str">
        <f t="shared" si="120"/>
        <v>PG-IS 95 RP9-3100.28E</v>
      </c>
      <c r="B7688" s="195" t="s">
        <v>3643</v>
      </c>
      <c r="C7688" s="196">
        <v>0</v>
      </c>
      <c r="D7688" s="196">
        <v>0.28000000000000003</v>
      </c>
      <c r="E7688" s="195" t="s">
        <v>598</v>
      </c>
      <c r="F7688" s="195" t="s">
        <v>19</v>
      </c>
    </row>
    <row r="7689" spans="1:6" x14ac:dyDescent="0.25">
      <c r="A7689" s="189" t="str">
        <f t="shared" si="120"/>
        <v>PG-IS 95 RP9-3300.91N</v>
      </c>
      <c r="B7689" s="195" t="s">
        <v>3644</v>
      </c>
      <c r="C7689" s="196">
        <v>0</v>
      </c>
      <c r="D7689" s="196">
        <v>0.91</v>
      </c>
      <c r="E7689" s="195" t="s">
        <v>589</v>
      </c>
      <c r="F7689" s="195" t="s">
        <v>430</v>
      </c>
    </row>
    <row r="7690" spans="1:6" x14ac:dyDescent="0.25">
      <c r="A7690" s="189" t="str">
        <f t="shared" si="120"/>
        <v>PG-IS 95 RP9-400.01W</v>
      </c>
      <c r="B7690" s="195" t="s">
        <v>3645</v>
      </c>
      <c r="C7690" s="196">
        <v>0</v>
      </c>
      <c r="D7690" s="196">
        <v>0.01</v>
      </c>
      <c r="E7690" s="195" t="s">
        <v>593</v>
      </c>
      <c r="F7690" s="195" t="s">
        <v>432</v>
      </c>
    </row>
    <row r="7691" spans="1:6" x14ac:dyDescent="0.25">
      <c r="A7691" s="189" t="str">
        <f t="shared" si="120"/>
        <v>PG-IS 95 RP9-700.15S</v>
      </c>
      <c r="B7691" s="195" t="s">
        <v>3646</v>
      </c>
      <c r="C7691" s="196">
        <v>0</v>
      </c>
      <c r="D7691" s="196">
        <v>0.15</v>
      </c>
      <c r="E7691" s="195" t="s">
        <v>595</v>
      </c>
      <c r="F7691" s="195" t="s">
        <v>438</v>
      </c>
    </row>
    <row r="7692" spans="1:6" x14ac:dyDescent="0.25">
      <c r="A7692" s="189" t="str">
        <f t="shared" si="120"/>
        <v>PG-IS 95 RP9-900.02W</v>
      </c>
      <c r="B7692" s="195" t="s">
        <v>3647</v>
      </c>
      <c r="C7692" s="196">
        <v>0</v>
      </c>
      <c r="D7692" s="196">
        <v>0.02</v>
      </c>
      <c r="E7692" s="195" t="s">
        <v>593</v>
      </c>
      <c r="F7692" s="195" t="s">
        <v>432</v>
      </c>
    </row>
    <row r="7693" spans="1:6" x14ac:dyDescent="0.25">
      <c r="A7693" s="189" t="str">
        <f t="shared" si="120"/>
        <v>PG-MD 19312.7416.15E</v>
      </c>
      <c r="B7693" s="195" t="s">
        <v>468</v>
      </c>
      <c r="C7693" s="196">
        <v>12.74</v>
      </c>
      <c r="D7693" s="196">
        <v>16.149999999999999</v>
      </c>
      <c r="E7693" s="195" t="s">
        <v>583</v>
      </c>
      <c r="F7693" s="195" t="s">
        <v>19</v>
      </c>
    </row>
    <row r="7694" spans="1:6" x14ac:dyDescent="0.25">
      <c r="A7694" s="189" t="str">
        <f t="shared" si="120"/>
        <v>PG-MD 19312.7416.15W</v>
      </c>
      <c r="B7694" s="195" t="s">
        <v>468</v>
      </c>
      <c r="C7694" s="196">
        <v>12.74</v>
      </c>
      <c r="D7694" s="196">
        <v>16.149999999999999</v>
      </c>
      <c r="E7694" s="195" t="s">
        <v>583</v>
      </c>
      <c r="F7694" s="195" t="s">
        <v>432</v>
      </c>
    </row>
    <row r="7695" spans="1:6" x14ac:dyDescent="0.25">
      <c r="A7695" s="189" t="str">
        <f t="shared" si="120"/>
        <v>PG-MD 19316.1517.1E</v>
      </c>
      <c r="B7695" s="195" t="s">
        <v>468</v>
      </c>
      <c r="C7695" s="196">
        <v>16.149999999999999</v>
      </c>
      <c r="D7695" s="196">
        <v>17.100000000000001</v>
      </c>
      <c r="E7695" s="195" t="s">
        <v>583</v>
      </c>
      <c r="F7695" s="195" t="s">
        <v>19</v>
      </c>
    </row>
    <row r="7696" spans="1:6" x14ac:dyDescent="0.25">
      <c r="A7696" s="189" t="str">
        <f t="shared" si="120"/>
        <v>PG-MD 19316.1517.1W</v>
      </c>
      <c r="B7696" s="195" t="s">
        <v>468</v>
      </c>
      <c r="C7696" s="196">
        <v>16.149999999999999</v>
      </c>
      <c r="D7696" s="196">
        <v>17.100000000000001</v>
      </c>
      <c r="E7696" s="195" t="s">
        <v>583</v>
      </c>
      <c r="F7696" s="195" t="s">
        <v>432</v>
      </c>
    </row>
    <row r="7697" spans="1:6" x14ac:dyDescent="0.25">
      <c r="A7697" s="189" t="str">
        <f t="shared" si="120"/>
        <v>PG-MD 19317.119.37E</v>
      </c>
      <c r="B7697" s="195" t="s">
        <v>468</v>
      </c>
      <c r="C7697" s="196">
        <v>17.100000000000001</v>
      </c>
      <c r="D7697" s="196">
        <v>19.37</v>
      </c>
      <c r="E7697" s="195" t="s">
        <v>583</v>
      </c>
      <c r="F7697" s="195" t="s">
        <v>19</v>
      </c>
    </row>
    <row r="7698" spans="1:6" x14ac:dyDescent="0.25">
      <c r="A7698" s="189" t="str">
        <f t="shared" si="120"/>
        <v>PG-MD 19317.119.37W</v>
      </c>
      <c r="B7698" s="195" t="s">
        <v>468</v>
      </c>
      <c r="C7698" s="196">
        <v>17.100000000000001</v>
      </c>
      <c r="D7698" s="196">
        <v>19.37</v>
      </c>
      <c r="E7698" s="195" t="s">
        <v>583</v>
      </c>
      <c r="F7698" s="195" t="s">
        <v>432</v>
      </c>
    </row>
    <row r="7699" spans="1:6" x14ac:dyDescent="0.25">
      <c r="A7699" s="189" t="str">
        <f t="shared" si="120"/>
        <v>PG-MD 193AA00.06N</v>
      </c>
      <c r="B7699" s="195" t="s">
        <v>3648</v>
      </c>
      <c r="C7699" s="196">
        <v>0</v>
      </c>
      <c r="D7699" s="196">
        <v>0.06</v>
      </c>
      <c r="E7699" s="195" t="s">
        <v>589</v>
      </c>
      <c r="F7699" s="195" t="s">
        <v>430</v>
      </c>
    </row>
    <row r="7700" spans="1:6" x14ac:dyDescent="0.25">
      <c r="A7700" s="189" t="str">
        <f t="shared" si="120"/>
        <v>PG-MD 193AD00.09S</v>
      </c>
      <c r="B7700" s="195" t="s">
        <v>3649</v>
      </c>
      <c r="C7700" s="196">
        <v>0</v>
      </c>
      <c r="D7700" s="196">
        <v>0.09</v>
      </c>
      <c r="E7700" s="195" t="s">
        <v>595</v>
      </c>
      <c r="F7700" s="195" t="s">
        <v>438</v>
      </c>
    </row>
    <row r="7701" spans="1:6" x14ac:dyDescent="0.25">
      <c r="A7701" s="189" t="str">
        <f t="shared" si="120"/>
        <v>PG-MD 193C00.2S</v>
      </c>
      <c r="B7701" s="195" t="s">
        <v>3650</v>
      </c>
      <c r="C7701" s="196">
        <v>0</v>
      </c>
      <c r="D7701" s="196">
        <v>0.2</v>
      </c>
      <c r="E7701" s="195" t="s">
        <v>595</v>
      </c>
      <c r="F7701" s="195" t="s">
        <v>438</v>
      </c>
    </row>
    <row r="7702" spans="1:6" x14ac:dyDescent="0.25">
      <c r="A7702" s="189" t="str">
        <f t="shared" si="120"/>
        <v>PG-MD 193D00.17N</v>
      </c>
      <c r="B7702" s="195" t="s">
        <v>3651</v>
      </c>
      <c r="C7702" s="196">
        <v>0</v>
      </c>
      <c r="D7702" s="196">
        <v>0.17</v>
      </c>
      <c r="E7702" s="195" t="s">
        <v>589</v>
      </c>
      <c r="F7702" s="195" t="s">
        <v>430</v>
      </c>
    </row>
    <row r="7703" spans="1:6" x14ac:dyDescent="0.25">
      <c r="A7703" s="189" t="str">
        <f t="shared" si="120"/>
        <v>PG-MD 193E00.05S</v>
      </c>
      <c r="B7703" s="195" t="s">
        <v>3652</v>
      </c>
      <c r="C7703" s="196">
        <v>0</v>
      </c>
      <c r="D7703" s="196">
        <v>0.05</v>
      </c>
      <c r="E7703" s="195" t="s">
        <v>595</v>
      </c>
      <c r="F7703" s="195" t="s">
        <v>438</v>
      </c>
    </row>
    <row r="7704" spans="1:6" x14ac:dyDescent="0.25">
      <c r="A7704" s="189" t="str">
        <f t="shared" si="120"/>
        <v>PG-MD 1973.285N</v>
      </c>
      <c r="B7704" s="195" t="s">
        <v>469</v>
      </c>
      <c r="C7704" s="196">
        <v>3.28</v>
      </c>
      <c r="D7704" s="196">
        <v>5</v>
      </c>
      <c r="E7704" s="195" t="s">
        <v>583</v>
      </c>
      <c r="F7704" s="195" t="s">
        <v>430</v>
      </c>
    </row>
    <row r="7705" spans="1:6" x14ac:dyDescent="0.25">
      <c r="A7705" s="189" t="str">
        <f t="shared" si="120"/>
        <v>PG-MD 1973.285S</v>
      </c>
      <c r="B7705" s="195" t="s">
        <v>469</v>
      </c>
      <c r="C7705" s="196">
        <v>3.28</v>
      </c>
      <c r="D7705" s="196">
        <v>5</v>
      </c>
      <c r="E7705" s="195" t="s">
        <v>583</v>
      </c>
      <c r="F7705" s="195" t="s">
        <v>438</v>
      </c>
    </row>
    <row r="7706" spans="1:6" x14ac:dyDescent="0.25">
      <c r="A7706" s="189" t="str">
        <f t="shared" si="120"/>
        <v>PG-MD 1976.410.13N</v>
      </c>
      <c r="B7706" s="195" t="s">
        <v>469</v>
      </c>
      <c r="C7706" s="196">
        <v>6.4</v>
      </c>
      <c r="D7706" s="196">
        <v>10.130000000000001</v>
      </c>
      <c r="E7706" s="195" t="s">
        <v>583</v>
      </c>
      <c r="F7706" s="195" t="s">
        <v>430</v>
      </c>
    </row>
    <row r="7707" spans="1:6" x14ac:dyDescent="0.25">
      <c r="A7707" s="189" t="str">
        <f t="shared" si="120"/>
        <v>PG-MD 1976.410.13S</v>
      </c>
      <c r="B7707" s="195" t="s">
        <v>469</v>
      </c>
      <c r="C7707" s="196">
        <v>6.4</v>
      </c>
      <c r="D7707" s="196">
        <v>10.130000000000001</v>
      </c>
      <c r="E7707" s="195" t="s">
        <v>583</v>
      </c>
      <c r="F7707" s="195" t="s">
        <v>438</v>
      </c>
    </row>
    <row r="7708" spans="1:6" x14ac:dyDescent="0.25">
      <c r="A7708" s="189" t="str">
        <f t="shared" si="120"/>
        <v>PG-MD 19710.1310.94N</v>
      </c>
      <c r="B7708" s="195" t="s">
        <v>469</v>
      </c>
      <c r="C7708" s="196">
        <v>10.130000000000001</v>
      </c>
      <c r="D7708" s="196">
        <v>10.94</v>
      </c>
      <c r="E7708" s="195" t="s">
        <v>583</v>
      </c>
      <c r="F7708" s="195" t="s">
        <v>430</v>
      </c>
    </row>
    <row r="7709" spans="1:6" x14ac:dyDescent="0.25">
      <c r="A7709" s="189" t="str">
        <f t="shared" si="120"/>
        <v>PG-MD 19710.1310.94S</v>
      </c>
      <c r="B7709" s="195" t="s">
        <v>469</v>
      </c>
      <c r="C7709" s="196">
        <v>10.130000000000001</v>
      </c>
      <c r="D7709" s="196">
        <v>10.94</v>
      </c>
      <c r="E7709" s="195" t="s">
        <v>583</v>
      </c>
      <c r="F7709" s="195" t="s">
        <v>438</v>
      </c>
    </row>
    <row r="7710" spans="1:6" x14ac:dyDescent="0.25">
      <c r="A7710" s="189" t="str">
        <f t="shared" si="120"/>
        <v>PG-MD 197D00.13N</v>
      </c>
      <c r="B7710" s="195" t="s">
        <v>3653</v>
      </c>
      <c r="C7710" s="196">
        <v>0</v>
      </c>
      <c r="D7710" s="196">
        <v>0.13</v>
      </c>
      <c r="E7710" s="195" t="s">
        <v>589</v>
      </c>
      <c r="F7710" s="195" t="s">
        <v>430</v>
      </c>
    </row>
    <row r="7711" spans="1:6" x14ac:dyDescent="0.25">
      <c r="A7711" s="189" t="str">
        <f t="shared" si="120"/>
        <v>PG-MD 197D00.13S</v>
      </c>
      <c r="B7711" s="195" t="s">
        <v>3653</v>
      </c>
      <c r="C7711" s="196">
        <v>0</v>
      </c>
      <c r="D7711" s="196">
        <v>0.13</v>
      </c>
      <c r="E7711" s="195" t="s">
        <v>595</v>
      </c>
      <c r="F7711" s="195" t="s">
        <v>438</v>
      </c>
    </row>
    <row r="7712" spans="1:6" x14ac:dyDescent="0.25">
      <c r="A7712" s="189" t="str">
        <f t="shared" si="120"/>
        <v>PG-MD 1982.253.46E</v>
      </c>
      <c r="B7712" s="195" t="s">
        <v>470</v>
      </c>
      <c r="C7712" s="196">
        <v>2.25</v>
      </c>
      <c r="D7712" s="196">
        <v>3.46</v>
      </c>
      <c r="E7712" s="195" t="s">
        <v>598</v>
      </c>
      <c r="F7712" s="195" t="s">
        <v>19</v>
      </c>
    </row>
    <row r="7713" spans="1:6" x14ac:dyDescent="0.25">
      <c r="A7713" s="189" t="str">
        <f t="shared" si="120"/>
        <v>PG-MD 2017.858.03N</v>
      </c>
      <c r="B7713" s="195" t="s">
        <v>3654</v>
      </c>
      <c r="C7713" s="196">
        <v>7.85</v>
      </c>
      <c r="D7713" s="196">
        <v>8.0299999999999994</v>
      </c>
      <c r="E7713" s="195" t="s">
        <v>589</v>
      </c>
      <c r="F7713" s="195" t="s">
        <v>430</v>
      </c>
    </row>
    <row r="7714" spans="1:6" x14ac:dyDescent="0.25">
      <c r="A7714" s="189" t="str">
        <f t="shared" si="120"/>
        <v>PG-MD 2017.859.32S</v>
      </c>
      <c r="B7714" s="195" t="s">
        <v>3654</v>
      </c>
      <c r="C7714" s="196">
        <v>7.85</v>
      </c>
      <c r="D7714" s="196">
        <v>9.32</v>
      </c>
      <c r="E7714" s="195" t="s">
        <v>595</v>
      </c>
      <c r="F7714" s="195" t="s">
        <v>438</v>
      </c>
    </row>
    <row r="7715" spans="1:6" x14ac:dyDescent="0.25">
      <c r="A7715" s="189" t="str">
        <f t="shared" si="120"/>
        <v>PG-MD 2018.039.4N</v>
      </c>
      <c r="B7715" s="195" t="s">
        <v>3654</v>
      </c>
      <c r="C7715" s="196">
        <v>8.0299999999999994</v>
      </c>
      <c r="D7715" s="196">
        <v>9.4</v>
      </c>
      <c r="E7715" s="195" t="s">
        <v>589</v>
      </c>
      <c r="F7715" s="195" t="s">
        <v>430</v>
      </c>
    </row>
    <row r="7716" spans="1:6" x14ac:dyDescent="0.25">
      <c r="A7716" s="189" t="str">
        <f t="shared" si="120"/>
        <v>PG-MD 2019.329.4S</v>
      </c>
      <c r="B7716" s="195" t="s">
        <v>3654</v>
      </c>
      <c r="C7716" s="196">
        <v>9.32</v>
      </c>
      <c r="D7716" s="196">
        <v>9.4</v>
      </c>
      <c r="E7716" s="195" t="s">
        <v>595</v>
      </c>
      <c r="F7716" s="195" t="s">
        <v>438</v>
      </c>
    </row>
    <row r="7717" spans="1:6" x14ac:dyDescent="0.25">
      <c r="A7717" s="189" t="str">
        <f t="shared" si="120"/>
        <v>PG-MD 201 RP1-600.23N</v>
      </c>
      <c r="B7717" s="195" t="s">
        <v>3655</v>
      </c>
      <c r="C7717" s="196">
        <v>0</v>
      </c>
      <c r="D7717" s="196">
        <v>0.23</v>
      </c>
      <c r="E7717" s="195" t="s">
        <v>589</v>
      </c>
      <c r="F7717" s="195" t="s">
        <v>430</v>
      </c>
    </row>
    <row r="7718" spans="1:6" x14ac:dyDescent="0.25">
      <c r="A7718" s="189" t="str">
        <f t="shared" si="120"/>
        <v>PG-MD 201 RP2-100.05N</v>
      </c>
      <c r="B7718" s="195" t="s">
        <v>3656</v>
      </c>
      <c r="C7718" s="196">
        <v>0</v>
      </c>
      <c r="D7718" s="196">
        <v>0.05</v>
      </c>
      <c r="E7718" s="195" t="s">
        <v>589</v>
      </c>
      <c r="F7718" s="195" t="s">
        <v>430</v>
      </c>
    </row>
    <row r="7719" spans="1:6" x14ac:dyDescent="0.25">
      <c r="A7719" s="189" t="str">
        <f t="shared" si="120"/>
        <v>PG-MD 201 RP2-600.15W</v>
      </c>
      <c r="B7719" s="195" t="s">
        <v>3657</v>
      </c>
      <c r="C7719" s="196">
        <v>0</v>
      </c>
      <c r="D7719" s="196">
        <v>0.15</v>
      </c>
      <c r="E7719" s="195" t="s">
        <v>593</v>
      </c>
      <c r="F7719" s="195" t="s">
        <v>432</v>
      </c>
    </row>
    <row r="7720" spans="1:6" x14ac:dyDescent="0.25">
      <c r="A7720" s="189" t="str">
        <f t="shared" si="120"/>
        <v>PG-MD 201 RP3-600.03N</v>
      </c>
      <c r="B7720" s="195" t="s">
        <v>3658</v>
      </c>
      <c r="C7720" s="196">
        <v>0</v>
      </c>
      <c r="D7720" s="196">
        <v>0.03</v>
      </c>
      <c r="E7720" s="195" t="s">
        <v>589</v>
      </c>
      <c r="F7720" s="195" t="s">
        <v>430</v>
      </c>
    </row>
    <row r="7721" spans="1:6" x14ac:dyDescent="0.25">
      <c r="A7721" s="189" t="str">
        <f t="shared" si="120"/>
        <v>PG-MD 201 RP4-600.04N</v>
      </c>
      <c r="B7721" s="195" t="s">
        <v>3659</v>
      </c>
      <c r="C7721" s="196">
        <v>0</v>
      </c>
      <c r="D7721" s="196">
        <v>0.04</v>
      </c>
      <c r="E7721" s="195" t="s">
        <v>589</v>
      </c>
      <c r="F7721" s="195" t="s">
        <v>430</v>
      </c>
    </row>
    <row r="7722" spans="1:6" x14ac:dyDescent="0.25">
      <c r="A7722" s="189" t="str">
        <f t="shared" si="120"/>
        <v>PG-MD 201 RP5-100.08S</v>
      </c>
      <c r="B7722" s="195" t="s">
        <v>3660</v>
      </c>
      <c r="C7722" s="196">
        <v>0</v>
      </c>
      <c r="D7722" s="196">
        <v>0.08</v>
      </c>
      <c r="E7722" s="195" t="s">
        <v>595</v>
      </c>
      <c r="F7722" s="195" t="s">
        <v>438</v>
      </c>
    </row>
    <row r="7723" spans="1:6" x14ac:dyDescent="0.25">
      <c r="A7723" s="189" t="str">
        <f t="shared" si="120"/>
        <v>PG-MD 201 RP5-200.1S</v>
      </c>
      <c r="B7723" s="195" t="s">
        <v>3661</v>
      </c>
      <c r="C7723" s="196">
        <v>0</v>
      </c>
      <c r="D7723" s="196">
        <v>0.1</v>
      </c>
      <c r="E7723" s="195" t="s">
        <v>595</v>
      </c>
      <c r="F7723" s="195" t="s">
        <v>438</v>
      </c>
    </row>
    <row r="7724" spans="1:6" x14ac:dyDescent="0.25">
      <c r="A7724" s="189" t="str">
        <f t="shared" si="120"/>
        <v>PG-MD 201 RP5-600.2S</v>
      </c>
      <c r="B7724" s="195" t="s">
        <v>3662</v>
      </c>
      <c r="C7724" s="196">
        <v>0</v>
      </c>
      <c r="D7724" s="196">
        <v>0.2</v>
      </c>
      <c r="E7724" s="195" t="s">
        <v>595</v>
      </c>
      <c r="F7724" s="195" t="s">
        <v>438</v>
      </c>
    </row>
    <row r="7725" spans="1:6" x14ac:dyDescent="0.25">
      <c r="A7725" s="189" t="str">
        <f t="shared" si="120"/>
        <v>PG-MD 201 RP6-200.11S</v>
      </c>
      <c r="B7725" s="195" t="s">
        <v>3663</v>
      </c>
      <c r="C7725" s="196">
        <v>0</v>
      </c>
      <c r="D7725" s="196">
        <v>0.11</v>
      </c>
      <c r="E7725" s="195" t="s">
        <v>595</v>
      </c>
      <c r="F7725" s="195" t="s">
        <v>438</v>
      </c>
    </row>
    <row r="7726" spans="1:6" x14ac:dyDescent="0.25">
      <c r="A7726" s="189" t="str">
        <f t="shared" si="120"/>
        <v>PG-MD 201 RP6-600.04S</v>
      </c>
      <c r="B7726" s="195" t="s">
        <v>3664</v>
      </c>
      <c r="C7726" s="196">
        <v>0</v>
      </c>
      <c r="D7726" s="196">
        <v>0.04</v>
      </c>
      <c r="E7726" s="195" t="s">
        <v>595</v>
      </c>
      <c r="F7726" s="195" t="s">
        <v>438</v>
      </c>
    </row>
    <row r="7727" spans="1:6" x14ac:dyDescent="0.25">
      <c r="A7727" s="189" t="str">
        <f t="shared" si="120"/>
        <v>PG-MD 201 RP7-600.2S</v>
      </c>
      <c r="B7727" s="195" t="s">
        <v>3665</v>
      </c>
      <c r="C7727" s="196">
        <v>0</v>
      </c>
      <c r="D7727" s="196">
        <v>0.2</v>
      </c>
      <c r="E7727" s="195" t="s">
        <v>595</v>
      </c>
      <c r="F7727" s="195" t="s">
        <v>438</v>
      </c>
    </row>
    <row r="7728" spans="1:6" x14ac:dyDescent="0.25">
      <c r="A7728" s="189" t="str">
        <f t="shared" si="120"/>
        <v>PG-MD 201 RP8-600.03S</v>
      </c>
      <c r="B7728" s="195" t="s">
        <v>3666</v>
      </c>
      <c r="C7728" s="196">
        <v>0</v>
      </c>
      <c r="D7728" s="196">
        <v>0.03</v>
      </c>
      <c r="E7728" s="195" t="s">
        <v>595</v>
      </c>
      <c r="F7728" s="195" t="s">
        <v>438</v>
      </c>
    </row>
    <row r="7729" spans="1:6" x14ac:dyDescent="0.25">
      <c r="A7729" s="189" t="str">
        <f t="shared" si="120"/>
        <v>PG-MD 20200.08S</v>
      </c>
      <c r="B7729" s="195" t="s">
        <v>471</v>
      </c>
      <c r="C7729" s="196">
        <v>0</v>
      </c>
      <c r="D7729" s="196">
        <v>0.08</v>
      </c>
      <c r="E7729" s="195" t="s">
        <v>595</v>
      </c>
      <c r="F7729" s="195" t="s">
        <v>438</v>
      </c>
    </row>
    <row r="7730" spans="1:6" x14ac:dyDescent="0.25">
      <c r="A7730" s="189" t="str">
        <f t="shared" si="120"/>
        <v>PG-MD 20201.5N</v>
      </c>
      <c r="B7730" s="195" t="s">
        <v>471</v>
      </c>
      <c r="C7730" s="196">
        <v>0</v>
      </c>
      <c r="D7730" s="196">
        <v>1.5</v>
      </c>
      <c r="E7730" s="195" t="s">
        <v>589</v>
      </c>
      <c r="F7730" s="195" t="s">
        <v>430</v>
      </c>
    </row>
    <row r="7731" spans="1:6" x14ac:dyDescent="0.25">
      <c r="A7731" s="189" t="str">
        <f t="shared" si="120"/>
        <v>PG-MD 2020.081.5S</v>
      </c>
      <c r="B7731" s="195" t="s">
        <v>471</v>
      </c>
      <c r="C7731" s="196">
        <v>0.08</v>
      </c>
      <c r="D7731" s="196">
        <v>1.5</v>
      </c>
      <c r="E7731" s="195" t="s">
        <v>595</v>
      </c>
      <c r="F7731" s="195" t="s">
        <v>438</v>
      </c>
    </row>
    <row r="7732" spans="1:6" x14ac:dyDescent="0.25">
      <c r="A7732" s="189" t="str">
        <f t="shared" si="120"/>
        <v>PG-MD 2021.53.75N</v>
      </c>
      <c r="B7732" s="195" t="s">
        <v>471</v>
      </c>
      <c r="C7732" s="196">
        <v>1.5</v>
      </c>
      <c r="D7732" s="196">
        <v>3.75</v>
      </c>
      <c r="E7732" s="195" t="s">
        <v>583</v>
      </c>
      <c r="F7732" s="195" t="s">
        <v>430</v>
      </c>
    </row>
    <row r="7733" spans="1:6" x14ac:dyDescent="0.25">
      <c r="A7733" s="189" t="str">
        <f t="shared" si="120"/>
        <v>PG-MD 2021.53.75S</v>
      </c>
      <c r="B7733" s="195" t="s">
        <v>471</v>
      </c>
      <c r="C7733" s="196">
        <v>1.5</v>
      </c>
      <c r="D7733" s="196">
        <v>3.75</v>
      </c>
      <c r="E7733" s="195" t="s">
        <v>583</v>
      </c>
      <c r="F7733" s="195" t="s">
        <v>438</v>
      </c>
    </row>
    <row r="7734" spans="1:6" x14ac:dyDescent="0.25">
      <c r="A7734" s="189" t="str">
        <f t="shared" si="120"/>
        <v>PG-MD 202 RP10-700.06E</v>
      </c>
      <c r="B7734" s="195" t="s">
        <v>3667</v>
      </c>
      <c r="C7734" s="196">
        <v>0</v>
      </c>
      <c r="D7734" s="196">
        <v>0.06</v>
      </c>
      <c r="E7734" s="195" t="s">
        <v>598</v>
      </c>
      <c r="F7734" s="195" t="s">
        <v>19</v>
      </c>
    </row>
    <row r="7735" spans="1:6" x14ac:dyDescent="0.25">
      <c r="A7735" s="189" t="str">
        <f t="shared" si="120"/>
        <v>PG-MD 202 RP1-1000.17W</v>
      </c>
      <c r="B7735" s="195" t="s">
        <v>3668</v>
      </c>
      <c r="C7735" s="196">
        <v>0</v>
      </c>
      <c r="D7735" s="196">
        <v>0.17</v>
      </c>
      <c r="E7735" s="195" t="s">
        <v>593</v>
      </c>
      <c r="F7735" s="195" t="s">
        <v>432</v>
      </c>
    </row>
    <row r="7736" spans="1:6" x14ac:dyDescent="0.25">
      <c r="A7736" s="189" t="str">
        <f t="shared" si="120"/>
        <v>PG-MD 202 RP1-700.27N</v>
      </c>
      <c r="B7736" s="195" t="s">
        <v>3669</v>
      </c>
      <c r="C7736" s="196">
        <v>0</v>
      </c>
      <c r="D7736" s="196">
        <v>0.27</v>
      </c>
      <c r="E7736" s="195" t="s">
        <v>589</v>
      </c>
      <c r="F7736" s="195" t="s">
        <v>430</v>
      </c>
    </row>
    <row r="7737" spans="1:6" x14ac:dyDescent="0.25">
      <c r="A7737" s="189" t="str">
        <f t="shared" si="120"/>
        <v>PG-MD 202 RP2-1000.17W</v>
      </c>
      <c r="B7737" s="195" t="s">
        <v>3670</v>
      </c>
      <c r="C7737" s="196">
        <v>0</v>
      </c>
      <c r="D7737" s="196">
        <v>0.17</v>
      </c>
      <c r="E7737" s="195" t="s">
        <v>593</v>
      </c>
      <c r="F7737" s="195" t="s">
        <v>432</v>
      </c>
    </row>
    <row r="7738" spans="1:6" x14ac:dyDescent="0.25">
      <c r="A7738" s="189" t="str">
        <f t="shared" si="120"/>
        <v>PG-MD 202 RP2-700.43W</v>
      </c>
      <c r="B7738" s="195" t="s">
        <v>3671</v>
      </c>
      <c r="C7738" s="196">
        <v>0</v>
      </c>
      <c r="D7738" s="196">
        <v>0.43</v>
      </c>
      <c r="E7738" s="195" t="s">
        <v>593</v>
      </c>
      <c r="F7738" s="195" t="s">
        <v>432</v>
      </c>
    </row>
    <row r="7739" spans="1:6" x14ac:dyDescent="0.25">
      <c r="A7739" s="189" t="str">
        <f t="shared" si="120"/>
        <v>PG-MD 202 RP3-1000.2N</v>
      </c>
      <c r="B7739" s="195" t="s">
        <v>3672</v>
      </c>
      <c r="C7739" s="196">
        <v>0</v>
      </c>
      <c r="D7739" s="196">
        <v>0.2</v>
      </c>
      <c r="E7739" s="195" t="s">
        <v>589</v>
      </c>
      <c r="F7739" s="195" t="s">
        <v>430</v>
      </c>
    </row>
    <row r="7740" spans="1:6" x14ac:dyDescent="0.25">
      <c r="A7740" s="189" t="str">
        <f t="shared" si="120"/>
        <v>PG-MD 202 RP3-700.26E</v>
      </c>
      <c r="B7740" s="195" t="s">
        <v>3673</v>
      </c>
      <c r="C7740" s="196">
        <v>0</v>
      </c>
      <c r="D7740" s="196">
        <v>0.26</v>
      </c>
      <c r="E7740" s="195" t="s">
        <v>598</v>
      </c>
      <c r="F7740" s="195" t="s">
        <v>19</v>
      </c>
    </row>
    <row r="7741" spans="1:6" x14ac:dyDescent="0.25">
      <c r="A7741" s="189" t="str">
        <f t="shared" si="120"/>
        <v>PG-MD 202 RP4-1000.2N</v>
      </c>
      <c r="B7741" s="195" t="s">
        <v>3674</v>
      </c>
      <c r="C7741" s="196">
        <v>0</v>
      </c>
      <c r="D7741" s="196">
        <v>0.2</v>
      </c>
      <c r="E7741" s="195" t="s">
        <v>589</v>
      </c>
      <c r="F7741" s="195" t="s">
        <v>430</v>
      </c>
    </row>
    <row r="7742" spans="1:6" x14ac:dyDescent="0.25">
      <c r="A7742" s="189" t="str">
        <f t="shared" si="120"/>
        <v>PG-MD 202 RP4-700.29E</v>
      </c>
      <c r="B7742" s="195" t="s">
        <v>3675</v>
      </c>
      <c r="C7742" s="196">
        <v>0</v>
      </c>
      <c r="D7742" s="196">
        <v>0.28999999999999998</v>
      </c>
      <c r="E7742" s="195" t="s">
        <v>598</v>
      </c>
      <c r="F7742" s="195" t="s">
        <v>19</v>
      </c>
    </row>
    <row r="7743" spans="1:6" x14ac:dyDescent="0.25">
      <c r="A7743" s="189" t="str">
        <f t="shared" si="120"/>
        <v>PG-MD 202 RP4-70.080.11W</v>
      </c>
      <c r="B7743" s="195" t="s">
        <v>3675</v>
      </c>
      <c r="C7743" s="196">
        <v>0.08</v>
      </c>
      <c r="D7743" s="196">
        <v>0.11</v>
      </c>
      <c r="E7743" s="195" t="s">
        <v>593</v>
      </c>
      <c r="F7743" s="195" t="s">
        <v>432</v>
      </c>
    </row>
    <row r="7744" spans="1:6" x14ac:dyDescent="0.25">
      <c r="A7744" s="189" t="str">
        <f t="shared" si="120"/>
        <v>PG-MD 202 RP5-1000.21W</v>
      </c>
      <c r="B7744" s="195" t="s">
        <v>3676</v>
      </c>
      <c r="C7744" s="196">
        <v>0</v>
      </c>
      <c r="D7744" s="196">
        <v>0.21</v>
      </c>
      <c r="E7744" s="195" t="s">
        <v>593</v>
      </c>
      <c r="F7744" s="195" t="s">
        <v>432</v>
      </c>
    </row>
    <row r="7745" spans="1:6" x14ac:dyDescent="0.25">
      <c r="A7745" s="189" t="str">
        <f t="shared" si="120"/>
        <v>PG-MD 202 RP5-700.24S</v>
      </c>
      <c r="B7745" s="195" t="s">
        <v>3677</v>
      </c>
      <c r="C7745" s="196">
        <v>0</v>
      </c>
      <c r="D7745" s="196">
        <v>0.24</v>
      </c>
      <c r="E7745" s="195" t="s">
        <v>595</v>
      </c>
      <c r="F7745" s="195" t="s">
        <v>438</v>
      </c>
    </row>
    <row r="7746" spans="1:6" x14ac:dyDescent="0.25">
      <c r="A7746" s="189" t="str">
        <f t="shared" si="120"/>
        <v>PG-MD 202 RP6-1000.23N</v>
      </c>
      <c r="B7746" s="195" t="s">
        <v>3678</v>
      </c>
      <c r="C7746" s="196">
        <v>0</v>
      </c>
      <c r="D7746" s="196">
        <v>0.23</v>
      </c>
      <c r="E7746" s="195" t="s">
        <v>589</v>
      </c>
      <c r="F7746" s="195" t="s">
        <v>430</v>
      </c>
    </row>
    <row r="7747" spans="1:6" x14ac:dyDescent="0.25">
      <c r="A7747" s="189" t="str">
        <f t="shared" ref="A7747:A7810" si="121">B7747&amp;C7747&amp;D7747&amp;F7747</f>
        <v>PG-MD 202 RP6-700.5E</v>
      </c>
      <c r="B7747" s="195" t="s">
        <v>3679</v>
      </c>
      <c r="C7747" s="196">
        <v>0</v>
      </c>
      <c r="D7747" s="196">
        <v>0.5</v>
      </c>
      <c r="E7747" s="195" t="s">
        <v>598</v>
      </c>
      <c r="F7747" s="195" t="s">
        <v>19</v>
      </c>
    </row>
    <row r="7748" spans="1:6" x14ac:dyDescent="0.25">
      <c r="A7748" s="189" t="str">
        <f t="shared" si="121"/>
        <v>PG-MD 202 RP7-1000.19W</v>
      </c>
      <c r="B7748" s="195" t="s">
        <v>3680</v>
      </c>
      <c r="C7748" s="196">
        <v>0</v>
      </c>
      <c r="D7748" s="196">
        <v>0.19</v>
      </c>
      <c r="E7748" s="195" t="s">
        <v>593</v>
      </c>
      <c r="F7748" s="195" t="s">
        <v>432</v>
      </c>
    </row>
    <row r="7749" spans="1:6" x14ac:dyDescent="0.25">
      <c r="A7749" s="189" t="str">
        <f t="shared" si="121"/>
        <v>PG-MD 202 RP7-700.42S</v>
      </c>
      <c r="B7749" s="195" t="s">
        <v>3681</v>
      </c>
      <c r="C7749" s="196">
        <v>0</v>
      </c>
      <c r="D7749" s="196">
        <v>0.42</v>
      </c>
      <c r="E7749" s="195" t="s">
        <v>595</v>
      </c>
      <c r="F7749" s="195" t="s">
        <v>438</v>
      </c>
    </row>
    <row r="7750" spans="1:6" x14ac:dyDescent="0.25">
      <c r="A7750" s="189" t="str">
        <f t="shared" si="121"/>
        <v>PG-MD 202 RP8-1000.23S</v>
      </c>
      <c r="B7750" s="195" t="s">
        <v>3682</v>
      </c>
      <c r="C7750" s="196">
        <v>0</v>
      </c>
      <c r="D7750" s="196">
        <v>0.23</v>
      </c>
      <c r="E7750" s="195" t="s">
        <v>595</v>
      </c>
      <c r="F7750" s="195" t="s">
        <v>438</v>
      </c>
    </row>
    <row r="7751" spans="1:6" x14ac:dyDescent="0.25">
      <c r="A7751" s="189" t="str">
        <f t="shared" si="121"/>
        <v>PG-MD 202 RP8-700.37S</v>
      </c>
      <c r="B7751" s="195" t="s">
        <v>3683</v>
      </c>
      <c r="C7751" s="196">
        <v>0</v>
      </c>
      <c r="D7751" s="196">
        <v>0.37</v>
      </c>
      <c r="E7751" s="195" t="s">
        <v>595</v>
      </c>
      <c r="F7751" s="195" t="s">
        <v>438</v>
      </c>
    </row>
    <row r="7752" spans="1:6" x14ac:dyDescent="0.25">
      <c r="A7752" s="189" t="str">
        <f t="shared" si="121"/>
        <v>PG-MD 202 RP9-700.15S</v>
      </c>
      <c r="B7752" s="195" t="s">
        <v>3684</v>
      </c>
      <c r="C7752" s="196">
        <v>0</v>
      </c>
      <c r="D7752" s="196">
        <v>0.15</v>
      </c>
      <c r="E7752" s="195" t="s">
        <v>595</v>
      </c>
      <c r="F7752" s="195" t="s">
        <v>438</v>
      </c>
    </row>
    <row r="7753" spans="1:6" x14ac:dyDescent="0.25">
      <c r="A7753" s="189" t="str">
        <f t="shared" si="121"/>
        <v>PG-MD 202C1.892.17S</v>
      </c>
      <c r="B7753" s="195" t="s">
        <v>3685</v>
      </c>
      <c r="C7753" s="196">
        <v>1.89</v>
      </c>
      <c r="D7753" s="196">
        <v>2.17</v>
      </c>
      <c r="E7753" s="195" t="s">
        <v>595</v>
      </c>
      <c r="F7753" s="195" t="s">
        <v>438</v>
      </c>
    </row>
    <row r="7754" spans="1:6" x14ac:dyDescent="0.25">
      <c r="A7754" s="189" t="str">
        <f t="shared" si="121"/>
        <v>PG-MD 202C1.892.19N</v>
      </c>
      <c r="B7754" s="195" t="s">
        <v>3685</v>
      </c>
      <c r="C7754" s="196">
        <v>1.89</v>
      </c>
      <c r="D7754" s="196">
        <v>2.19</v>
      </c>
      <c r="E7754" s="195" t="s">
        <v>589</v>
      </c>
      <c r="F7754" s="195" t="s">
        <v>430</v>
      </c>
    </row>
    <row r="7755" spans="1:6" x14ac:dyDescent="0.25">
      <c r="A7755" s="189" t="str">
        <f t="shared" si="121"/>
        <v>PG-MD 202D00.11E</v>
      </c>
      <c r="B7755" s="195" t="s">
        <v>3686</v>
      </c>
      <c r="C7755" s="196">
        <v>0</v>
      </c>
      <c r="D7755" s="196">
        <v>0.11</v>
      </c>
      <c r="E7755" s="195" t="s">
        <v>583</v>
      </c>
      <c r="F7755" s="195" t="s">
        <v>19</v>
      </c>
    </row>
    <row r="7756" spans="1:6" x14ac:dyDescent="0.25">
      <c r="A7756" s="189" t="str">
        <f t="shared" si="121"/>
        <v>PG-MD 202D00.11W</v>
      </c>
      <c r="B7756" s="195" t="s">
        <v>3686</v>
      </c>
      <c r="C7756" s="196">
        <v>0</v>
      </c>
      <c r="D7756" s="196">
        <v>0.11</v>
      </c>
      <c r="E7756" s="195" t="s">
        <v>583</v>
      </c>
      <c r="F7756" s="195" t="s">
        <v>432</v>
      </c>
    </row>
    <row r="7757" spans="1:6" x14ac:dyDescent="0.25">
      <c r="A7757" s="189" t="str">
        <f t="shared" si="121"/>
        <v>PG-MD 202E1.351.64N</v>
      </c>
      <c r="B7757" s="195" t="s">
        <v>3687</v>
      </c>
      <c r="C7757" s="196">
        <v>1.35</v>
      </c>
      <c r="D7757" s="196">
        <v>1.64</v>
      </c>
      <c r="E7757" s="195" t="s">
        <v>583</v>
      </c>
      <c r="F7757" s="195" t="s">
        <v>430</v>
      </c>
    </row>
    <row r="7758" spans="1:6" x14ac:dyDescent="0.25">
      <c r="A7758" s="189" t="str">
        <f t="shared" si="121"/>
        <v>PG-MD 202E1.351.64S</v>
      </c>
      <c r="B7758" s="195" t="s">
        <v>3687</v>
      </c>
      <c r="C7758" s="196">
        <v>1.35</v>
      </c>
      <c r="D7758" s="196">
        <v>1.64</v>
      </c>
      <c r="E7758" s="195" t="s">
        <v>583</v>
      </c>
      <c r="F7758" s="195" t="s">
        <v>438</v>
      </c>
    </row>
    <row r="7759" spans="1:6" x14ac:dyDescent="0.25">
      <c r="A7759" s="189" t="str">
        <f t="shared" si="121"/>
        <v>PG-MD 202F0.861.05E</v>
      </c>
      <c r="B7759" s="195" t="s">
        <v>3688</v>
      </c>
      <c r="C7759" s="196">
        <v>0.86</v>
      </c>
      <c r="D7759" s="196">
        <v>1.05</v>
      </c>
      <c r="E7759" s="195" t="s">
        <v>583</v>
      </c>
      <c r="F7759" s="195" t="s">
        <v>19</v>
      </c>
    </row>
    <row r="7760" spans="1:6" x14ac:dyDescent="0.25">
      <c r="A7760" s="189" t="str">
        <f t="shared" si="121"/>
        <v>PG-MD 202F0.861.05W</v>
      </c>
      <c r="B7760" s="195" t="s">
        <v>3688</v>
      </c>
      <c r="C7760" s="196">
        <v>0.86</v>
      </c>
      <c r="D7760" s="196">
        <v>1.05</v>
      </c>
      <c r="E7760" s="195" t="s">
        <v>583</v>
      </c>
      <c r="F7760" s="195" t="s">
        <v>432</v>
      </c>
    </row>
    <row r="7761" spans="1:6" x14ac:dyDescent="0.25">
      <c r="A7761" s="189" t="str">
        <f t="shared" si="121"/>
        <v>PG-MD 202F1.051.13E</v>
      </c>
      <c r="B7761" s="195" t="s">
        <v>3688</v>
      </c>
      <c r="C7761" s="196">
        <v>1.05</v>
      </c>
      <c r="D7761" s="196">
        <v>1.1299999999999999</v>
      </c>
      <c r="E7761" s="195" t="s">
        <v>583</v>
      </c>
      <c r="F7761" s="195" t="s">
        <v>19</v>
      </c>
    </row>
    <row r="7762" spans="1:6" x14ac:dyDescent="0.25">
      <c r="A7762" s="189" t="str">
        <f t="shared" si="121"/>
        <v>PG-MD 202F1.051.13W</v>
      </c>
      <c r="B7762" s="195" t="s">
        <v>3688</v>
      </c>
      <c r="C7762" s="196">
        <v>1.05</v>
      </c>
      <c r="D7762" s="196">
        <v>1.1299999999999999</v>
      </c>
      <c r="E7762" s="195" t="s">
        <v>583</v>
      </c>
      <c r="F7762" s="195" t="s">
        <v>432</v>
      </c>
    </row>
    <row r="7763" spans="1:6" x14ac:dyDescent="0.25">
      <c r="A7763" s="189" t="str">
        <f t="shared" si="121"/>
        <v>PG-MD 20800.4N</v>
      </c>
      <c r="B7763" s="195" t="s">
        <v>3689</v>
      </c>
      <c r="C7763" s="196">
        <v>0</v>
      </c>
      <c r="D7763" s="196">
        <v>0.4</v>
      </c>
      <c r="E7763" s="195" t="s">
        <v>583</v>
      </c>
      <c r="F7763" s="195" t="s">
        <v>430</v>
      </c>
    </row>
    <row r="7764" spans="1:6" x14ac:dyDescent="0.25">
      <c r="A7764" s="189" t="str">
        <f t="shared" si="121"/>
        <v>PG-MD 20800.4S</v>
      </c>
      <c r="B7764" s="195" t="s">
        <v>3689</v>
      </c>
      <c r="C7764" s="196">
        <v>0</v>
      </c>
      <c r="D7764" s="196">
        <v>0.4</v>
      </c>
      <c r="E7764" s="195" t="s">
        <v>583</v>
      </c>
      <c r="F7764" s="195" t="s">
        <v>438</v>
      </c>
    </row>
    <row r="7765" spans="1:6" x14ac:dyDescent="0.25">
      <c r="A7765" s="189" t="str">
        <f t="shared" si="121"/>
        <v>PG-MD 2080.41.05N</v>
      </c>
      <c r="B7765" s="195" t="s">
        <v>3689</v>
      </c>
      <c r="C7765" s="196">
        <v>0.4</v>
      </c>
      <c r="D7765" s="196">
        <v>1.05</v>
      </c>
      <c r="E7765" s="195" t="s">
        <v>583</v>
      </c>
      <c r="F7765" s="195" t="s">
        <v>430</v>
      </c>
    </row>
    <row r="7766" spans="1:6" x14ac:dyDescent="0.25">
      <c r="A7766" s="189" t="str">
        <f t="shared" si="121"/>
        <v>PG-MD 2080.41.05S</v>
      </c>
      <c r="B7766" s="195" t="s">
        <v>3689</v>
      </c>
      <c r="C7766" s="196">
        <v>0.4</v>
      </c>
      <c r="D7766" s="196">
        <v>1.05</v>
      </c>
      <c r="E7766" s="195" t="s">
        <v>583</v>
      </c>
      <c r="F7766" s="195" t="s">
        <v>438</v>
      </c>
    </row>
    <row r="7767" spans="1:6" x14ac:dyDescent="0.25">
      <c r="A7767" s="189" t="str">
        <f t="shared" si="121"/>
        <v>PG-MD 2081.051.11N</v>
      </c>
      <c r="B7767" s="195" t="s">
        <v>3689</v>
      </c>
      <c r="C7767" s="196">
        <v>1.05</v>
      </c>
      <c r="D7767" s="196">
        <v>1.1100000000000001</v>
      </c>
      <c r="E7767" s="195" t="s">
        <v>583</v>
      </c>
      <c r="F7767" s="195" t="s">
        <v>430</v>
      </c>
    </row>
    <row r="7768" spans="1:6" x14ac:dyDescent="0.25">
      <c r="A7768" s="189" t="str">
        <f t="shared" si="121"/>
        <v>PG-MD 2081.051.11S</v>
      </c>
      <c r="B7768" s="195" t="s">
        <v>3689</v>
      </c>
      <c r="C7768" s="196">
        <v>1.05</v>
      </c>
      <c r="D7768" s="196">
        <v>1.1100000000000001</v>
      </c>
      <c r="E7768" s="195" t="s">
        <v>583</v>
      </c>
      <c r="F7768" s="195" t="s">
        <v>438</v>
      </c>
    </row>
    <row r="7769" spans="1:6" x14ac:dyDescent="0.25">
      <c r="A7769" s="189" t="str">
        <f t="shared" si="121"/>
        <v>PG-MD 2081.111.15N</v>
      </c>
      <c r="B7769" s="195" t="s">
        <v>3689</v>
      </c>
      <c r="C7769" s="196">
        <v>1.1100000000000001</v>
      </c>
      <c r="D7769" s="196">
        <v>1.1499999999999999</v>
      </c>
      <c r="E7769" s="195" t="s">
        <v>583</v>
      </c>
      <c r="F7769" s="195" t="s">
        <v>430</v>
      </c>
    </row>
    <row r="7770" spans="1:6" x14ac:dyDescent="0.25">
      <c r="A7770" s="189" t="str">
        <f t="shared" si="121"/>
        <v>PG-MD 2081.111.15S</v>
      </c>
      <c r="B7770" s="195" t="s">
        <v>3689</v>
      </c>
      <c r="C7770" s="196">
        <v>1.1100000000000001</v>
      </c>
      <c r="D7770" s="196">
        <v>1.1499999999999999</v>
      </c>
      <c r="E7770" s="195" t="s">
        <v>583</v>
      </c>
      <c r="F7770" s="195" t="s">
        <v>438</v>
      </c>
    </row>
    <row r="7771" spans="1:6" x14ac:dyDescent="0.25">
      <c r="A7771" s="189" t="str">
        <f t="shared" si="121"/>
        <v>PG-MD 2081.151.41N</v>
      </c>
      <c r="B7771" s="195" t="s">
        <v>3689</v>
      </c>
      <c r="C7771" s="196">
        <v>1.1499999999999999</v>
      </c>
      <c r="D7771" s="196">
        <v>1.41</v>
      </c>
      <c r="E7771" s="195" t="s">
        <v>583</v>
      </c>
      <c r="F7771" s="195" t="s">
        <v>430</v>
      </c>
    </row>
    <row r="7772" spans="1:6" x14ac:dyDescent="0.25">
      <c r="A7772" s="189" t="str">
        <f t="shared" si="121"/>
        <v>PG-MD 2081.151.41S</v>
      </c>
      <c r="B7772" s="195" t="s">
        <v>3689</v>
      </c>
      <c r="C7772" s="196">
        <v>1.1499999999999999</v>
      </c>
      <c r="D7772" s="196">
        <v>1.41</v>
      </c>
      <c r="E7772" s="195" t="s">
        <v>583</v>
      </c>
      <c r="F7772" s="195" t="s">
        <v>438</v>
      </c>
    </row>
    <row r="7773" spans="1:6" x14ac:dyDescent="0.25">
      <c r="A7773" s="189" t="str">
        <f t="shared" si="121"/>
        <v>PG-MD 2081.411.86N</v>
      </c>
      <c r="B7773" s="195" t="s">
        <v>3689</v>
      </c>
      <c r="C7773" s="196">
        <v>1.41</v>
      </c>
      <c r="D7773" s="196">
        <v>1.86</v>
      </c>
      <c r="E7773" s="195" t="s">
        <v>583</v>
      </c>
      <c r="F7773" s="195" t="s">
        <v>430</v>
      </c>
    </row>
    <row r="7774" spans="1:6" x14ac:dyDescent="0.25">
      <c r="A7774" s="189" t="str">
        <f t="shared" si="121"/>
        <v>PG-MD 2081.411.86S</v>
      </c>
      <c r="B7774" s="195" t="s">
        <v>3689</v>
      </c>
      <c r="C7774" s="196">
        <v>1.41</v>
      </c>
      <c r="D7774" s="196">
        <v>1.86</v>
      </c>
      <c r="E7774" s="195" t="s">
        <v>583</v>
      </c>
      <c r="F7774" s="195" t="s">
        <v>438</v>
      </c>
    </row>
    <row r="7775" spans="1:6" x14ac:dyDescent="0.25">
      <c r="A7775" s="189" t="str">
        <f t="shared" si="121"/>
        <v>PG-MD 210 RP2-1300.12W</v>
      </c>
      <c r="B7775" s="195" t="s">
        <v>3690</v>
      </c>
      <c r="C7775" s="196">
        <v>0</v>
      </c>
      <c r="D7775" s="196">
        <v>0.12</v>
      </c>
      <c r="E7775" s="195" t="s">
        <v>593</v>
      </c>
      <c r="F7775" s="195" t="s">
        <v>432</v>
      </c>
    </row>
    <row r="7776" spans="1:6" x14ac:dyDescent="0.25">
      <c r="A7776" s="189" t="str">
        <f t="shared" si="121"/>
        <v>PG-MD 210 RP3-1300.18E</v>
      </c>
      <c r="B7776" s="195" t="s">
        <v>3691</v>
      </c>
      <c r="C7776" s="196">
        <v>0</v>
      </c>
      <c r="D7776" s="196">
        <v>0.18</v>
      </c>
      <c r="E7776" s="195" t="s">
        <v>598</v>
      </c>
      <c r="F7776" s="195" t="s">
        <v>19</v>
      </c>
    </row>
    <row r="7777" spans="1:6" x14ac:dyDescent="0.25">
      <c r="A7777" s="189" t="str">
        <f t="shared" si="121"/>
        <v>PG-MD 210 RP4-1300.2N</v>
      </c>
      <c r="B7777" s="195" t="s">
        <v>3692</v>
      </c>
      <c r="C7777" s="196">
        <v>0</v>
      </c>
      <c r="D7777" s="196">
        <v>0.2</v>
      </c>
      <c r="E7777" s="195" t="s">
        <v>589</v>
      </c>
      <c r="F7777" s="195" t="s">
        <v>430</v>
      </c>
    </row>
    <row r="7778" spans="1:6" x14ac:dyDescent="0.25">
      <c r="A7778" s="189" t="str">
        <f t="shared" si="121"/>
        <v>PG-MD 210 RP5-1300.12S</v>
      </c>
      <c r="B7778" s="195" t="s">
        <v>3693</v>
      </c>
      <c r="C7778" s="196">
        <v>0</v>
      </c>
      <c r="D7778" s="196">
        <v>0.12</v>
      </c>
      <c r="E7778" s="195" t="s">
        <v>595</v>
      </c>
      <c r="F7778" s="195" t="s">
        <v>438</v>
      </c>
    </row>
    <row r="7779" spans="1:6" x14ac:dyDescent="0.25">
      <c r="A7779" s="189" t="str">
        <f t="shared" si="121"/>
        <v>PG-MD 210 RP5-130.060.08N</v>
      </c>
      <c r="B7779" s="195" t="s">
        <v>3693</v>
      </c>
      <c r="C7779" s="196">
        <v>0.06</v>
      </c>
      <c r="D7779" s="196">
        <v>0.08</v>
      </c>
      <c r="E7779" s="195" t="s">
        <v>589</v>
      </c>
      <c r="F7779" s="195" t="s">
        <v>430</v>
      </c>
    </row>
    <row r="7780" spans="1:6" x14ac:dyDescent="0.25">
      <c r="A7780" s="189" t="str">
        <f t="shared" si="121"/>
        <v>PG-MD 210 RP6-1300.14E</v>
      </c>
      <c r="B7780" s="195" t="s">
        <v>3694</v>
      </c>
      <c r="C7780" s="196">
        <v>0</v>
      </c>
      <c r="D7780" s="196">
        <v>0.14000000000000001</v>
      </c>
      <c r="E7780" s="195" t="s">
        <v>598</v>
      </c>
      <c r="F7780" s="195" t="s">
        <v>19</v>
      </c>
    </row>
    <row r="7781" spans="1:6" x14ac:dyDescent="0.25">
      <c r="A7781" s="189" t="str">
        <f t="shared" si="121"/>
        <v>PG-MD 210 RP7-1300.02S</v>
      </c>
      <c r="B7781" s="195" t="s">
        <v>3695</v>
      </c>
      <c r="C7781" s="196">
        <v>0</v>
      </c>
      <c r="D7781" s="196">
        <v>0.02</v>
      </c>
      <c r="E7781" s="195" t="s">
        <v>595</v>
      </c>
      <c r="F7781" s="195" t="s">
        <v>438</v>
      </c>
    </row>
    <row r="7782" spans="1:6" x14ac:dyDescent="0.25">
      <c r="A7782" s="189" t="str">
        <f t="shared" si="121"/>
        <v>PG-MD 210 RP8-1300.04W</v>
      </c>
      <c r="B7782" s="195" t="s">
        <v>3696</v>
      </c>
      <c r="C7782" s="196">
        <v>0</v>
      </c>
      <c r="D7782" s="196">
        <v>0.04</v>
      </c>
      <c r="E7782" s="195" t="s">
        <v>593</v>
      </c>
      <c r="F7782" s="195" t="s">
        <v>432</v>
      </c>
    </row>
    <row r="7783" spans="1:6" x14ac:dyDescent="0.25">
      <c r="A7783" s="189" t="str">
        <f t="shared" si="121"/>
        <v>PG-MD 210A00.26N</v>
      </c>
      <c r="B7783" s="195" t="s">
        <v>3697</v>
      </c>
      <c r="C7783" s="196">
        <v>0</v>
      </c>
      <c r="D7783" s="196">
        <v>0.26</v>
      </c>
      <c r="E7783" s="195" t="s">
        <v>583</v>
      </c>
      <c r="F7783" s="195" t="s">
        <v>430</v>
      </c>
    </row>
    <row r="7784" spans="1:6" x14ac:dyDescent="0.25">
      <c r="A7784" s="189" t="str">
        <f t="shared" si="121"/>
        <v>PG-MD 210A00.26S</v>
      </c>
      <c r="B7784" s="195" t="s">
        <v>3697</v>
      </c>
      <c r="C7784" s="196">
        <v>0</v>
      </c>
      <c r="D7784" s="196">
        <v>0.26</v>
      </c>
      <c r="E7784" s="195" t="s">
        <v>583</v>
      </c>
      <c r="F7784" s="195" t="s">
        <v>438</v>
      </c>
    </row>
    <row r="7785" spans="1:6" x14ac:dyDescent="0.25">
      <c r="A7785" s="189" t="str">
        <f t="shared" si="121"/>
        <v>PG-MD 210B00.29N</v>
      </c>
      <c r="B7785" s="195" t="s">
        <v>3698</v>
      </c>
      <c r="C7785" s="196">
        <v>0</v>
      </c>
      <c r="D7785" s="196">
        <v>0.28999999999999998</v>
      </c>
      <c r="E7785" s="195" t="s">
        <v>583</v>
      </c>
      <c r="F7785" s="195" t="s">
        <v>430</v>
      </c>
    </row>
    <row r="7786" spans="1:6" x14ac:dyDescent="0.25">
      <c r="A7786" s="189" t="str">
        <f t="shared" si="121"/>
        <v>PG-MD 210B00.29S</v>
      </c>
      <c r="B7786" s="195" t="s">
        <v>3698</v>
      </c>
      <c r="C7786" s="196">
        <v>0</v>
      </c>
      <c r="D7786" s="196">
        <v>0.28999999999999998</v>
      </c>
      <c r="E7786" s="195" t="s">
        <v>583</v>
      </c>
      <c r="F7786" s="195" t="s">
        <v>438</v>
      </c>
    </row>
    <row r="7787" spans="1:6" x14ac:dyDescent="0.25">
      <c r="A7787" s="189" t="str">
        <f t="shared" si="121"/>
        <v>PG-MD 210C00.01N</v>
      </c>
      <c r="B7787" s="195" t="s">
        <v>3699</v>
      </c>
      <c r="C7787" s="196">
        <v>0</v>
      </c>
      <c r="D7787" s="196">
        <v>0.01</v>
      </c>
      <c r="E7787" s="195" t="s">
        <v>589</v>
      </c>
      <c r="F7787" s="195" t="s">
        <v>430</v>
      </c>
    </row>
    <row r="7788" spans="1:6" x14ac:dyDescent="0.25">
      <c r="A7788" s="189" t="str">
        <f t="shared" si="121"/>
        <v>PG-MD 210C00.01S</v>
      </c>
      <c r="B7788" s="195" t="s">
        <v>3699</v>
      </c>
      <c r="C7788" s="196">
        <v>0</v>
      </c>
      <c r="D7788" s="196">
        <v>0.01</v>
      </c>
      <c r="E7788" s="195" t="s">
        <v>595</v>
      </c>
      <c r="F7788" s="195" t="s">
        <v>438</v>
      </c>
    </row>
    <row r="7789" spans="1:6" x14ac:dyDescent="0.25">
      <c r="A7789" s="189" t="str">
        <f t="shared" si="121"/>
        <v>PG-MD 210D00.63N</v>
      </c>
      <c r="B7789" s="195" t="s">
        <v>3700</v>
      </c>
      <c r="C7789" s="196">
        <v>0</v>
      </c>
      <c r="D7789" s="196">
        <v>0.63</v>
      </c>
      <c r="E7789" s="195" t="s">
        <v>583</v>
      </c>
      <c r="F7789" s="195" t="s">
        <v>430</v>
      </c>
    </row>
    <row r="7790" spans="1:6" x14ac:dyDescent="0.25">
      <c r="A7790" s="189" t="str">
        <f t="shared" si="121"/>
        <v>PG-MD 210D00.63S</v>
      </c>
      <c r="B7790" s="195" t="s">
        <v>3700</v>
      </c>
      <c r="C7790" s="196">
        <v>0</v>
      </c>
      <c r="D7790" s="196">
        <v>0.63</v>
      </c>
      <c r="E7790" s="195" t="s">
        <v>583</v>
      </c>
      <c r="F7790" s="195" t="s">
        <v>438</v>
      </c>
    </row>
    <row r="7791" spans="1:6" x14ac:dyDescent="0.25">
      <c r="A7791" s="189" t="str">
        <f t="shared" si="121"/>
        <v>PG-MD 210E01.26N</v>
      </c>
      <c r="B7791" s="195" t="s">
        <v>3701</v>
      </c>
      <c r="C7791" s="196">
        <v>0</v>
      </c>
      <c r="D7791" s="196">
        <v>1.26</v>
      </c>
      <c r="E7791" s="195" t="s">
        <v>583</v>
      </c>
      <c r="F7791" s="195" t="s">
        <v>430</v>
      </c>
    </row>
    <row r="7792" spans="1:6" x14ac:dyDescent="0.25">
      <c r="A7792" s="189" t="str">
        <f t="shared" si="121"/>
        <v>PG-MD 210E01.26S</v>
      </c>
      <c r="B7792" s="195" t="s">
        <v>3701</v>
      </c>
      <c r="C7792" s="196">
        <v>0</v>
      </c>
      <c r="D7792" s="196">
        <v>1.26</v>
      </c>
      <c r="E7792" s="195" t="s">
        <v>583</v>
      </c>
      <c r="F7792" s="195" t="s">
        <v>438</v>
      </c>
    </row>
    <row r="7793" spans="1:6" x14ac:dyDescent="0.25">
      <c r="A7793" s="189" t="str">
        <f t="shared" si="121"/>
        <v>PG-MD 210F00.15N</v>
      </c>
      <c r="B7793" s="195" t="s">
        <v>3702</v>
      </c>
      <c r="C7793" s="196">
        <v>0</v>
      </c>
      <c r="D7793" s="196">
        <v>0.15</v>
      </c>
      <c r="E7793" s="195" t="s">
        <v>589</v>
      </c>
      <c r="F7793" s="195" t="s">
        <v>430</v>
      </c>
    </row>
    <row r="7794" spans="1:6" x14ac:dyDescent="0.25">
      <c r="A7794" s="189" t="str">
        <f t="shared" si="121"/>
        <v>PG-MD 210F00.15S</v>
      </c>
      <c r="B7794" s="195" t="s">
        <v>3702</v>
      </c>
      <c r="C7794" s="196">
        <v>0</v>
      </c>
      <c r="D7794" s="196">
        <v>0.15</v>
      </c>
      <c r="E7794" s="195" t="s">
        <v>595</v>
      </c>
      <c r="F7794" s="195" t="s">
        <v>438</v>
      </c>
    </row>
    <row r="7795" spans="1:6" x14ac:dyDescent="0.25">
      <c r="A7795" s="189" t="str">
        <f t="shared" si="121"/>
        <v>PG-MD 210I00.45N</v>
      </c>
      <c r="B7795" s="195" t="s">
        <v>3703</v>
      </c>
      <c r="C7795" s="196">
        <v>0</v>
      </c>
      <c r="D7795" s="196">
        <v>0.45</v>
      </c>
      <c r="E7795" s="195" t="s">
        <v>583</v>
      </c>
      <c r="F7795" s="195" t="s">
        <v>430</v>
      </c>
    </row>
    <row r="7796" spans="1:6" x14ac:dyDescent="0.25">
      <c r="A7796" s="189" t="str">
        <f t="shared" si="121"/>
        <v>PG-MD 210I00.45S</v>
      </c>
      <c r="B7796" s="195" t="s">
        <v>3703</v>
      </c>
      <c r="C7796" s="196">
        <v>0</v>
      </c>
      <c r="D7796" s="196">
        <v>0.45</v>
      </c>
      <c r="E7796" s="195" t="s">
        <v>583</v>
      </c>
      <c r="F7796" s="195" t="s">
        <v>438</v>
      </c>
    </row>
    <row r="7797" spans="1:6" x14ac:dyDescent="0.25">
      <c r="A7797" s="189" t="str">
        <f t="shared" si="121"/>
        <v>PG-MD 210I0.450.65N</v>
      </c>
      <c r="B7797" s="195" t="s">
        <v>3703</v>
      </c>
      <c r="C7797" s="196">
        <v>0.45</v>
      </c>
      <c r="D7797" s="196">
        <v>0.65</v>
      </c>
      <c r="E7797" s="195" t="s">
        <v>583</v>
      </c>
      <c r="F7797" s="195" t="s">
        <v>430</v>
      </c>
    </row>
    <row r="7798" spans="1:6" x14ac:dyDescent="0.25">
      <c r="A7798" s="189" t="str">
        <f t="shared" si="121"/>
        <v>PG-MD 210I0.450.65S</v>
      </c>
      <c r="B7798" s="195" t="s">
        <v>3703</v>
      </c>
      <c r="C7798" s="196">
        <v>0.45</v>
      </c>
      <c r="D7798" s="196">
        <v>0.65</v>
      </c>
      <c r="E7798" s="195" t="s">
        <v>583</v>
      </c>
      <c r="F7798" s="195" t="s">
        <v>438</v>
      </c>
    </row>
    <row r="7799" spans="1:6" x14ac:dyDescent="0.25">
      <c r="A7799" s="189" t="str">
        <f t="shared" si="121"/>
        <v>PG-MD 210J00.38N</v>
      </c>
      <c r="B7799" s="195" t="s">
        <v>3704</v>
      </c>
      <c r="C7799" s="196">
        <v>0</v>
      </c>
      <c r="D7799" s="196">
        <v>0.38</v>
      </c>
      <c r="E7799" s="195" t="s">
        <v>583</v>
      </c>
      <c r="F7799" s="195" t="s">
        <v>430</v>
      </c>
    </row>
    <row r="7800" spans="1:6" x14ac:dyDescent="0.25">
      <c r="A7800" s="189" t="str">
        <f t="shared" si="121"/>
        <v>PG-MD 210J00.38S</v>
      </c>
      <c r="B7800" s="195" t="s">
        <v>3704</v>
      </c>
      <c r="C7800" s="196">
        <v>0</v>
      </c>
      <c r="D7800" s="196">
        <v>0.38</v>
      </c>
      <c r="E7800" s="195" t="s">
        <v>583</v>
      </c>
      <c r="F7800" s="195" t="s">
        <v>438</v>
      </c>
    </row>
    <row r="7801" spans="1:6" x14ac:dyDescent="0.25">
      <c r="A7801" s="189" t="str">
        <f t="shared" si="121"/>
        <v>PG-MD 210K01.19N</v>
      </c>
      <c r="B7801" s="195" t="s">
        <v>3705</v>
      </c>
      <c r="C7801" s="196">
        <v>0</v>
      </c>
      <c r="D7801" s="196">
        <v>1.19</v>
      </c>
      <c r="E7801" s="195" t="s">
        <v>583</v>
      </c>
      <c r="F7801" s="195" t="s">
        <v>430</v>
      </c>
    </row>
    <row r="7802" spans="1:6" x14ac:dyDescent="0.25">
      <c r="A7802" s="189" t="str">
        <f t="shared" si="121"/>
        <v>PG-MD 210K01.19S</v>
      </c>
      <c r="B7802" s="195" t="s">
        <v>3705</v>
      </c>
      <c r="C7802" s="196">
        <v>0</v>
      </c>
      <c r="D7802" s="196">
        <v>1.19</v>
      </c>
      <c r="E7802" s="195" t="s">
        <v>583</v>
      </c>
      <c r="F7802" s="195" t="s">
        <v>438</v>
      </c>
    </row>
    <row r="7803" spans="1:6" x14ac:dyDescent="0.25">
      <c r="A7803" s="189" t="str">
        <f t="shared" si="121"/>
        <v>PG-MD 210K1.191.83N</v>
      </c>
      <c r="B7803" s="195" t="s">
        <v>3705</v>
      </c>
      <c r="C7803" s="196">
        <v>1.19</v>
      </c>
      <c r="D7803" s="196">
        <v>1.83</v>
      </c>
      <c r="E7803" s="195" t="s">
        <v>583</v>
      </c>
      <c r="F7803" s="195" t="s">
        <v>430</v>
      </c>
    </row>
    <row r="7804" spans="1:6" x14ac:dyDescent="0.25">
      <c r="A7804" s="189" t="str">
        <f t="shared" si="121"/>
        <v>PG-MD 210K1.191.83S</v>
      </c>
      <c r="B7804" s="195" t="s">
        <v>3705</v>
      </c>
      <c r="C7804" s="196">
        <v>1.19</v>
      </c>
      <c r="D7804" s="196">
        <v>1.83</v>
      </c>
      <c r="E7804" s="195" t="s">
        <v>583</v>
      </c>
      <c r="F7804" s="195" t="s">
        <v>438</v>
      </c>
    </row>
    <row r="7805" spans="1:6" x14ac:dyDescent="0.25">
      <c r="A7805" s="189" t="str">
        <f t="shared" si="121"/>
        <v>PG-MD 210K1.831.85N</v>
      </c>
      <c r="B7805" s="195" t="s">
        <v>3705</v>
      </c>
      <c r="C7805" s="196">
        <v>1.83</v>
      </c>
      <c r="D7805" s="196">
        <v>1.85</v>
      </c>
      <c r="E7805" s="195" t="s">
        <v>583</v>
      </c>
      <c r="F7805" s="195" t="s">
        <v>430</v>
      </c>
    </row>
    <row r="7806" spans="1:6" x14ac:dyDescent="0.25">
      <c r="A7806" s="189" t="str">
        <f t="shared" si="121"/>
        <v>PG-MD 210K1.831.85S</v>
      </c>
      <c r="B7806" s="195" t="s">
        <v>3705</v>
      </c>
      <c r="C7806" s="196">
        <v>1.83</v>
      </c>
      <c r="D7806" s="196">
        <v>1.85</v>
      </c>
      <c r="E7806" s="195" t="s">
        <v>583</v>
      </c>
      <c r="F7806" s="195" t="s">
        <v>438</v>
      </c>
    </row>
    <row r="7807" spans="1:6" x14ac:dyDescent="0.25">
      <c r="A7807" s="189" t="str">
        <f t="shared" si="121"/>
        <v>PG-MD 210L00.2N</v>
      </c>
      <c r="B7807" s="195" t="s">
        <v>3706</v>
      </c>
      <c r="C7807" s="196">
        <v>0</v>
      </c>
      <c r="D7807" s="196">
        <v>0.2</v>
      </c>
      <c r="E7807" s="195" t="s">
        <v>583</v>
      </c>
      <c r="F7807" s="195" t="s">
        <v>430</v>
      </c>
    </row>
    <row r="7808" spans="1:6" x14ac:dyDescent="0.25">
      <c r="A7808" s="189" t="str">
        <f t="shared" si="121"/>
        <v>PG-MD 210L00.2S</v>
      </c>
      <c r="B7808" s="195" t="s">
        <v>3706</v>
      </c>
      <c r="C7808" s="196">
        <v>0</v>
      </c>
      <c r="D7808" s="196">
        <v>0.2</v>
      </c>
      <c r="E7808" s="195" t="s">
        <v>583</v>
      </c>
      <c r="F7808" s="195" t="s">
        <v>438</v>
      </c>
    </row>
    <row r="7809" spans="1:6" x14ac:dyDescent="0.25">
      <c r="A7809" s="189" t="str">
        <f t="shared" si="121"/>
        <v>PG-MD 210M0.10.25N</v>
      </c>
      <c r="B7809" s="195" t="s">
        <v>3707</v>
      </c>
      <c r="C7809" s="196">
        <v>0.1</v>
      </c>
      <c r="D7809" s="196">
        <v>0.25</v>
      </c>
      <c r="E7809" s="195" t="s">
        <v>583</v>
      </c>
      <c r="F7809" s="195" t="s">
        <v>430</v>
      </c>
    </row>
    <row r="7810" spans="1:6" x14ac:dyDescent="0.25">
      <c r="A7810" s="189" t="str">
        <f t="shared" si="121"/>
        <v>PG-MD 210M0.10.25S</v>
      </c>
      <c r="B7810" s="195" t="s">
        <v>3707</v>
      </c>
      <c r="C7810" s="196">
        <v>0.1</v>
      </c>
      <c r="D7810" s="196">
        <v>0.25</v>
      </c>
      <c r="E7810" s="195" t="s">
        <v>583</v>
      </c>
      <c r="F7810" s="195" t="s">
        <v>438</v>
      </c>
    </row>
    <row r="7811" spans="1:6" x14ac:dyDescent="0.25">
      <c r="A7811" s="189" t="str">
        <f t="shared" ref="A7811:A7874" si="122">B7811&amp;C7811&amp;D7811&amp;F7811</f>
        <v>PG-MD 210N00.55N</v>
      </c>
      <c r="B7811" s="195" t="s">
        <v>3708</v>
      </c>
      <c r="C7811" s="196">
        <v>0</v>
      </c>
      <c r="D7811" s="196">
        <v>0.55000000000000004</v>
      </c>
      <c r="E7811" s="195" t="s">
        <v>583</v>
      </c>
      <c r="F7811" s="195" t="s">
        <v>430</v>
      </c>
    </row>
    <row r="7812" spans="1:6" x14ac:dyDescent="0.25">
      <c r="A7812" s="189" t="str">
        <f t="shared" si="122"/>
        <v>PG-MD 210N00.55S</v>
      </c>
      <c r="B7812" s="195" t="s">
        <v>3708</v>
      </c>
      <c r="C7812" s="196">
        <v>0</v>
      </c>
      <c r="D7812" s="196">
        <v>0.55000000000000004</v>
      </c>
      <c r="E7812" s="195" t="s">
        <v>583</v>
      </c>
      <c r="F7812" s="195" t="s">
        <v>438</v>
      </c>
    </row>
    <row r="7813" spans="1:6" x14ac:dyDescent="0.25">
      <c r="A7813" s="189" t="str">
        <f t="shared" si="122"/>
        <v>PG-MD 210P00.54N</v>
      </c>
      <c r="B7813" s="195" t="s">
        <v>3709</v>
      </c>
      <c r="C7813" s="196">
        <v>0</v>
      </c>
      <c r="D7813" s="196">
        <v>0.54</v>
      </c>
      <c r="E7813" s="195" t="s">
        <v>583</v>
      </c>
      <c r="F7813" s="195" t="s">
        <v>430</v>
      </c>
    </row>
    <row r="7814" spans="1:6" x14ac:dyDescent="0.25">
      <c r="A7814" s="189" t="str">
        <f t="shared" si="122"/>
        <v>PG-MD 210P00.54S</v>
      </c>
      <c r="B7814" s="195" t="s">
        <v>3709</v>
      </c>
      <c r="C7814" s="196">
        <v>0</v>
      </c>
      <c r="D7814" s="196">
        <v>0.54</v>
      </c>
      <c r="E7814" s="195" t="s">
        <v>583</v>
      </c>
      <c r="F7814" s="195" t="s">
        <v>438</v>
      </c>
    </row>
    <row r="7815" spans="1:6" x14ac:dyDescent="0.25">
      <c r="A7815" s="189" t="str">
        <f t="shared" si="122"/>
        <v>PG-MD 210P0.540.56N</v>
      </c>
      <c r="B7815" s="195" t="s">
        <v>3709</v>
      </c>
      <c r="C7815" s="196">
        <v>0.54</v>
      </c>
      <c r="D7815" s="196">
        <v>0.56000000000000005</v>
      </c>
      <c r="E7815" s="195" t="s">
        <v>583</v>
      </c>
      <c r="F7815" s="195" t="s">
        <v>430</v>
      </c>
    </row>
    <row r="7816" spans="1:6" x14ac:dyDescent="0.25">
      <c r="A7816" s="189" t="str">
        <f t="shared" si="122"/>
        <v>PG-MD 210P0.540.56S</v>
      </c>
      <c r="B7816" s="195" t="s">
        <v>3709</v>
      </c>
      <c r="C7816" s="196">
        <v>0.54</v>
      </c>
      <c r="D7816" s="196">
        <v>0.56000000000000005</v>
      </c>
      <c r="E7816" s="195" t="s">
        <v>583</v>
      </c>
      <c r="F7816" s="195" t="s">
        <v>438</v>
      </c>
    </row>
    <row r="7817" spans="1:6" x14ac:dyDescent="0.25">
      <c r="A7817" s="189" t="str">
        <f t="shared" si="122"/>
        <v>PG-MD 210R00.47N</v>
      </c>
      <c r="B7817" s="195" t="s">
        <v>3710</v>
      </c>
      <c r="C7817" s="196">
        <v>0</v>
      </c>
      <c r="D7817" s="196">
        <v>0.47</v>
      </c>
      <c r="E7817" s="195" t="s">
        <v>583</v>
      </c>
      <c r="F7817" s="195" t="s">
        <v>430</v>
      </c>
    </row>
    <row r="7818" spans="1:6" x14ac:dyDescent="0.25">
      <c r="A7818" s="189" t="str">
        <f t="shared" si="122"/>
        <v>PG-MD 210R00.47S</v>
      </c>
      <c r="B7818" s="195" t="s">
        <v>3710</v>
      </c>
      <c r="C7818" s="196">
        <v>0</v>
      </c>
      <c r="D7818" s="196">
        <v>0.47</v>
      </c>
      <c r="E7818" s="195" t="s">
        <v>583</v>
      </c>
      <c r="F7818" s="195" t="s">
        <v>438</v>
      </c>
    </row>
    <row r="7819" spans="1:6" x14ac:dyDescent="0.25">
      <c r="A7819" s="189" t="str">
        <f t="shared" si="122"/>
        <v>PG-MD 210R0.470.48N</v>
      </c>
      <c r="B7819" s="195" t="s">
        <v>3710</v>
      </c>
      <c r="C7819" s="196">
        <v>0.47</v>
      </c>
      <c r="D7819" s="196">
        <v>0.48</v>
      </c>
      <c r="E7819" s="195" t="s">
        <v>583</v>
      </c>
      <c r="F7819" s="195" t="s">
        <v>430</v>
      </c>
    </row>
    <row r="7820" spans="1:6" x14ac:dyDescent="0.25">
      <c r="A7820" s="189" t="str">
        <f t="shared" si="122"/>
        <v>PG-MD 210R0.470.48S</v>
      </c>
      <c r="B7820" s="195" t="s">
        <v>3710</v>
      </c>
      <c r="C7820" s="196">
        <v>0.47</v>
      </c>
      <c r="D7820" s="196">
        <v>0.48</v>
      </c>
      <c r="E7820" s="195" t="s">
        <v>583</v>
      </c>
      <c r="F7820" s="195" t="s">
        <v>438</v>
      </c>
    </row>
    <row r="7821" spans="1:6" x14ac:dyDescent="0.25">
      <c r="A7821" s="189" t="str">
        <f t="shared" si="122"/>
        <v>PG-MD 210S00.05N</v>
      </c>
      <c r="B7821" s="195" t="s">
        <v>3711</v>
      </c>
      <c r="C7821" s="196">
        <v>0</v>
      </c>
      <c r="D7821" s="196">
        <v>0.05</v>
      </c>
      <c r="E7821" s="195" t="s">
        <v>589</v>
      </c>
      <c r="F7821" s="195" t="s">
        <v>430</v>
      </c>
    </row>
    <row r="7822" spans="1:6" x14ac:dyDescent="0.25">
      <c r="A7822" s="189" t="str">
        <f t="shared" si="122"/>
        <v>PG-MD 210S00.05S</v>
      </c>
      <c r="B7822" s="195" t="s">
        <v>3711</v>
      </c>
      <c r="C7822" s="196">
        <v>0</v>
      </c>
      <c r="D7822" s="196">
        <v>0.05</v>
      </c>
      <c r="E7822" s="195" t="s">
        <v>595</v>
      </c>
      <c r="F7822" s="195" t="s">
        <v>438</v>
      </c>
    </row>
    <row r="7823" spans="1:6" x14ac:dyDescent="0.25">
      <c r="A7823" s="189" t="str">
        <f t="shared" si="122"/>
        <v>PG-MD 210T00.23N</v>
      </c>
      <c r="B7823" s="195" t="s">
        <v>3712</v>
      </c>
      <c r="C7823" s="196">
        <v>0</v>
      </c>
      <c r="D7823" s="196">
        <v>0.23</v>
      </c>
      <c r="E7823" s="195" t="s">
        <v>583</v>
      </c>
      <c r="F7823" s="195" t="s">
        <v>430</v>
      </c>
    </row>
    <row r="7824" spans="1:6" x14ac:dyDescent="0.25">
      <c r="A7824" s="189" t="str">
        <f t="shared" si="122"/>
        <v>PG-MD 210T00.23S</v>
      </c>
      <c r="B7824" s="195" t="s">
        <v>3712</v>
      </c>
      <c r="C7824" s="196">
        <v>0</v>
      </c>
      <c r="D7824" s="196">
        <v>0.23</v>
      </c>
      <c r="E7824" s="195" t="s">
        <v>583</v>
      </c>
      <c r="F7824" s="195" t="s">
        <v>438</v>
      </c>
    </row>
    <row r="7825" spans="1:6" x14ac:dyDescent="0.25">
      <c r="A7825" s="189" t="str">
        <f t="shared" si="122"/>
        <v>PG-MD 210T0.230.23N</v>
      </c>
      <c r="B7825" s="195" t="s">
        <v>3712</v>
      </c>
      <c r="C7825" s="196">
        <v>0.23</v>
      </c>
      <c r="D7825" s="196">
        <v>0.23</v>
      </c>
      <c r="E7825" s="195" t="s">
        <v>583</v>
      </c>
      <c r="F7825" s="195" t="s">
        <v>430</v>
      </c>
    </row>
    <row r="7826" spans="1:6" x14ac:dyDescent="0.25">
      <c r="A7826" s="189" t="str">
        <f t="shared" si="122"/>
        <v>PG-MD 210T0.230.23S</v>
      </c>
      <c r="B7826" s="195" t="s">
        <v>3712</v>
      </c>
      <c r="C7826" s="196">
        <v>0.23</v>
      </c>
      <c r="D7826" s="196">
        <v>0.23</v>
      </c>
      <c r="E7826" s="195" t="s">
        <v>583</v>
      </c>
      <c r="F7826" s="195" t="s">
        <v>438</v>
      </c>
    </row>
    <row r="7827" spans="1:6" x14ac:dyDescent="0.25">
      <c r="A7827" s="189" t="str">
        <f t="shared" si="122"/>
        <v>PG-MD 210U00.78E</v>
      </c>
      <c r="B7827" s="195" t="s">
        <v>476</v>
      </c>
      <c r="C7827" s="196">
        <v>0</v>
      </c>
      <c r="D7827" s="196">
        <v>0.78</v>
      </c>
      <c r="E7827" s="195" t="s">
        <v>583</v>
      </c>
      <c r="F7827" s="195" t="s">
        <v>19</v>
      </c>
    </row>
    <row r="7828" spans="1:6" x14ac:dyDescent="0.25">
      <c r="A7828" s="189" t="str">
        <f t="shared" si="122"/>
        <v>PG-MD 210U00.78W</v>
      </c>
      <c r="B7828" s="195" t="s">
        <v>476</v>
      </c>
      <c r="C7828" s="196">
        <v>0</v>
      </c>
      <c r="D7828" s="196">
        <v>0.78</v>
      </c>
      <c r="E7828" s="195" t="s">
        <v>583</v>
      </c>
      <c r="F7828" s="195" t="s">
        <v>432</v>
      </c>
    </row>
    <row r="7829" spans="1:6" x14ac:dyDescent="0.25">
      <c r="A7829" s="189" t="str">
        <f t="shared" si="122"/>
        <v>PG-MD 210V0.40.45N</v>
      </c>
      <c r="B7829" s="195" t="s">
        <v>4511</v>
      </c>
      <c r="C7829" s="196">
        <v>0.4</v>
      </c>
      <c r="D7829" s="196">
        <v>0.45</v>
      </c>
      <c r="E7829" s="195" t="s">
        <v>583</v>
      </c>
      <c r="F7829" s="195" t="s">
        <v>430</v>
      </c>
    </row>
    <row r="7830" spans="1:6" x14ac:dyDescent="0.25">
      <c r="A7830" s="189" t="str">
        <f t="shared" si="122"/>
        <v>PG-MD 210V0.40.45S</v>
      </c>
      <c r="B7830" s="195" t="s">
        <v>4511</v>
      </c>
      <c r="C7830" s="196">
        <v>0.4</v>
      </c>
      <c r="D7830" s="196">
        <v>0.45</v>
      </c>
      <c r="E7830" s="195" t="s">
        <v>583</v>
      </c>
      <c r="F7830" s="195" t="s">
        <v>438</v>
      </c>
    </row>
    <row r="7831" spans="1:6" x14ac:dyDescent="0.25">
      <c r="A7831" s="189" t="str">
        <f t="shared" si="122"/>
        <v>PG-MD 2122.043.8N</v>
      </c>
      <c r="B7831" s="195" t="s">
        <v>472</v>
      </c>
      <c r="C7831" s="196">
        <v>2.04</v>
      </c>
      <c r="D7831" s="196">
        <v>3.8</v>
      </c>
      <c r="E7831" s="195" t="s">
        <v>583</v>
      </c>
      <c r="F7831" s="195" t="s">
        <v>430</v>
      </c>
    </row>
    <row r="7832" spans="1:6" x14ac:dyDescent="0.25">
      <c r="A7832" s="189" t="str">
        <f t="shared" si="122"/>
        <v>PG-MD 2122.043.8S</v>
      </c>
      <c r="B7832" s="195" t="s">
        <v>472</v>
      </c>
      <c r="C7832" s="196">
        <v>2.04</v>
      </c>
      <c r="D7832" s="196">
        <v>3.8</v>
      </c>
      <c r="E7832" s="195" t="s">
        <v>583</v>
      </c>
      <c r="F7832" s="195" t="s">
        <v>438</v>
      </c>
    </row>
    <row r="7833" spans="1:6" x14ac:dyDescent="0.25">
      <c r="A7833" s="189" t="str">
        <f t="shared" si="122"/>
        <v>PG-MD 2123.83.85N</v>
      </c>
      <c r="B7833" s="195" t="s">
        <v>472</v>
      </c>
      <c r="C7833" s="196">
        <v>3.8</v>
      </c>
      <c r="D7833" s="196">
        <v>3.85</v>
      </c>
      <c r="E7833" s="195" t="s">
        <v>583</v>
      </c>
      <c r="F7833" s="195" t="s">
        <v>430</v>
      </c>
    </row>
    <row r="7834" spans="1:6" x14ac:dyDescent="0.25">
      <c r="A7834" s="189" t="str">
        <f t="shared" si="122"/>
        <v>PG-MD 2123.83.85S</v>
      </c>
      <c r="B7834" s="195" t="s">
        <v>472</v>
      </c>
      <c r="C7834" s="196">
        <v>3.8</v>
      </c>
      <c r="D7834" s="196">
        <v>3.85</v>
      </c>
      <c r="E7834" s="195" t="s">
        <v>583</v>
      </c>
      <c r="F7834" s="195" t="s">
        <v>438</v>
      </c>
    </row>
    <row r="7835" spans="1:6" x14ac:dyDescent="0.25">
      <c r="A7835" s="189" t="str">
        <f t="shared" si="122"/>
        <v>PG-MD 2123.854.75N</v>
      </c>
      <c r="B7835" s="195" t="s">
        <v>472</v>
      </c>
      <c r="C7835" s="196">
        <v>3.85</v>
      </c>
      <c r="D7835" s="196">
        <v>4.75</v>
      </c>
      <c r="E7835" s="195" t="s">
        <v>583</v>
      </c>
      <c r="F7835" s="195" t="s">
        <v>430</v>
      </c>
    </row>
    <row r="7836" spans="1:6" x14ac:dyDescent="0.25">
      <c r="A7836" s="189" t="str">
        <f t="shared" si="122"/>
        <v>PG-MD 2123.854.75S</v>
      </c>
      <c r="B7836" s="195" t="s">
        <v>472</v>
      </c>
      <c r="C7836" s="196">
        <v>3.85</v>
      </c>
      <c r="D7836" s="196">
        <v>4.75</v>
      </c>
      <c r="E7836" s="195" t="s">
        <v>583</v>
      </c>
      <c r="F7836" s="195" t="s">
        <v>438</v>
      </c>
    </row>
    <row r="7837" spans="1:6" x14ac:dyDescent="0.25">
      <c r="A7837" s="189" t="str">
        <f t="shared" si="122"/>
        <v>PG-MD 2124.755N</v>
      </c>
      <c r="B7837" s="195" t="s">
        <v>472</v>
      </c>
      <c r="C7837" s="196">
        <v>4.75</v>
      </c>
      <c r="D7837" s="196">
        <v>5</v>
      </c>
      <c r="E7837" s="195" t="s">
        <v>583</v>
      </c>
      <c r="F7837" s="195" t="s">
        <v>430</v>
      </c>
    </row>
    <row r="7838" spans="1:6" x14ac:dyDescent="0.25">
      <c r="A7838" s="189" t="str">
        <f t="shared" si="122"/>
        <v>PG-MD 2124.755S</v>
      </c>
      <c r="B7838" s="195" t="s">
        <v>472</v>
      </c>
      <c r="C7838" s="196">
        <v>4.75</v>
      </c>
      <c r="D7838" s="196">
        <v>5</v>
      </c>
      <c r="E7838" s="195" t="s">
        <v>583</v>
      </c>
      <c r="F7838" s="195" t="s">
        <v>438</v>
      </c>
    </row>
    <row r="7839" spans="1:6" x14ac:dyDescent="0.25">
      <c r="A7839" s="189" t="str">
        <f t="shared" si="122"/>
        <v>PG-MD 21256.2N</v>
      </c>
      <c r="B7839" s="195" t="s">
        <v>472</v>
      </c>
      <c r="C7839" s="196">
        <v>5</v>
      </c>
      <c r="D7839" s="196">
        <v>6.2</v>
      </c>
      <c r="E7839" s="195" t="s">
        <v>583</v>
      </c>
      <c r="F7839" s="195" t="s">
        <v>430</v>
      </c>
    </row>
    <row r="7840" spans="1:6" x14ac:dyDescent="0.25">
      <c r="A7840" s="189" t="str">
        <f t="shared" si="122"/>
        <v>PG-MD 21256.2S</v>
      </c>
      <c r="B7840" s="195" t="s">
        <v>472</v>
      </c>
      <c r="C7840" s="196">
        <v>5</v>
      </c>
      <c r="D7840" s="196">
        <v>6.2</v>
      </c>
      <c r="E7840" s="195" t="s">
        <v>583</v>
      </c>
      <c r="F7840" s="195" t="s">
        <v>438</v>
      </c>
    </row>
    <row r="7841" spans="1:6" x14ac:dyDescent="0.25">
      <c r="A7841" s="189" t="str">
        <f t="shared" si="122"/>
        <v>PG-MD 2126.26.42N</v>
      </c>
      <c r="B7841" s="195" t="s">
        <v>472</v>
      </c>
      <c r="C7841" s="196">
        <v>6.2</v>
      </c>
      <c r="D7841" s="196">
        <v>6.42</v>
      </c>
      <c r="E7841" s="195" t="s">
        <v>583</v>
      </c>
      <c r="F7841" s="195" t="s">
        <v>430</v>
      </c>
    </row>
    <row r="7842" spans="1:6" x14ac:dyDescent="0.25">
      <c r="A7842" s="189" t="str">
        <f t="shared" si="122"/>
        <v>PG-MD 2126.26.42S</v>
      </c>
      <c r="B7842" s="195" t="s">
        <v>472</v>
      </c>
      <c r="C7842" s="196">
        <v>6.2</v>
      </c>
      <c r="D7842" s="196">
        <v>6.42</v>
      </c>
      <c r="E7842" s="195" t="s">
        <v>583</v>
      </c>
      <c r="F7842" s="195" t="s">
        <v>438</v>
      </c>
    </row>
    <row r="7843" spans="1:6" x14ac:dyDescent="0.25">
      <c r="A7843" s="189" t="str">
        <f t="shared" si="122"/>
        <v>PG-MD 2126.426.44N</v>
      </c>
      <c r="B7843" s="195" t="s">
        <v>472</v>
      </c>
      <c r="C7843" s="196">
        <v>6.42</v>
      </c>
      <c r="D7843" s="196">
        <v>6.44</v>
      </c>
      <c r="E7843" s="195" t="s">
        <v>583</v>
      </c>
      <c r="F7843" s="195" t="s">
        <v>430</v>
      </c>
    </row>
    <row r="7844" spans="1:6" x14ac:dyDescent="0.25">
      <c r="A7844" s="189" t="str">
        <f t="shared" si="122"/>
        <v>PG-MD 2126.426.44S</v>
      </c>
      <c r="B7844" s="195" t="s">
        <v>472</v>
      </c>
      <c r="C7844" s="196">
        <v>6.42</v>
      </c>
      <c r="D7844" s="196">
        <v>6.44</v>
      </c>
      <c r="E7844" s="195" t="s">
        <v>583</v>
      </c>
      <c r="F7844" s="195" t="s">
        <v>438</v>
      </c>
    </row>
    <row r="7845" spans="1:6" x14ac:dyDescent="0.25">
      <c r="A7845" s="189" t="str">
        <f t="shared" si="122"/>
        <v>PG-MD 2126.447.19N</v>
      </c>
      <c r="B7845" s="195" t="s">
        <v>472</v>
      </c>
      <c r="C7845" s="196">
        <v>6.44</v>
      </c>
      <c r="D7845" s="196">
        <v>7.19</v>
      </c>
      <c r="E7845" s="195" t="s">
        <v>583</v>
      </c>
      <c r="F7845" s="195" t="s">
        <v>430</v>
      </c>
    </row>
    <row r="7846" spans="1:6" x14ac:dyDescent="0.25">
      <c r="A7846" s="189" t="str">
        <f t="shared" si="122"/>
        <v>PG-MD 2126.447.19S</v>
      </c>
      <c r="B7846" s="195" t="s">
        <v>472</v>
      </c>
      <c r="C7846" s="196">
        <v>6.44</v>
      </c>
      <c r="D7846" s="196">
        <v>7.19</v>
      </c>
      <c r="E7846" s="195" t="s">
        <v>583</v>
      </c>
      <c r="F7846" s="195" t="s">
        <v>438</v>
      </c>
    </row>
    <row r="7847" spans="1:6" x14ac:dyDescent="0.25">
      <c r="A7847" s="189" t="str">
        <f t="shared" si="122"/>
        <v>PG-MD 2127.197.53N</v>
      </c>
      <c r="B7847" s="195" t="s">
        <v>472</v>
      </c>
      <c r="C7847" s="196">
        <v>7.19</v>
      </c>
      <c r="D7847" s="196">
        <v>7.53</v>
      </c>
      <c r="E7847" s="195" t="s">
        <v>583</v>
      </c>
      <c r="F7847" s="195" t="s">
        <v>430</v>
      </c>
    </row>
    <row r="7848" spans="1:6" x14ac:dyDescent="0.25">
      <c r="A7848" s="189" t="str">
        <f t="shared" si="122"/>
        <v>PG-MD 2127.197.53S</v>
      </c>
      <c r="B7848" s="195" t="s">
        <v>472</v>
      </c>
      <c r="C7848" s="196">
        <v>7.19</v>
      </c>
      <c r="D7848" s="196">
        <v>7.53</v>
      </c>
      <c r="E7848" s="195" t="s">
        <v>583</v>
      </c>
      <c r="F7848" s="195" t="s">
        <v>438</v>
      </c>
    </row>
    <row r="7849" spans="1:6" x14ac:dyDescent="0.25">
      <c r="A7849" s="189" t="str">
        <f t="shared" si="122"/>
        <v>PG-MD 212A01.45E</v>
      </c>
      <c r="B7849" s="195" t="s">
        <v>3713</v>
      </c>
      <c r="C7849" s="196">
        <v>0</v>
      </c>
      <c r="D7849" s="196">
        <v>1.45</v>
      </c>
      <c r="E7849" s="195" t="s">
        <v>583</v>
      </c>
      <c r="F7849" s="195" t="s">
        <v>19</v>
      </c>
    </row>
    <row r="7850" spans="1:6" x14ac:dyDescent="0.25">
      <c r="A7850" s="189" t="str">
        <f t="shared" si="122"/>
        <v>PG-MD 212A01.45W</v>
      </c>
      <c r="B7850" s="195" t="s">
        <v>3713</v>
      </c>
      <c r="C7850" s="196">
        <v>0</v>
      </c>
      <c r="D7850" s="196">
        <v>1.45</v>
      </c>
      <c r="E7850" s="195" t="s">
        <v>583</v>
      </c>
      <c r="F7850" s="195" t="s">
        <v>432</v>
      </c>
    </row>
    <row r="7851" spans="1:6" x14ac:dyDescent="0.25">
      <c r="A7851" s="189" t="str">
        <f t="shared" si="122"/>
        <v>PG-MD 212A1.451.95E</v>
      </c>
      <c r="B7851" s="195" t="s">
        <v>3713</v>
      </c>
      <c r="C7851" s="196">
        <v>1.45</v>
      </c>
      <c r="D7851" s="196">
        <v>1.95</v>
      </c>
      <c r="E7851" s="195" t="s">
        <v>583</v>
      </c>
      <c r="F7851" s="195" t="s">
        <v>19</v>
      </c>
    </row>
    <row r="7852" spans="1:6" x14ac:dyDescent="0.25">
      <c r="A7852" s="189" t="str">
        <f t="shared" si="122"/>
        <v>PG-MD 212A1.451.95W</v>
      </c>
      <c r="B7852" s="195" t="s">
        <v>3713</v>
      </c>
      <c r="C7852" s="196">
        <v>1.45</v>
      </c>
      <c r="D7852" s="196">
        <v>1.95</v>
      </c>
      <c r="E7852" s="195" t="s">
        <v>583</v>
      </c>
      <c r="F7852" s="195" t="s">
        <v>432</v>
      </c>
    </row>
    <row r="7853" spans="1:6" x14ac:dyDescent="0.25">
      <c r="A7853" s="189" t="str">
        <f t="shared" si="122"/>
        <v>PG-MD 212A1.951.95E</v>
      </c>
      <c r="B7853" s="195" t="s">
        <v>3713</v>
      </c>
      <c r="C7853" s="196">
        <v>1.95</v>
      </c>
      <c r="D7853" s="196">
        <v>1.95</v>
      </c>
      <c r="E7853" s="195" t="s">
        <v>583</v>
      </c>
      <c r="F7853" s="195" t="s">
        <v>19</v>
      </c>
    </row>
    <row r="7854" spans="1:6" x14ac:dyDescent="0.25">
      <c r="A7854" s="189" t="str">
        <f t="shared" si="122"/>
        <v>PG-MD 212A1.951.95W</v>
      </c>
      <c r="B7854" s="195" t="s">
        <v>3713</v>
      </c>
      <c r="C7854" s="196">
        <v>1.95</v>
      </c>
      <c r="D7854" s="196">
        <v>1.95</v>
      </c>
      <c r="E7854" s="195" t="s">
        <v>583</v>
      </c>
      <c r="F7854" s="195" t="s">
        <v>432</v>
      </c>
    </row>
    <row r="7855" spans="1:6" x14ac:dyDescent="0.25">
      <c r="A7855" s="189" t="str">
        <f t="shared" si="122"/>
        <v>PG-MD 21411.313.43E</v>
      </c>
      <c r="B7855" s="195" t="s">
        <v>3714</v>
      </c>
      <c r="C7855" s="196">
        <v>11.3</v>
      </c>
      <c r="D7855" s="196">
        <v>13.43</v>
      </c>
      <c r="E7855" s="195" t="s">
        <v>583</v>
      </c>
      <c r="F7855" s="195" t="s">
        <v>19</v>
      </c>
    </row>
    <row r="7856" spans="1:6" x14ac:dyDescent="0.25">
      <c r="A7856" s="189" t="str">
        <f t="shared" si="122"/>
        <v>PG-MD 21411.313.43W</v>
      </c>
      <c r="B7856" s="195" t="s">
        <v>3714</v>
      </c>
      <c r="C7856" s="196">
        <v>11.3</v>
      </c>
      <c r="D7856" s="196">
        <v>13.43</v>
      </c>
      <c r="E7856" s="195" t="s">
        <v>583</v>
      </c>
      <c r="F7856" s="195" t="s">
        <v>432</v>
      </c>
    </row>
    <row r="7857" spans="1:6" x14ac:dyDescent="0.25">
      <c r="A7857" s="189" t="str">
        <f t="shared" si="122"/>
        <v>PG-MD 21801.64E</v>
      </c>
      <c r="B7857" s="195" t="s">
        <v>3715</v>
      </c>
      <c r="C7857" s="196">
        <v>0</v>
      </c>
      <c r="D7857" s="196">
        <v>1.64</v>
      </c>
      <c r="E7857" s="195" t="s">
        <v>583</v>
      </c>
      <c r="F7857" s="195" t="s">
        <v>19</v>
      </c>
    </row>
    <row r="7858" spans="1:6" x14ac:dyDescent="0.25">
      <c r="A7858" s="189" t="str">
        <f t="shared" si="122"/>
        <v>PG-MD 21801.64W</v>
      </c>
      <c r="B7858" s="195" t="s">
        <v>3715</v>
      </c>
      <c r="C7858" s="196">
        <v>0</v>
      </c>
      <c r="D7858" s="196">
        <v>1.64</v>
      </c>
      <c r="E7858" s="195" t="s">
        <v>583</v>
      </c>
      <c r="F7858" s="195" t="s">
        <v>432</v>
      </c>
    </row>
    <row r="7859" spans="1:6" x14ac:dyDescent="0.25">
      <c r="A7859" s="189" t="str">
        <f t="shared" si="122"/>
        <v>PG-MD 22300.09N</v>
      </c>
      <c r="B7859" s="195" t="s">
        <v>477</v>
      </c>
      <c r="C7859" s="196">
        <v>0</v>
      </c>
      <c r="D7859" s="196">
        <v>0.09</v>
      </c>
      <c r="E7859" s="195" t="s">
        <v>583</v>
      </c>
      <c r="F7859" s="195" t="s">
        <v>430</v>
      </c>
    </row>
    <row r="7860" spans="1:6" x14ac:dyDescent="0.25">
      <c r="A7860" s="189" t="str">
        <f t="shared" si="122"/>
        <v>PG-MD 22300.09S</v>
      </c>
      <c r="B7860" s="195" t="s">
        <v>477</v>
      </c>
      <c r="C7860" s="196">
        <v>0</v>
      </c>
      <c r="D7860" s="196">
        <v>0.09</v>
      </c>
      <c r="E7860" s="195" t="s">
        <v>583</v>
      </c>
      <c r="F7860" s="195" t="s">
        <v>438</v>
      </c>
    </row>
    <row r="7861" spans="1:6" x14ac:dyDescent="0.25">
      <c r="A7861" s="189" t="str">
        <f t="shared" si="122"/>
        <v>PG-MD 2230.093.93N</v>
      </c>
      <c r="B7861" s="195" t="s">
        <v>477</v>
      </c>
      <c r="C7861" s="196">
        <v>0.09</v>
      </c>
      <c r="D7861" s="196">
        <v>3.93</v>
      </c>
      <c r="E7861" s="195" t="s">
        <v>583</v>
      </c>
      <c r="F7861" s="195" t="s">
        <v>430</v>
      </c>
    </row>
    <row r="7862" spans="1:6" x14ac:dyDescent="0.25">
      <c r="A7862" s="189" t="str">
        <f t="shared" si="122"/>
        <v>PG-MD 2230.093.93S</v>
      </c>
      <c r="B7862" s="195" t="s">
        <v>477</v>
      </c>
      <c r="C7862" s="196">
        <v>0.09</v>
      </c>
      <c r="D7862" s="196">
        <v>3.93</v>
      </c>
      <c r="E7862" s="195" t="s">
        <v>583</v>
      </c>
      <c r="F7862" s="195" t="s">
        <v>438</v>
      </c>
    </row>
    <row r="7863" spans="1:6" x14ac:dyDescent="0.25">
      <c r="A7863" s="189" t="str">
        <f t="shared" si="122"/>
        <v>PG-MD 2233.935.26N</v>
      </c>
      <c r="B7863" s="195" t="s">
        <v>477</v>
      </c>
      <c r="C7863" s="196">
        <v>3.93</v>
      </c>
      <c r="D7863" s="196">
        <v>5.26</v>
      </c>
      <c r="E7863" s="195" t="s">
        <v>583</v>
      </c>
      <c r="F7863" s="195" t="s">
        <v>430</v>
      </c>
    </row>
    <row r="7864" spans="1:6" x14ac:dyDescent="0.25">
      <c r="A7864" s="189" t="str">
        <f t="shared" si="122"/>
        <v>PG-MD 2233.935.26S</v>
      </c>
      <c r="B7864" s="195" t="s">
        <v>477</v>
      </c>
      <c r="C7864" s="196">
        <v>3.93</v>
      </c>
      <c r="D7864" s="196">
        <v>5.26</v>
      </c>
      <c r="E7864" s="195" t="s">
        <v>583</v>
      </c>
      <c r="F7864" s="195" t="s">
        <v>438</v>
      </c>
    </row>
    <row r="7865" spans="1:6" x14ac:dyDescent="0.25">
      <c r="A7865" s="189" t="str">
        <f t="shared" si="122"/>
        <v>PG-MD 2235.266.25N</v>
      </c>
      <c r="B7865" s="195" t="s">
        <v>477</v>
      </c>
      <c r="C7865" s="196">
        <v>5.26</v>
      </c>
      <c r="D7865" s="196">
        <v>6.25</v>
      </c>
      <c r="E7865" s="195" t="s">
        <v>583</v>
      </c>
      <c r="F7865" s="195" t="s">
        <v>430</v>
      </c>
    </row>
    <row r="7866" spans="1:6" x14ac:dyDescent="0.25">
      <c r="A7866" s="189" t="str">
        <f t="shared" si="122"/>
        <v>PG-MD 2235.266.25S</v>
      </c>
      <c r="B7866" s="195" t="s">
        <v>477</v>
      </c>
      <c r="C7866" s="196">
        <v>5.26</v>
      </c>
      <c r="D7866" s="196">
        <v>6.25</v>
      </c>
      <c r="E7866" s="195" t="s">
        <v>583</v>
      </c>
      <c r="F7866" s="195" t="s">
        <v>438</v>
      </c>
    </row>
    <row r="7867" spans="1:6" x14ac:dyDescent="0.25">
      <c r="A7867" s="189" t="str">
        <f t="shared" si="122"/>
        <v>PG-MD 2236.2510.46N</v>
      </c>
      <c r="B7867" s="195" t="s">
        <v>477</v>
      </c>
      <c r="C7867" s="196">
        <v>6.25</v>
      </c>
      <c r="D7867" s="196">
        <v>10.46</v>
      </c>
      <c r="E7867" s="195" t="s">
        <v>583</v>
      </c>
      <c r="F7867" s="195" t="s">
        <v>430</v>
      </c>
    </row>
    <row r="7868" spans="1:6" x14ac:dyDescent="0.25">
      <c r="A7868" s="189" t="str">
        <f t="shared" si="122"/>
        <v>PG-MD 2236.2510.46S</v>
      </c>
      <c r="B7868" s="195" t="s">
        <v>477</v>
      </c>
      <c r="C7868" s="196">
        <v>6.25</v>
      </c>
      <c r="D7868" s="196">
        <v>10.46</v>
      </c>
      <c r="E7868" s="195" t="s">
        <v>583</v>
      </c>
      <c r="F7868" s="195" t="s">
        <v>438</v>
      </c>
    </row>
    <row r="7869" spans="1:6" x14ac:dyDescent="0.25">
      <c r="A7869" s="189" t="str">
        <f t="shared" si="122"/>
        <v>PG-MD 22310.4610.61N</v>
      </c>
      <c r="B7869" s="195" t="s">
        <v>477</v>
      </c>
      <c r="C7869" s="196">
        <v>10.46</v>
      </c>
      <c r="D7869" s="196">
        <v>10.61</v>
      </c>
      <c r="E7869" s="195" t="s">
        <v>583</v>
      </c>
      <c r="F7869" s="195" t="s">
        <v>430</v>
      </c>
    </row>
    <row r="7870" spans="1:6" x14ac:dyDescent="0.25">
      <c r="A7870" s="189" t="str">
        <f t="shared" si="122"/>
        <v>PG-MD 22310.4610.61S</v>
      </c>
      <c r="B7870" s="195" t="s">
        <v>477</v>
      </c>
      <c r="C7870" s="196">
        <v>10.46</v>
      </c>
      <c r="D7870" s="196">
        <v>10.61</v>
      </c>
      <c r="E7870" s="195" t="s">
        <v>583</v>
      </c>
      <c r="F7870" s="195" t="s">
        <v>438</v>
      </c>
    </row>
    <row r="7871" spans="1:6" x14ac:dyDescent="0.25">
      <c r="A7871" s="189" t="str">
        <f t="shared" si="122"/>
        <v>PG-MD 22310.6112.48N</v>
      </c>
      <c r="B7871" s="195" t="s">
        <v>477</v>
      </c>
      <c r="C7871" s="196">
        <v>10.61</v>
      </c>
      <c r="D7871" s="196">
        <v>12.48</v>
      </c>
      <c r="E7871" s="195" t="s">
        <v>583</v>
      </c>
      <c r="F7871" s="195" t="s">
        <v>430</v>
      </c>
    </row>
    <row r="7872" spans="1:6" x14ac:dyDescent="0.25">
      <c r="A7872" s="189" t="str">
        <f t="shared" si="122"/>
        <v>PG-MD 22310.6112.48S</v>
      </c>
      <c r="B7872" s="195" t="s">
        <v>477</v>
      </c>
      <c r="C7872" s="196">
        <v>10.61</v>
      </c>
      <c r="D7872" s="196">
        <v>12.48</v>
      </c>
      <c r="E7872" s="195" t="s">
        <v>583</v>
      </c>
      <c r="F7872" s="195" t="s">
        <v>438</v>
      </c>
    </row>
    <row r="7873" spans="1:6" x14ac:dyDescent="0.25">
      <c r="A7873" s="189" t="str">
        <f t="shared" si="122"/>
        <v>PG-MD 223A00.1N</v>
      </c>
      <c r="B7873" s="195" t="s">
        <v>3716</v>
      </c>
      <c r="C7873" s="196">
        <v>0</v>
      </c>
      <c r="D7873" s="196">
        <v>0.1</v>
      </c>
      <c r="E7873" s="195" t="s">
        <v>589</v>
      </c>
      <c r="F7873" s="195" t="s">
        <v>430</v>
      </c>
    </row>
    <row r="7874" spans="1:6" x14ac:dyDescent="0.25">
      <c r="A7874" s="189" t="str">
        <f t="shared" si="122"/>
        <v>PG-MD 223A00.1S</v>
      </c>
      <c r="B7874" s="195" t="s">
        <v>3716</v>
      </c>
      <c r="C7874" s="196">
        <v>0</v>
      </c>
      <c r="D7874" s="196">
        <v>0.1</v>
      </c>
      <c r="E7874" s="195" t="s">
        <v>595</v>
      </c>
      <c r="F7874" s="195" t="s">
        <v>438</v>
      </c>
    </row>
    <row r="7875" spans="1:6" x14ac:dyDescent="0.25">
      <c r="A7875" s="189" t="str">
        <f t="shared" ref="A7875:A7938" si="123">B7875&amp;C7875&amp;D7875&amp;F7875</f>
        <v>PG-MD 228A0.861.02N</v>
      </c>
      <c r="B7875" s="195" t="s">
        <v>3717</v>
      </c>
      <c r="C7875" s="196">
        <v>0.86</v>
      </c>
      <c r="D7875" s="196">
        <v>1.02</v>
      </c>
      <c r="E7875" s="195" t="s">
        <v>583</v>
      </c>
      <c r="F7875" s="195" t="s">
        <v>430</v>
      </c>
    </row>
    <row r="7876" spans="1:6" x14ac:dyDescent="0.25">
      <c r="A7876" s="189" t="str">
        <f t="shared" si="123"/>
        <v>PG-MD 228A0.861.02S</v>
      </c>
      <c r="B7876" s="195" t="s">
        <v>3717</v>
      </c>
      <c r="C7876" s="196">
        <v>0.86</v>
      </c>
      <c r="D7876" s="196">
        <v>1.02</v>
      </c>
      <c r="E7876" s="195" t="s">
        <v>583</v>
      </c>
      <c r="F7876" s="195" t="s">
        <v>438</v>
      </c>
    </row>
    <row r="7877" spans="1:6" x14ac:dyDescent="0.25">
      <c r="A7877" s="189" t="str">
        <f t="shared" si="123"/>
        <v>PG-MD 295 RP1-300.01N</v>
      </c>
      <c r="B7877" s="195" t="s">
        <v>3718</v>
      </c>
      <c r="C7877" s="196">
        <v>0</v>
      </c>
      <c r="D7877" s="196">
        <v>0.01</v>
      </c>
      <c r="E7877" s="195" t="s">
        <v>589</v>
      </c>
      <c r="F7877" s="195" t="s">
        <v>430</v>
      </c>
    </row>
    <row r="7878" spans="1:6" x14ac:dyDescent="0.25">
      <c r="A7878" s="189" t="str">
        <f t="shared" si="123"/>
        <v>PG-MD 295 RP1-600.15W</v>
      </c>
      <c r="B7878" s="195" t="s">
        <v>3719</v>
      </c>
      <c r="C7878" s="196">
        <v>0</v>
      </c>
      <c r="D7878" s="196">
        <v>0.15</v>
      </c>
      <c r="E7878" s="195" t="s">
        <v>593</v>
      </c>
      <c r="F7878" s="195" t="s">
        <v>432</v>
      </c>
    </row>
    <row r="7879" spans="1:6" x14ac:dyDescent="0.25">
      <c r="A7879" s="189" t="str">
        <f t="shared" si="123"/>
        <v>PG-MD 295 RP1-900.32W</v>
      </c>
      <c r="B7879" s="195" t="s">
        <v>3720</v>
      </c>
      <c r="C7879" s="196">
        <v>0</v>
      </c>
      <c r="D7879" s="196">
        <v>0.32</v>
      </c>
      <c r="E7879" s="195" t="s">
        <v>593</v>
      </c>
      <c r="F7879" s="195" t="s">
        <v>432</v>
      </c>
    </row>
    <row r="7880" spans="1:6" x14ac:dyDescent="0.25">
      <c r="A7880" s="189" t="str">
        <f t="shared" si="123"/>
        <v>PG-MD 295 RP2-600.04N</v>
      </c>
      <c r="B7880" s="195" t="s">
        <v>3721</v>
      </c>
      <c r="C7880" s="196">
        <v>0</v>
      </c>
      <c r="D7880" s="196">
        <v>0.04</v>
      </c>
      <c r="E7880" s="195" t="s">
        <v>589</v>
      </c>
      <c r="F7880" s="195" t="s">
        <v>430</v>
      </c>
    </row>
    <row r="7881" spans="1:6" x14ac:dyDescent="0.25">
      <c r="A7881" s="189" t="str">
        <f t="shared" si="123"/>
        <v>PG-MD 295 RP2-700.18E</v>
      </c>
      <c r="B7881" s="195" t="s">
        <v>3722</v>
      </c>
      <c r="C7881" s="196">
        <v>0</v>
      </c>
      <c r="D7881" s="196">
        <v>0.18</v>
      </c>
      <c r="E7881" s="195" t="s">
        <v>598</v>
      </c>
      <c r="F7881" s="195" t="s">
        <v>19</v>
      </c>
    </row>
    <row r="7882" spans="1:6" x14ac:dyDescent="0.25">
      <c r="A7882" s="189" t="str">
        <f t="shared" si="123"/>
        <v>PG-MD 295 RP2-800.19N</v>
      </c>
      <c r="B7882" s="195" t="s">
        <v>3723</v>
      </c>
      <c r="C7882" s="196">
        <v>0</v>
      </c>
      <c r="D7882" s="196">
        <v>0.19</v>
      </c>
      <c r="E7882" s="195" t="s">
        <v>589</v>
      </c>
      <c r="F7882" s="195" t="s">
        <v>430</v>
      </c>
    </row>
    <row r="7883" spans="1:6" x14ac:dyDescent="0.25">
      <c r="A7883" s="189" t="str">
        <f t="shared" si="123"/>
        <v>PG-MD 295 RP2-900.25N</v>
      </c>
      <c r="B7883" s="195" t="s">
        <v>3724</v>
      </c>
      <c r="C7883" s="196">
        <v>0</v>
      </c>
      <c r="D7883" s="196">
        <v>0.25</v>
      </c>
      <c r="E7883" s="195" t="s">
        <v>589</v>
      </c>
      <c r="F7883" s="195" t="s">
        <v>430</v>
      </c>
    </row>
    <row r="7884" spans="1:6" x14ac:dyDescent="0.25">
      <c r="A7884" s="189" t="str">
        <f t="shared" si="123"/>
        <v>PG-MD 295 RP3-300.01N</v>
      </c>
      <c r="B7884" s="195" t="s">
        <v>3725</v>
      </c>
      <c r="C7884" s="196">
        <v>0</v>
      </c>
      <c r="D7884" s="196">
        <v>0.01</v>
      </c>
      <c r="E7884" s="195" t="s">
        <v>589</v>
      </c>
      <c r="F7884" s="195" t="s">
        <v>430</v>
      </c>
    </row>
    <row r="7885" spans="1:6" x14ac:dyDescent="0.25">
      <c r="A7885" s="189" t="str">
        <f t="shared" si="123"/>
        <v>PG-MD 295 RP3-600.18N</v>
      </c>
      <c r="B7885" s="195" t="s">
        <v>3726</v>
      </c>
      <c r="C7885" s="196">
        <v>0</v>
      </c>
      <c r="D7885" s="196">
        <v>0.18</v>
      </c>
      <c r="E7885" s="195" t="s">
        <v>589</v>
      </c>
      <c r="F7885" s="195" t="s">
        <v>430</v>
      </c>
    </row>
    <row r="7886" spans="1:6" x14ac:dyDescent="0.25">
      <c r="A7886" s="189" t="str">
        <f t="shared" si="123"/>
        <v>PG-MD 295 RP4-300.05E</v>
      </c>
      <c r="B7886" s="195" t="s">
        <v>3727</v>
      </c>
      <c r="C7886" s="196">
        <v>0</v>
      </c>
      <c r="D7886" s="196">
        <v>0.05</v>
      </c>
      <c r="E7886" s="195" t="s">
        <v>598</v>
      </c>
      <c r="F7886" s="195" t="s">
        <v>19</v>
      </c>
    </row>
    <row r="7887" spans="1:6" x14ac:dyDescent="0.25">
      <c r="A7887" s="189" t="str">
        <f t="shared" si="123"/>
        <v>PG-MD 295 RP4-600.15N</v>
      </c>
      <c r="B7887" s="195" t="s">
        <v>3728</v>
      </c>
      <c r="C7887" s="196">
        <v>0</v>
      </c>
      <c r="D7887" s="196">
        <v>0.15</v>
      </c>
      <c r="E7887" s="195" t="s">
        <v>589</v>
      </c>
      <c r="F7887" s="195" t="s">
        <v>430</v>
      </c>
    </row>
    <row r="7888" spans="1:6" x14ac:dyDescent="0.25">
      <c r="A7888" s="189" t="str">
        <f t="shared" si="123"/>
        <v>PG-MD 295 RP4-700.14E</v>
      </c>
      <c r="B7888" s="195" t="s">
        <v>3729</v>
      </c>
      <c r="C7888" s="196">
        <v>0</v>
      </c>
      <c r="D7888" s="196">
        <v>0.14000000000000001</v>
      </c>
      <c r="E7888" s="195" t="s">
        <v>598</v>
      </c>
      <c r="F7888" s="195" t="s">
        <v>19</v>
      </c>
    </row>
    <row r="7889" spans="1:6" x14ac:dyDescent="0.25">
      <c r="A7889" s="189" t="str">
        <f t="shared" si="123"/>
        <v>PG-MD 295 RP4-800.22N</v>
      </c>
      <c r="B7889" s="195" t="s">
        <v>3730</v>
      </c>
      <c r="C7889" s="196">
        <v>0</v>
      </c>
      <c r="D7889" s="196">
        <v>0.22</v>
      </c>
      <c r="E7889" s="195" t="s">
        <v>589</v>
      </c>
      <c r="F7889" s="195" t="s">
        <v>430</v>
      </c>
    </row>
    <row r="7890" spans="1:6" x14ac:dyDescent="0.25">
      <c r="A7890" s="189" t="str">
        <f t="shared" si="123"/>
        <v>PG-MD 295 RP5-600.02W</v>
      </c>
      <c r="B7890" s="195" t="s">
        <v>3731</v>
      </c>
      <c r="C7890" s="196">
        <v>0</v>
      </c>
      <c r="D7890" s="196">
        <v>0.02</v>
      </c>
      <c r="E7890" s="195" t="s">
        <v>593</v>
      </c>
      <c r="F7890" s="195" t="s">
        <v>432</v>
      </c>
    </row>
    <row r="7891" spans="1:6" x14ac:dyDescent="0.25">
      <c r="A7891" s="189" t="str">
        <f t="shared" si="123"/>
        <v>PG-MD 295 RP5-900.03W</v>
      </c>
      <c r="B7891" s="195" t="s">
        <v>3732</v>
      </c>
      <c r="C7891" s="196">
        <v>0</v>
      </c>
      <c r="D7891" s="196">
        <v>0.03</v>
      </c>
      <c r="E7891" s="195" t="s">
        <v>593</v>
      </c>
      <c r="F7891" s="195" t="s">
        <v>432</v>
      </c>
    </row>
    <row r="7892" spans="1:6" x14ac:dyDescent="0.25">
      <c r="A7892" s="189" t="str">
        <f t="shared" si="123"/>
        <v>PG-MD 295 RP6-600.03E</v>
      </c>
      <c r="B7892" s="195" t="s">
        <v>3733</v>
      </c>
      <c r="C7892" s="196">
        <v>0</v>
      </c>
      <c r="D7892" s="196">
        <v>0.03</v>
      </c>
      <c r="E7892" s="195" t="s">
        <v>598</v>
      </c>
      <c r="F7892" s="195" t="s">
        <v>19</v>
      </c>
    </row>
    <row r="7893" spans="1:6" x14ac:dyDescent="0.25">
      <c r="A7893" s="189" t="str">
        <f t="shared" si="123"/>
        <v>PG-MD 295 RP6-800.16S</v>
      </c>
      <c r="B7893" s="195" t="s">
        <v>3734</v>
      </c>
      <c r="C7893" s="196">
        <v>0</v>
      </c>
      <c r="D7893" s="196">
        <v>0.16</v>
      </c>
      <c r="E7893" s="195" t="s">
        <v>595</v>
      </c>
      <c r="F7893" s="195" t="s">
        <v>438</v>
      </c>
    </row>
    <row r="7894" spans="1:6" x14ac:dyDescent="0.25">
      <c r="A7894" s="189" t="str">
        <f t="shared" si="123"/>
        <v>PG-MD 295 RP6-900.36S</v>
      </c>
      <c r="B7894" s="195" t="s">
        <v>3735</v>
      </c>
      <c r="C7894" s="196">
        <v>0</v>
      </c>
      <c r="D7894" s="196">
        <v>0.36</v>
      </c>
      <c r="E7894" s="195" t="s">
        <v>595</v>
      </c>
      <c r="F7894" s="195" t="s">
        <v>438</v>
      </c>
    </row>
    <row r="7895" spans="1:6" x14ac:dyDescent="0.25">
      <c r="A7895" s="189" t="str">
        <f t="shared" si="123"/>
        <v>PG-MD 295 RP7-600.12S</v>
      </c>
      <c r="B7895" s="195" t="s">
        <v>3736</v>
      </c>
      <c r="C7895" s="196">
        <v>0</v>
      </c>
      <c r="D7895" s="196">
        <v>0.12</v>
      </c>
      <c r="E7895" s="195" t="s">
        <v>595</v>
      </c>
      <c r="F7895" s="195" t="s">
        <v>438</v>
      </c>
    </row>
    <row r="7896" spans="1:6" x14ac:dyDescent="0.25">
      <c r="A7896" s="189" t="str">
        <f t="shared" si="123"/>
        <v>PG-MD 295 RP7-900.23S</v>
      </c>
      <c r="B7896" s="195" t="s">
        <v>3737</v>
      </c>
      <c r="C7896" s="196">
        <v>0</v>
      </c>
      <c r="D7896" s="196">
        <v>0.23</v>
      </c>
      <c r="E7896" s="195" t="s">
        <v>595</v>
      </c>
      <c r="F7896" s="195" t="s">
        <v>438</v>
      </c>
    </row>
    <row r="7897" spans="1:6" x14ac:dyDescent="0.25">
      <c r="A7897" s="189" t="str">
        <f t="shared" si="123"/>
        <v>PG-MD 295 RP8-600.16W</v>
      </c>
      <c r="B7897" s="195" t="s">
        <v>3738</v>
      </c>
      <c r="C7897" s="196">
        <v>0</v>
      </c>
      <c r="D7897" s="196">
        <v>0.16</v>
      </c>
      <c r="E7897" s="195" t="s">
        <v>593</v>
      </c>
      <c r="F7897" s="195" t="s">
        <v>432</v>
      </c>
    </row>
    <row r="7898" spans="1:6" x14ac:dyDescent="0.25">
      <c r="A7898" s="189" t="str">
        <f t="shared" si="123"/>
        <v>PG-MD 295 RP8-800.26S</v>
      </c>
      <c r="B7898" s="195" t="s">
        <v>3739</v>
      </c>
      <c r="C7898" s="196">
        <v>0</v>
      </c>
      <c r="D7898" s="196">
        <v>0.26</v>
      </c>
      <c r="E7898" s="195" t="s">
        <v>595</v>
      </c>
      <c r="F7898" s="195" t="s">
        <v>438</v>
      </c>
    </row>
    <row r="7899" spans="1:6" x14ac:dyDescent="0.25">
      <c r="A7899" s="189" t="str">
        <f t="shared" si="123"/>
        <v>PG-MD 295 RP8-900.2E</v>
      </c>
      <c r="B7899" s="195" t="s">
        <v>3740</v>
      </c>
      <c r="C7899" s="196">
        <v>0</v>
      </c>
      <c r="D7899" s="196">
        <v>0.2</v>
      </c>
      <c r="E7899" s="195" t="s">
        <v>598</v>
      </c>
      <c r="F7899" s="195" t="s">
        <v>19</v>
      </c>
    </row>
    <row r="7900" spans="1:6" x14ac:dyDescent="0.25">
      <c r="A7900" s="189" t="str">
        <f t="shared" si="123"/>
        <v>PG-MD 3 RP1-100.06N</v>
      </c>
      <c r="B7900" s="195" t="s">
        <v>3741</v>
      </c>
      <c r="C7900" s="196">
        <v>0</v>
      </c>
      <c r="D7900" s="196">
        <v>0.06</v>
      </c>
      <c r="E7900" s="195" t="s">
        <v>589</v>
      </c>
      <c r="F7900" s="195" t="s">
        <v>430</v>
      </c>
    </row>
    <row r="7901" spans="1:6" x14ac:dyDescent="0.25">
      <c r="A7901" s="189" t="str">
        <f t="shared" si="123"/>
        <v>PG-MD 3 RP2-100.3N</v>
      </c>
      <c r="B7901" s="195" t="s">
        <v>3742</v>
      </c>
      <c r="C7901" s="196">
        <v>0</v>
      </c>
      <c r="D7901" s="196">
        <v>0.3</v>
      </c>
      <c r="E7901" s="195" t="s">
        <v>589</v>
      </c>
      <c r="F7901" s="195" t="s">
        <v>430</v>
      </c>
    </row>
    <row r="7902" spans="1:6" x14ac:dyDescent="0.25">
      <c r="A7902" s="189" t="str">
        <f t="shared" si="123"/>
        <v>PG-MD 3 RP3-100.13N</v>
      </c>
      <c r="B7902" s="195" t="s">
        <v>3743</v>
      </c>
      <c r="C7902" s="196">
        <v>0</v>
      </c>
      <c r="D7902" s="196">
        <v>0.13</v>
      </c>
      <c r="E7902" s="195" t="s">
        <v>589</v>
      </c>
      <c r="F7902" s="195" t="s">
        <v>430</v>
      </c>
    </row>
    <row r="7903" spans="1:6" x14ac:dyDescent="0.25">
      <c r="A7903" s="189" t="str">
        <f t="shared" si="123"/>
        <v>PG-MD 3 RP4-100.67N</v>
      </c>
      <c r="B7903" s="195" t="s">
        <v>3744</v>
      </c>
      <c r="C7903" s="196">
        <v>0</v>
      </c>
      <c r="D7903" s="196">
        <v>0.67</v>
      </c>
      <c r="E7903" s="195" t="s">
        <v>589</v>
      </c>
      <c r="F7903" s="195" t="s">
        <v>430</v>
      </c>
    </row>
    <row r="7904" spans="1:6" x14ac:dyDescent="0.25">
      <c r="A7904" s="189" t="str">
        <f t="shared" si="123"/>
        <v>PG-MD 3 RP4-10.470.51S</v>
      </c>
      <c r="B7904" s="195" t="s">
        <v>3744</v>
      </c>
      <c r="C7904" s="196">
        <v>0.47</v>
      </c>
      <c r="D7904" s="196">
        <v>0.51</v>
      </c>
      <c r="E7904" s="195" t="s">
        <v>595</v>
      </c>
      <c r="F7904" s="195" t="s">
        <v>438</v>
      </c>
    </row>
    <row r="7905" spans="1:6" x14ac:dyDescent="0.25">
      <c r="A7905" s="189" t="str">
        <f t="shared" si="123"/>
        <v>PG-MD 3 RP6-100.25N</v>
      </c>
      <c r="B7905" s="195" t="s">
        <v>3745</v>
      </c>
      <c r="C7905" s="196">
        <v>0</v>
      </c>
      <c r="D7905" s="196">
        <v>0.25</v>
      </c>
      <c r="E7905" s="195" t="s">
        <v>589</v>
      </c>
      <c r="F7905" s="195" t="s">
        <v>430</v>
      </c>
    </row>
    <row r="7906" spans="1:6" x14ac:dyDescent="0.25">
      <c r="A7906" s="189" t="str">
        <f t="shared" si="123"/>
        <v>PG-MD 3 RP7-100.16W</v>
      </c>
      <c r="B7906" s="195" t="s">
        <v>3746</v>
      </c>
      <c r="C7906" s="196">
        <v>0</v>
      </c>
      <c r="D7906" s="196">
        <v>0.16</v>
      </c>
      <c r="E7906" s="195" t="s">
        <v>593</v>
      </c>
      <c r="F7906" s="195" t="s">
        <v>432</v>
      </c>
    </row>
    <row r="7907" spans="1:6" x14ac:dyDescent="0.25">
      <c r="A7907" s="189" t="str">
        <f t="shared" si="123"/>
        <v>PG-MD 3 RP8-100.35S</v>
      </c>
      <c r="B7907" s="195" t="s">
        <v>3747</v>
      </c>
      <c r="C7907" s="196">
        <v>0</v>
      </c>
      <c r="D7907" s="196">
        <v>0.35</v>
      </c>
      <c r="E7907" s="195" t="s">
        <v>595</v>
      </c>
      <c r="F7907" s="195" t="s">
        <v>438</v>
      </c>
    </row>
    <row r="7908" spans="1:6" x14ac:dyDescent="0.25">
      <c r="A7908" s="189" t="str">
        <f t="shared" si="123"/>
        <v>PG-MD 3 RP9-100.36N</v>
      </c>
      <c r="B7908" s="195" t="s">
        <v>3748</v>
      </c>
      <c r="C7908" s="196">
        <v>0</v>
      </c>
      <c r="D7908" s="196">
        <v>0.36</v>
      </c>
      <c r="E7908" s="195" t="s">
        <v>589</v>
      </c>
      <c r="F7908" s="195" t="s">
        <v>430</v>
      </c>
    </row>
    <row r="7909" spans="1:6" x14ac:dyDescent="0.25">
      <c r="A7909" s="189" t="str">
        <f t="shared" si="123"/>
        <v>PG-MD 33201.04W</v>
      </c>
      <c r="B7909" s="195" t="s">
        <v>3749</v>
      </c>
      <c r="C7909" s="196">
        <v>0</v>
      </c>
      <c r="D7909" s="196">
        <v>1.04</v>
      </c>
      <c r="E7909" s="195" t="s">
        <v>593</v>
      </c>
      <c r="F7909" s="195" t="s">
        <v>432</v>
      </c>
    </row>
    <row r="7910" spans="1:6" x14ac:dyDescent="0.25">
      <c r="A7910" s="189" t="str">
        <f t="shared" si="123"/>
        <v>PG-MD 33201.07E</v>
      </c>
      <c r="B7910" s="195" t="s">
        <v>3749</v>
      </c>
      <c r="C7910" s="196">
        <v>0</v>
      </c>
      <c r="D7910" s="196">
        <v>1.07</v>
      </c>
      <c r="E7910" s="195" t="s">
        <v>598</v>
      </c>
      <c r="F7910" s="195" t="s">
        <v>19</v>
      </c>
    </row>
    <row r="7911" spans="1:6" x14ac:dyDescent="0.25">
      <c r="A7911" s="189" t="str">
        <f t="shared" si="123"/>
        <v>PG-MD 332A00.04N</v>
      </c>
      <c r="B7911" s="195" t="s">
        <v>3750</v>
      </c>
      <c r="C7911" s="196">
        <v>0</v>
      </c>
      <c r="D7911" s="196">
        <v>0.04</v>
      </c>
      <c r="E7911" s="195" t="s">
        <v>589</v>
      </c>
      <c r="F7911" s="195" t="s">
        <v>430</v>
      </c>
    </row>
    <row r="7912" spans="1:6" x14ac:dyDescent="0.25">
      <c r="A7912" s="189" t="str">
        <f t="shared" si="123"/>
        <v>PG-MD 332A00.04S</v>
      </c>
      <c r="B7912" s="195" t="s">
        <v>3750</v>
      </c>
      <c r="C7912" s="196">
        <v>0</v>
      </c>
      <c r="D7912" s="196">
        <v>0.04</v>
      </c>
      <c r="E7912" s="195" t="s">
        <v>595</v>
      </c>
      <c r="F7912" s="195" t="s">
        <v>438</v>
      </c>
    </row>
    <row r="7913" spans="1:6" x14ac:dyDescent="0.25">
      <c r="A7913" s="189" t="str">
        <f t="shared" si="123"/>
        <v>PG-MD 33700.85N</v>
      </c>
      <c r="B7913" s="195" t="s">
        <v>478</v>
      </c>
      <c r="C7913" s="196">
        <v>0</v>
      </c>
      <c r="D7913" s="196">
        <v>0.85</v>
      </c>
      <c r="E7913" s="195" t="s">
        <v>589</v>
      </c>
      <c r="F7913" s="195" t="s">
        <v>430</v>
      </c>
    </row>
    <row r="7914" spans="1:6" x14ac:dyDescent="0.25">
      <c r="A7914" s="189" t="str">
        <f t="shared" si="123"/>
        <v>PG-MD 33701.18S</v>
      </c>
      <c r="B7914" s="195" t="s">
        <v>478</v>
      </c>
      <c r="C7914" s="196">
        <v>0</v>
      </c>
      <c r="D7914" s="196">
        <v>1.18</v>
      </c>
      <c r="E7914" s="195" t="s">
        <v>595</v>
      </c>
      <c r="F7914" s="195" t="s">
        <v>438</v>
      </c>
    </row>
    <row r="7915" spans="1:6" x14ac:dyDescent="0.25">
      <c r="A7915" s="189" t="str">
        <f t="shared" si="123"/>
        <v>PG-MD 3372.252.5N</v>
      </c>
      <c r="B7915" s="195" t="s">
        <v>478</v>
      </c>
      <c r="C7915" s="196">
        <v>2.25</v>
      </c>
      <c r="D7915" s="196">
        <v>2.5</v>
      </c>
      <c r="E7915" s="195" t="s">
        <v>589</v>
      </c>
      <c r="F7915" s="195" t="s">
        <v>430</v>
      </c>
    </row>
    <row r="7916" spans="1:6" x14ac:dyDescent="0.25">
      <c r="A7916" s="189" t="str">
        <f t="shared" si="123"/>
        <v>PG-MD 3372.252.63S</v>
      </c>
      <c r="B7916" s="195" t="s">
        <v>478</v>
      </c>
      <c r="C7916" s="196">
        <v>2.25</v>
      </c>
      <c r="D7916" s="196">
        <v>2.63</v>
      </c>
      <c r="E7916" s="195" t="s">
        <v>595</v>
      </c>
      <c r="F7916" s="195" t="s">
        <v>438</v>
      </c>
    </row>
    <row r="7917" spans="1:6" x14ac:dyDescent="0.25">
      <c r="A7917" s="189" t="str">
        <f t="shared" si="123"/>
        <v>PG-MD 3372.52.65N</v>
      </c>
      <c r="B7917" s="195" t="s">
        <v>478</v>
      </c>
      <c r="C7917" s="196">
        <v>2.5</v>
      </c>
      <c r="D7917" s="196">
        <v>2.65</v>
      </c>
      <c r="E7917" s="195" t="s">
        <v>589</v>
      </c>
      <c r="F7917" s="195" t="s">
        <v>430</v>
      </c>
    </row>
    <row r="7918" spans="1:6" x14ac:dyDescent="0.25">
      <c r="A7918" s="189" t="str">
        <f t="shared" si="123"/>
        <v>PG-MD 3372.633.34S</v>
      </c>
      <c r="B7918" s="195" t="s">
        <v>478</v>
      </c>
      <c r="C7918" s="196">
        <v>2.63</v>
      </c>
      <c r="D7918" s="196">
        <v>3.34</v>
      </c>
      <c r="E7918" s="195" t="s">
        <v>595</v>
      </c>
      <c r="F7918" s="195" t="s">
        <v>438</v>
      </c>
    </row>
    <row r="7919" spans="1:6" x14ac:dyDescent="0.25">
      <c r="A7919" s="189" t="str">
        <f t="shared" si="123"/>
        <v>PG-MD 37301.09E</v>
      </c>
      <c r="B7919" s="195" t="s">
        <v>3751</v>
      </c>
      <c r="C7919" s="196">
        <v>0</v>
      </c>
      <c r="D7919" s="196">
        <v>1.0900000000000001</v>
      </c>
      <c r="E7919" s="195" t="s">
        <v>583</v>
      </c>
      <c r="F7919" s="195" t="s">
        <v>19</v>
      </c>
    </row>
    <row r="7920" spans="1:6" x14ac:dyDescent="0.25">
      <c r="A7920" s="189" t="str">
        <f t="shared" si="123"/>
        <v>PG-MD 37301.09W</v>
      </c>
      <c r="B7920" s="195" t="s">
        <v>3751</v>
      </c>
      <c r="C7920" s="196">
        <v>0</v>
      </c>
      <c r="D7920" s="196">
        <v>1.0900000000000001</v>
      </c>
      <c r="E7920" s="195" t="s">
        <v>583</v>
      </c>
      <c r="F7920" s="195" t="s">
        <v>432</v>
      </c>
    </row>
    <row r="7921" spans="1:6" x14ac:dyDescent="0.25">
      <c r="A7921" s="189" t="str">
        <f t="shared" si="123"/>
        <v>PG-MD 3731.094.17E</v>
      </c>
      <c r="B7921" s="195" t="s">
        <v>3751</v>
      </c>
      <c r="C7921" s="196">
        <v>1.0900000000000001</v>
      </c>
      <c r="D7921" s="196">
        <v>4.17</v>
      </c>
      <c r="E7921" s="195" t="s">
        <v>583</v>
      </c>
      <c r="F7921" s="195" t="s">
        <v>19</v>
      </c>
    </row>
    <row r="7922" spans="1:6" x14ac:dyDescent="0.25">
      <c r="A7922" s="189" t="str">
        <f t="shared" si="123"/>
        <v>PG-MD 3731.094.17W</v>
      </c>
      <c r="B7922" s="195" t="s">
        <v>3751</v>
      </c>
      <c r="C7922" s="196">
        <v>1.0900000000000001</v>
      </c>
      <c r="D7922" s="196">
        <v>4.17</v>
      </c>
      <c r="E7922" s="195" t="s">
        <v>583</v>
      </c>
      <c r="F7922" s="195" t="s">
        <v>432</v>
      </c>
    </row>
    <row r="7923" spans="1:6" x14ac:dyDescent="0.25">
      <c r="A7923" s="189" t="str">
        <f t="shared" si="123"/>
        <v>PG-MD 3734.176.39E</v>
      </c>
      <c r="B7923" s="195" t="s">
        <v>3751</v>
      </c>
      <c r="C7923" s="196">
        <v>4.17</v>
      </c>
      <c r="D7923" s="196">
        <v>6.39</v>
      </c>
      <c r="E7923" s="195" t="s">
        <v>583</v>
      </c>
      <c r="F7923" s="195" t="s">
        <v>19</v>
      </c>
    </row>
    <row r="7924" spans="1:6" x14ac:dyDescent="0.25">
      <c r="A7924" s="189" t="str">
        <f t="shared" si="123"/>
        <v>PG-MD 3734.176.39W</v>
      </c>
      <c r="B7924" s="195" t="s">
        <v>3751</v>
      </c>
      <c r="C7924" s="196">
        <v>4.17</v>
      </c>
      <c r="D7924" s="196">
        <v>6.39</v>
      </c>
      <c r="E7924" s="195" t="s">
        <v>583</v>
      </c>
      <c r="F7924" s="195" t="s">
        <v>432</v>
      </c>
    </row>
    <row r="7925" spans="1:6" x14ac:dyDescent="0.25">
      <c r="A7925" s="189" t="str">
        <f t="shared" si="123"/>
        <v>PG-MD 3736.398.16E</v>
      </c>
      <c r="B7925" s="195" t="s">
        <v>3751</v>
      </c>
      <c r="C7925" s="196">
        <v>6.39</v>
      </c>
      <c r="D7925" s="196">
        <v>8.16</v>
      </c>
      <c r="E7925" s="195" t="s">
        <v>583</v>
      </c>
      <c r="F7925" s="195" t="s">
        <v>19</v>
      </c>
    </row>
    <row r="7926" spans="1:6" x14ac:dyDescent="0.25">
      <c r="A7926" s="189" t="str">
        <f t="shared" si="123"/>
        <v>PG-MD 3736.398.16W</v>
      </c>
      <c r="B7926" s="195" t="s">
        <v>3751</v>
      </c>
      <c r="C7926" s="196">
        <v>6.39</v>
      </c>
      <c r="D7926" s="196">
        <v>8.16</v>
      </c>
      <c r="E7926" s="195" t="s">
        <v>583</v>
      </c>
      <c r="F7926" s="195" t="s">
        <v>432</v>
      </c>
    </row>
    <row r="7927" spans="1:6" x14ac:dyDescent="0.25">
      <c r="A7927" s="189" t="str">
        <f t="shared" si="123"/>
        <v>PG-MD 38101.75N</v>
      </c>
      <c r="B7927" s="195" t="s">
        <v>3752</v>
      </c>
      <c r="C7927" s="196">
        <v>0</v>
      </c>
      <c r="D7927" s="196">
        <v>1.75</v>
      </c>
      <c r="E7927" s="195" t="s">
        <v>583</v>
      </c>
      <c r="F7927" s="195" t="s">
        <v>430</v>
      </c>
    </row>
    <row r="7928" spans="1:6" x14ac:dyDescent="0.25">
      <c r="A7928" s="189" t="str">
        <f t="shared" si="123"/>
        <v>PG-MD 38101.75S</v>
      </c>
      <c r="B7928" s="195" t="s">
        <v>3752</v>
      </c>
      <c r="C7928" s="196">
        <v>0</v>
      </c>
      <c r="D7928" s="196">
        <v>1.75</v>
      </c>
      <c r="E7928" s="195" t="s">
        <v>583</v>
      </c>
      <c r="F7928" s="195" t="s">
        <v>438</v>
      </c>
    </row>
    <row r="7929" spans="1:6" x14ac:dyDescent="0.25">
      <c r="A7929" s="189" t="str">
        <f t="shared" si="123"/>
        <v>PG-MD 3811.753.27N</v>
      </c>
      <c r="B7929" s="195" t="s">
        <v>3752</v>
      </c>
      <c r="C7929" s="196">
        <v>1.75</v>
      </c>
      <c r="D7929" s="196">
        <v>3.27</v>
      </c>
      <c r="E7929" s="195" t="s">
        <v>583</v>
      </c>
      <c r="F7929" s="195" t="s">
        <v>430</v>
      </c>
    </row>
    <row r="7930" spans="1:6" x14ac:dyDescent="0.25">
      <c r="A7930" s="189" t="str">
        <f t="shared" si="123"/>
        <v>PG-MD 3811.753.27S</v>
      </c>
      <c r="B7930" s="195" t="s">
        <v>3752</v>
      </c>
      <c r="C7930" s="196">
        <v>1.75</v>
      </c>
      <c r="D7930" s="196">
        <v>3.27</v>
      </c>
      <c r="E7930" s="195" t="s">
        <v>583</v>
      </c>
      <c r="F7930" s="195" t="s">
        <v>438</v>
      </c>
    </row>
    <row r="7931" spans="1:6" x14ac:dyDescent="0.25">
      <c r="A7931" s="189" t="str">
        <f t="shared" si="123"/>
        <v>PG-MD 3813.275.18N</v>
      </c>
      <c r="B7931" s="195" t="s">
        <v>3752</v>
      </c>
      <c r="C7931" s="196">
        <v>3.27</v>
      </c>
      <c r="D7931" s="196">
        <v>5.18</v>
      </c>
      <c r="E7931" s="195" t="s">
        <v>583</v>
      </c>
      <c r="F7931" s="195" t="s">
        <v>430</v>
      </c>
    </row>
    <row r="7932" spans="1:6" x14ac:dyDescent="0.25">
      <c r="A7932" s="189" t="str">
        <f t="shared" si="123"/>
        <v>PG-MD 3813.275.18S</v>
      </c>
      <c r="B7932" s="195" t="s">
        <v>3752</v>
      </c>
      <c r="C7932" s="196">
        <v>3.27</v>
      </c>
      <c r="D7932" s="196">
        <v>5.18</v>
      </c>
      <c r="E7932" s="195" t="s">
        <v>583</v>
      </c>
      <c r="F7932" s="195" t="s">
        <v>438</v>
      </c>
    </row>
    <row r="7933" spans="1:6" x14ac:dyDescent="0.25">
      <c r="A7933" s="189" t="str">
        <f t="shared" si="123"/>
        <v>PG-MD 3815.186.52N</v>
      </c>
      <c r="B7933" s="195" t="s">
        <v>3752</v>
      </c>
      <c r="C7933" s="196">
        <v>5.18</v>
      </c>
      <c r="D7933" s="196">
        <v>6.52</v>
      </c>
      <c r="E7933" s="195" t="s">
        <v>589</v>
      </c>
      <c r="F7933" s="195" t="s">
        <v>430</v>
      </c>
    </row>
    <row r="7934" spans="1:6" x14ac:dyDescent="0.25">
      <c r="A7934" s="189" t="str">
        <f t="shared" si="123"/>
        <v>PG-MD 3815.188.45S</v>
      </c>
      <c r="B7934" s="195" t="s">
        <v>3752</v>
      </c>
      <c r="C7934" s="196">
        <v>5.18</v>
      </c>
      <c r="D7934" s="196">
        <v>8.4499999999999993</v>
      </c>
      <c r="E7934" s="195" t="s">
        <v>595</v>
      </c>
      <c r="F7934" s="195" t="s">
        <v>438</v>
      </c>
    </row>
    <row r="7935" spans="1:6" x14ac:dyDescent="0.25">
      <c r="A7935" s="189" t="str">
        <f t="shared" si="123"/>
        <v>PG-MD 3816.528.45N</v>
      </c>
      <c r="B7935" s="195" t="s">
        <v>3752</v>
      </c>
      <c r="C7935" s="196">
        <v>6.52</v>
      </c>
      <c r="D7935" s="196">
        <v>8.4499999999999993</v>
      </c>
      <c r="E7935" s="195" t="s">
        <v>589</v>
      </c>
      <c r="F7935" s="195" t="s">
        <v>430</v>
      </c>
    </row>
    <row r="7936" spans="1:6" x14ac:dyDescent="0.25">
      <c r="A7936" s="189" t="str">
        <f t="shared" si="123"/>
        <v>PG-MD 3818.459.6N</v>
      </c>
      <c r="B7936" s="195" t="s">
        <v>3752</v>
      </c>
      <c r="C7936" s="196">
        <v>8.4499999999999993</v>
      </c>
      <c r="D7936" s="196">
        <v>9.6</v>
      </c>
      <c r="E7936" s="195" t="s">
        <v>583</v>
      </c>
      <c r="F7936" s="195" t="s">
        <v>430</v>
      </c>
    </row>
    <row r="7937" spans="1:6" x14ac:dyDescent="0.25">
      <c r="A7937" s="189" t="str">
        <f t="shared" si="123"/>
        <v>PG-MD 3818.459.6S</v>
      </c>
      <c r="B7937" s="195" t="s">
        <v>3752</v>
      </c>
      <c r="C7937" s="196">
        <v>8.4499999999999993</v>
      </c>
      <c r="D7937" s="196">
        <v>9.6</v>
      </c>
      <c r="E7937" s="195" t="s">
        <v>583</v>
      </c>
      <c r="F7937" s="195" t="s">
        <v>438</v>
      </c>
    </row>
    <row r="7938" spans="1:6" x14ac:dyDescent="0.25">
      <c r="A7938" s="189" t="str">
        <f t="shared" si="123"/>
        <v>PG-MD 3819.613.28N</v>
      </c>
      <c r="B7938" s="195" t="s">
        <v>3752</v>
      </c>
      <c r="C7938" s="196">
        <v>9.6</v>
      </c>
      <c r="D7938" s="196">
        <v>13.28</v>
      </c>
      <c r="E7938" s="195" t="s">
        <v>583</v>
      </c>
      <c r="F7938" s="195" t="s">
        <v>430</v>
      </c>
    </row>
    <row r="7939" spans="1:6" x14ac:dyDescent="0.25">
      <c r="A7939" s="189" t="str">
        <f t="shared" ref="A7939:A8002" si="124">B7939&amp;C7939&amp;D7939&amp;F7939</f>
        <v>PG-MD 3819.613.28S</v>
      </c>
      <c r="B7939" s="195" t="s">
        <v>3752</v>
      </c>
      <c r="C7939" s="196">
        <v>9.6</v>
      </c>
      <c r="D7939" s="196">
        <v>13.28</v>
      </c>
      <c r="E7939" s="195" t="s">
        <v>583</v>
      </c>
      <c r="F7939" s="195" t="s">
        <v>438</v>
      </c>
    </row>
    <row r="7940" spans="1:6" x14ac:dyDescent="0.25">
      <c r="A7940" s="189" t="str">
        <f t="shared" si="124"/>
        <v>PG-MD 38113.2813.72N</v>
      </c>
      <c r="B7940" s="195" t="s">
        <v>3752</v>
      </c>
      <c r="C7940" s="196">
        <v>13.28</v>
      </c>
      <c r="D7940" s="196">
        <v>13.72</v>
      </c>
      <c r="E7940" s="195" t="s">
        <v>583</v>
      </c>
      <c r="F7940" s="195" t="s">
        <v>430</v>
      </c>
    </row>
    <row r="7941" spans="1:6" x14ac:dyDescent="0.25">
      <c r="A7941" s="189" t="str">
        <f t="shared" si="124"/>
        <v>PG-MD 38113.2813.72S</v>
      </c>
      <c r="B7941" s="195" t="s">
        <v>3752</v>
      </c>
      <c r="C7941" s="196">
        <v>13.28</v>
      </c>
      <c r="D7941" s="196">
        <v>13.72</v>
      </c>
      <c r="E7941" s="195" t="s">
        <v>583</v>
      </c>
      <c r="F7941" s="195" t="s">
        <v>438</v>
      </c>
    </row>
    <row r="7942" spans="1:6" x14ac:dyDescent="0.25">
      <c r="A7942" s="189" t="str">
        <f t="shared" si="124"/>
        <v>PG-MD 38113.7214.53N</v>
      </c>
      <c r="B7942" s="195" t="s">
        <v>3752</v>
      </c>
      <c r="C7942" s="196">
        <v>13.72</v>
      </c>
      <c r="D7942" s="196">
        <v>14.53</v>
      </c>
      <c r="E7942" s="195" t="s">
        <v>583</v>
      </c>
      <c r="F7942" s="195" t="s">
        <v>430</v>
      </c>
    </row>
    <row r="7943" spans="1:6" x14ac:dyDescent="0.25">
      <c r="A7943" s="189" t="str">
        <f t="shared" si="124"/>
        <v>PG-MD 38113.7214.53S</v>
      </c>
      <c r="B7943" s="195" t="s">
        <v>3752</v>
      </c>
      <c r="C7943" s="196">
        <v>13.72</v>
      </c>
      <c r="D7943" s="196">
        <v>14.53</v>
      </c>
      <c r="E7943" s="195" t="s">
        <v>583</v>
      </c>
      <c r="F7943" s="195" t="s">
        <v>438</v>
      </c>
    </row>
    <row r="7944" spans="1:6" x14ac:dyDescent="0.25">
      <c r="A7944" s="189" t="str">
        <f t="shared" si="124"/>
        <v>PG-MD 38208.3N</v>
      </c>
      <c r="B7944" s="195" t="s">
        <v>3753</v>
      </c>
      <c r="C7944" s="196">
        <v>0</v>
      </c>
      <c r="D7944" s="196">
        <v>8.3000000000000007</v>
      </c>
      <c r="E7944" s="195" t="s">
        <v>583</v>
      </c>
      <c r="F7944" s="195" t="s">
        <v>430</v>
      </c>
    </row>
    <row r="7945" spans="1:6" x14ac:dyDescent="0.25">
      <c r="A7945" s="189" t="str">
        <f t="shared" si="124"/>
        <v>PG-MD 38208.3S</v>
      </c>
      <c r="B7945" s="195" t="s">
        <v>3753</v>
      </c>
      <c r="C7945" s="196">
        <v>0</v>
      </c>
      <c r="D7945" s="196">
        <v>8.3000000000000007</v>
      </c>
      <c r="E7945" s="195" t="s">
        <v>583</v>
      </c>
      <c r="F7945" s="195" t="s">
        <v>438</v>
      </c>
    </row>
    <row r="7946" spans="1:6" x14ac:dyDescent="0.25">
      <c r="A7946" s="189" t="str">
        <f t="shared" si="124"/>
        <v>PG-MD 3828.38.85N</v>
      </c>
      <c r="B7946" s="195" t="s">
        <v>3753</v>
      </c>
      <c r="C7946" s="196">
        <v>8.3000000000000007</v>
      </c>
      <c r="D7946" s="196">
        <v>8.85</v>
      </c>
      <c r="E7946" s="195" t="s">
        <v>583</v>
      </c>
      <c r="F7946" s="195" t="s">
        <v>430</v>
      </c>
    </row>
    <row r="7947" spans="1:6" x14ac:dyDescent="0.25">
      <c r="A7947" s="189" t="str">
        <f t="shared" si="124"/>
        <v>PG-MD 3828.38.85S</v>
      </c>
      <c r="B7947" s="195" t="s">
        <v>3753</v>
      </c>
      <c r="C7947" s="196">
        <v>8.3000000000000007</v>
      </c>
      <c r="D7947" s="196">
        <v>8.85</v>
      </c>
      <c r="E7947" s="195" t="s">
        <v>583</v>
      </c>
      <c r="F7947" s="195" t="s">
        <v>438</v>
      </c>
    </row>
    <row r="7948" spans="1:6" x14ac:dyDescent="0.25">
      <c r="A7948" s="189" t="str">
        <f t="shared" si="124"/>
        <v>PG-MD 3828.8512.83N</v>
      </c>
      <c r="B7948" s="195" t="s">
        <v>3753</v>
      </c>
      <c r="C7948" s="196">
        <v>8.85</v>
      </c>
      <c r="D7948" s="196">
        <v>12.83</v>
      </c>
      <c r="E7948" s="195" t="s">
        <v>583</v>
      </c>
      <c r="F7948" s="195" t="s">
        <v>430</v>
      </c>
    </row>
    <row r="7949" spans="1:6" x14ac:dyDescent="0.25">
      <c r="A7949" s="189" t="str">
        <f t="shared" si="124"/>
        <v>PG-MD 3828.8512.83S</v>
      </c>
      <c r="B7949" s="195" t="s">
        <v>3753</v>
      </c>
      <c r="C7949" s="196">
        <v>8.85</v>
      </c>
      <c r="D7949" s="196">
        <v>12.83</v>
      </c>
      <c r="E7949" s="195" t="s">
        <v>583</v>
      </c>
      <c r="F7949" s="195" t="s">
        <v>438</v>
      </c>
    </row>
    <row r="7950" spans="1:6" x14ac:dyDescent="0.25">
      <c r="A7950" s="189" t="str">
        <f t="shared" si="124"/>
        <v>PG-MD 38212.8314.22N</v>
      </c>
      <c r="B7950" s="195" t="s">
        <v>3753</v>
      </c>
      <c r="C7950" s="196">
        <v>12.83</v>
      </c>
      <c r="D7950" s="196">
        <v>14.22</v>
      </c>
      <c r="E7950" s="195" t="s">
        <v>583</v>
      </c>
      <c r="F7950" s="195" t="s">
        <v>430</v>
      </c>
    </row>
    <row r="7951" spans="1:6" x14ac:dyDescent="0.25">
      <c r="A7951" s="189" t="str">
        <f t="shared" si="124"/>
        <v>PG-MD 38212.8314.22S</v>
      </c>
      <c r="B7951" s="195" t="s">
        <v>3753</v>
      </c>
      <c r="C7951" s="196">
        <v>12.83</v>
      </c>
      <c r="D7951" s="196">
        <v>14.22</v>
      </c>
      <c r="E7951" s="195" t="s">
        <v>583</v>
      </c>
      <c r="F7951" s="195" t="s">
        <v>438</v>
      </c>
    </row>
    <row r="7952" spans="1:6" x14ac:dyDescent="0.25">
      <c r="A7952" s="189" t="str">
        <f t="shared" si="124"/>
        <v>PG-MD 38214.2215.34N</v>
      </c>
      <c r="B7952" s="195" t="s">
        <v>3753</v>
      </c>
      <c r="C7952" s="196">
        <v>14.22</v>
      </c>
      <c r="D7952" s="196">
        <v>15.34</v>
      </c>
      <c r="E7952" s="195" t="s">
        <v>583</v>
      </c>
      <c r="F7952" s="195" t="s">
        <v>430</v>
      </c>
    </row>
    <row r="7953" spans="1:6" x14ac:dyDescent="0.25">
      <c r="A7953" s="189" t="str">
        <f t="shared" si="124"/>
        <v>PG-MD 38214.2215.34S</v>
      </c>
      <c r="B7953" s="195" t="s">
        <v>3753</v>
      </c>
      <c r="C7953" s="196">
        <v>14.22</v>
      </c>
      <c r="D7953" s="196">
        <v>15.34</v>
      </c>
      <c r="E7953" s="195" t="s">
        <v>583</v>
      </c>
      <c r="F7953" s="195" t="s">
        <v>438</v>
      </c>
    </row>
    <row r="7954" spans="1:6" x14ac:dyDescent="0.25">
      <c r="A7954" s="189" t="str">
        <f t="shared" si="124"/>
        <v>PG-MD 3F00.29E</v>
      </c>
      <c r="B7954" s="195" t="s">
        <v>3754</v>
      </c>
      <c r="C7954" s="196">
        <v>0</v>
      </c>
      <c r="D7954" s="196">
        <v>0.28999999999999998</v>
      </c>
      <c r="E7954" s="195" t="s">
        <v>583</v>
      </c>
      <c r="F7954" s="195" t="s">
        <v>19</v>
      </c>
    </row>
    <row r="7955" spans="1:6" x14ac:dyDescent="0.25">
      <c r="A7955" s="189" t="str">
        <f t="shared" si="124"/>
        <v>PG-MD 3F00.29W</v>
      </c>
      <c r="B7955" s="195" t="s">
        <v>3754</v>
      </c>
      <c r="C7955" s="196">
        <v>0</v>
      </c>
      <c r="D7955" s="196">
        <v>0.28999999999999998</v>
      </c>
      <c r="E7955" s="195" t="s">
        <v>583</v>
      </c>
      <c r="F7955" s="195" t="s">
        <v>432</v>
      </c>
    </row>
    <row r="7956" spans="1:6" x14ac:dyDescent="0.25">
      <c r="A7956" s="189" t="str">
        <f t="shared" si="124"/>
        <v>PG-MD 3G00.34N</v>
      </c>
      <c r="B7956" s="195" t="s">
        <v>3755</v>
      </c>
      <c r="C7956" s="196">
        <v>0</v>
      </c>
      <c r="D7956" s="196">
        <v>0.34</v>
      </c>
      <c r="E7956" s="195" t="s">
        <v>583</v>
      </c>
      <c r="F7956" s="195" t="s">
        <v>430</v>
      </c>
    </row>
    <row r="7957" spans="1:6" x14ac:dyDescent="0.25">
      <c r="A7957" s="189" t="str">
        <f t="shared" si="124"/>
        <v>PG-MD 3G00.34S</v>
      </c>
      <c r="B7957" s="195" t="s">
        <v>3755</v>
      </c>
      <c r="C7957" s="196">
        <v>0</v>
      </c>
      <c r="D7957" s="196">
        <v>0.34</v>
      </c>
      <c r="E7957" s="195" t="s">
        <v>583</v>
      </c>
      <c r="F7957" s="195" t="s">
        <v>438</v>
      </c>
    </row>
    <row r="7958" spans="1:6" x14ac:dyDescent="0.25">
      <c r="A7958" s="189" t="str">
        <f t="shared" si="124"/>
        <v>PG-MD 3G0.340.5N</v>
      </c>
      <c r="B7958" s="195" t="s">
        <v>3755</v>
      </c>
      <c r="C7958" s="196">
        <v>0.34</v>
      </c>
      <c r="D7958" s="196">
        <v>0.5</v>
      </c>
      <c r="E7958" s="195" t="s">
        <v>583</v>
      </c>
      <c r="F7958" s="195" t="s">
        <v>430</v>
      </c>
    </row>
    <row r="7959" spans="1:6" x14ac:dyDescent="0.25">
      <c r="A7959" s="189" t="str">
        <f t="shared" si="124"/>
        <v>PG-MD 3G0.340.5S</v>
      </c>
      <c r="B7959" s="195" t="s">
        <v>3755</v>
      </c>
      <c r="C7959" s="196">
        <v>0.34</v>
      </c>
      <c r="D7959" s="196">
        <v>0.5</v>
      </c>
      <c r="E7959" s="195" t="s">
        <v>583</v>
      </c>
      <c r="F7959" s="195" t="s">
        <v>438</v>
      </c>
    </row>
    <row r="7960" spans="1:6" x14ac:dyDescent="0.25">
      <c r="A7960" s="189" t="str">
        <f t="shared" si="124"/>
        <v>PG-MD 4 RP1-200.03W</v>
      </c>
      <c r="B7960" s="195" t="s">
        <v>3756</v>
      </c>
      <c r="C7960" s="196">
        <v>0</v>
      </c>
      <c r="D7960" s="196">
        <v>0.03</v>
      </c>
      <c r="E7960" s="195" t="s">
        <v>593</v>
      </c>
      <c r="F7960" s="195" t="s">
        <v>432</v>
      </c>
    </row>
    <row r="7961" spans="1:6" x14ac:dyDescent="0.25">
      <c r="A7961" s="189" t="str">
        <f t="shared" si="124"/>
        <v>PG-MD 4 RP1-300.03N</v>
      </c>
      <c r="B7961" s="195" t="s">
        <v>3757</v>
      </c>
      <c r="C7961" s="196">
        <v>0</v>
      </c>
      <c r="D7961" s="196">
        <v>0.03</v>
      </c>
      <c r="E7961" s="195" t="s">
        <v>589</v>
      </c>
      <c r="F7961" s="195" t="s">
        <v>430</v>
      </c>
    </row>
    <row r="7962" spans="1:6" x14ac:dyDescent="0.25">
      <c r="A7962" s="189" t="str">
        <f t="shared" si="124"/>
        <v>PG-MD 4 RP1-600.25N</v>
      </c>
      <c r="B7962" s="195" t="s">
        <v>3758</v>
      </c>
      <c r="C7962" s="196">
        <v>0</v>
      </c>
      <c r="D7962" s="196">
        <v>0.25</v>
      </c>
      <c r="E7962" s="195" t="s">
        <v>589</v>
      </c>
      <c r="F7962" s="195" t="s">
        <v>430</v>
      </c>
    </row>
    <row r="7963" spans="1:6" x14ac:dyDescent="0.25">
      <c r="A7963" s="189" t="str">
        <f t="shared" si="124"/>
        <v>PG-MD 4 RP2-200.26W</v>
      </c>
      <c r="B7963" s="195" t="s">
        <v>3759</v>
      </c>
      <c r="C7963" s="196">
        <v>0</v>
      </c>
      <c r="D7963" s="196">
        <v>0.26</v>
      </c>
      <c r="E7963" s="195" t="s">
        <v>593</v>
      </c>
      <c r="F7963" s="195" t="s">
        <v>432</v>
      </c>
    </row>
    <row r="7964" spans="1:6" x14ac:dyDescent="0.25">
      <c r="A7964" s="189" t="str">
        <f t="shared" si="124"/>
        <v>PG-MD 4 RP2-400.25W</v>
      </c>
      <c r="B7964" s="195" t="s">
        <v>3760</v>
      </c>
      <c r="C7964" s="196">
        <v>0</v>
      </c>
      <c r="D7964" s="196">
        <v>0.25</v>
      </c>
      <c r="E7964" s="195" t="s">
        <v>593</v>
      </c>
      <c r="F7964" s="195" t="s">
        <v>432</v>
      </c>
    </row>
    <row r="7965" spans="1:6" x14ac:dyDescent="0.25">
      <c r="A7965" s="189" t="str">
        <f t="shared" si="124"/>
        <v>PG-MD 4 RP2-600.29W</v>
      </c>
      <c r="B7965" s="195" t="s">
        <v>3761</v>
      </c>
      <c r="C7965" s="196">
        <v>0</v>
      </c>
      <c r="D7965" s="196">
        <v>0.28999999999999998</v>
      </c>
      <c r="E7965" s="195" t="s">
        <v>593</v>
      </c>
      <c r="F7965" s="195" t="s">
        <v>432</v>
      </c>
    </row>
    <row r="7966" spans="1:6" x14ac:dyDescent="0.25">
      <c r="A7966" s="189" t="str">
        <f t="shared" si="124"/>
        <v>PG-MD 4 RP3-300.03S</v>
      </c>
      <c r="B7966" s="195" t="s">
        <v>3762</v>
      </c>
      <c r="C7966" s="196">
        <v>0</v>
      </c>
      <c r="D7966" s="196">
        <v>0.03</v>
      </c>
      <c r="E7966" s="195" t="s">
        <v>595</v>
      </c>
      <c r="F7966" s="195" t="s">
        <v>438</v>
      </c>
    </row>
    <row r="7967" spans="1:6" x14ac:dyDescent="0.25">
      <c r="A7967" s="189" t="str">
        <f t="shared" si="124"/>
        <v>PG-MD 4 RP3-400.1E</v>
      </c>
      <c r="B7967" s="195" t="s">
        <v>3763</v>
      </c>
      <c r="C7967" s="196">
        <v>0</v>
      </c>
      <c r="D7967" s="196">
        <v>0.1</v>
      </c>
      <c r="E7967" s="195" t="s">
        <v>598</v>
      </c>
      <c r="F7967" s="195" t="s">
        <v>19</v>
      </c>
    </row>
    <row r="7968" spans="1:6" x14ac:dyDescent="0.25">
      <c r="A7968" s="189" t="str">
        <f t="shared" si="124"/>
        <v>PG-MD 4 RP3-600.02E</v>
      </c>
      <c r="B7968" s="195" t="s">
        <v>3764</v>
      </c>
      <c r="C7968" s="196">
        <v>0</v>
      </c>
      <c r="D7968" s="196">
        <v>0.02</v>
      </c>
      <c r="E7968" s="195" t="s">
        <v>598</v>
      </c>
      <c r="F7968" s="195" t="s">
        <v>19</v>
      </c>
    </row>
    <row r="7969" spans="1:6" x14ac:dyDescent="0.25">
      <c r="A7969" s="189" t="str">
        <f t="shared" si="124"/>
        <v>PG-MD 4 RP4-100.26E</v>
      </c>
      <c r="B7969" s="195" t="s">
        <v>3765</v>
      </c>
      <c r="C7969" s="196">
        <v>0</v>
      </c>
      <c r="D7969" s="196">
        <v>0.26</v>
      </c>
      <c r="E7969" s="195" t="s">
        <v>598</v>
      </c>
      <c r="F7969" s="195" t="s">
        <v>19</v>
      </c>
    </row>
    <row r="7970" spans="1:6" x14ac:dyDescent="0.25">
      <c r="A7970" s="189" t="str">
        <f t="shared" si="124"/>
        <v>PG-MD 4 RP4-200.02E</v>
      </c>
      <c r="B7970" s="195" t="s">
        <v>3766</v>
      </c>
      <c r="C7970" s="196">
        <v>0</v>
      </c>
      <c r="D7970" s="196">
        <v>0.02</v>
      </c>
      <c r="E7970" s="195" t="s">
        <v>598</v>
      </c>
      <c r="F7970" s="195" t="s">
        <v>19</v>
      </c>
    </row>
    <row r="7971" spans="1:6" x14ac:dyDescent="0.25">
      <c r="A7971" s="189" t="str">
        <f t="shared" si="124"/>
        <v>PG-MD 4 RP4-600.21N</v>
      </c>
      <c r="B7971" s="195" t="s">
        <v>3767</v>
      </c>
      <c r="C7971" s="196">
        <v>0</v>
      </c>
      <c r="D7971" s="196">
        <v>0.21</v>
      </c>
      <c r="E7971" s="195" t="s">
        <v>589</v>
      </c>
      <c r="F7971" s="195" t="s">
        <v>430</v>
      </c>
    </row>
    <row r="7972" spans="1:6" x14ac:dyDescent="0.25">
      <c r="A7972" s="189" t="str">
        <f t="shared" si="124"/>
        <v>PG-MD 4 RP5-200.16E</v>
      </c>
      <c r="B7972" s="195" t="s">
        <v>3768</v>
      </c>
      <c r="C7972" s="196">
        <v>0</v>
      </c>
      <c r="D7972" s="196">
        <v>0.16</v>
      </c>
      <c r="E7972" s="195" t="s">
        <v>598</v>
      </c>
      <c r="F7972" s="195" t="s">
        <v>19</v>
      </c>
    </row>
    <row r="7973" spans="1:6" x14ac:dyDescent="0.25">
      <c r="A7973" s="189" t="str">
        <f t="shared" si="124"/>
        <v>PG-MD 4 RP5-400.16S</v>
      </c>
      <c r="B7973" s="195" t="s">
        <v>3769</v>
      </c>
      <c r="C7973" s="196">
        <v>0</v>
      </c>
      <c r="D7973" s="196">
        <v>0.16</v>
      </c>
      <c r="E7973" s="195" t="s">
        <v>595</v>
      </c>
      <c r="F7973" s="195" t="s">
        <v>438</v>
      </c>
    </row>
    <row r="7974" spans="1:6" x14ac:dyDescent="0.25">
      <c r="A7974" s="189" t="str">
        <f t="shared" si="124"/>
        <v>PG-MD 4 RP5-600.02E</v>
      </c>
      <c r="B7974" s="195" t="s">
        <v>3770</v>
      </c>
      <c r="C7974" s="196">
        <v>0</v>
      </c>
      <c r="D7974" s="196">
        <v>0.02</v>
      </c>
      <c r="E7974" s="195" t="s">
        <v>598</v>
      </c>
      <c r="F7974" s="195" t="s">
        <v>19</v>
      </c>
    </row>
    <row r="7975" spans="1:6" x14ac:dyDescent="0.25">
      <c r="A7975" s="189" t="str">
        <f t="shared" si="124"/>
        <v>PG-MD 4 RP6-200.11E</v>
      </c>
      <c r="B7975" s="195" t="s">
        <v>3771</v>
      </c>
      <c r="C7975" s="196">
        <v>0</v>
      </c>
      <c r="D7975" s="196">
        <v>0.11</v>
      </c>
      <c r="E7975" s="195" t="s">
        <v>598</v>
      </c>
      <c r="F7975" s="195" t="s">
        <v>19</v>
      </c>
    </row>
    <row r="7976" spans="1:6" x14ac:dyDescent="0.25">
      <c r="A7976" s="189" t="str">
        <f t="shared" si="124"/>
        <v>PG-MD 4 RP6-300.22S</v>
      </c>
      <c r="B7976" s="195" t="s">
        <v>3772</v>
      </c>
      <c r="C7976" s="196">
        <v>0</v>
      </c>
      <c r="D7976" s="196">
        <v>0.22</v>
      </c>
      <c r="E7976" s="195" t="s">
        <v>595</v>
      </c>
      <c r="F7976" s="195" t="s">
        <v>438</v>
      </c>
    </row>
    <row r="7977" spans="1:6" x14ac:dyDescent="0.25">
      <c r="A7977" s="189" t="str">
        <f t="shared" si="124"/>
        <v>PG-MD 4 RP6-600.19S</v>
      </c>
      <c r="B7977" s="195" t="s">
        <v>3773</v>
      </c>
      <c r="C7977" s="196">
        <v>0</v>
      </c>
      <c r="D7977" s="196">
        <v>0.19</v>
      </c>
      <c r="E7977" s="195" t="s">
        <v>595</v>
      </c>
      <c r="F7977" s="195" t="s">
        <v>438</v>
      </c>
    </row>
    <row r="7978" spans="1:6" x14ac:dyDescent="0.25">
      <c r="A7978" s="189" t="str">
        <f t="shared" si="124"/>
        <v>PG-MD 4 RP7-200.02E</v>
      </c>
      <c r="B7978" s="195" t="s">
        <v>3774</v>
      </c>
      <c r="C7978" s="196">
        <v>0</v>
      </c>
      <c r="D7978" s="196">
        <v>0.02</v>
      </c>
      <c r="E7978" s="195" t="s">
        <v>598</v>
      </c>
      <c r="F7978" s="195" t="s">
        <v>19</v>
      </c>
    </row>
    <row r="7979" spans="1:6" x14ac:dyDescent="0.25">
      <c r="A7979" s="189" t="str">
        <f t="shared" si="124"/>
        <v>PG-MD 4 RP8-200.13W</v>
      </c>
      <c r="B7979" s="195" t="s">
        <v>3775</v>
      </c>
      <c r="C7979" s="196">
        <v>0</v>
      </c>
      <c r="D7979" s="196">
        <v>0.13</v>
      </c>
      <c r="E7979" s="195" t="s">
        <v>593</v>
      </c>
      <c r="F7979" s="195" t="s">
        <v>432</v>
      </c>
    </row>
    <row r="7980" spans="1:6" x14ac:dyDescent="0.25">
      <c r="A7980" s="189" t="str">
        <f t="shared" si="124"/>
        <v>PG-MD 4 RP8-300.21W</v>
      </c>
      <c r="B7980" s="195" t="s">
        <v>3776</v>
      </c>
      <c r="C7980" s="196">
        <v>0</v>
      </c>
      <c r="D7980" s="196">
        <v>0.21</v>
      </c>
      <c r="E7980" s="195" t="s">
        <v>593</v>
      </c>
      <c r="F7980" s="195" t="s">
        <v>432</v>
      </c>
    </row>
    <row r="7981" spans="1:6" x14ac:dyDescent="0.25">
      <c r="A7981" s="189" t="str">
        <f t="shared" si="124"/>
        <v>PG-MD 4 RP8-400.25E</v>
      </c>
      <c r="B7981" s="195" t="s">
        <v>3777</v>
      </c>
      <c r="C7981" s="196">
        <v>0</v>
      </c>
      <c r="D7981" s="196">
        <v>0.25</v>
      </c>
      <c r="E7981" s="195" t="s">
        <v>598</v>
      </c>
      <c r="F7981" s="195" t="s">
        <v>19</v>
      </c>
    </row>
    <row r="7982" spans="1:6" x14ac:dyDescent="0.25">
      <c r="A7982" s="189" t="str">
        <f t="shared" si="124"/>
        <v>PG-MD 4 RP8-600.22S</v>
      </c>
      <c r="B7982" s="195" t="s">
        <v>3778</v>
      </c>
      <c r="C7982" s="196">
        <v>0</v>
      </c>
      <c r="D7982" s="196">
        <v>0.22</v>
      </c>
      <c r="E7982" s="195" t="s">
        <v>595</v>
      </c>
      <c r="F7982" s="195" t="s">
        <v>438</v>
      </c>
    </row>
    <row r="7983" spans="1:6" x14ac:dyDescent="0.25">
      <c r="A7983" s="189" t="str">
        <f t="shared" si="124"/>
        <v>PG-MD 4 RP9-600.03W</v>
      </c>
      <c r="B7983" s="195" t="s">
        <v>3779</v>
      </c>
      <c r="C7983" s="196">
        <v>0</v>
      </c>
      <c r="D7983" s="196">
        <v>0.03</v>
      </c>
      <c r="E7983" s="195" t="s">
        <v>593</v>
      </c>
      <c r="F7983" s="195" t="s">
        <v>432</v>
      </c>
    </row>
    <row r="7984" spans="1:6" x14ac:dyDescent="0.25">
      <c r="A7984" s="189" t="str">
        <f t="shared" si="124"/>
        <v>PG-MD 4100.10.86E</v>
      </c>
      <c r="B7984" s="195" t="s">
        <v>473</v>
      </c>
      <c r="C7984" s="196">
        <v>0.1</v>
      </c>
      <c r="D7984" s="196">
        <v>0.86</v>
      </c>
      <c r="E7984" s="195" t="s">
        <v>583</v>
      </c>
      <c r="F7984" s="195" t="s">
        <v>19</v>
      </c>
    </row>
    <row r="7985" spans="1:6" x14ac:dyDescent="0.25">
      <c r="A7985" s="189" t="str">
        <f t="shared" si="124"/>
        <v>PG-MD 4100.10.86W</v>
      </c>
      <c r="B7985" s="195" t="s">
        <v>473</v>
      </c>
      <c r="C7985" s="196">
        <v>0.1</v>
      </c>
      <c r="D7985" s="196">
        <v>0.86</v>
      </c>
      <c r="E7985" s="195" t="s">
        <v>583</v>
      </c>
      <c r="F7985" s="195" t="s">
        <v>432</v>
      </c>
    </row>
    <row r="7986" spans="1:6" x14ac:dyDescent="0.25">
      <c r="A7986" s="189" t="str">
        <f t="shared" si="124"/>
        <v>PG-MD 4105.025.37E</v>
      </c>
      <c r="B7986" s="195" t="s">
        <v>473</v>
      </c>
      <c r="C7986" s="196">
        <v>5.0199999999999996</v>
      </c>
      <c r="D7986" s="196">
        <v>5.37</v>
      </c>
      <c r="E7986" s="195" t="s">
        <v>583</v>
      </c>
      <c r="F7986" s="195" t="s">
        <v>19</v>
      </c>
    </row>
    <row r="7987" spans="1:6" x14ac:dyDescent="0.25">
      <c r="A7987" s="189" t="str">
        <f t="shared" si="124"/>
        <v>PG-MD 4105.025.37W</v>
      </c>
      <c r="B7987" s="195" t="s">
        <v>473</v>
      </c>
      <c r="C7987" s="196">
        <v>5.0199999999999996</v>
      </c>
      <c r="D7987" s="196">
        <v>5.37</v>
      </c>
      <c r="E7987" s="195" t="s">
        <v>583</v>
      </c>
      <c r="F7987" s="195" t="s">
        <v>432</v>
      </c>
    </row>
    <row r="7988" spans="1:6" x14ac:dyDescent="0.25">
      <c r="A7988" s="189" t="str">
        <f t="shared" si="124"/>
        <v>PG-MD 4140.682.59E</v>
      </c>
      <c r="B7988" s="195" t="s">
        <v>3780</v>
      </c>
      <c r="C7988" s="196">
        <v>0.68</v>
      </c>
      <c r="D7988" s="196">
        <v>2.59</v>
      </c>
      <c r="E7988" s="195" t="s">
        <v>583</v>
      </c>
      <c r="F7988" s="195" t="s">
        <v>19</v>
      </c>
    </row>
    <row r="7989" spans="1:6" x14ac:dyDescent="0.25">
      <c r="A7989" s="189" t="str">
        <f t="shared" si="124"/>
        <v>PG-MD 4140.682.59W</v>
      </c>
      <c r="B7989" s="195" t="s">
        <v>3780</v>
      </c>
      <c r="C7989" s="196">
        <v>0.68</v>
      </c>
      <c r="D7989" s="196">
        <v>2.59</v>
      </c>
      <c r="E7989" s="195" t="s">
        <v>583</v>
      </c>
      <c r="F7989" s="195" t="s">
        <v>432</v>
      </c>
    </row>
    <row r="7990" spans="1:6" x14ac:dyDescent="0.25">
      <c r="A7990" s="189" t="str">
        <f t="shared" si="124"/>
        <v>PG-MD 4142.595.06E</v>
      </c>
      <c r="B7990" s="195" t="s">
        <v>3780</v>
      </c>
      <c r="C7990" s="196">
        <v>2.59</v>
      </c>
      <c r="D7990" s="196">
        <v>5.0599999999999996</v>
      </c>
      <c r="E7990" s="195" t="s">
        <v>583</v>
      </c>
      <c r="F7990" s="195" t="s">
        <v>19</v>
      </c>
    </row>
    <row r="7991" spans="1:6" x14ac:dyDescent="0.25">
      <c r="A7991" s="189" t="str">
        <f t="shared" si="124"/>
        <v>PG-MD 4142.595.06W</v>
      </c>
      <c r="B7991" s="195" t="s">
        <v>3780</v>
      </c>
      <c r="C7991" s="196">
        <v>2.59</v>
      </c>
      <c r="D7991" s="196">
        <v>5.0599999999999996</v>
      </c>
      <c r="E7991" s="195" t="s">
        <v>583</v>
      </c>
      <c r="F7991" s="195" t="s">
        <v>432</v>
      </c>
    </row>
    <row r="7992" spans="1:6" x14ac:dyDescent="0.25">
      <c r="A7992" s="189" t="str">
        <f t="shared" si="124"/>
        <v>PG-MD 4145.155.55E</v>
      </c>
      <c r="B7992" s="195" t="s">
        <v>3780</v>
      </c>
      <c r="C7992" s="196">
        <v>5.15</v>
      </c>
      <c r="D7992" s="196">
        <v>5.55</v>
      </c>
      <c r="E7992" s="195" t="s">
        <v>583</v>
      </c>
      <c r="F7992" s="195" t="s">
        <v>19</v>
      </c>
    </row>
    <row r="7993" spans="1:6" x14ac:dyDescent="0.25">
      <c r="A7993" s="189" t="str">
        <f t="shared" si="124"/>
        <v>PG-MD 4145.155.55W</v>
      </c>
      <c r="B7993" s="195" t="s">
        <v>3780</v>
      </c>
      <c r="C7993" s="196">
        <v>5.15</v>
      </c>
      <c r="D7993" s="196">
        <v>5.55</v>
      </c>
      <c r="E7993" s="195" t="s">
        <v>583</v>
      </c>
      <c r="F7993" s="195" t="s">
        <v>432</v>
      </c>
    </row>
    <row r="7994" spans="1:6" x14ac:dyDescent="0.25">
      <c r="A7994" s="189" t="str">
        <f t="shared" si="124"/>
        <v>PG-MD 4145.555.64E</v>
      </c>
      <c r="B7994" s="195" t="s">
        <v>3780</v>
      </c>
      <c r="C7994" s="196">
        <v>5.55</v>
      </c>
      <c r="D7994" s="196">
        <v>5.64</v>
      </c>
      <c r="E7994" s="195" t="s">
        <v>583</v>
      </c>
      <c r="F7994" s="195" t="s">
        <v>19</v>
      </c>
    </row>
    <row r="7995" spans="1:6" x14ac:dyDescent="0.25">
      <c r="A7995" s="189" t="str">
        <f t="shared" si="124"/>
        <v>PG-MD 4145.555.64W</v>
      </c>
      <c r="B7995" s="195" t="s">
        <v>3780</v>
      </c>
      <c r="C7995" s="196">
        <v>5.55</v>
      </c>
      <c r="D7995" s="196">
        <v>5.64</v>
      </c>
      <c r="E7995" s="195" t="s">
        <v>583</v>
      </c>
      <c r="F7995" s="195" t="s">
        <v>432</v>
      </c>
    </row>
    <row r="7996" spans="1:6" x14ac:dyDescent="0.25">
      <c r="A7996" s="189" t="str">
        <f t="shared" si="124"/>
        <v>PG-MD 414A00.07N</v>
      </c>
      <c r="B7996" s="195" t="s">
        <v>3781</v>
      </c>
      <c r="C7996" s="196">
        <v>0</v>
      </c>
      <c r="D7996" s="196">
        <v>7.0000000000000007E-2</v>
      </c>
      <c r="E7996" s="195" t="s">
        <v>589</v>
      </c>
      <c r="F7996" s="195" t="s">
        <v>430</v>
      </c>
    </row>
    <row r="7997" spans="1:6" x14ac:dyDescent="0.25">
      <c r="A7997" s="189" t="str">
        <f t="shared" si="124"/>
        <v>PG-MD 414A00.07S</v>
      </c>
      <c r="B7997" s="195" t="s">
        <v>3781</v>
      </c>
      <c r="C7997" s="196">
        <v>0</v>
      </c>
      <c r="D7997" s="196">
        <v>7.0000000000000007E-2</v>
      </c>
      <c r="E7997" s="195" t="s">
        <v>595</v>
      </c>
      <c r="F7997" s="195" t="s">
        <v>438</v>
      </c>
    </row>
    <row r="7998" spans="1:6" x14ac:dyDescent="0.25">
      <c r="A7998" s="189" t="str">
        <f t="shared" si="124"/>
        <v>PG-MD 43000.49E</v>
      </c>
      <c r="B7998" s="195" t="s">
        <v>3782</v>
      </c>
      <c r="C7998" s="196">
        <v>0</v>
      </c>
      <c r="D7998" s="196">
        <v>0.49</v>
      </c>
      <c r="E7998" s="195" t="s">
        <v>583</v>
      </c>
      <c r="F7998" s="195" t="s">
        <v>19</v>
      </c>
    </row>
    <row r="7999" spans="1:6" x14ac:dyDescent="0.25">
      <c r="A7999" s="189" t="str">
        <f t="shared" si="124"/>
        <v>PG-MD 43000.49W</v>
      </c>
      <c r="B7999" s="195" t="s">
        <v>3782</v>
      </c>
      <c r="C7999" s="196">
        <v>0</v>
      </c>
      <c r="D7999" s="196">
        <v>0.49</v>
      </c>
      <c r="E7999" s="195" t="s">
        <v>583</v>
      </c>
      <c r="F7999" s="195" t="s">
        <v>432</v>
      </c>
    </row>
    <row r="8000" spans="1:6" x14ac:dyDescent="0.25">
      <c r="A8000" s="189" t="str">
        <f t="shared" si="124"/>
        <v>PG-MD 4500.180.27E</v>
      </c>
      <c r="B8000" s="195" t="s">
        <v>3783</v>
      </c>
      <c r="C8000" s="196">
        <v>0.18</v>
      </c>
      <c r="D8000" s="196">
        <v>0.27</v>
      </c>
      <c r="E8000" s="195" t="s">
        <v>583</v>
      </c>
      <c r="F8000" s="195" t="s">
        <v>19</v>
      </c>
    </row>
    <row r="8001" spans="1:6" x14ac:dyDescent="0.25">
      <c r="A8001" s="189" t="str">
        <f t="shared" si="124"/>
        <v>PG-MD 4500.180.27W</v>
      </c>
      <c r="B8001" s="195" t="s">
        <v>3783</v>
      </c>
      <c r="C8001" s="196">
        <v>0.18</v>
      </c>
      <c r="D8001" s="196">
        <v>0.27</v>
      </c>
      <c r="E8001" s="195" t="s">
        <v>583</v>
      </c>
      <c r="F8001" s="195" t="s">
        <v>432</v>
      </c>
    </row>
    <row r="8002" spans="1:6" x14ac:dyDescent="0.25">
      <c r="A8002" s="189" t="str">
        <f t="shared" si="124"/>
        <v>PG-MD 4500.270.81E</v>
      </c>
      <c r="B8002" s="195" t="s">
        <v>3783</v>
      </c>
      <c r="C8002" s="196">
        <v>0.27</v>
      </c>
      <c r="D8002" s="196">
        <v>0.81</v>
      </c>
      <c r="E8002" s="195" t="s">
        <v>583</v>
      </c>
      <c r="F8002" s="195" t="s">
        <v>19</v>
      </c>
    </row>
    <row r="8003" spans="1:6" x14ac:dyDescent="0.25">
      <c r="A8003" s="189" t="str">
        <f t="shared" ref="A8003:A8066" si="125">B8003&amp;C8003&amp;D8003&amp;F8003</f>
        <v>PG-MD 4500.270.81W</v>
      </c>
      <c r="B8003" s="195" t="s">
        <v>3783</v>
      </c>
      <c r="C8003" s="196">
        <v>0.27</v>
      </c>
      <c r="D8003" s="196">
        <v>0.81</v>
      </c>
      <c r="E8003" s="195" t="s">
        <v>583</v>
      </c>
      <c r="F8003" s="195" t="s">
        <v>432</v>
      </c>
    </row>
    <row r="8004" spans="1:6" x14ac:dyDescent="0.25">
      <c r="A8004" s="189" t="str">
        <f t="shared" si="125"/>
        <v>PG-MD 4500.810.93E</v>
      </c>
      <c r="B8004" s="195" t="s">
        <v>3783</v>
      </c>
      <c r="C8004" s="196">
        <v>0.81</v>
      </c>
      <c r="D8004" s="196">
        <v>0.93</v>
      </c>
      <c r="E8004" s="195" t="s">
        <v>583</v>
      </c>
      <c r="F8004" s="195" t="s">
        <v>19</v>
      </c>
    </row>
    <row r="8005" spans="1:6" x14ac:dyDescent="0.25">
      <c r="A8005" s="189" t="str">
        <f t="shared" si="125"/>
        <v>PG-MD 4500.810.93W</v>
      </c>
      <c r="B8005" s="195" t="s">
        <v>3783</v>
      </c>
      <c r="C8005" s="196">
        <v>0.81</v>
      </c>
      <c r="D8005" s="196">
        <v>0.93</v>
      </c>
      <c r="E8005" s="195" t="s">
        <v>583</v>
      </c>
      <c r="F8005" s="195" t="s">
        <v>432</v>
      </c>
    </row>
    <row r="8006" spans="1:6" x14ac:dyDescent="0.25">
      <c r="A8006" s="189" t="str">
        <f t="shared" si="125"/>
        <v>PG-MD 45012.613.75E</v>
      </c>
      <c r="B8006" s="195" t="s">
        <v>3783</v>
      </c>
      <c r="C8006" s="196">
        <v>12.6</v>
      </c>
      <c r="D8006" s="196">
        <v>13.75</v>
      </c>
      <c r="E8006" s="195" t="s">
        <v>583</v>
      </c>
      <c r="F8006" s="195" t="s">
        <v>19</v>
      </c>
    </row>
    <row r="8007" spans="1:6" x14ac:dyDescent="0.25">
      <c r="A8007" s="189" t="str">
        <f t="shared" si="125"/>
        <v>PG-MD 45012.613.75W</v>
      </c>
      <c r="B8007" s="195" t="s">
        <v>3783</v>
      </c>
      <c r="C8007" s="196">
        <v>12.6</v>
      </c>
      <c r="D8007" s="196">
        <v>13.75</v>
      </c>
      <c r="E8007" s="195" t="s">
        <v>583</v>
      </c>
      <c r="F8007" s="195" t="s">
        <v>432</v>
      </c>
    </row>
    <row r="8008" spans="1:6" x14ac:dyDescent="0.25">
      <c r="A8008" s="189" t="str">
        <f t="shared" si="125"/>
        <v>PG-MD 450A00.2N</v>
      </c>
      <c r="B8008" s="195" t="s">
        <v>3784</v>
      </c>
      <c r="C8008" s="196">
        <v>0</v>
      </c>
      <c r="D8008" s="196">
        <v>0.2</v>
      </c>
      <c r="E8008" s="195" t="s">
        <v>583</v>
      </c>
      <c r="F8008" s="195" t="s">
        <v>430</v>
      </c>
    </row>
    <row r="8009" spans="1:6" x14ac:dyDescent="0.25">
      <c r="A8009" s="189" t="str">
        <f t="shared" si="125"/>
        <v>PG-MD 450A00.2S</v>
      </c>
      <c r="B8009" s="195" t="s">
        <v>3784</v>
      </c>
      <c r="C8009" s="196">
        <v>0</v>
      </c>
      <c r="D8009" s="196">
        <v>0.2</v>
      </c>
      <c r="E8009" s="195" t="s">
        <v>583</v>
      </c>
      <c r="F8009" s="195" t="s">
        <v>438</v>
      </c>
    </row>
    <row r="8010" spans="1:6" x14ac:dyDescent="0.25">
      <c r="A8010" s="189" t="str">
        <f t="shared" si="125"/>
        <v>PG-MD 450B00.22N</v>
      </c>
      <c r="B8010" s="195" t="s">
        <v>3785</v>
      </c>
      <c r="C8010" s="196">
        <v>0</v>
      </c>
      <c r="D8010" s="196">
        <v>0.22</v>
      </c>
      <c r="E8010" s="195" t="s">
        <v>583</v>
      </c>
      <c r="F8010" s="195" t="s">
        <v>430</v>
      </c>
    </row>
    <row r="8011" spans="1:6" x14ac:dyDescent="0.25">
      <c r="A8011" s="189" t="str">
        <f t="shared" si="125"/>
        <v>PG-MD 450B00.22S</v>
      </c>
      <c r="B8011" s="195" t="s">
        <v>3785</v>
      </c>
      <c r="C8011" s="196">
        <v>0</v>
      </c>
      <c r="D8011" s="196">
        <v>0.22</v>
      </c>
      <c r="E8011" s="195" t="s">
        <v>583</v>
      </c>
      <c r="F8011" s="195" t="s">
        <v>438</v>
      </c>
    </row>
    <row r="8012" spans="1:6" x14ac:dyDescent="0.25">
      <c r="A8012" s="189" t="str">
        <f t="shared" si="125"/>
        <v>PG-MD 450B0.220.63N</v>
      </c>
      <c r="B8012" s="195" t="s">
        <v>3785</v>
      </c>
      <c r="C8012" s="196">
        <v>0.22</v>
      </c>
      <c r="D8012" s="196">
        <v>0.63</v>
      </c>
      <c r="E8012" s="195" t="s">
        <v>583</v>
      </c>
      <c r="F8012" s="195" t="s">
        <v>430</v>
      </c>
    </row>
    <row r="8013" spans="1:6" x14ac:dyDescent="0.25">
      <c r="A8013" s="189" t="str">
        <f t="shared" si="125"/>
        <v>PG-MD 450B0.220.63S</v>
      </c>
      <c r="B8013" s="195" t="s">
        <v>3785</v>
      </c>
      <c r="C8013" s="196">
        <v>0.22</v>
      </c>
      <c r="D8013" s="196">
        <v>0.63</v>
      </c>
      <c r="E8013" s="195" t="s">
        <v>583</v>
      </c>
      <c r="F8013" s="195" t="s">
        <v>438</v>
      </c>
    </row>
    <row r="8014" spans="1:6" x14ac:dyDescent="0.25">
      <c r="A8014" s="189" t="str">
        <f t="shared" si="125"/>
        <v>PG-MD 450B0.630.94N</v>
      </c>
      <c r="B8014" s="195" t="s">
        <v>3785</v>
      </c>
      <c r="C8014" s="196">
        <v>0.63</v>
      </c>
      <c r="D8014" s="196">
        <v>0.94</v>
      </c>
      <c r="E8014" s="195" t="s">
        <v>583</v>
      </c>
      <c r="F8014" s="195" t="s">
        <v>430</v>
      </c>
    </row>
    <row r="8015" spans="1:6" x14ac:dyDescent="0.25">
      <c r="A8015" s="189" t="str">
        <f t="shared" si="125"/>
        <v>PG-MD 450B0.630.94S</v>
      </c>
      <c r="B8015" s="195" t="s">
        <v>3785</v>
      </c>
      <c r="C8015" s="196">
        <v>0.63</v>
      </c>
      <c r="D8015" s="196">
        <v>0.94</v>
      </c>
      <c r="E8015" s="195" t="s">
        <v>583</v>
      </c>
      <c r="F8015" s="195" t="s">
        <v>438</v>
      </c>
    </row>
    <row r="8016" spans="1:6" x14ac:dyDescent="0.25">
      <c r="A8016" s="189" t="str">
        <f t="shared" si="125"/>
        <v>PG-MD 450C00.03E</v>
      </c>
      <c r="B8016" s="195" t="s">
        <v>3786</v>
      </c>
      <c r="C8016" s="196">
        <v>0</v>
      </c>
      <c r="D8016" s="196">
        <v>0.03</v>
      </c>
      <c r="E8016" s="195" t="s">
        <v>598</v>
      </c>
      <c r="F8016" s="195" t="s">
        <v>19</v>
      </c>
    </row>
    <row r="8017" spans="1:6" x14ac:dyDescent="0.25">
      <c r="A8017" s="189" t="str">
        <f t="shared" si="125"/>
        <v>PG-MD 450C00.03W</v>
      </c>
      <c r="B8017" s="195" t="s">
        <v>3786</v>
      </c>
      <c r="C8017" s="196">
        <v>0</v>
      </c>
      <c r="D8017" s="196">
        <v>0.03</v>
      </c>
      <c r="E8017" s="195" t="s">
        <v>593</v>
      </c>
      <c r="F8017" s="195" t="s">
        <v>432</v>
      </c>
    </row>
    <row r="8018" spans="1:6" x14ac:dyDescent="0.25">
      <c r="A8018" s="189" t="str">
        <f t="shared" si="125"/>
        <v>PG-MD 450E00.08N</v>
      </c>
      <c r="B8018" s="195" t="s">
        <v>3787</v>
      </c>
      <c r="C8018" s="196">
        <v>0</v>
      </c>
      <c r="D8018" s="196">
        <v>0.08</v>
      </c>
      <c r="E8018" s="195" t="s">
        <v>589</v>
      </c>
      <c r="F8018" s="195" t="s">
        <v>430</v>
      </c>
    </row>
    <row r="8019" spans="1:6" x14ac:dyDescent="0.25">
      <c r="A8019" s="189" t="str">
        <f t="shared" si="125"/>
        <v>PG-MD 450E00.08S</v>
      </c>
      <c r="B8019" s="195" t="s">
        <v>3787</v>
      </c>
      <c r="C8019" s="196">
        <v>0</v>
      </c>
      <c r="D8019" s="196">
        <v>0.08</v>
      </c>
      <c r="E8019" s="195" t="s">
        <v>595</v>
      </c>
      <c r="F8019" s="195" t="s">
        <v>438</v>
      </c>
    </row>
    <row r="8020" spans="1:6" x14ac:dyDescent="0.25">
      <c r="A8020" s="189" t="str">
        <f t="shared" si="125"/>
        <v>PG-MD 450E0.080.13N</v>
      </c>
      <c r="B8020" s="195" t="s">
        <v>3787</v>
      </c>
      <c r="C8020" s="196">
        <v>0.08</v>
      </c>
      <c r="D8020" s="196">
        <v>0.13</v>
      </c>
      <c r="E8020" s="195" t="s">
        <v>589</v>
      </c>
      <c r="F8020" s="195" t="s">
        <v>430</v>
      </c>
    </row>
    <row r="8021" spans="1:6" x14ac:dyDescent="0.25">
      <c r="A8021" s="189" t="str">
        <f t="shared" si="125"/>
        <v>PG-MD 450E0.080.13S</v>
      </c>
      <c r="B8021" s="195" t="s">
        <v>3787</v>
      </c>
      <c r="C8021" s="196">
        <v>0.08</v>
      </c>
      <c r="D8021" s="196">
        <v>0.13</v>
      </c>
      <c r="E8021" s="195" t="s">
        <v>595</v>
      </c>
      <c r="F8021" s="195" t="s">
        <v>438</v>
      </c>
    </row>
    <row r="8022" spans="1:6" x14ac:dyDescent="0.25">
      <c r="A8022" s="189" t="str">
        <f t="shared" si="125"/>
        <v>PG-MD 450F00.07N</v>
      </c>
      <c r="B8022" s="195" t="s">
        <v>3788</v>
      </c>
      <c r="C8022" s="196">
        <v>0</v>
      </c>
      <c r="D8022" s="196">
        <v>7.0000000000000007E-2</v>
      </c>
      <c r="E8022" s="195" t="s">
        <v>589</v>
      </c>
      <c r="F8022" s="195" t="s">
        <v>430</v>
      </c>
    </row>
    <row r="8023" spans="1:6" x14ac:dyDescent="0.25">
      <c r="A8023" s="189" t="str">
        <f t="shared" si="125"/>
        <v>PG-MD 450F00.07S</v>
      </c>
      <c r="B8023" s="195" t="s">
        <v>3788</v>
      </c>
      <c r="C8023" s="196">
        <v>0</v>
      </c>
      <c r="D8023" s="196">
        <v>7.0000000000000007E-2</v>
      </c>
      <c r="E8023" s="195" t="s">
        <v>595</v>
      </c>
      <c r="F8023" s="195" t="s">
        <v>438</v>
      </c>
    </row>
    <row r="8024" spans="1:6" x14ac:dyDescent="0.25">
      <c r="A8024" s="189" t="str">
        <f t="shared" si="125"/>
        <v>PG-MD 458A3.223.31E</v>
      </c>
      <c r="B8024" s="195" t="s">
        <v>4512</v>
      </c>
      <c r="C8024" s="196">
        <v>3.22</v>
      </c>
      <c r="D8024" s="196">
        <v>3.31</v>
      </c>
      <c r="E8024" s="195" t="s">
        <v>583</v>
      </c>
      <c r="F8024" s="195" t="s">
        <v>19</v>
      </c>
    </row>
    <row r="8025" spans="1:6" x14ac:dyDescent="0.25">
      <c r="A8025" s="189" t="str">
        <f t="shared" si="125"/>
        <v>PG-MD 458A3.223.31W</v>
      </c>
      <c r="B8025" s="195" t="s">
        <v>4512</v>
      </c>
      <c r="C8025" s="196">
        <v>3.22</v>
      </c>
      <c r="D8025" s="196">
        <v>3.31</v>
      </c>
      <c r="E8025" s="195" t="s">
        <v>583</v>
      </c>
      <c r="F8025" s="195" t="s">
        <v>432</v>
      </c>
    </row>
    <row r="8026" spans="1:6" x14ac:dyDescent="0.25">
      <c r="A8026" s="189" t="str">
        <f t="shared" si="125"/>
        <v>PG-MD 458B00.08N</v>
      </c>
      <c r="B8026" s="195" t="s">
        <v>3789</v>
      </c>
      <c r="C8026" s="196">
        <v>0</v>
      </c>
      <c r="D8026" s="196">
        <v>0.08</v>
      </c>
      <c r="E8026" s="195" t="s">
        <v>583</v>
      </c>
      <c r="F8026" s="195" t="s">
        <v>430</v>
      </c>
    </row>
    <row r="8027" spans="1:6" x14ac:dyDescent="0.25">
      <c r="A8027" s="189" t="str">
        <f t="shared" si="125"/>
        <v>PG-MD 458B00.08S</v>
      </c>
      <c r="B8027" s="195" t="s">
        <v>3789</v>
      </c>
      <c r="C8027" s="196">
        <v>0</v>
      </c>
      <c r="D8027" s="196">
        <v>0.08</v>
      </c>
      <c r="E8027" s="195" t="s">
        <v>583</v>
      </c>
      <c r="F8027" s="195" t="s">
        <v>438</v>
      </c>
    </row>
    <row r="8028" spans="1:6" x14ac:dyDescent="0.25">
      <c r="A8028" s="189" t="str">
        <f t="shared" si="125"/>
        <v>PG-MD 45900.95N</v>
      </c>
      <c r="B8028" s="195" t="s">
        <v>3790</v>
      </c>
      <c r="C8028" s="196">
        <v>0</v>
      </c>
      <c r="D8028" s="196">
        <v>0.95</v>
      </c>
      <c r="E8028" s="195" t="s">
        <v>583</v>
      </c>
      <c r="F8028" s="195" t="s">
        <v>430</v>
      </c>
    </row>
    <row r="8029" spans="1:6" x14ac:dyDescent="0.25">
      <c r="A8029" s="189" t="str">
        <f t="shared" si="125"/>
        <v>PG-MD 45900.95S</v>
      </c>
      <c r="B8029" s="195" t="s">
        <v>3790</v>
      </c>
      <c r="C8029" s="196">
        <v>0</v>
      </c>
      <c r="D8029" s="196">
        <v>0.95</v>
      </c>
      <c r="E8029" s="195" t="s">
        <v>583</v>
      </c>
      <c r="F8029" s="195" t="s">
        <v>438</v>
      </c>
    </row>
    <row r="8030" spans="1:6" x14ac:dyDescent="0.25">
      <c r="A8030" s="189" t="str">
        <f t="shared" si="125"/>
        <v>PG-MD 4PA00.51W</v>
      </c>
      <c r="B8030" s="195" t="s">
        <v>3791</v>
      </c>
      <c r="C8030" s="196">
        <v>0</v>
      </c>
      <c r="D8030" s="196">
        <v>0.51</v>
      </c>
      <c r="E8030" s="195" t="s">
        <v>593</v>
      </c>
      <c r="F8030" s="195" t="s">
        <v>432</v>
      </c>
    </row>
    <row r="8031" spans="1:6" x14ac:dyDescent="0.25">
      <c r="A8031" s="189" t="str">
        <f t="shared" si="125"/>
        <v>PG-MD 4PA0.420.51E</v>
      </c>
      <c r="B8031" s="195" t="s">
        <v>3791</v>
      </c>
      <c r="C8031" s="196">
        <v>0.42</v>
      </c>
      <c r="D8031" s="196">
        <v>0.51</v>
      </c>
      <c r="E8031" s="195" t="s">
        <v>598</v>
      </c>
      <c r="F8031" s="195" t="s">
        <v>19</v>
      </c>
    </row>
    <row r="8032" spans="1:6" x14ac:dyDescent="0.25">
      <c r="A8032" s="189" t="str">
        <f t="shared" si="125"/>
        <v>PG-MD 4PB00.03N</v>
      </c>
      <c r="B8032" s="195" t="s">
        <v>3792</v>
      </c>
      <c r="C8032" s="196">
        <v>0</v>
      </c>
      <c r="D8032" s="196">
        <v>0.03</v>
      </c>
      <c r="E8032" s="195" t="s">
        <v>589</v>
      </c>
      <c r="F8032" s="195" t="s">
        <v>430</v>
      </c>
    </row>
    <row r="8033" spans="1:6" x14ac:dyDescent="0.25">
      <c r="A8033" s="189" t="str">
        <f t="shared" si="125"/>
        <v>PG-MD 4PB0.010.03S</v>
      </c>
      <c r="B8033" s="195" t="s">
        <v>3792</v>
      </c>
      <c r="C8033" s="196">
        <v>0.01</v>
      </c>
      <c r="D8033" s="196">
        <v>0.03</v>
      </c>
      <c r="E8033" s="195" t="s">
        <v>595</v>
      </c>
      <c r="F8033" s="195" t="s">
        <v>438</v>
      </c>
    </row>
    <row r="8034" spans="1:6" x14ac:dyDescent="0.25">
      <c r="A8034" s="189" t="str">
        <f t="shared" si="125"/>
        <v>PG-MD 5 RP1-1000.03W</v>
      </c>
      <c r="B8034" s="195" t="s">
        <v>3793</v>
      </c>
      <c r="C8034" s="196">
        <v>0</v>
      </c>
      <c r="D8034" s="196">
        <v>0.03</v>
      </c>
      <c r="E8034" s="195" t="s">
        <v>593</v>
      </c>
      <c r="F8034" s="195" t="s">
        <v>432</v>
      </c>
    </row>
    <row r="8035" spans="1:6" x14ac:dyDescent="0.25">
      <c r="A8035" s="189" t="str">
        <f t="shared" si="125"/>
        <v>PG-MD 5 RP1-1300.22N</v>
      </c>
      <c r="B8035" s="195" t="s">
        <v>3794</v>
      </c>
      <c r="C8035" s="196">
        <v>0</v>
      </c>
      <c r="D8035" s="196">
        <v>0.22</v>
      </c>
      <c r="E8035" s="195" t="s">
        <v>589</v>
      </c>
      <c r="F8035" s="195" t="s">
        <v>430</v>
      </c>
    </row>
    <row r="8036" spans="1:6" x14ac:dyDescent="0.25">
      <c r="A8036" s="189" t="str">
        <f t="shared" si="125"/>
        <v>PG-MD 5 RP1-700.34N</v>
      </c>
      <c r="B8036" s="195" t="s">
        <v>3795</v>
      </c>
      <c r="C8036" s="196">
        <v>0</v>
      </c>
      <c r="D8036" s="196">
        <v>0.34</v>
      </c>
      <c r="E8036" s="195" t="s">
        <v>589</v>
      </c>
      <c r="F8036" s="195" t="s">
        <v>430</v>
      </c>
    </row>
    <row r="8037" spans="1:6" x14ac:dyDescent="0.25">
      <c r="A8037" s="189" t="str">
        <f t="shared" si="125"/>
        <v>PG-MD 5 RP1-900.23N</v>
      </c>
      <c r="B8037" s="195" t="s">
        <v>3796</v>
      </c>
      <c r="C8037" s="196">
        <v>0</v>
      </c>
      <c r="D8037" s="196">
        <v>0.23</v>
      </c>
      <c r="E8037" s="195" t="s">
        <v>589</v>
      </c>
      <c r="F8037" s="195" t="s">
        <v>430</v>
      </c>
    </row>
    <row r="8038" spans="1:6" x14ac:dyDescent="0.25">
      <c r="A8038" s="189" t="str">
        <f t="shared" si="125"/>
        <v>PG-MD 5 RP2-1000.02S</v>
      </c>
      <c r="B8038" s="195" t="s">
        <v>3797</v>
      </c>
      <c r="C8038" s="196">
        <v>0</v>
      </c>
      <c r="D8038" s="196">
        <v>0.02</v>
      </c>
      <c r="E8038" s="195" t="s">
        <v>595</v>
      </c>
      <c r="F8038" s="195" t="s">
        <v>438</v>
      </c>
    </row>
    <row r="8039" spans="1:6" x14ac:dyDescent="0.25">
      <c r="A8039" s="189" t="str">
        <f t="shared" si="125"/>
        <v>PG-MD 5 RP2-1300.34W</v>
      </c>
      <c r="B8039" s="195" t="s">
        <v>3798</v>
      </c>
      <c r="C8039" s="196">
        <v>0</v>
      </c>
      <c r="D8039" s="196">
        <v>0.34</v>
      </c>
      <c r="E8039" s="195" t="s">
        <v>593</v>
      </c>
      <c r="F8039" s="195" t="s">
        <v>432</v>
      </c>
    </row>
    <row r="8040" spans="1:6" x14ac:dyDescent="0.25">
      <c r="A8040" s="189" t="str">
        <f t="shared" si="125"/>
        <v>PG-MD 5 RP2-700.07W</v>
      </c>
      <c r="B8040" s="195" t="s">
        <v>3799</v>
      </c>
      <c r="C8040" s="196">
        <v>0</v>
      </c>
      <c r="D8040" s="196">
        <v>7.0000000000000007E-2</v>
      </c>
      <c r="E8040" s="195" t="s">
        <v>593</v>
      </c>
      <c r="F8040" s="195" t="s">
        <v>432</v>
      </c>
    </row>
    <row r="8041" spans="1:6" x14ac:dyDescent="0.25">
      <c r="A8041" s="189" t="str">
        <f t="shared" si="125"/>
        <v>PG-MD 5 RP3-1000.3W</v>
      </c>
      <c r="B8041" s="195" t="s">
        <v>3800</v>
      </c>
      <c r="C8041" s="196">
        <v>0</v>
      </c>
      <c r="D8041" s="196">
        <v>0.3</v>
      </c>
      <c r="E8041" s="195" t="s">
        <v>593</v>
      </c>
      <c r="F8041" s="195" t="s">
        <v>432</v>
      </c>
    </row>
    <row r="8042" spans="1:6" x14ac:dyDescent="0.25">
      <c r="A8042" s="189" t="str">
        <f t="shared" si="125"/>
        <v>PG-MD 5 RP3-1100.07N</v>
      </c>
      <c r="B8042" s="195" t="s">
        <v>3801</v>
      </c>
      <c r="C8042" s="196">
        <v>0</v>
      </c>
      <c r="D8042" s="196">
        <v>7.0000000000000007E-2</v>
      </c>
      <c r="E8042" s="195" t="s">
        <v>589</v>
      </c>
      <c r="F8042" s="195" t="s">
        <v>430</v>
      </c>
    </row>
    <row r="8043" spans="1:6" x14ac:dyDescent="0.25">
      <c r="A8043" s="189" t="str">
        <f t="shared" si="125"/>
        <v>PG-MD 5 RP3-1300.16S</v>
      </c>
      <c r="B8043" s="195" t="s">
        <v>3802</v>
      </c>
      <c r="C8043" s="196">
        <v>0</v>
      </c>
      <c r="D8043" s="196">
        <v>0.16</v>
      </c>
      <c r="E8043" s="195" t="s">
        <v>595</v>
      </c>
      <c r="F8043" s="195" t="s">
        <v>438</v>
      </c>
    </row>
    <row r="8044" spans="1:6" x14ac:dyDescent="0.25">
      <c r="A8044" s="189" t="str">
        <f t="shared" si="125"/>
        <v>PG-MD 5 RP3-700.34E</v>
      </c>
      <c r="B8044" s="195" t="s">
        <v>3803</v>
      </c>
      <c r="C8044" s="196">
        <v>0</v>
      </c>
      <c r="D8044" s="196">
        <v>0.34</v>
      </c>
      <c r="E8044" s="195" t="s">
        <v>598</v>
      </c>
      <c r="F8044" s="195" t="s">
        <v>19</v>
      </c>
    </row>
    <row r="8045" spans="1:6" x14ac:dyDescent="0.25">
      <c r="A8045" s="189" t="str">
        <f t="shared" si="125"/>
        <v>PG-MD 5 RP3-900.24N</v>
      </c>
      <c r="B8045" s="195" t="s">
        <v>3804</v>
      </c>
      <c r="C8045" s="196">
        <v>0</v>
      </c>
      <c r="D8045" s="196">
        <v>0.24</v>
      </c>
      <c r="E8045" s="195" t="s">
        <v>589</v>
      </c>
      <c r="F8045" s="195" t="s">
        <v>430</v>
      </c>
    </row>
    <row r="8046" spans="1:6" x14ac:dyDescent="0.25">
      <c r="A8046" s="189" t="str">
        <f t="shared" si="125"/>
        <v>PG-MD 5 RP4-1000.43W</v>
      </c>
      <c r="B8046" s="195" t="s">
        <v>3805</v>
      </c>
      <c r="C8046" s="196">
        <v>0</v>
      </c>
      <c r="D8046" s="196">
        <v>0.43</v>
      </c>
      <c r="E8046" s="195" t="s">
        <v>593</v>
      </c>
      <c r="F8046" s="195" t="s">
        <v>432</v>
      </c>
    </row>
    <row r="8047" spans="1:6" x14ac:dyDescent="0.25">
      <c r="A8047" s="189" t="str">
        <f t="shared" si="125"/>
        <v>PG-MD 5 RP4-1100.04N</v>
      </c>
      <c r="B8047" s="195" t="s">
        <v>3806</v>
      </c>
      <c r="C8047" s="196">
        <v>0</v>
      </c>
      <c r="D8047" s="196">
        <v>0.04</v>
      </c>
      <c r="E8047" s="195" t="s">
        <v>589</v>
      </c>
      <c r="F8047" s="195" t="s">
        <v>430</v>
      </c>
    </row>
    <row r="8048" spans="1:6" x14ac:dyDescent="0.25">
      <c r="A8048" s="189" t="str">
        <f t="shared" si="125"/>
        <v>PG-MD 5 RP4-110.040.07N</v>
      </c>
      <c r="B8048" s="195" t="s">
        <v>3806</v>
      </c>
      <c r="C8048" s="196">
        <v>0.04</v>
      </c>
      <c r="D8048" s="196">
        <v>7.0000000000000007E-2</v>
      </c>
      <c r="E8048" s="195" t="s">
        <v>589</v>
      </c>
      <c r="F8048" s="195" t="s">
        <v>430</v>
      </c>
    </row>
    <row r="8049" spans="1:6" x14ac:dyDescent="0.25">
      <c r="A8049" s="189" t="str">
        <f t="shared" si="125"/>
        <v>PG-MD 5 RP4-1300.23N</v>
      </c>
      <c r="B8049" s="195" t="s">
        <v>3807</v>
      </c>
      <c r="C8049" s="196">
        <v>0</v>
      </c>
      <c r="D8049" s="196">
        <v>0.23</v>
      </c>
      <c r="E8049" s="195" t="s">
        <v>589</v>
      </c>
      <c r="F8049" s="195" t="s">
        <v>430</v>
      </c>
    </row>
    <row r="8050" spans="1:6" x14ac:dyDescent="0.25">
      <c r="A8050" s="189" t="str">
        <f t="shared" si="125"/>
        <v>PG-MD 5 RP4-700.08N</v>
      </c>
      <c r="B8050" s="195" t="s">
        <v>3808</v>
      </c>
      <c r="C8050" s="196">
        <v>0</v>
      </c>
      <c r="D8050" s="196">
        <v>0.08</v>
      </c>
      <c r="E8050" s="195" t="s">
        <v>589</v>
      </c>
      <c r="F8050" s="195" t="s">
        <v>430</v>
      </c>
    </row>
    <row r="8051" spans="1:6" x14ac:dyDescent="0.25">
      <c r="A8051" s="189" t="str">
        <f t="shared" si="125"/>
        <v>PG-MD 5 RP4-900.02N</v>
      </c>
      <c r="B8051" s="195" t="s">
        <v>3809</v>
      </c>
      <c r="C8051" s="196">
        <v>0</v>
      </c>
      <c r="D8051" s="196">
        <v>0.02</v>
      </c>
      <c r="E8051" s="195" t="s">
        <v>589</v>
      </c>
      <c r="F8051" s="195" t="s">
        <v>430</v>
      </c>
    </row>
    <row r="8052" spans="1:6" x14ac:dyDescent="0.25">
      <c r="A8052" s="189" t="str">
        <f t="shared" si="125"/>
        <v>PG-MD 5 RP5-1000.45E</v>
      </c>
      <c r="B8052" s="195" t="s">
        <v>3810</v>
      </c>
      <c r="C8052" s="196">
        <v>0</v>
      </c>
      <c r="D8052" s="196">
        <v>0.45</v>
      </c>
      <c r="E8052" s="195" t="s">
        <v>598</v>
      </c>
      <c r="F8052" s="195" t="s">
        <v>19</v>
      </c>
    </row>
    <row r="8053" spans="1:6" x14ac:dyDescent="0.25">
      <c r="A8053" s="189" t="str">
        <f t="shared" si="125"/>
        <v>PG-MD 5 RP5-1300.02E</v>
      </c>
      <c r="B8053" s="195" t="s">
        <v>3811</v>
      </c>
      <c r="C8053" s="196">
        <v>0</v>
      </c>
      <c r="D8053" s="196">
        <v>0.02</v>
      </c>
      <c r="E8053" s="195" t="s">
        <v>598</v>
      </c>
      <c r="F8053" s="195" t="s">
        <v>19</v>
      </c>
    </row>
    <row r="8054" spans="1:6" x14ac:dyDescent="0.25">
      <c r="A8054" s="189" t="str">
        <f t="shared" si="125"/>
        <v>PG-MD 5 RP5-700.33S</v>
      </c>
      <c r="B8054" s="195" t="s">
        <v>3812</v>
      </c>
      <c r="C8054" s="196">
        <v>0</v>
      </c>
      <c r="D8054" s="196">
        <v>0.33</v>
      </c>
      <c r="E8054" s="195" t="s">
        <v>595</v>
      </c>
      <c r="F8054" s="195" t="s">
        <v>438</v>
      </c>
    </row>
    <row r="8055" spans="1:6" x14ac:dyDescent="0.25">
      <c r="A8055" s="189" t="str">
        <f t="shared" si="125"/>
        <v>PG-MD 5 RP5-900.32N</v>
      </c>
      <c r="B8055" s="195" t="s">
        <v>3813</v>
      </c>
      <c r="C8055" s="196">
        <v>0</v>
      </c>
      <c r="D8055" s="196">
        <v>0.32</v>
      </c>
      <c r="E8055" s="195" t="s">
        <v>589</v>
      </c>
      <c r="F8055" s="195" t="s">
        <v>430</v>
      </c>
    </row>
    <row r="8056" spans="1:6" x14ac:dyDescent="0.25">
      <c r="A8056" s="189" t="str">
        <f t="shared" si="125"/>
        <v>PG-MD 5 RP6-1000.03N</v>
      </c>
      <c r="B8056" s="195" t="s">
        <v>3814</v>
      </c>
      <c r="C8056" s="196">
        <v>0</v>
      </c>
      <c r="D8056" s="196">
        <v>0.03</v>
      </c>
      <c r="E8056" s="195" t="s">
        <v>589</v>
      </c>
      <c r="F8056" s="195" t="s">
        <v>430</v>
      </c>
    </row>
    <row r="8057" spans="1:6" x14ac:dyDescent="0.25">
      <c r="A8057" s="189" t="str">
        <f t="shared" si="125"/>
        <v>PG-MD 5 RP6-1300.04W</v>
      </c>
      <c r="B8057" s="195" t="s">
        <v>3815</v>
      </c>
      <c r="C8057" s="196">
        <v>0</v>
      </c>
      <c r="D8057" s="196">
        <v>0.04</v>
      </c>
      <c r="E8057" s="195" t="s">
        <v>593</v>
      </c>
      <c r="F8057" s="195" t="s">
        <v>432</v>
      </c>
    </row>
    <row r="8058" spans="1:6" x14ac:dyDescent="0.25">
      <c r="A8058" s="189" t="str">
        <f t="shared" si="125"/>
        <v>PG-MD 5 RP6-700.05E</v>
      </c>
      <c r="B8058" s="195" t="s">
        <v>3816</v>
      </c>
      <c r="C8058" s="196">
        <v>0</v>
      </c>
      <c r="D8058" s="196">
        <v>0.05</v>
      </c>
      <c r="E8058" s="195" t="s">
        <v>598</v>
      </c>
      <c r="F8058" s="195" t="s">
        <v>19</v>
      </c>
    </row>
    <row r="8059" spans="1:6" x14ac:dyDescent="0.25">
      <c r="A8059" s="189" t="str">
        <f t="shared" si="125"/>
        <v>PG-MD 5 RP6-800.14S</v>
      </c>
      <c r="B8059" s="195" t="s">
        <v>3817</v>
      </c>
      <c r="C8059" s="196">
        <v>0</v>
      </c>
      <c r="D8059" s="196">
        <v>0.14000000000000001</v>
      </c>
      <c r="E8059" s="195" t="s">
        <v>595</v>
      </c>
      <c r="F8059" s="195" t="s">
        <v>438</v>
      </c>
    </row>
    <row r="8060" spans="1:6" x14ac:dyDescent="0.25">
      <c r="A8060" s="189" t="str">
        <f t="shared" si="125"/>
        <v>PG-MD 5 RP6-900.02N</v>
      </c>
      <c r="B8060" s="195" t="s">
        <v>3818</v>
      </c>
      <c r="C8060" s="196">
        <v>0</v>
      </c>
      <c r="D8060" s="196">
        <v>0.02</v>
      </c>
      <c r="E8060" s="195" t="s">
        <v>589</v>
      </c>
      <c r="F8060" s="195" t="s">
        <v>430</v>
      </c>
    </row>
    <row r="8061" spans="1:6" x14ac:dyDescent="0.25">
      <c r="A8061" s="189" t="str">
        <f t="shared" si="125"/>
        <v>PG-MD 5 RP7-1000.4E</v>
      </c>
      <c r="B8061" s="195" t="s">
        <v>3819</v>
      </c>
      <c r="C8061" s="196">
        <v>0</v>
      </c>
      <c r="D8061" s="196">
        <v>0.4</v>
      </c>
      <c r="E8061" s="195" t="s">
        <v>598</v>
      </c>
      <c r="F8061" s="195" t="s">
        <v>19</v>
      </c>
    </row>
    <row r="8062" spans="1:6" x14ac:dyDescent="0.25">
      <c r="A8062" s="189" t="str">
        <f t="shared" si="125"/>
        <v>PG-MD 5 RP7-1300.17N</v>
      </c>
      <c r="B8062" s="195" t="s">
        <v>3820</v>
      </c>
      <c r="C8062" s="196">
        <v>0</v>
      </c>
      <c r="D8062" s="196">
        <v>0.17</v>
      </c>
      <c r="E8062" s="195" t="s">
        <v>589</v>
      </c>
      <c r="F8062" s="195" t="s">
        <v>430</v>
      </c>
    </row>
    <row r="8063" spans="1:6" x14ac:dyDescent="0.25">
      <c r="A8063" s="189" t="str">
        <f t="shared" si="125"/>
        <v>PG-MD 5 RP7-700.31S</v>
      </c>
      <c r="B8063" s="195" t="s">
        <v>3821</v>
      </c>
      <c r="C8063" s="196">
        <v>0</v>
      </c>
      <c r="D8063" s="196">
        <v>0.31</v>
      </c>
      <c r="E8063" s="195" t="s">
        <v>595</v>
      </c>
      <c r="F8063" s="195" t="s">
        <v>438</v>
      </c>
    </row>
    <row r="8064" spans="1:6" x14ac:dyDescent="0.25">
      <c r="A8064" s="189" t="str">
        <f t="shared" si="125"/>
        <v>PG-MD 5 RP7-900.34N</v>
      </c>
      <c r="B8064" s="195" t="s">
        <v>3822</v>
      </c>
      <c r="C8064" s="196">
        <v>0</v>
      </c>
      <c r="D8064" s="196">
        <v>0.34</v>
      </c>
      <c r="E8064" s="195" t="s">
        <v>589</v>
      </c>
      <c r="F8064" s="195" t="s">
        <v>430</v>
      </c>
    </row>
    <row r="8065" spans="1:6" x14ac:dyDescent="0.25">
      <c r="A8065" s="189" t="str">
        <f t="shared" si="125"/>
        <v>PG-MD 5 RP8-1000.03S</v>
      </c>
      <c r="B8065" s="195" t="s">
        <v>3823</v>
      </c>
      <c r="C8065" s="196">
        <v>0</v>
      </c>
      <c r="D8065" s="196">
        <v>0.03</v>
      </c>
      <c r="E8065" s="195" t="s">
        <v>595</v>
      </c>
      <c r="F8065" s="195" t="s">
        <v>438</v>
      </c>
    </row>
    <row r="8066" spans="1:6" x14ac:dyDescent="0.25">
      <c r="A8066" s="189" t="str">
        <f t="shared" si="125"/>
        <v>PG-MD 5 RP8-1300.04E</v>
      </c>
      <c r="B8066" s="195" t="s">
        <v>3824</v>
      </c>
      <c r="C8066" s="196">
        <v>0</v>
      </c>
      <c r="D8066" s="196">
        <v>0.04</v>
      </c>
      <c r="E8066" s="195" t="s">
        <v>598</v>
      </c>
      <c r="F8066" s="195" t="s">
        <v>19</v>
      </c>
    </row>
    <row r="8067" spans="1:6" x14ac:dyDescent="0.25">
      <c r="A8067" s="189" t="str">
        <f t="shared" ref="A8067:A8130" si="126">B8067&amp;C8067&amp;D8067&amp;F8067</f>
        <v>PG-MD 5 RP8-700.09S</v>
      </c>
      <c r="B8067" s="195" t="s">
        <v>3825</v>
      </c>
      <c r="C8067" s="196">
        <v>0</v>
      </c>
      <c r="D8067" s="196">
        <v>0.09</v>
      </c>
      <c r="E8067" s="195" t="s">
        <v>595</v>
      </c>
      <c r="F8067" s="195" t="s">
        <v>438</v>
      </c>
    </row>
    <row r="8068" spans="1:6" x14ac:dyDescent="0.25">
      <c r="A8068" s="189" t="str">
        <f t="shared" si="126"/>
        <v>PG-MD 5 RP8-800.07S</v>
      </c>
      <c r="B8068" s="195" t="s">
        <v>3826</v>
      </c>
      <c r="C8068" s="196">
        <v>0</v>
      </c>
      <c r="D8068" s="196">
        <v>7.0000000000000007E-2</v>
      </c>
      <c r="E8068" s="195" t="s">
        <v>595</v>
      </c>
      <c r="F8068" s="195" t="s">
        <v>438</v>
      </c>
    </row>
    <row r="8069" spans="1:6" x14ac:dyDescent="0.25">
      <c r="A8069" s="189" t="str">
        <f t="shared" si="126"/>
        <v>PG-MD 5 RP8-900.02N</v>
      </c>
      <c r="B8069" s="195" t="s">
        <v>3827</v>
      </c>
      <c r="C8069" s="196">
        <v>0</v>
      </c>
      <c r="D8069" s="196">
        <v>0.02</v>
      </c>
      <c r="E8069" s="195" t="s">
        <v>589</v>
      </c>
      <c r="F8069" s="195" t="s">
        <v>430</v>
      </c>
    </row>
    <row r="8070" spans="1:6" x14ac:dyDescent="0.25">
      <c r="A8070" s="189" t="str">
        <f t="shared" si="126"/>
        <v>PG-MD 5 RP9-1000.12S</v>
      </c>
      <c r="B8070" s="195" t="s">
        <v>3828</v>
      </c>
      <c r="C8070" s="196">
        <v>0</v>
      </c>
      <c r="D8070" s="196">
        <v>0.12</v>
      </c>
      <c r="E8070" s="195" t="s">
        <v>595</v>
      </c>
      <c r="F8070" s="195" t="s">
        <v>438</v>
      </c>
    </row>
    <row r="8071" spans="1:6" x14ac:dyDescent="0.25">
      <c r="A8071" s="189" t="str">
        <f t="shared" si="126"/>
        <v>PG-MD 5 RP9-900.09N</v>
      </c>
      <c r="B8071" s="195" t="s">
        <v>3829</v>
      </c>
      <c r="C8071" s="196">
        <v>0</v>
      </c>
      <c r="D8071" s="196">
        <v>0.09</v>
      </c>
      <c r="E8071" s="195" t="s">
        <v>589</v>
      </c>
      <c r="F8071" s="195" t="s">
        <v>430</v>
      </c>
    </row>
    <row r="8072" spans="1:6" x14ac:dyDescent="0.25">
      <c r="A8072" s="189" t="str">
        <f t="shared" si="126"/>
        <v>PG-MD 50101.58E</v>
      </c>
      <c r="B8072" s="195" t="s">
        <v>3830</v>
      </c>
      <c r="C8072" s="196">
        <v>0</v>
      </c>
      <c r="D8072" s="196">
        <v>1.58</v>
      </c>
      <c r="E8072" s="195" t="s">
        <v>598</v>
      </c>
      <c r="F8072" s="195" t="s">
        <v>19</v>
      </c>
    </row>
    <row r="8073" spans="1:6" x14ac:dyDescent="0.25">
      <c r="A8073" s="189" t="str">
        <f t="shared" si="126"/>
        <v>PG-MD 5010.080.9W</v>
      </c>
      <c r="B8073" s="195" t="s">
        <v>3830</v>
      </c>
      <c r="C8073" s="196">
        <v>0.08</v>
      </c>
      <c r="D8073" s="196">
        <v>0.9</v>
      </c>
      <c r="E8073" s="195" t="s">
        <v>593</v>
      </c>
      <c r="F8073" s="195" t="s">
        <v>432</v>
      </c>
    </row>
    <row r="8074" spans="1:6" x14ac:dyDescent="0.25">
      <c r="A8074" s="189" t="str">
        <f t="shared" si="126"/>
        <v>PG-MD 5010.91.13W</v>
      </c>
      <c r="B8074" s="195" t="s">
        <v>3830</v>
      </c>
      <c r="C8074" s="196">
        <v>0.9</v>
      </c>
      <c r="D8074" s="196">
        <v>1.1299999999999999</v>
      </c>
      <c r="E8074" s="195" t="s">
        <v>593</v>
      </c>
      <c r="F8074" s="195" t="s">
        <v>432</v>
      </c>
    </row>
    <row r="8075" spans="1:6" x14ac:dyDescent="0.25">
      <c r="A8075" s="189" t="str">
        <f t="shared" si="126"/>
        <v>PG-MD 5011.131.68W</v>
      </c>
      <c r="B8075" s="195" t="s">
        <v>3830</v>
      </c>
      <c r="C8075" s="196">
        <v>1.1299999999999999</v>
      </c>
      <c r="D8075" s="196">
        <v>1.68</v>
      </c>
      <c r="E8075" s="195" t="s">
        <v>593</v>
      </c>
      <c r="F8075" s="195" t="s">
        <v>432</v>
      </c>
    </row>
    <row r="8076" spans="1:6" x14ac:dyDescent="0.25">
      <c r="A8076" s="189" t="str">
        <f t="shared" si="126"/>
        <v>PG-MD 5011.581.58E</v>
      </c>
      <c r="B8076" s="195" t="s">
        <v>3830</v>
      </c>
      <c r="C8076" s="196">
        <v>1.58</v>
      </c>
      <c r="D8076" s="196">
        <v>1.58</v>
      </c>
      <c r="E8076" s="195" t="s">
        <v>598</v>
      </c>
      <c r="F8076" s="195" t="s">
        <v>19</v>
      </c>
    </row>
    <row r="8077" spans="1:6" x14ac:dyDescent="0.25">
      <c r="A8077" s="189" t="str">
        <f t="shared" si="126"/>
        <v>PG-MD 5011.581.68E</v>
      </c>
      <c r="B8077" s="195" t="s">
        <v>3830</v>
      </c>
      <c r="C8077" s="196">
        <v>1.58</v>
      </c>
      <c r="D8077" s="196">
        <v>1.68</v>
      </c>
      <c r="E8077" s="195" t="s">
        <v>598</v>
      </c>
      <c r="F8077" s="195" t="s">
        <v>19</v>
      </c>
    </row>
    <row r="8078" spans="1:6" x14ac:dyDescent="0.25">
      <c r="A8078" s="189" t="str">
        <f t="shared" si="126"/>
        <v>PG-MD 56400.98W</v>
      </c>
      <c r="B8078" s="195" t="s">
        <v>474</v>
      </c>
      <c r="C8078" s="196">
        <v>0</v>
      </c>
      <c r="D8078" s="196">
        <v>0.98</v>
      </c>
      <c r="E8078" s="195" t="s">
        <v>593</v>
      </c>
      <c r="F8078" s="195" t="s">
        <v>432</v>
      </c>
    </row>
    <row r="8079" spans="1:6" x14ac:dyDescent="0.25">
      <c r="A8079" s="189" t="str">
        <f t="shared" si="126"/>
        <v>PG-MD 5640.310.36E</v>
      </c>
      <c r="B8079" s="195" t="s">
        <v>474</v>
      </c>
      <c r="C8079" s="196">
        <v>0.31</v>
      </c>
      <c r="D8079" s="196">
        <v>0.36</v>
      </c>
      <c r="E8079" s="195" t="s">
        <v>598</v>
      </c>
      <c r="F8079" s="195" t="s">
        <v>19</v>
      </c>
    </row>
    <row r="8080" spans="1:6" x14ac:dyDescent="0.25">
      <c r="A8080" s="189" t="str">
        <f t="shared" si="126"/>
        <v>PG-MD 5640.360.98E</v>
      </c>
      <c r="B8080" s="195" t="s">
        <v>474</v>
      </c>
      <c r="C8080" s="196">
        <v>0.36</v>
      </c>
      <c r="D8080" s="196">
        <v>0.98</v>
      </c>
      <c r="E8080" s="195" t="s">
        <v>598</v>
      </c>
      <c r="F8080" s="195" t="s">
        <v>19</v>
      </c>
    </row>
    <row r="8081" spans="1:6" x14ac:dyDescent="0.25">
      <c r="A8081" s="189" t="str">
        <f t="shared" si="126"/>
        <v>PG-MD 5640.981.3E</v>
      </c>
      <c r="B8081" s="195" t="s">
        <v>474</v>
      </c>
      <c r="C8081" s="196">
        <v>0.98</v>
      </c>
      <c r="D8081" s="196">
        <v>1.3</v>
      </c>
      <c r="E8081" s="195" t="s">
        <v>583</v>
      </c>
      <c r="F8081" s="195" t="s">
        <v>19</v>
      </c>
    </row>
    <row r="8082" spans="1:6" x14ac:dyDescent="0.25">
      <c r="A8082" s="189" t="str">
        <f t="shared" si="126"/>
        <v>PG-MD 5640.981.3W</v>
      </c>
      <c r="B8082" s="195" t="s">
        <v>474</v>
      </c>
      <c r="C8082" s="196">
        <v>0.98</v>
      </c>
      <c r="D8082" s="196">
        <v>1.3</v>
      </c>
      <c r="E8082" s="195" t="s">
        <v>583</v>
      </c>
      <c r="F8082" s="195" t="s">
        <v>432</v>
      </c>
    </row>
    <row r="8083" spans="1:6" x14ac:dyDescent="0.25">
      <c r="A8083" s="189" t="str">
        <f t="shared" si="126"/>
        <v>PG-MD 5641.32.8E</v>
      </c>
      <c r="B8083" s="195" t="s">
        <v>474</v>
      </c>
      <c r="C8083" s="196">
        <v>1.3</v>
      </c>
      <c r="D8083" s="196">
        <v>2.8</v>
      </c>
      <c r="E8083" s="195" t="s">
        <v>583</v>
      </c>
      <c r="F8083" s="195" t="s">
        <v>19</v>
      </c>
    </row>
    <row r="8084" spans="1:6" x14ac:dyDescent="0.25">
      <c r="A8084" s="189" t="str">
        <f t="shared" si="126"/>
        <v>PG-MD 5641.32.8W</v>
      </c>
      <c r="B8084" s="195" t="s">
        <v>474</v>
      </c>
      <c r="C8084" s="196">
        <v>1.3</v>
      </c>
      <c r="D8084" s="196">
        <v>2.8</v>
      </c>
      <c r="E8084" s="195" t="s">
        <v>583</v>
      </c>
      <c r="F8084" s="195" t="s">
        <v>432</v>
      </c>
    </row>
    <row r="8085" spans="1:6" x14ac:dyDescent="0.25">
      <c r="A8085" s="189" t="str">
        <f t="shared" si="126"/>
        <v>PG-MD 5643.045.59E</v>
      </c>
      <c r="B8085" s="195" t="s">
        <v>474</v>
      </c>
      <c r="C8085" s="196">
        <v>3.04</v>
      </c>
      <c r="D8085" s="196">
        <v>5.59</v>
      </c>
      <c r="E8085" s="195" t="s">
        <v>583</v>
      </c>
      <c r="F8085" s="195" t="s">
        <v>19</v>
      </c>
    </row>
    <row r="8086" spans="1:6" x14ac:dyDescent="0.25">
      <c r="A8086" s="189" t="str">
        <f t="shared" si="126"/>
        <v>PG-MD 5643.045.59W</v>
      </c>
      <c r="B8086" s="195" t="s">
        <v>474</v>
      </c>
      <c r="C8086" s="196">
        <v>3.04</v>
      </c>
      <c r="D8086" s="196">
        <v>5.59</v>
      </c>
      <c r="E8086" s="195" t="s">
        <v>583</v>
      </c>
      <c r="F8086" s="195" t="s">
        <v>432</v>
      </c>
    </row>
    <row r="8087" spans="1:6" x14ac:dyDescent="0.25">
      <c r="A8087" s="189" t="str">
        <f t="shared" si="126"/>
        <v>PG-MD 5645.595.71E</v>
      </c>
      <c r="B8087" s="195" t="s">
        <v>474</v>
      </c>
      <c r="C8087" s="196">
        <v>5.59</v>
      </c>
      <c r="D8087" s="196">
        <v>5.71</v>
      </c>
      <c r="E8087" s="195" t="s">
        <v>583</v>
      </c>
      <c r="F8087" s="195" t="s">
        <v>19</v>
      </c>
    </row>
    <row r="8088" spans="1:6" x14ac:dyDescent="0.25">
      <c r="A8088" s="189" t="str">
        <f t="shared" si="126"/>
        <v>PG-MD 5645.595.71W</v>
      </c>
      <c r="B8088" s="195" t="s">
        <v>474</v>
      </c>
      <c r="C8088" s="196">
        <v>5.59</v>
      </c>
      <c r="D8088" s="196">
        <v>5.71</v>
      </c>
      <c r="E8088" s="195" t="s">
        <v>583</v>
      </c>
      <c r="F8088" s="195" t="s">
        <v>432</v>
      </c>
    </row>
    <row r="8089" spans="1:6" x14ac:dyDescent="0.25">
      <c r="A8089" s="189" t="str">
        <f t="shared" si="126"/>
        <v>PG-MD 5645.716.35E</v>
      </c>
      <c r="B8089" s="195" t="s">
        <v>474</v>
      </c>
      <c r="C8089" s="196">
        <v>5.71</v>
      </c>
      <c r="D8089" s="196">
        <v>6.35</v>
      </c>
      <c r="E8089" s="195" t="s">
        <v>583</v>
      </c>
      <c r="F8089" s="195" t="s">
        <v>19</v>
      </c>
    </row>
    <row r="8090" spans="1:6" x14ac:dyDescent="0.25">
      <c r="A8090" s="189" t="str">
        <f t="shared" si="126"/>
        <v>PG-MD 5645.716.35W</v>
      </c>
      <c r="B8090" s="195" t="s">
        <v>474</v>
      </c>
      <c r="C8090" s="196">
        <v>5.71</v>
      </c>
      <c r="D8090" s="196">
        <v>6.35</v>
      </c>
      <c r="E8090" s="195" t="s">
        <v>583</v>
      </c>
      <c r="F8090" s="195" t="s">
        <v>432</v>
      </c>
    </row>
    <row r="8091" spans="1:6" x14ac:dyDescent="0.25">
      <c r="A8091" s="189" t="str">
        <f t="shared" si="126"/>
        <v>PG-MD 5646.356.73E</v>
      </c>
      <c r="B8091" s="195" t="s">
        <v>474</v>
      </c>
      <c r="C8091" s="196">
        <v>6.35</v>
      </c>
      <c r="D8091" s="196">
        <v>6.73</v>
      </c>
      <c r="E8091" s="195" t="s">
        <v>583</v>
      </c>
      <c r="F8091" s="195" t="s">
        <v>19</v>
      </c>
    </row>
    <row r="8092" spans="1:6" x14ac:dyDescent="0.25">
      <c r="A8092" s="189" t="str">
        <f t="shared" si="126"/>
        <v>PG-MD 5646.356.73W</v>
      </c>
      <c r="B8092" s="195" t="s">
        <v>474</v>
      </c>
      <c r="C8092" s="196">
        <v>6.35</v>
      </c>
      <c r="D8092" s="196">
        <v>6.73</v>
      </c>
      <c r="E8092" s="195" t="s">
        <v>583</v>
      </c>
      <c r="F8092" s="195" t="s">
        <v>432</v>
      </c>
    </row>
    <row r="8093" spans="1:6" x14ac:dyDescent="0.25">
      <c r="A8093" s="189" t="str">
        <f t="shared" si="126"/>
        <v>PG-MD 564A00.06N</v>
      </c>
      <c r="B8093" s="195" t="s">
        <v>3831</v>
      </c>
      <c r="C8093" s="196">
        <v>0</v>
      </c>
      <c r="D8093" s="196">
        <v>0.06</v>
      </c>
      <c r="E8093" s="195" t="s">
        <v>589</v>
      </c>
      <c r="F8093" s="195" t="s">
        <v>430</v>
      </c>
    </row>
    <row r="8094" spans="1:6" x14ac:dyDescent="0.25">
      <c r="A8094" s="189" t="str">
        <f t="shared" si="126"/>
        <v>PG-MD 564A00.06S</v>
      </c>
      <c r="B8094" s="195" t="s">
        <v>3831</v>
      </c>
      <c r="C8094" s="196">
        <v>0</v>
      </c>
      <c r="D8094" s="196">
        <v>0.06</v>
      </c>
      <c r="E8094" s="195" t="s">
        <v>595</v>
      </c>
      <c r="F8094" s="195" t="s">
        <v>438</v>
      </c>
    </row>
    <row r="8095" spans="1:6" x14ac:dyDescent="0.25">
      <c r="A8095" s="189" t="str">
        <f t="shared" si="126"/>
        <v>PG-MD 564B00.04N</v>
      </c>
      <c r="B8095" s="195" t="s">
        <v>3832</v>
      </c>
      <c r="C8095" s="196">
        <v>0</v>
      </c>
      <c r="D8095" s="196">
        <v>0.04</v>
      </c>
      <c r="E8095" s="195" t="s">
        <v>589</v>
      </c>
      <c r="F8095" s="195" t="s">
        <v>430</v>
      </c>
    </row>
    <row r="8096" spans="1:6" x14ac:dyDescent="0.25">
      <c r="A8096" s="189" t="str">
        <f t="shared" si="126"/>
        <v>PG-MD 564B00.04S</v>
      </c>
      <c r="B8096" s="195" t="s">
        <v>3832</v>
      </c>
      <c r="C8096" s="196">
        <v>0</v>
      </c>
      <c r="D8096" s="196">
        <v>0.04</v>
      </c>
      <c r="E8096" s="195" t="s">
        <v>595</v>
      </c>
      <c r="F8096" s="195" t="s">
        <v>438</v>
      </c>
    </row>
    <row r="8097" spans="1:6" x14ac:dyDescent="0.25">
      <c r="A8097" s="189" t="str">
        <f t="shared" si="126"/>
        <v>PG-MD 564C00.02E</v>
      </c>
      <c r="B8097" s="195" t="s">
        <v>3833</v>
      </c>
      <c r="C8097" s="196">
        <v>0</v>
      </c>
      <c r="D8097" s="196">
        <v>0.02</v>
      </c>
      <c r="E8097" s="195" t="s">
        <v>598</v>
      </c>
      <c r="F8097" s="195" t="s">
        <v>19</v>
      </c>
    </row>
    <row r="8098" spans="1:6" x14ac:dyDescent="0.25">
      <c r="A8098" s="189" t="str">
        <f t="shared" si="126"/>
        <v>PG-MD 564C00.02W</v>
      </c>
      <c r="B8098" s="195" t="s">
        <v>3833</v>
      </c>
      <c r="C8098" s="196">
        <v>0</v>
      </c>
      <c r="D8098" s="196">
        <v>0.02</v>
      </c>
      <c r="E8098" s="195" t="s">
        <v>593</v>
      </c>
      <c r="F8098" s="195" t="s">
        <v>432</v>
      </c>
    </row>
    <row r="8099" spans="1:6" x14ac:dyDescent="0.25">
      <c r="A8099" s="189" t="str">
        <f t="shared" si="126"/>
        <v>PG-MD 5L00.13E</v>
      </c>
      <c r="B8099" s="195" t="s">
        <v>3834</v>
      </c>
      <c r="C8099" s="196">
        <v>0</v>
      </c>
      <c r="D8099" s="196">
        <v>0.13</v>
      </c>
      <c r="E8099" s="195" t="s">
        <v>583</v>
      </c>
      <c r="F8099" s="195" t="s">
        <v>19</v>
      </c>
    </row>
    <row r="8100" spans="1:6" x14ac:dyDescent="0.25">
      <c r="A8100" s="189" t="str">
        <f t="shared" si="126"/>
        <v>PG-MD 5L00.13W</v>
      </c>
      <c r="B8100" s="195" t="s">
        <v>3834</v>
      </c>
      <c r="C8100" s="196">
        <v>0</v>
      </c>
      <c r="D8100" s="196">
        <v>0.13</v>
      </c>
      <c r="E8100" s="195" t="s">
        <v>583</v>
      </c>
      <c r="F8100" s="195" t="s">
        <v>432</v>
      </c>
    </row>
    <row r="8101" spans="1:6" x14ac:dyDescent="0.25">
      <c r="A8101" s="189" t="str">
        <f t="shared" si="126"/>
        <v>PG-MD 5L0.130.23E</v>
      </c>
      <c r="B8101" s="195" t="s">
        <v>3834</v>
      </c>
      <c r="C8101" s="196">
        <v>0.13</v>
      </c>
      <c r="D8101" s="196">
        <v>0.23</v>
      </c>
      <c r="E8101" s="195" t="s">
        <v>583</v>
      </c>
      <c r="F8101" s="195" t="s">
        <v>19</v>
      </c>
    </row>
    <row r="8102" spans="1:6" x14ac:dyDescent="0.25">
      <c r="A8102" s="189" t="str">
        <f t="shared" si="126"/>
        <v>PG-MD 5L0.130.23W</v>
      </c>
      <c r="B8102" s="195" t="s">
        <v>3834</v>
      </c>
      <c r="C8102" s="196">
        <v>0.13</v>
      </c>
      <c r="D8102" s="196">
        <v>0.23</v>
      </c>
      <c r="E8102" s="195" t="s">
        <v>583</v>
      </c>
      <c r="F8102" s="195" t="s">
        <v>432</v>
      </c>
    </row>
    <row r="8103" spans="1:6" x14ac:dyDescent="0.25">
      <c r="A8103" s="189" t="str">
        <f t="shared" si="126"/>
        <v>PG-MD 5N00.14S</v>
      </c>
      <c r="B8103" s="195" t="s">
        <v>3835</v>
      </c>
      <c r="C8103" s="196">
        <v>0</v>
      </c>
      <c r="D8103" s="196">
        <v>0.14000000000000001</v>
      </c>
      <c r="E8103" s="195" t="s">
        <v>595</v>
      </c>
      <c r="F8103" s="195" t="s">
        <v>438</v>
      </c>
    </row>
    <row r="8104" spans="1:6" x14ac:dyDescent="0.25">
      <c r="A8104" s="189" t="str">
        <f t="shared" si="126"/>
        <v>PG-MD 5P00.2N</v>
      </c>
      <c r="B8104" s="195" t="s">
        <v>3836</v>
      </c>
      <c r="C8104" s="196">
        <v>0</v>
      </c>
      <c r="D8104" s="196">
        <v>0.2</v>
      </c>
      <c r="E8104" s="195" t="s">
        <v>583</v>
      </c>
      <c r="F8104" s="195" t="s">
        <v>430</v>
      </c>
    </row>
    <row r="8105" spans="1:6" x14ac:dyDescent="0.25">
      <c r="A8105" s="189" t="str">
        <f t="shared" si="126"/>
        <v>PG-MD 5P00.2S</v>
      </c>
      <c r="B8105" s="195" t="s">
        <v>3836</v>
      </c>
      <c r="C8105" s="196">
        <v>0</v>
      </c>
      <c r="D8105" s="196">
        <v>0.2</v>
      </c>
      <c r="E8105" s="195" t="s">
        <v>583</v>
      </c>
      <c r="F8105" s="195" t="s">
        <v>438</v>
      </c>
    </row>
    <row r="8106" spans="1:6" x14ac:dyDescent="0.25">
      <c r="A8106" s="189" t="str">
        <f t="shared" si="126"/>
        <v>PG-MD 5Q00.16N</v>
      </c>
      <c r="B8106" s="195" t="s">
        <v>3837</v>
      </c>
      <c r="C8106" s="196">
        <v>0</v>
      </c>
      <c r="D8106" s="196">
        <v>0.16</v>
      </c>
      <c r="E8106" s="195" t="s">
        <v>583</v>
      </c>
      <c r="F8106" s="195" t="s">
        <v>430</v>
      </c>
    </row>
    <row r="8107" spans="1:6" x14ac:dyDescent="0.25">
      <c r="A8107" s="189" t="str">
        <f t="shared" si="126"/>
        <v>PG-MD 5Q00.16S</v>
      </c>
      <c r="B8107" s="195" t="s">
        <v>3837</v>
      </c>
      <c r="C8107" s="196">
        <v>0</v>
      </c>
      <c r="D8107" s="196">
        <v>0.16</v>
      </c>
      <c r="E8107" s="195" t="s">
        <v>583</v>
      </c>
      <c r="F8107" s="195" t="s">
        <v>438</v>
      </c>
    </row>
    <row r="8108" spans="1:6" x14ac:dyDescent="0.25">
      <c r="A8108" s="189" t="str">
        <f t="shared" si="126"/>
        <v>PG-MD 5R00.11E</v>
      </c>
      <c r="B8108" s="195" t="s">
        <v>3838</v>
      </c>
      <c r="C8108" s="196">
        <v>0</v>
      </c>
      <c r="D8108" s="196">
        <v>0.11</v>
      </c>
      <c r="E8108" s="195" t="s">
        <v>583</v>
      </c>
      <c r="F8108" s="195" t="s">
        <v>19</v>
      </c>
    </row>
    <row r="8109" spans="1:6" x14ac:dyDescent="0.25">
      <c r="A8109" s="189" t="str">
        <f t="shared" si="126"/>
        <v>PG-MD 5R00.11W</v>
      </c>
      <c r="B8109" s="195" t="s">
        <v>3838</v>
      </c>
      <c r="C8109" s="196">
        <v>0</v>
      </c>
      <c r="D8109" s="196">
        <v>0.11</v>
      </c>
      <c r="E8109" s="195" t="s">
        <v>583</v>
      </c>
      <c r="F8109" s="195" t="s">
        <v>432</v>
      </c>
    </row>
    <row r="8110" spans="1:6" x14ac:dyDescent="0.25">
      <c r="A8110" s="189" t="str">
        <f t="shared" si="126"/>
        <v>PG-MD 5R0.110.3E</v>
      </c>
      <c r="B8110" s="195" t="s">
        <v>3838</v>
      </c>
      <c r="C8110" s="196">
        <v>0.11</v>
      </c>
      <c r="D8110" s="196">
        <v>0.3</v>
      </c>
      <c r="E8110" s="195" t="s">
        <v>583</v>
      </c>
      <c r="F8110" s="195" t="s">
        <v>19</v>
      </c>
    </row>
    <row r="8111" spans="1:6" x14ac:dyDescent="0.25">
      <c r="A8111" s="189" t="str">
        <f t="shared" si="126"/>
        <v>PG-MD 5R0.110.3W</v>
      </c>
      <c r="B8111" s="195" t="s">
        <v>3838</v>
      </c>
      <c r="C8111" s="196">
        <v>0.11</v>
      </c>
      <c r="D8111" s="196">
        <v>0.3</v>
      </c>
      <c r="E8111" s="195" t="s">
        <v>583</v>
      </c>
      <c r="F8111" s="195" t="s">
        <v>432</v>
      </c>
    </row>
    <row r="8112" spans="1:6" x14ac:dyDescent="0.25">
      <c r="A8112" s="189" t="str">
        <f t="shared" si="126"/>
        <v>PG-MD 63100.35N</v>
      </c>
      <c r="B8112" s="195" t="s">
        <v>3839</v>
      </c>
      <c r="C8112" s="196">
        <v>0</v>
      </c>
      <c r="D8112" s="196">
        <v>0.35</v>
      </c>
      <c r="E8112" s="195" t="s">
        <v>583</v>
      </c>
      <c r="F8112" s="195" t="s">
        <v>430</v>
      </c>
    </row>
    <row r="8113" spans="1:6" x14ac:dyDescent="0.25">
      <c r="A8113" s="189" t="str">
        <f t="shared" si="126"/>
        <v>PG-MD 63100.35S</v>
      </c>
      <c r="B8113" s="195" t="s">
        <v>3839</v>
      </c>
      <c r="C8113" s="196">
        <v>0</v>
      </c>
      <c r="D8113" s="196">
        <v>0.35</v>
      </c>
      <c r="E8113" s="195" t="s">
        <v>583</v>
      </c>
      <c r="F8113" s="195" t="s">
        <v>438</v>
      </c>
    </row>
    <row r="8114" spans="1:6" x14ac:dyDescent="0.25">
      <c r="A8114" s="189" t="str">
        <f t="shared" si="126"/>
        <v>PG-MD 637A00.03S</v>
      </c>
      <c r="B8114" s="195" t="s">
        <v>3840</v>
      </c>
      <c r="C8114" s="196">
        <v>0</v>
      </c>
      <c r="D8114" s="196">
        <v>0.03</v>
      </c>
      <c r="E8114" s="195" t="s">
        <v>595</v>
      </c>
      <c r="F8114" s="195" t="s">
        <v>438</v>
      </c>
    </row>
    <row r="8115" spans="1:6" x14ac:dyDescent="0.25">
      <c r="A8115" s="189" t="str">
        <f t="shared" si="126"/>
        <v>PG-MD 69400.1N</v>
      </c>
      <c r="B8115" s="195" t="s">
        <v>3841</v>
      </c>
      <c r="C8115" s="196">
        <v>0</v>
      </c>
      <c r="D8115" s="196">
        <v>0.1</v>
      </c>
      <c r="E8115" s="195" t="s">
        <v>589</v>
      </c>
      <c r="F8115" s="195" t="s">
        <v>430</v>
      </c>
    </row>
    <row r="8116" spans="1:6" x14ac:dyDescent="0.25">
      <c r="A8116" s="189" t="str">
        <f t="shared" si="126"/>
        <v>PG-MD 69400.1S</v>
      </c>
      <c r="B8116" s="195" t="s">
        <v>3841</v>
      </c>
      <c r="C8116" s="196">
        <v>0</v>
      </c>
      <c r="D8116" s="196">
        <v>0.1</v>
      </c>
      <c r="E8116" s="195" t="s">
        <v>595</v>
      </c>
      <c r="F8116" s="195" t="s">
        <v>438</v>
      </c>
    </row>
    <row r="8117" spans="1:6" x14ac:dyDescent="0.25">
      <c r="A8117" s="189" t="str">
        <f t="shared" si="126"/>
        <v>PG-MD 71700.05N</v>
      </c>
      <c r="B8117" s="195" t="s">
        <v>3842</v>
      </c>
      <c r="C8117" s="196">
        <v>0</v>
      </c>
      <c r="D8117" s="196">
        <v>0.05</v>
      </c>
      <c r="E8117" s="195" t="s">
        <v>583</v>
      </c>
      <c r="F8117" s="195" t="s">
        <v>430</v>
      </c>
    </row>
    <row r="8118" spans="1:6" x14ac:dyDescent="0.25">
      <c r="A8118" s="189" t="str">
        <f t="shared" si="126"/>
        <v>PG-MD 71700.05S</v>
      </c>
      <c r="B8118" s="195" t="s">
        <v>3842</v>
      </c>
      <c r="C8118" s="196">
        <v>0</v>
      </c>
      <c r="D8118" s="196">
        <v>0.05</v>
      </c>
      <c r="E8118" s="195" t="s">
        <v>583</v>
      </c>
      <c r="F8118" s="195" t="s">
        <v>438</v>
      </c>
    </row>
    <row r="8119" spans="1:6" x14ac:dyDescent="0.25">
      <c r="A8119" s="189" t="str">
        <f t="shared" si="126"/>
        <v>PG-MD 7170.050.33N</v>
      </c>
      <c r="B8119" s="195" t="s">
        <v>3842</v>
      </c>
      <c r="C8119" s="196">
        <v>0.05</v>
      </c>
      <c r="D8119" s="196">
        <v>0.33</v>
      </c>
      <c r="E8119" s="195" t="s">
        <v>583</v>
      </c>
      <c r="F8119" s="195" t="s">
        <v>430</v>
      </c>
    </row>
    <row r="8120" spans="1:6" x14ac:dyDescent="0.25">
      <c r="A8120" s="189" t="str">
        <f t="shared" si="126"/>
        <v>PG-MD 7170.050.33S</v>
      </c>
      <c r="B8120" s="195" t="s">
        <v>3842</v>
      </c>
      <c r="C8120" s="196">
        <v>0.05</v>
      </c>
      <c r="D8120" s="196">
        <v>0.33</v>
      </c>
      <c r="E8120" s="195" t="s">
        <v>583</v>
      </c>
      <c r="F8120" s="195" t="s">
        <v>438</v>
      </c>
    </row>
    <row r="8121" spans="1:6" x14ac:dyDescent="0.25">
      <c r="A8121" s="189" t="str">
        <f t="shared" si="126"/>
        <v>PG-MD 72500.62E</v>
      </c>
      <c r="B8121" s="195" t="s">
        <v>3843</v>
      </c>
      <c r="C8121" s="196">
        <v>0</v>
      </c>
      <c r="D8121" s="196">
        <v>0.62</v>
      </c>
      <c r="E8121" s="195" t="s">
        <v>583</v>
      </c>
      <c r="F8121" s="195" t="s">
        <v>19</v>
      </c>
    </row>
    <row r="8122" spans="1:6" x14ac:dyDescent="0.25">
      <c r="A8122" s="189" t="str">
        <f t="shared" si="126"/>
        <v>PG-MD 72500.62W</v>
      </c>
      <c r="B8122" s="195" t="s">
        <v>3843</v>
      </c>
      <c r="C8122" s="196">
        <v>0</v>
      </c>
      <c r="D8122" s="196">
        <v>0.62</v>
      </c>
      <c r="E8122" s="195" t="s">
        <v>583</v>
      </c>
      <c r="F8122" s="195" t="s">
        <v>432</v>
      </c>
    </row>
    <row r="8123" spans="1:6" x14ac:dyDescent="0.25">
      <c r="A8123" s="189" t="str">
        <f t="shared" si="126"/>
        <v>PG-MD 7250.621.25E</v>
      </c>
      <c r="B8123" s="195" t="s">
        <v>3843</v>
      </c>
      <c r="C8123" s="196">
        <v>0.62</v>
      </c>
      <c r="D8123" s="196">
        <v>1.25</v>
      </c>
      <c r="E8123" s="195" t="s">
        <v>583</v>
      </c>
      <c r="F8123" s="195" t="s">
        <v>19</v>
      </c>
    </row>
    <row r="8124" spans="1:6" x14ac:dyDescent="0.25">
      <c r="A8124" s="189" t="str">
        <f t="shared" si="126"/>
        <v>PG-MD 7250.621.25W</v>
      </c>
      <c r="B8124" s="195" t="s">
        <v>3843</v>
      </c>
      <c r="C8124" s="196">
        <v>0.62</v>
      </c>
      <c r="D8124" s="196">
        <v>1.25</v>
      </c>
      <c r="E8124" s="195" t="s">
        <v>583</v>
      </c>
      <c r="F8124" s="195" t="s">
        <v>432</v>
      </c>
    </row>
    <row r="8125" spans="1:6" x14ac:dyDescent="0.25">
      <c r="A8125" s="189" t="str">
        <f t="shared" si="126"/>
        <v>PG-MD 7251.251.33E</v>
      </c>
      <c r="B8125" s="195" t="s">
        <v>3843</v>
      </c>
      <c r="C8125" s="196">
        <v>1.25</v>
      </c>
      <c r="D8125" s="196">
        <v>1.33</v>
      </c>
      <c r="E8125" s="195" t="s">
        <v>583</v>
      </c>
      <c r="F8125" s="195" t="s">
        <v>19</v>
      </c>
    </row>
    <row r="8126" spans="1:6" x14ac:dyDescent="0.25">
      <c r="A8126" s="189" t="str">
        <f t="shared" si="126"/>
        <v>PG-MD 7251.251.33W</v>
      </c>
      <c r="B8126" s="195" t="s">
        <v>3843</v>
      </c>
      <c r="C8126" s="196">
        <v>1.25</v>
      </c>
      <c r="D8126" s="196">
        <v>1.33</v>
      </c>
      <c r="E8126" s="195" t="s">
        <v>583</v>
      </c>
      <c r="F8126" s="195" t="s">
        <v>432</v>
      </c>
    </row>
    <row r="8127" spans="1:6" x14ac:dyDescent="0.25">
      <c r="A8127" s="189" t="str">
        <f t="shared" si="126"/>
        <v>PG-MD 7251.331.86E</v>
      </c>
      <c r="B8127" s="195" t="s">
        <v>3843</v>
      </c>
      <c r="C8127" s="196">
        <v>1.33</v>
      </c>
      <c r="D8127" s="196">
        <v>1.86</v>
      </c>
      <c r="E8127" s="195" t="s">
        <v>583</v>
      </c>
      <c r="F8127" s="195" t="s">
        <v>19</v>
      </c>
    </row>
    <row r="8128" spans="1:6" x14ac:dyDescent="0.25">
      <c r="A8128" s="189" t="str">
        <f t="shared" si="126"/>
        <v>PG-MD 7251.331.86W</v>
      </c>
      <c r="B8128" s="195" t="s">
        <v>3843</v>
      </c>
      <c r="C8128" s="196">
        <v>1.33</v>
      </c>
      <c r="D8128" s="196">
        <v>1.86</v>
      </c>
      <c r="E8128" s="195" t="s">
        <v>583</v>
      </c>
      <c r="F8128" s="195" t="s">
        <v>432</v>
      </c>
    </row>
    <row r="8129" spans="1:6" x14ac:dyDescent="0.25">
      <c r="A8129" s="189" t="str">
        <f t="shared" si="126"/>
        <v>PG-MD 72600.08N</v>
      </c>
      <c r="B8129" s="195" t="s">
        <v>3844</v>
      </c>
      <c r="C8129" s="196">
        <v>0</v>
      </c>
      <c r="D8129" s="196">
        <v>0.08</v>
      </c>
      <c r="E8129" s="195" t="s">
        <v>583</v>
      </c>
      <c r="F8129" s="195" t="s">
        <v>430</v>
      </c>
    </row>
    <row r="8130" spans="1:6" x14ac:dyDescent="0.25">
      <c r="A8130" s="189" t="str">
        <f t="shared" si="126"/>
        <v>PG-MD 72600.08S</v>
      </c>
      <c r="B8130" s="195" t="s">
        <v>3844</v>
      </c>
      <c r="C8130" s="196">
        <v>0</v>
      </c>
      <c r="D8130" s="196">
        <v>0.08</v>
      </c>
      <c r="E8130" s="195" t="s">
        <v>583</v>
      </c>
      <c r="F8130" s="195" t="s">
        <v>438</v>
      </c>
    </row>
    <row r="8131" spans="1:6" x14ac:dyDescent="0.25">
      <c r="A8131" s="189" t="str">
        <f t="shared" ref="A8131:A8194" si="127">B8131&amp;C8131&amp;D8131&amp;F8131</f>
        <v>PG-MD 7260.080.28N</v>
      </c>
      <c r="B8131" s="195" t="s">
        <v>3844</v>
      </c>
      <c r="C8131" s="196">
        <v>0.08</v>
      </c>
      <c r="D8131" s="196">
        <v>0.28000000000000003</v>
      </c>
      <c r="E8131" s="195" t="s">
        <v>583</v>
      </c>
      <c r="F8131" s="195" t="s">
        <v>430</v>
      </c>
    </row>
    <row r="8132" spans="1:6" x14ac:dyDescent="0.25">
      <c r="A8132" s="189" t="str">
        <f t="shared" si="127"/>
        <v>PG-MD 7260.080.28S</v>
      </c>
      <c r="B8132" s="195" t="s">
        <v>3844</v>
      </c>
      <c r="C8132" s="196">
        <v>0.08</v>
      </c>
      <c r="D8132" s="196">
        <v>0.28000000000000003</v>
      </c>
      <c r="E8132" s="195" t="s">
        <v>583</v>
      </c>
      <c r="F8132" s="195" t="s">
        <v>438</v>
      </c>
    </row>
    <row r="8133" spans="1:6" x14ac:dyDescent="0.25">
      <c r="A8133" s="189" t="str">
        <f t="shared" si="127"/>
        <v>PG-MD 769B00.45N</v>
      </c>
      <c r="B8133" s="195" t="s">
        <v>3845</v>
      </c>
      <c r="C8133" s="196">
        <v>0</v>
      </c>
      <c r="D8133" s="196">
        <v>0.45</v>
      </c>
      <c r="E8133" s="195" t="s">
        <v>583</v>
      </c>
      <c r="F8133" s="195" t="s">
        <v>430</v>
      </c>
    </row>
    <row r="8134" spans="1:6" x14ac:dyDescent="0.25">
      <c r="A8134" s="189" t="str">
        <f t="shared" si="127"/>
        <v>PG-MD 769B00.45S</v>
      </c>
      <c r="B8134" s="195" t="s">
        <v>3845</v>
      </c>
      <c r="C8134" s="196">
        <v>0</v>
      </c>
      <c r="D8134" s="196">
        <v>0.45</v>
      </c>
      <c r="E8134" s="195" t="s">
        <v>583</v>
      </c>
      <c r="F8134" s="195" t="s">
        <v>438</v>
      </c>
    </row>
    <row r="8135" spans="1:6" x14ac:dyDescent="0.25">
      <c r="A8135" s="189" t="str">
        <f t="shared" si="127"/>
        <v>PG-MD 769C01.01S</v>
      </c>
      <c r="B8135" s="195" t="s">
        <v>3846</v>
      </c>
      <c r="C8135" s="196">
        <v>0</v>
      </c>
      <c r="D8135" s="196">
        <v>1.01</v>
      </c>
      <c r="E8135" s="195" t="s">
        <v>595</v>
      </c>
      <c r="F8135" s="195" t="s">
        <v>438</v>
      </c>
    </row>
    <row r="8136" spans="1:6" x14ac:dyDescent="0.25">
      <c r="A8136" s="189" t="str">
        <f t="shared" si="127"/>
        <v>PG-MD 769C01.06N</v>
      </c>
      <c r="B8136" s="195" t="s">
        <v>3846</v>
      </c>
      <c r="C8136" s="196">
        <v>0</v>
      </c>
      <c r="D8136" s="196">
        <v>1.06</v>
      </c>
      <c r="E8136" s="195" t="s">
        <v>589</v>
      </c>
      <c r="F8136" s="195" t="s">
        <v>430</v>
      </c>
    </row>
    <row r="8137" spans="1:6" x14ac:dyDescent="0.25">
      <c r="A8137" s="189" t="str">
        <f t="shared" si="127"/>
        <v>PG-MD 769D00.29N</v>
      </c>
      <c r="B8137" s="195" t="s">
        <v>3847</v>
      </c>
      <c r="C8137" s="196">
        <v>0</v>
      </c>
      <c r="D8137" s="196">
        <v>0.28999999999999998</v>
      </c>
      <c r="E8137" s="195" t="s">
        <v>583</v>
      </c>
      <c r="F8137" s="195" t="s">
        <v>430</v>
      </c>
    </row>
    <row r="8138" spans="1:6" x14ac:dyDescent="0.25">
      <c r="A8138" s="189" t="str">
        <f t="shared" si="127"/>
        <v>PG-MD 769D00.29S</v>
      </c>
      <c r="B8138" s="195" t="s">
        <v>3847</v>
      </c>
      <c r="C8138" s="196">
        <v>0</v>
      </c>
      <c r="D8138" s="196">
        <v>0.28999999999999998</v>
      </c>
      <c r="E8138" s="195" t="s">
        <v>583</v>
      </c>
      <c r="F8138" s="195" t="s">
        <v>438</v>
      </c>
    </row>
    <row r="8139" spans="1:6" x14ac:dyDescent="0.25">
      <c r="A8139" s="189" t="str">
        <f t="shared" si="127"/>
        <v>PG-MD 810A3.413.57E</v>
      </c>
      <c r="B8139" s="195" t="s">
        <v>3848</v>
      </c>
      <c r="C8139" s="196">
        <v>3.41</v>
      </c>
      <c r="D8139" s="196">
        <v>3.57</v>
      </c>
      <c r="E8139" s="195" t="s">
        <v>583</v>
      </c>
      <c r="F8139" s="195" t="s">
        <v>19</v>
      </c>
    </row>
    <row r="8140" spans="1:6" x14ac:dyDescent="0.25">
      <c r="A8140" s="189" t="str">
        <f t="shared" si="127"/>
        <v>PG-MD 810A3.413.57W</v>
      </c>
      <c r="B8140" s="195" t="s">
        <v>3848</v>
      </c>
      <c r="C8140" s="196">
        <v>3.41</v>
      </c>
      <c r="D8140" s="196">
        <v>3.57</v>
      </c>
      <c r="E8140" s="195" t="s">
        <v>583</v>
      </c>
      <c r="F8140" s="195" t="s">
        <v>432</v>
      </c>
    </row>
    <row r="8141" spans="1:6" x14ac:dyDescent="0.25">
      <c r="A8141" s="189" t="str">
        <f t="shared" si="127"/>
        <v>PG-MD 810B00.04E</v>
      </c>
      <c r="B8141" s="195" t="s">
        <v>3849</v>
      </c>
      <c r="C8141" s="196">
        <v>0</v>
      </c>
      <c r="D8141" s="196">
        <v>0.04</v>
      </c>
      <c r="E8141" s="195" t="s">
        <v>598</v>
      </c>
      <c r="F8141" s="195" t="s">
        <v>19</v>
      </c>
    </row>
    <row r="8142" spans="1:6" x14ac:dyDescent="0.25">
      <c r="A8142" s="189" t="str">
        <f t="shared" si="127"/>
        <v>PG-MD 810B00.04W</v>
      </c>
      <c r="B8142" s="195" t="s">
        <v>3849</v>
      </c>
      <c r="C8142" s="196">
        <v>0</v>
      </c>
      <c r="D8142" s="196">
        <v>0.04</v>
      </c>
      <c r="E8142" s="195" t="s">
        <v>593</v>
      </c>
      <c r="F8142" s="195" t="s">
        <v>432</v>
      </c>
    </row>
    <row r="8143" spans="1:6" x14ac:dyDescent="0.25">
      <c r="A8143" s="189" t="str">
        <f t="shared" si="127"/>
        <v>PG-MD 810C00.04E</v>
      </c>
      <c r="B8143" s="195" t="s">
        <v>3850</v>
      </c>
      <c r="C8143" s="196">
        <v>0</v>
      </c>
      <c r="D8143" s="196">
        <v>0.04</v>
      </c>
      <c r="E8143" s="195" t="s">
        <v>598</v>
      </c>
      <c r="F8143" s="195" t="s">
        <v>19</v>
      </c>
    </row>
    <row r="8144" spans="1:6" x14ac:dyDescent="0.25">
      <c r="A8144" s="189" t="str">
        <f t="shared" si="127"/>
        <v>PG-MD 810C00.04W</v>
      </c>
      <c r="B8144" s="195" t="s">
        <v>3850</v>
      </c>
      <c r="C8144" s="196">
        <v>0</v>
      </c>
      <c r="D8144" s="196">
        <v>0.04</v>
      </c>
      <c r="E8144" s="195" t="s">
        <v>593</v>
      </c>
      <c r="F8144" s="195" t="s">
        <v>432</v>
      </c>
    </row>
    <row r="8145" spans="1:6" x14ac:dyDescent="0.25">
      <c r="A8145" s="189" t="str">
        <f t="shared" si="127"/>
        <v>PG-MD 810D00.04E</v>
      </c>
      <c r="B8145" s="195" t="s">
        <v>3851</v>
      </c>
      <c r="C8145" s="196">
        <v>0</v>
      </c>
      <c r="D8145" s="196">
        <v>0.04</v>
      </c>
      <c r="E8145" s="195" t="s">
        <v>598</v>
      </c>
      <c r="F8145" s="195" t="s">
        <v>19</v>
      </c>
    </row>
    <row r="8146" spans="1:6" x14ac:dyDescent="0.25">
      <c r="A8146" s="189" t="str">
        <f t="shared" si="127"/>
        <v>PG-MD 810D00.04W</v>
      </c>
      <c r="B8146" s="195" t="s">
        <v>3851</v>
      </c>
      <c r="C8146" s="196">
        <v>0</v>
      </c>
      <c r="D8146" s="196">
        <v>0.04</v>
      </c>
      <c r="E8146" s="195" t="s">
        <v>593</v>
      </c>
      <c r="F8146" s="195" t="s">
        <v>432</v>
      </c>
    </row>
    <row r="8147" spans="1:6" x14ac:dyDescent="0.25">
      <c r="A8147" s="189" t="str">
        <f t="shared" si="127"/>
        <v>PG-MD 810E0.220.3N</v>
      </c>
      <c r="B8147" s="195" t="s">
        <v>3852</v>
      </c>
      <c r="C8147" s="196">
        <v>0.22</v>
      </c>
      <c r="D8147" s="196">
        <v>0.3</v>
      </c>
      <c r="E8147" s="195" t="s">
        <v>589</v>
      </c>
      <c r="F8147" s="195" t="s">
        <v>430</v>
      </c>
    </row>
    <row r="8148" spans="1:6" x14ac:dyDescent="0.25">
      <c r="A8148" s="189" t="str">
        <f t="shared" si="127"/>
        <v>PG-MD 810E0.220.3S</v>
      </c>
      <c r="B8148" s="195" t="s">
        <v>3852</v>
      </c>
      <c r="C8148" s="196">
        <v>0.22</v>
      </c>
      <c r="D8148" s="196">
        <v>0.3</v>
      </c>
      <c r="E8148" s="195" t="s">
        <v>595</v>
      </c>
      <c r="F8148" s="195" t="s">
        <v>438</v>
      </c>
    </row>
    <row r="8149" spans="1:6" x14ac:dyDescent="0.25">
      <c r="A8149" s="189" t="str">
        <f t="shared" si="127"/>
        <v>PG-MD 810F0.280.38N</v>
      </c>
      <c r="B8149" s="195" t="s">
        <v>3853</v>
      </c>
      <c r="C8149" s="196">
        <v>0.28000000000000003</v>
      </c>
      <c r="D8149" s="196">
        <v>0.38</v>
      </c>
      <c r="E8149" s="195" t="s">
        <v>583</v>
      </c>
      <c r="F8149" s="195" t="s">
        <v>430</v>
      </c>
    </row>
    <row r="8150" spans="1:6" x14ac:dyDescent="0.25">
      <c r="A8150" s="189" t="str">
        <f t="shared" si="127"/>
        <v>PG-MD 810F0.280.38S</v>
      </c>
      <c r="B8150" s="195" t="s">
        <v>3853</v>
      </c>
      <c r="C8150" s="196">
        <v>0.28000000000000003</v>
      </c>
      <c r="D8150" s="196">
        <v>0.38</v>
      </c>
      <c r="E8150" s="195" t="s">
        <v>583</v>
      </c>
      <c r="F8150" s="195" t="s">
        <v>438</v>
      </c>
    </row>
    <row r="8151" spans="1:6" x14ac:dyDescent="0.25">
      <c r="A8151" s="189" t="str">
        <f t="shared" si="127"/>
        <v>PG-MD 810G0.390.45E</v>
      </c>
      <c r="B8151" s="195" t="s">
        <v>3854</v>
      </c>
      <c r="C8151" s="196">
        <v>0.39</v>
      </c>
      <c r="D8151" s="196">
        <v>0.45</v>
      </c>
      <c r="E8151" s="195" t="s">
        <v>598</v>
      </c>
      <c r="F8151" s="195" t="s">
        <v>19</v>
      </c>
    </row>
    <row r="8152" spans="1:6" x14ac:dyDescent="0.25">
      <c r="A8152" s="189" t="str">
        <f t="shared" si="127"/>
        <v>PG-MD 810G0.390.45W</v>
      </c>
      <c r="B8152" s="195" t="s">
        <v>3854</v>
      </c>
      <c r="C8152" s="196">
        <v>0.39</v>
      </c>
      <c r="D8152" s="196">
        <v>0.45</v>
      </c>
      <c r="E8152" s="195" t="s">
        <v>593</v>
      </c>
      <c r="F8152" s="195" t="s">
        <v>432</v>
      </c>
    </row>
    <row r="8153" spans="1:6" x14ac:dyDescent="0.25">
      <c r="A8153" s="189" t="str">
        <f t="shared" si="127"/>
        <v>PG-MD 810H0.430.54N</v>
      </c>
      <c r="B8153" s="195" t="s">
        <v>3855</v>
      </c>
      <c r="C8153" s="196">
        <v>0.43</v>
      </c>
      <c r="D8153" s="196">
        <v>0.54</v>
      </c>
      <c r="E8153" s="195" t="s">
        <v>589</v>
      </c>
      <c r="F8153" s="195" t="s">
        <v>430</v>
      </c>
    </row>
    <row r="8154" spans="1:6" x14ac:dyDescent="0.25">
      <c r="A8154" s="189" t="str">
        <f t="shared" si="127"/>
        <v>PG-MD 810H0.430.54S</v>
      </c>
      <c r="B8154" s="195" t="s">
        <v>3855</v>
      </c>
      <c r="C8154" s="196">
        <v>0.43</v>
      </c>
      <c r="D8154" s="196">
        <v>0.54</v>
      </c>
      <c r="E8154" s="195" t="s">
        <v>595</v>
      </c>
      <c r="F8154" s="195" t="s">
        <v>438</v>
      </c>
    </row>
    <row r="8155" spans="1:6" x14ac:dyDescent="0.25">
      <c r="A8155" s="189" t="str">
        <f t="shared" si="127"/>
        <v>PG-MD 810I00.05N</v>
      </c>
      <c r="B8155" s="195" t="s">
        <v>3856</v>
      </c>
      <c r="C8155" s="196">
        <v>0</v>
      </c>
      <c r="D8155" s="196">
        <v>0.05</v>
      </c>
      <c r="E8155" s="195" t="s">
        <v>589</v>
      </c>
      <c r="F8155" s="195" t="s">
        <v>430</v>
      </c>
    </row>
    <row r="8156" spans="1:6" x14ac:dyDescent="0.25">
      <c r="A8156" s="189" t="str">
        <f t="shared" si="127"/>
        <v>PG-MD 810I00.05S</v>
      </c>
      <c r="B8156" s="195" t="s">
        <v>3856</v>
      </c>
      <c r="C8156" s="196">
        <v>0</v>
      </c>
      <c r="D8156" s="196">
        <v>0.05</v>
      </c>
      <c r="E8156" s="195" t="s">
        <v>595</v>
      </c>
      <c r="F8156" s="195" t="s">
        <v>438</v>
      </c>
    </row>
    <row r="8157" spans="1:6" x14ac:dyDescent="0.25">
      <c r="A8157" s="189" t="str">
        <f t="shared" si="127"/>
        <v>PG-MD 810J00.1E</v>
      </c>
      <c r="B8157" s="195" t="s">
        <v>3857</v>
      </c>
      <c r="C8157" s="196">
        <v>0</v>
      </c>
      <c r="D8157" s="196">
        <v>0.1</v>
      </c>
      <c r="E8157" s="195" t="s">
        <v>583</v>
      </c>
      <c r="F8157" s="195" t="s">
        <v>19</v>
      </c>
    </row>
    <row r="8158" spans="1:6" x14ac:dyDescent="0.25">
      <c r="A8158" s="189" t="str">
        <f t="shared" si="127"/>
        <v>PG-MD 810J00.1W</v>
      </c>
      <c r="B8158" s="195" t="s">
        <v>3857</v>
      </c>
      <c r="C8158" s="196">
        <v>0</v>
      </c>
      <c r="D8158" s="196">
        <v>0.1</v>
      </c>
      <c r="E8158" s="195" t="s">
        <v>583</v>
      </c>
      <c r="F8158" s="195" t="s">
        <v>432</v>
      </c>
    </row>
    <row r="8159" spans="1:6" x14ac:dyDescent="0.25">
      <c r="A8159" s="189" t="str">
        <f t="shared" si="127"/>
        <v>PG-MD 810K00.1E</v>
      </c>
      <c r="B8159" s="195" t="s">
        <v>3858</v>
      </c>
      <c r="C8159" s="196">
        <v>0</v>
      </c>
      <c r="D8159" s="196">
        <v>0.1</v>
      </c>
      <c r="E8159" s="195" t="s">
        <v>598</v>
      </c>
      <c r="F8159" s="195" t="s">
        <v>19</v>
      </c>
    </row>
    <row r="8160" spans="1:6" x14ac:dyDescent="0.25">
      <c r="A8160" s="189" t="str">
        <f t="shared" si="127"/>
        <v>PG-MD 810K00.1W</v>
      </c>
      <c r="B8160" s="195" t="s">
        <v>3858</v>
      </c>
      <c r="C8160" s="196">
        <v>0</v>
      </c>
      <c r="D8160" s="196">
        <v>0.1</v>
      </c>
      <c r="E8160" s="195" t="s">
        <v>593</v>
      </c>
      <c r="F8160" s="195" t="s">
        <v>432</v>
      </c>
    </row>
    <row r="8161" spans="1:6" x14ac:dyDescent="0.25">
      <c r="A8161" s="189" t="str">
        <f t="shared" si="127"/>
        <v>PG-MD 9500.280.5N</v>
      </c>
      <c r="B8161" s="195" t="s">
        <v>3859</v>
      </c>
      <c r="C8161" s="196">
        <v>0.28000000000000003</v>
      </c>
      <c r="D8161" s="196">
        <v>0.5</v>
      </c>
      <c r="E8161" s="195" t="s">
        <v>583</v>
      </c>
      <c r="F8161" s="195" t="s">
        <v>430</v>
      </c>
    </row>
    <row r="8162" spans="1:6" x14ac:dyDescent="0.25">
      <c r="A8162" s="189" t="str">
        <f t="shared" si="127"/>
        <v>PG-MD 9500.280.5S</v>
      </c>
      <c r="B8162" s="195" t="s">
        <v>3859</v>
      </c>
      <c r="C8162" s="196">
        <v>0.28000000000000003</v>
      </c>
      <c r="D8162" s="196">
        <v>0.5</v>
      </c>
      <c r="E8162" s="195" t="s">
        <v>583</v>
      </c>
      <c r="F8162" s="195" t="s">
        <v>438</v>
      </c>
    </row>
    <row r="8163" spans="1:6" x14ac:dyDescent="0.25">
      <c r="A8163" s="189" t="str">
        <f t="shared" si="127"/>
        <v>PG-MD 950A1.141.42N</v>
      </c>
      <c r="B8163" s="195" t="s">
        <v>3860</v>
      </c>
      <c r="C8163" s="196">
        <v>1.1399999999999999</v>
      </c>
      <c r="D8163" s="196">
        <v>1.42</v>
      </c>
      <c r="E8163" s="195" t="s">
        <v>583</v>
      </c>
      <c r="F8163" s="195" t="s">
        <v>430</v>
      </c>
    </row>
    <row r="8164" spans="1:6" x14ac:dyDescent="0.25">
      <c r="A8164" s="189" t="str">
        <f t="shared" si="127"/>
        <v>PG-MD 950A1.141.42S</v>
      </c>
      <c r="B8164" s="195" t="s">
        <v>3860</v>
      </c>
      <c r="C8164" s="196">
        <v>1.1399999999999999</v>
      </c>
      <c r="D8164" s="196">
        <v>1.42</v>
      </c>
      <c r="E8164" s="195" t="s">
        <v>583</v>
      </c>
      <c r="F8164" s="195" t="s">
        <v>438</v>
      </c>
    </row>
    <row r="8165" spans="1:6" x14ac:dyDescent="0.25">
      <c r="A8165" s="189" t="str">
        <f t="shared" si="127"/>
        <v>PG-MD 950C0.450.87N</v>
      </c>
      <c r="B8165" s="195" t="s">
        <v>3861</v>
      </c>
      <c r="C8165" s="196">
        <v>0.45</v>
      </c>
      <c r="D8165" s="196">
        <v>0.87</v>
      </c>
      <c r="E8165" s="195" t="s">
        <v>583</v>
      </c>
      <c r="F8165" s="195" t="s">
        <v>430</v>
      </c>
    </row>
    <row r="8166" spans="1:6" x14ac:dyDescent="0.25">
      <c r="A8166" s="189" t="str">
        <f t="shared" si="127"/>
        <v>PG-MD 950C0.450.87S</v>
      </c>
      <c r="B8166" s="195" t="s">
        <v>3861</v>
      </c>
      <c r="C8166" s="196">
        <v>0.45</v>
      </c>
      <c r="D8166" s="196">
        <v>0.87</v>
      </c>
      <c r="E8166" s="195" t="s">
        <v>583</v>
      </c>
      <c r="F8166" s="195" t="s">
        <v>438</v>
      </c>
    </row>
    <row r="8167" spans="1:6" x14ac:dyDescent="0.25">
      <c r="A8167" s="189" t="str">
        <f t="shared" si="127"/>
        <v>PG-MD 950D1.822.16N</v>
      </c>
      <c r="B8167" s="195" t="s">
        <v>3862</v>
      </c>
      <c r="C8167" s="196">
        <v>1.82</v>
      </c>
      <c r="D8167" s="196">
        <v>2.16</v>
      </c>
      <c r="E8167" s="195" t="s">
        <v>583</v>
      </c>
      <c r="F8167" s="195" t="s">
        <v>430</v>
      </c>
    </row>
    <row r="8168" spans="1:6" x14ac:dyDescent="0.25">
      <c r="A8168" s="189" t="str">
        <f t="shared" si="127"/>
        <v>PG-MD 950D1.822.16S</v>
      </c>
      <c r="B8168" s="195" t="s">
        <v>3862</v>
      </c>
      <c r="C8168" s="196">
        <v>1.82</v>
      </c>
      <c r="D8168" s="196">
        <v>2.16</v>
      </c>
      <c r="E8168" s="195" t="s">
        <v>583</v>
      </c>
      <c r="F8168" s="195" t="s">
        <v>438</v>
      </c>
    </row>
    <row r="8169" spans="1:6" x14ac:dyDescent="0.25">
      <c r="A8169" s="189" t="str">
        <f t="shared" si="127"/>
        <v>PG-MD 95300.91N</v>
      </c>
      <c r="B8169" s="195" t="s">
        <v>3863</v>
      </c>
      <c r="C8169" s="196">
        <v>0</v>
      </c>
      <c r="D8169" s="196">
        <v>0.91</v>
      </c>
      <c r="E8169" s="195" t="s">
        <v>583</v>
      </c>
      <c r="F8169" s="195" t="s">
        <v>430</v>
      </c>
    </row>
    <row r="8170" spans="1:6" x14ac:dyDescent="0.25">
      <c r="A8170" s="189" t="str">
        <f t="shared" si="127"/>
        <v>PG-MD 95300.91S</v>
      </c>
      <c r="B8170" s="195" t="s">
        <v>3863</v>
      </c>
      <c r="C8170" s="196">
        <v>0</v>
      </c>
      <c r="D8170" s="196">
        <v>0.91</v>
      </c>
      <c r="E8170" s="195" t="s">
        <v>583</v>
      </c>
      <c r="F8170" s="195" t="s">
        <v>438</v>
      </c>
    </row>
    <row r="8171" spans="1:6" x14ac:dyDescent="0.25">
      <c r="A8171" s="189" t="str">
        <f t="shared" si="127"/>
        <v>PG-MD 9530.913.38N</v>
      </c>
      <c r="B8171" s="195" t="s">
        <v>3863</v>
      </c>
      <c r="C8171" s="196">
        <v>0.91</v>
      </c>
      <c r="D8171" s="196">
        <v>3.38</v>
      </c>
      <c r="E8171" s="195" t="s">
        <v>583</v>
      </c>
      <c r="F8171" s="195" t="s">
        <v>430</v>
      </c>
    </row>
    <row r="8172" spans="1:6" x14ac:dyDescent="0.25">
      <c r="A8172" s="189" t="str">
        <f t="shared" si="127"/>
        <v>PG-MD 9530.913.38S</v>
      </c>
      <c r="B8172" s="195" t="s">
        <v>3863</v>
      </c>
      <c r="C8172" s="196">
        <v>0.91</v>
      </c>
      <c r="D8172" s="196">
        <v>3.38</v>
      </c>
      <c r="E8172" s="195" t="s">
        <v>583</v>
      </c>
      <c r="F8172" s="195" t="s">
        <v>438</v>
      </c>
    </row>
    <row r="8173" spans="1:6" x14ac:dyDescent="0.25">
      <c r="A8173" s="189" t="str">
        <f t="shared" si="127"/>
        <v>PG-MD 9533.383.53N</v>
      </c>
      <c r="B8173" s="195" t="s">
        <v>3863</v>
      </c>
      <c r="C8173" s="196">
        <v>3.38</v>
      </c>
      <c r="D8173" s="196">
        <v>3.53</v>
      </c>
      <c r="E8173" s="195" t="s">
        <v>583</v>
      </c>
      <c r="F8173" s="195" t="s">
        <v>430</v>
      </c>
    </row>
    <row r="8174" spans="1:6" x14ac:dyDescent="0.25">
      <c r="A8174" s="189" t="str">
        <f t="shared" si="127"/>
        <v>PG-MD 9533.383.53S</v>
      </c>
      <c r="B8174" s="195" t="s">
        <v>3863</v>
      </c>
      <c r="C8174" s="196">
        <v>3.38</v>
      </c>
      <c r="D8174" s="196">
        <v>3.53</v>
      </c>
      <c r="E8174" s="195" t="s">
        <v>583</v>
      </c>
      <c r="F8174" s="195" t="s">
        <v>438</v>
      </c>
    </row>
    <row r="8175" spans="1:6" x14ac:dyDescent="0.25">
      <c r="A8175" s="189" t="str">
        <f t="shared" si="127"/>
        <v>PG-MD 953A00.15N</v>
      </c>
      <c r="B8175" s="195" t="s">
        <v>3864</v>
      </c>
      <c r="C8175" s="196">
        <v>0</v>
      </c>
      <c r="D8175" s="196">
        <v>0.15</v>
      </c>
      <c r="E8175" s="195" t="s">
        <v>589</v>
      </c>
      <c r="F8175" s="195" t="s">
        <v>430</v>
      </c>
    </row>
    <row r="8176" spans="1:6" x14ac:dyDescent="0.25">
      <c r="A8176" s="189" t="str">
        <f t="shared" si="127"/>
        <v>PG-MD 953A00.15S</v>
      </c>
      <c r="B8176" s="195" t="s">
        <v>3864</v>
      </c>
      <c r="C8176" s="196">
        <v>0</v>
      </c>
      <c r="D8176" s="196">
        <v>0.15</v>
      </c>
      <c r="E8176" s="195" t="s">
        <v>595</v>
      </c>
      <c r="F8176" s="195" t="s">
        <v>438</v>
      </c>
    </row>
    <row r="8177" spans="1:6" x14ac:dyDescent="0.25">
      <c r="A8177" s="189" t="str">
        <f t="shared" si="127"/>
        <v>PG-MD 96300.01E</v>
      </c>
      <c r="B8177" s="195" t="s">
        <v>3865</v>
      </c>
      <c r="C8177" s="196">
        <v>0</v>
      </c>
      <c r="D8177" s="196">
        <v>0.01</v>
      </c>
      <c r="E8177" s="195" t="s">
        <v>598</v>
      </c>
      <c r="F8177" s="195" t="s">
        <v>19</v>
      </c>
    </row>
    <row r="8178" spans="1:6" x14ac:dyDescent="0.25">
      <c r="A8178" s="189" t="str">
        <f t="shared" si="127"/>
        <v>PG-MD 96300.01W</v>
      </c>
      <c r="B8178" s="195" t="s">
        <v>3865</v>
      </c>
      <c r="C8178" s="196">
        <v>0</v>
      </c>
      <c r="D8178" s="196">
        <v>0.01</v>
      </c>
      <c r="E8178" s="195" t="s">
        <v>593</v>
      </c>
      <c r="F8178" s="195" t="s">
        <v>432</v>
      </c>
    </row>
    <row r="8179" spans="1:6" x14ac:dyDescent="0.25">
      <c r="A8179" s="189" t="str">
        <f t="shared" si="127"/>
        <v>PG-MD 96400.1N</v>
      </c>
      <c r="B8179" s="195" t="s">
        <v>3866</v>
      </c>
      <c r="C8179" s="196">
        <v>0</v>
      </c>
      <c r="D8179" s="196">
        <v>0.1</v>
      </c>
      <c r="E8179" s="195" t="s">
        <v>589</v>
      </c>
      <c r="F8179" s="195" t="s">
        <v>430</v>
      </c>
    </row>
    <row r="8180" spans="1:6" x14ac:dyDescent="0.25">
      <c r="A8180" s="189" t="str">
        <f t="shared" si="127"/>
        <v>PG-MD 96400.1S</v>
      </c>
      <c r="B8180" s="195" t="s">
        <v>3866</v>
      </c>
      <c r="C8180" s="196">
        <v>0</v>
      </c>
      <c r="D8180" s="196">
        <v>0.1</v>
      </c>
      <c r="E8180" s="195" t="s">
        <v>595</v>
      </c>
      <c r="F8180" s="195" t="s">
        <v>438</v>
      </c>
    </row>
    <row r="8181" spans="1:6" x14ac:dyDescent="0.25">
      <c r="A8181" s="189" t="str">
        <f t="shared" si="127"/>
        <v>PG-MD 96500.24N</v>
      </c>
      <c r="B8181" s="195" t="s">
        <v>3867</v>
      </c>
      <c r="C8181" s="196">
        <v>0</v>
      </c>
      <c r="D8181" s="196">
        <v>0.24</v>
      </c>
      <c r="E8181" s="195" t="s">
        <v>589</v>
      </c>
      <c r="F8181" s="195" t="s">
        <v>430</v>
      </c>
    </row>
    <row r="8182" spans="1:6" x14ac:dyDescent="0.25">
      <c r="A8182" s="189" t="str">
        <f t="shared" si="127"/>
        <v>PG-MD 9650.230.24S</v>
      </c>
      <c r="B8182" s="195" t="s">
        <v>3867</v>
      </c>
      <c r="C8182" s="196">
        <v>0.23</v>
      </c>
      <c r="D8182" s="196">
        <v>0.24</v>
      </c>
      <c r="E8182" s="195" t="s">
        <v>595</v>
      </c>
      <c r="F8182" s="195" t="s">
        <v>438</v>
      </c>
    </row>
    <row r="8183" spans="1:6" x14ac:dyDescent="0.25">
      <c r="A8183" s="189" t="str">
        <f t="shared" si="127"/>
        <v>PG-MD 9650.240.54N</v>
      </c>
      <c r="B8183" s="195" t="s">
        <v>3867</v>
      </c>
      <c r="C8183" s="196">
        <v>0.24</v>
      </c>
      <c r="D8183" s="196">
        <v>0.54</v>
      </c>
      <c r="E8183" s="195" t="s">
        <v>589</v>
      </c>
      <c r="F8183" s="195" t="s">
        <v>430</v>
      </c>
    </row>
    <row r="8184" spans="1:6" x14ac:dyDescent="0.25">
      <c r="A8184" s="189" t="str">
        <f t="shared" si="127"/>
        <v>PG-MD 9650.240.54S</v>
      </c>
      <c r="B8184" s="195" t="s">
        <v>3867</v>
      </c>
      <c r="C8184" s="196">
        <v>0.24</v>
      </c>
      <c r="D8184" s="196">
        <v>0.54</v>
      </c>
      <c r="E8184" s="195" t="s">
        <v>595</v>
      </c>
      <c r="F8184" s="195" t="s">
        <v>438</v>
      </c>
    </row>
    <row r="8185" spans="1:6" x14ac:dyDescent="0.25">
      <c r="A8185" s="189" t="str">
        <f t="shared" si="127"/>
        <v>PG-MD 965A00.09S</v>
      </c>
      <c r="B8185" s="195" t="s">
        <v>3868</v>
      </c>
      <c r="C8185" s="196">
        <v>0</v>
      </c>
      <c r="D8185" s="196">
        <v>0.09</v>
      </c>
      <c r="E8185" s="195" t="s">
        <v>595</v>
      </c>
      <c r="F8185" s="195" t="s">
        <v>438</v>
      </c>
    </row>
    <row r="8186" spans="1:6" x14ac:dyDescent="0.25">
      <c r="A8186" s="189" t="str">
        <f t="shared" si="127"/>
        <v>PG-MD 96700.03N</v>
      </c>
      <c r="B8186" s="195" t="s">
        <v>3869</v>
      </c>
      <c r="C8186" s="196">
        <v>0</v>
      </c>
      <c r="D8186" s="196">
        <v>0.03</v>
      </c>
      <c r="E8186" s="195" t="s">
        <v>589</v>
      </c>
      <c r="F8186" s="195" t="s">
        <v>430</v>
      </c>
    </row>
    <row r="8187" spans="1:6" x14ac:dyDescent="0.25">
      <c r="A8187" s="189" t="str">
        <f t="shared" si="127"/>
        <v>PG-MD 96700.03S</v>
      </c>
      <c r="B8187" s="195" t="s">
        <v>3869</v>
      </c>
      <c r="C8187" s="196">
        <v>0</v>
      </c>
      <c r="D8187" s="196">
        <v>0.03</v>
      </c>
      <c r="E8187" s="195" t="s">
        <v>595</v>
      </c>
      <c r="F8187" s="195" t="s">
        <v>438</v>
      </c>
    </row>
    <row r="8188" spans="1:6" x14ac:dyDescent="0.25">
      <c r="A8188" s="189" t="str">
        <f t="shared" si="127"/>
        <v>PG-MD 967A00.98N</v>
      </c>
      <c r="B8188" s="195" t="s">
        <v>479</v>
      </c>
      <c r="C8188" s="196">
        <v>0</v>
      </c>
      <c r="D8188" s="196">
        <v>0.98</v>
      </c>
      <c r="E8188" s="195" t="s">
        <v>583</v>
      </c>
      <c r="F8188" s="195" t="s">
        <v>430</v>
      </c>
    </row>
    <row r="8189" spans="1:6" x14ac:dyDescent="0.25">
      <c r="A8189" s="189" t="str">
        <f t="shared" si="127"/>
        <v>PG-MD 967A00.98S</v>
      </c>
      <c r="B8189" s="195" t="s">
        <v>479</v>
      </c>
      <c r="C8189" s="196">
        <v>0</v>
      </c>
      <c r="D8189" s="196">
        <v>0.98</v>
      </c>
      <c r="E8189" s="195" t="s">
        <v>583</v>
      </c>
      <c r="F8189" s="195" t="s">
        <v>438</v>
      </c>
    </row>
    <row r="8190" spans="1:6" x14ac:dyDescent="0.25">
      <c r="A8190" s="189" t="str">
        <f t="shared" si="127"/>
        <v>PG-MD 967B00.38N</v>
      </c>
      <c r="B8190" s="195" t="s">
        <v>3870</v>
      </c>
      <c r="C8190" s="196">
        <v>0</v>
      </c>
      <c r="D8190" s="196">
        <v>0.38</v>
      </c>
      <c r="E8190" s="195" t="s">
        <v>583</v>
      </c>
      <c r="F8190" s="195" t="s">
        <v>430</v>
      </c>
    </row>
    <row r="8191" spans="1:6" x14ac:dyDescent="0.25">
      <c r="A8191" s="189" t="str">
        <f t="shared" si="127"/>
        <v>PG-MD 967B00.38S</v>
      </c>
      <c r="B8191" s="195" t="s">
        <v>3870</v>
      </c>
      <c r="C8191" s="196">
        <v>0</v>
      </c>
      <c r="D8191" s="196">
        <v>0.38</v>
      </c>
      <c r="E8191" s="195" t="s">
        <v>583</v>
      </c>
      <c r="F8191" s="195" t="s">
        <v>438</v>
      </c>
    </row>
    <row r="8192" spans="1:6" x14ac:dyDescent="0.25">
      <c r="A8192" s="189" t="str">
        <f t="shared" si="127"/>
        <v>PG-MD 967B0.380.4N</v>
      </c>
      <c r="B8192" s="195" t="s">
        <v>3870</v>
      </c>
      <c r="C8192" s="196">
        <v>0.38</v>
      </c>
      <c r="D8192" s="196">
        <v>0.4</v>
      </c>
      <c r="E8192" s="195" t="s">
        <v>589</v>
      </c>
      <c r="F8192" s="195" t="s">
        <v>430</v>
      </c>
    </row>
    <row r="8193" spans="1:6" x14ac:dyDescent="0.25">
      <c r="A8193" s="189" t="str">
        <f t="shared" si="127"/>
        <v>PG-MD 967B0.380.4S</v>
      </c>
      <c r="B8193" s="195" t="s">
        <v>3870</v>
      </c>
      <c r="C8193" s="196">
        <v>0.38</v>
      </c>
      <c r="D8193" s="196">
        <v>0.4</v>
      </c>
      <c r="E8193" s="195" t="s">
        <v>595</v>
      </c>
      <c r="F8193" s="195" t="s">
        <v>438</v>
      </c>
    </row>
    <row r="8194" spans="1:6" x14ac:dyDescent="0.25">
      <c r="A8194" s="189" t="str">
        <f t="shared" si="127"/>
        <v>PG-MD 967C00.29N</v>
      </c>
      <c r="B8194" s="195" t="s">
        <v>3871</v>
      </c>
      <c r="C8194" s="196">
        <v>0</v>
      </c>
      <c r="D8194" s="196">
        <v>0.28999999999999998</v>
      </c>
      <c r="E8194" s="195" t="s">
        <v>583</v>
      </c>
      <c r="F8194" s="195" t="s">
        <v>430</v>
      </c>
    </row>
    <row r="8195" spans="1:6" x14ac:dyDescent="0.25">
      <c r="A8195" s="189" t="str">
        <f t="shared" ref="A8195:A8258" si="128">B8195&amp;C8195&amp;D8195&amp;F8195</f>
        <v>PG-MD 967C00.29S</v>
      </c>
      <c r="B8195" s="195" t="s">
        <v>3871</v>
      </c>
      <c r="C8195" s="196">
        <v>0</v>
      </c>
      <c r="D8195" s="196">
        <v>0.28999999999999998</v>
      </c>
      <c r="E8195" s="195" t="s">
        <v>583</v>
      </c>
      <c r="F8195" s="195" t="s">
        <v>438</v>
      </c>
    </row>
    <row r="8196" spans="1:6" x14ac:dyDescent="0.25">
      <c r="A8196" s="189" t="str">
        <f t="shared" si="128"/>
        <v>PG-MD 967D00.54N</v>
      </c>
      <c r="B8196" s="195" t="s">
        <v>480</v>
      </c>
      <c r="C8196" s="196">
        <v>0</v>
      </c>
      <c r="D8196" s="196">
        <v>0.54</v>
      </c>
      <c r="E8196" s="195" t="s">
        <v>583</v>
      </c>
      <c r="F8196" s="195" t="s">
        <v>430</v>
      </c>
    </row>
    <row r="8197" spans="1:6" x14ac:dyDescent="0.25">
      <c r="A8197" s="189" t="str">
        <f t="shared" si="128"/>
        <v>PG-MD 967D00.54S</v>
      </c>
      <c r="B8197" s="195" t="s">
        <v>480</v>
      </c>
      <c r="C8197" s="196">
        <v>0</v>
      </c>
      <c r="D8197" s="196">
        <v>0.54</v>
      </c>
      <c r="E8197" s="195" t="s">
        <v>583</v>
      </c>
      <c r="F8197" s="195" t="s">
        <v>438</v>
      </c>
    </row>
    <row r="8198" spans="1:6" x14ac:dyDescent="0.25">
      <c r="A8198" s="189" t="str">
        <f t="shared" si="128"/>
        <v>PG-MD 96800.05N</v>
      </c>
      <c r="B8198" s="195" t="s">
        <v>3872</v>
      </c>
      <c r="C8198" s="196">
        <v>0</v>
      </c>
      <c r="D8198" s="196">
        <v>0.05</v>
      </c>
      <c r="E8198" s="195" t="s">
        <v>589</v>
      </c>
      <c r="F8198" s="195" t="s">
        <v>430</v>
      </c>
    </row>
    <row r="8199" spans="1:6" x14ac:dyDescent="0.25">
      <c r="A8199" s="189" t="str">
        <f t="shared" si="128"/>
        <v>PG-MD 96800.05S</v>
      </c>
      <c r="B8199" s="195" t="s">
        <v>3872</v>
      </c>
      <c r="C8199" s="196">
        <v>0</v>
      </c>
      <c r="D8199" s="196">
        <v>0.05</v>
      </c>
      <c r="E8199" s="195" t="s">
        <v>595</v>
      </c>
      <c r="F8199" s="195" t="s">
        <v>438</v>
      </c>
    </row>
    <row r="8200" spans="1:6" x14ac:dyDescent="0.25">
      <c r="A8200" s="189" t="str">
        <f t="shared" si="128"/>
        <v>PG-MD 972A00.43E</v>
      </c>
      <c r="B8200" s="195" t="s">
        <v>3873</v>
      </c>
      <c r="C8200" s="196">
        <v>0</v>
      </c>
      <c r="D8200" s="196">
        <v>0.43</v>
      </c>
      <c r="E8200" s="195" t="s">
        <v>598</v>
      </c>
      <c r="F8200" s="195" t="s">
        <v>19</v>
      </c>
    </row>
    <row r="8201" spans="1:6" x14ac:dyDescent="0.25">
      <c r="A8201" s="189" t="str">
        <f t="shared" si="128"/>
        <v>PG-MD 972A0.080.43W</v>
      </c>
      <c r="B8201" s="195" t="s">
        <v>3873</v>
      </c>
      <c r="C8201" s="196">
        <v>0.08</v>
      </c>
      <c r="D8201" s="196">
        <v>0.43</v>
      </c>
      <c r="E8201" s="195" t="s">
        <v>593</v>
      </c>
      <c r="F8201" s="195" t="s">
        <v>432</v>
      </c>
    </row>
    <row r="8202" spans="1:6" x14ac:dyDescent="0.25">
      <c r="A8202" s="189" t="str">
        <f t="shared" si="128"/>
        <v>PG-MD 973B00.06E</v>
      </c>
      <c r="B8202" s="195" t="s">
        <v>3874</v>
      </c>
      <c r="C8202" s="196">
        <v>0</v>
      </c>
      <c r="D8202" s="196">
        <v>0.06</v>
      </c>
      <c r="E8202" s="195" t="s">
        <v>598</v>
      </c>
      <c r="F8202" s="195" t="s">
        <v>19</v>
      </c>
    </row>
    <row r="8203" spans="1:6" x14ac:dyDescent="0.25">
      <c r="A8203" s="189" t="str">
        <f t="shared" si="128"/>
        <v>PG-MD 973B00.06W</v>
      </c>
      <c r="B8203" s="195" t="s">
        <v>3874</v>
      </c>
      <c r="C8203" s="196">
        <v>0</v>
      </c>
      <c r="D8203" s="196">
        <v>0.06</v>
      </c>
      <c r="E8203" s="195" t="s">
        <v>593</v>
      </c>
      <c r="F8203" s="195" t="s">
        <v>432</v>
      </c>
    </row>
    <row r="8204" spans="1:6" x14ac:dyDescent="0.25">
      <c r="A8204" s="189" t="str">
        <f t="shared" si="128"/>
        <v>PG-MD 97400.1N</v>
      </c>
      <c r="B8204" s="195" t="s">
        <v>3875</v>
      </c>
      <c r="C8204" s="196">
        <v>0</v>
      </c>
      <c r="D8204" s="196">
        <v>0.1</v>
      </c>
      <c r="E8204" s="195" t="s">
        <v>589</v>
      </c>
      <c r="F8204" s="195" t="s">
        <v>430</v>
      </c>
    </row>
    <row r="8205" spans="1:6" x14ac:dyDescent="0.25">
      <c r="A8205" s="189" t="str">
        <f t="shared" si="128"/>
        <v>PG-MD 97400.1S</v>
      </c>
      <c r="B8205" s="195" t="s">
        <v>3875</v>
      </c>
      <c r="C8205" s="196">
        <v>0</v>
      </c>
      <c r="D8205" s="196">
        <v>0.1</v>
      </c>
      <c r="E8205" s="195" t="s">
        <v>595</v>
      </c>
      <c r="F8205" s="195" t="s">
        <v>438</v>
      </c>
    </row>
    <row r="8206" spans="1:6" x14ac:dyDescent="0.25">
      <c r="A8206" s="189" t="str">
        <f t="shared" si="128"/>
        <v>PG-MD 97600.31N</v>
      </c>
      <c r="B8206" s="195" t="s">
        <v>3876</v>
      </c>
      <c r="C8206" s="196">
        <v>0</v>
      </c>
      <c r="D8206" s="196">
        <v>0.31</v>
      </c>
      <c r="E8206" s="195" t="s">
        <v>583</v>
      </c>
      <c r="F8206" s="195" t="s">
        <v>430</v>
      </c>
    </row>
    <row r="8207" spans="1:6" x14ac:dyDescent="0.25">
      <c r="A8207" s="189" t="str">
        <f t="shared" si="128"/>
        <v>PG-MD 97600.31S</v>
      </c>
      <c r="B8207" s="195" t="s">
        <v>3876</v>
      </c>
      <c r="C8207" s="196">
        <v>0</v>
      </c>
      <c r="D8207" s="196">
        <v>0.31</v>
      </c>
      <c r="E8207" s="195" t="s">
        <v>583</v>
      </c>
      <c r="F8207" s="195" t="s">
        <v>438</v>
      </c>
    </row>
    <row r="8208" spans="1:6" x14ac:dyDescent="0.25">
      <c r="A8208" s="189" t="str">
        <f t="shared" si="128"/>
        <v>PG-MD 976A00.14N</v>
      </c>
      <c r="B8208" s="195" t="s">
        <v>3877</v>
      </c>
      <c r="C8208" s="196">
        <v>0</v>
      </c>
      <c r="D8208" s="196">
        <v>0.14000000000000001</v>
      </c>
      <c r="E8208" s="195" t="s">
        <v>589</v>
      </c>
      <c r="F8208" s="195" t="s">
        <v>430</v>
      </c>
    </row>
    <row r="8209" spans="1:6" x14ac:dyDescent="0.25">
      <c r="A8209" s="189" t="str">
        <f t="shared" si="128"/>
        <v>PG-MD 976A00.14S</v>
      </c>
      <c r="B8209" s="195" t="s">
        <v>3877</v>
      </c>
      <c r="C8209" s="196">
        <v>0</v>
      </c>
      <c r="D8209" s="196">
        <v>0.14000000000000001</v>
      </c>
      <c r="E8209" s="195" t="s">
        <v>595</v>
      </c>
      <c r="F8209" s="195" t="s">
        <v>438</v>
      </c>
    </row>
    <row r="8210" spans="1:6" x14ac:dyDescent="0.25">
      <c r="A8210" s="189" t="str">
        <f t="shared" si="128"/>
        <v>PG-MD 976B00.22N</v>
      </c>
      <c r="B8210" s="195" t="s">
        <v>3878</v>
      </c>
      <c r="C8210" s="196">
        <v>0</v>
      </c>
      <c r="D8210" s="196">
        <v>0.22</v>
      </c>
      <c r="E8210" s="195" t="s">
        <v>583</v>
      </c>
      <c r="F8210" s="195" t="s">
        <v>430</v>
      </c>
    </row>
    <row r="8211" spans="1:6" x14ac:dyDescent="0.25">
      <c r="A8211" s="189" t="str">
        <f t="shared" si="128"/>
        <v>PG-MD 976B00.22S</v>
      </c>
      <c r="B8211" s="195" t="s">
        <v>3878</v>
      </c>
      <c r="C8211" s="196">
        <v>0</v>
      </c>
      <c r="D8211" s="196">
        <v>0.22</v>
      </c>
      <c r="E8211" s="195" t="s">
        <v>583</v>
      </c>
      <c r="F8211" s="195" t="s">
        <v>438</v>
      </c>
    </row>
    <row r="8212" spans="1:6" x14ac:dyDescent="0.25">
      <c r="A8212" s="189" t="str">
        <f t="shared" si="128"/>
        <v>PG-MD 976C00.16E</v>
      </c>
      <c r="B8212" s="195" t="s">
        <v>3879</v>
      </c>
      <c r="C8212" s="196">
        <v>0</v>
      </c>
      <c r="D8212" s="196">
        <v>0.16</v>
      </c>
      <c r="E8212" s="195" t="s">
        <v>598</v>
      </c>
      <c r="F8212" s="195" t="s">
        <v>19</v>
      </c>
    </row>
    <row r="8213" spans="1:6" x14ac:dyDescent="0.25">
      <c r="A8213" s="189" t="str">
        <f t="shared" si="128"/>
        <v>PG-MD 976C00.16W</v>
      </c>
      <c r="B8213" s="195" t="s">
        <v>3879</v>
      </c>
      <c r="C8213" s="196">
        <v>0</v>
      </c>
      <c r="D8213" s="196">
        <v>0.16</v>
      </c>
      <c r="E8213" s="195" t="s">
        <v>593</v>
      </c>
      <c r="F8213" s="195" t="s">
        <v>432</v>
      </c>
    </row>
    <row r="8214" spans="1:6" x14ac:dyDescent="0.25">
      <c r="A8214" s="189" t="str">
        <f t="shared" si="128"/>
        <v>PG-MD 977F00.44N</v>
      </c>
      <c r="B8214" s="195" t="s">
        <v>3880</v>
      </c>
      <c r="C8214" s="196">
        <v>0</v>
      </c>
      <c r="D8214" s="196">
        <v>0.44</v>
      </c>
      <c r="E8214" s="195" t="s">
        <v>589</v>
      </c>
      <c r="F8214" s="195" t="s">
        <v>430</v>
      </c>
    </row>
    <row r="8215" spans="1:6" x14ac:dyDescent="0.25">
      <c r="A8215" s="189" t="str">
        <f t="shared" si="128"/>
        <v>PG-MD 977F00.48S</v>
      </c>
      <c r="B8215" s="195" t="s">
        <v>3880</v>
      </c>
      <c r="C8215" s="196">
        <v>0</v>
      </c>
      <c r="D8215" s="196">
        <v>0.48</v>
      </c>
      <c r="E8215" s="195" t="s">
        <v>595</v>
      </c>
      <c r="F8215" s="195" t="s">
        <v>438</v>
      </c>
    </row>
    <row r="8216" spans="1:6" x14ac:dyDescent="0.25">
      <c r="A8216" s="189" t="str">
        <f t="shared" si="128"/>
        <v>PG-MD 977H00.02N</v>
      </c>
      <c r="B8216" s="195" t="s">
        <v>3881</v>
      </c>
      <c r="C8216" s="196">
        <v>0</v>
      </c>
      <c r="D8216" s="196">
        <v>0.02</v>
      </c>
      <c r="E8216" s="195" t="s">
        <v>589</v>
      </c>
      <c r="F8216" s="195" t="s">
        <v>430</v>
      </c>
    </row>
    <row r="8217" spans="1:6" x14ac:dyDescent="0.25">
      <c r="A8217" s="189" t="str">
        <f t="shared" si="128"/>
        <v>PG-MD 977H00.02S</v>
      </c>
      <c r="B8217" s="195" t="s">
        <v>3881</v>
      </c>
      <c r="C8217" s="196">
        <v>0</v>
      </c>
      <c r="D8217" s="196">
        <v>0.02</v>
      </c>
      <c r="E8217" s="195" t="s">
        <v>595</v>
      </c>
      <c r="F8217" s="195" t="s">
        <v>438</v>
      </c>
    </row>
    <row r="8218" spans="1:6" x14ac:dyDescent="0.25">
      <c r="A8218" s="189" t="str">
        <f t="shared" si="128"/>
        <v>PG-MD 977H0.020.03N</v>
      </c>
      <c r="B8218" s="195" t="s">
        <v>3881</v>
      </c>
      <c r="C8218" s="196">
        <v>0.02</v>
      </c>
      <c r="D8218" s="196">
        <v>0.03</v>
      </c>
      <c r="E8218" s="195" t="s">
        <v>589</v>
      </c>
      <c r="F8218" s="195" t="s">
        <v>430</v>
      </c>
    </row>
    <row r="8219" spans="1:6" x14ac:dyDescent="0.25">
      <c r="A8219" s="189" t="str">
        <f t="shared" si="128"/>
        <v>PG-MD 977H0.020.03S</v>
      </c>
      <c r="B8219" s="195" t="s">
        <v>3881</v>
      </c>
      <c r="C8219" s="196">
        <v>0.02</v>
      </c>
      <c r="D8219" s="196">
        <v>0.03</v>
      </c>
      <c r="E8219" s="195" t="s">
        <v>595</v>
      </c>
      <c r="F8219" s="195" t="s">
        <v>438</v>
      </c>
    </row>
    <row r="8220" spans="1:6" x14ac:dyDescent="0.25">
      <c r="A8220" s="189" t="str">
        <f t="shared" si="128"/>
        <v>PG-MD 978A00.29E</v>
      </c>
      <c r="B8220" s="195" t="s">
        <v>3882</v>
      </c>
      <c r="C8220" s="196">
        <v>0</v>
      </c>
      <c r="D8220" s="196">
        <v>0.28999999999999998</v>
      </c>
      <c r="E8220" s="195" t="s">
        <v>583</v>
      </c>
      <c r="F8220" s="195" t="s">
        <v>19</v>
      </c>
    </row>
    <row r="8221" spans="1:6" x14ac:dyDescent="0.25">
      <c r="A8221" s="189" t="str">
        <f t="shared" si="128"/>
        <v>PG-MD 978A00.29W</v>
      </c>
      <c r="B8221" s="195" t="s">
        <v>3882</v>
      </c>
      <c r="C8221" s="196">
        <v>0</v>
      </c>
      <c r="D8221" s="196">
        <v>0.28999999999999998</v>
      </c>
      <c r="E8221" s="195" t="s">
        <v>583</v>
      </c>
      <c r="F8221" s="195" t="s">
        <v>432</v>
      </c>
    </row>
    <row r="8222" spans="1:6" x14ac:dyDescent="0.25">
      <c r="A8222" s="189" t="str">
        <f t="shared" si="128"/>
        <v>PG-MD 978A0.290.41E</v>
      </c>
      <c r="B8222" s="195" t="s">
        <v>3882</v>
      </c>
      <c r="C8222" s="196">
        <v>0.28999999999999998</v>
      </c>
      <c r="D8222" s="196">
        <v>0.41</v>
      </c>
      <c r="E8222" s="195" t="s">
        <v>583</v>
      </c>
      <c r="F8222" s="195" t="s">
        <v>19</v>
      </c>
    </row>
    <row r="8223" spans="1:6" x14ac:dyDescent="0.25">
      <c r="A8223" s="189" t="str">
        <f t="shared" si="128"/>
        <v>PG-MD 978A0.290.41W</v>
      </c>
      <c r="B8223" s="195" t="s">
        <v>3882</v>
      </c>
      <c r="C8223" s="196">
        <v>0.28999999999999998</v>
      </c>
      <c r="D8223" s="196">
        <v>0.41</v>
      </c>
      <c r="E8223" s="195" t="s">
        <v>583</v>
      </c>
      <c r="F8223" s="195" t="s">
        <v>432</v>
      </c>
    </row>
    <row r="8224" spans="1:6" x14ac:dyDescent="0.25">
      <c r="A8224" s="189" t="str">
        <f t="shared" si="128"/>
        <v>PG-MD 978A0.410.5E</v>
      </c>
      <c r="B8224" s="195" t="s">
        <v>3882</v>
      </c>
      <c r="C8224" s="196">
        <v>0.41</v>
      </c>
      <c r="D8224" s="196">
        <v>0.5</v>
      </c>
      <c r="E8224" s="195" t="s">
        <v>583</v>
      </c>
      <c r="F8224" s="195" t="s">
        <v>19</v>
      </c>
    </row>
    <row r="8225" spans="1:6" x14ac:dyDescent="0.25">
      <c r="A8225" s="189" t="str">
        <f t="shared" si="128"/>
        <v>PG-MD 978A0.410.5W</v>
      </c>
      <c r="B8225" s="195" t="s">
        <v>3882</v>
      </c>
      <c r="C8225" s="196">
        <v>0.41</v>
      </c>
      <c r="D8225" s="196">
        <v>0.5</v>
      </c>
      <c r="E8225" s="195" t="s">
        <v>583</v>
      </c>
      <c r="F8225" s="195" t="s">
        <v>432</v>
      </c>
    </row>
    <row r="8226" spans="1:6" x14ac:dyDescent="0.25">
      <c r="A8226" s="189" t="str">
        <f t="shared" si="128"/>
        <v>PG-MD 978A0.50.63E</v>
      </c>
      <c r="B8226" s="195" t="s">
        <v>3882</v>
      </c>
      <c r="C8226" s="196">
        <v>0.5</v>
      </c>
      <c r="D8226" s="196">
        <v>0.63</v>
      </c>
      <c r="E8226" s="195" t="s">
        <v>583</v>
      </c>
      <c r="F8226" s="195" t="s">
        <v>19</v>
      </c>
    </row>
    <row r="8227" spans="1:6" x14ac:dyDescent="0.25">
      <c r="A8227" s="189" t="str">
        <f t="shared" si="128"/>
        <v>PG-MD 978A0.50.63W</v>
      </c>
      <c r="B8227" s="195" t="s">
        <v>3882</v>
      </c>
      <c r="C8227" s="196">
        <v>0.5</v>
      </c>
      <c r="D8227" s="196">
        <v>0.63</v>
      </c>
      <c r="E8227" s="195" t="s">
        <v>583</v>
      </c>
      <c r="F8227" s="195" t="s">
        <v>432</v>
      </c>
    </row>
    <row r="8228" spans="1:6" x14ac:dyDescent="0.25">
      <c r="A8228" s="189" t="str">
        <f t="shared" si="128"/>
        <v>PG-MD 978B00.48E</v>
      </c>
      <c r="B8228" s="195" t="s">
        <v>3883</v>
      </c>
      <c r="C8228" s="196">
        <v>0</v>
      </c>
      <c r="D8228" s="196">
        <v>0.48</v>
      </c>
      <c r="E8228" s="195" t="s">
        <v>583</v>
      </c>
      <c r="F8228" s="195" t="s">
        <v>19</v>
      </c>
    </row>
    <row r="8229" spans="1:6" x14ac:dyDescent="0.25">
      <c r="A8229" s="189" t="str">
        <f t="shared" si="128"/>
        <v>PG-MD 978B00.48W</v>
      </c>
      <c r="B8229" s="195" t="s">
        <v>3883</v>
      </c>
      <c r="C8229" s="196">
        <v>0</v>
      </c>
      <c r="D8229" s="196">
        <v>0.48</v>
      </c>
      <c r="E8229" s="195" t="s">
        <v>583</v>
      </c>
      <c r="F8229" s="195" t="s">
        <v>432</v>
      </c>
    </row>
    <row r="8230" spans="1:6" x14ac:dyDescent="0.25">
      <c r="A8230" s="189" t="str">
        <f t="shared" si="128"/>
        <v>PG-MD 978B0.480.84E</v>
      </c>
      <c r="B8230" s="195" t="s">
        <v>3883</v>
      </c>
      <c r="C8230" s="196">
        <v>0.48</v>
      </c>
      <c r="D8230" s="196">
        <v>0.84</v>
      </c>
      <c r="E8230" s="195" t="s">
        <v>583</v>
      </c>
      <c r="F8230" s="195" t="s">
        <v>19</v>
      </c>
    </row>
    <row r="8231" spans="1:6" x14ac:dyDescent="0.25">
      <c r="A8231" s="189" t="str">
        <f t="shared" si="128"/>
        <v>PG-MD 978B0.480.84W</v>
      </c>
      <c r="B8231" s="195" t="s">
        <v>3883</v>
      </c>
      <c r="C8231" s="196">
        <v>0.48</v>
      </c>
      <c r="D8231" s="196">
        <v>0.84</v>
      </c>
      <c r="E8231" s="195" t="s">
        <v>583</v>
      </c>
      <c r="F8231" s="195" t="s">
        <v>432</v>
      </c>
    </row>
    <row r="8232" spans="1:6" x14ac:dyDescent="0.25">
      <c r="A8232" s="189" t="str">
        <f t="shared" si="128"/>
        <v>PG-MD 97900.07N</v>
      </c>
      <c r="B8232" s="195" t="s">
        <v>3884</v>
      </c>
      <c r="C8232" s="196">
        <v>0</v>
      </c>
      <c r="D8232" s="196">
        <v>7.0000000000000007E-2</v>
      </c>
      <c r="E8232" s="195" t="s">
        <v>589</v>
      </c>
      <c r="F8232" s="195" t="s">
        <v>430</v>
      </c>
    </row>
    <row r="8233" spans="1:6" x14ac:dyDescent="0.25">
      <c r="A8233" s="189" t="str">
        <f t="shared" si="128"/>
        <v>PG-MD 97900.07S</v>
      </c>
      <c r="B8233" s="195" t="s">
        <v>3884</v>
      </c>
      <c r="C8233" s="196">
        <v>0</v>
      </c>
      <c r="D8233" s="196">
        <v>7.0000000000000007E-2</v>
      </c>
      <c r="E8233" s="195" t="s">
        <v>595</v>
      </c>
      <c r="F8233" s="195" t="s">
        <v>438</v>
      </c>
    </row>
    <row r="8234" spans="1:6" x14ac:dyDescent="0.25">
      <c r="A8234" s="189" t="str">
        <f t="shared" si="128"/>
        <v>PG-MD 980D00.27E</v>
      </c>
      <c r="B8234" s="195" t="s">
        <v>3885</v>
      </c>
      <c r="C8234" s="196">
        <v>0</v>
      </c>
      <c r="D8234" s="196">
        <v>0.27</v>
      </c>
      <c r="E8234" s="195" t="s">
        <v>583</v>
      </c>
      <c r="F8234" s="195" t="s">
        <v>19</v>
      </c>
    </row>
    <row r="8235" spans="1:6" x14ac:dyDescent="0.25">
      <c r="A8235" s="189" t="str">
        <f t="shared" si="128"/>
        <v>PG-MD 980D00.27W</v>
      </c>
      <c r="B8235" s="195" t="s">
        <v>3885</v>
      </c>
      <c r="C8235" s="196">
        <v>0</v>
      </c>
      <c r="D8235" s="196">
        <v>0.27</v>
      </c>
      <c r="E8235" s="195" t="s">
        <v>583</v>
      </c>
      <c r="F8235" s="195" t="s">
        <v>432</v>
      </c>
    </row>
    <row r="8236" spans="1:6" x14ac:dyDescent="0.25">
      <c r="A8236" s="189" t="str">
        <f t="shared" si="128"/>
        <v>PG-US 11.71.83N</v>
      </c>
      <c r="B8236" s="195" t="s">
        <v>475</v>
      </c>
      <c r="C8236" s="196">
        <v>1.7</v>
      </c>
      <c r="D8236" s="196">
        <v>1.83</v>
      </c>
      <c r="E8236" s="195" t="s">
        <v>589</v>
      </c>
      <c r="F8236" s="195" t="s">
        <v>430</v>
      </c>
    </row>
    <row r="8237" spans="1:6" x14ac:dyDescent="0.25">
      <c r="A8237" s="189" t="str">
        <f t="shared" si="128"/>
        <v>PG-US 11.832.5N</v>
      </c>
      <c r="B8237" s="195" t="s">
        <v>475</v>
      </c>
      <c r="C8237" s="196">
        <v>1.83</v>
      </c>
      <c r="D8237" s="196">
        <v>2.5</v>
      </c>
      <c r="E8237" s="195" t="s">
        <v>583</v>
      </c>
      <c r="F8237" s="195" t="s">
        <v>430</v>
      </c>
    </row>
    <row r="8238" spans="1:6" x14ac:dyDescent="0.25">
      <c r="A8238" s="189" t="str">
        <f t="shared" si="128"/>
        <v>PG-US 11.832.5S</v>
      </c>
      <c r="B8238" s="195" t="s">
        <v>475</v>
      </c>
      <c r="C8238" s="196">
        <v>1.83</v>
      </c>
      <c r="D8238" s="196">
        <v>2.5</v>
      </c>
      <c r="E8238" s="195" t="s">
        <v>583</v>
      </c>
      <c r="F8238" s="195" t="s">
        <v>438</v>
      </c>
    </row>
    <row r="8239" spans="1:6" x14ac:dyDescent="0.25">
      <c r="A8239" s="189" t="str">
        <f t="shared" si="128"/>
        <v>PG-US 12.52.64N</v>
      </c>
      <c r="B8239" s="195" t="s">
        <v>475</v>
      </c>
      <c r="C8239" s="196">
        <v>2.5</v>
      </c>
      <c r="D8239" s="196">
        <v>2.64</v>
      </c>
      <c r="E8239" s="195" t="s">
        <v>583</v>
      </c>
      <c r="F8239" s="195" t="s">
        <v>430</v>
      </c>
    </row>
    <row r="8240" spans="1:6" x14ac:dyDescent="0.25">
      <c r="A8240" s="189" t="str">
        <f t="shared" si="128"/>
        <v>PG-US 12.52.64S</v>
      </c>
      <c r="B8240" s="195" t="s">
        <v>475</v>
      </c>
      <c r="C8240" s="196">
        <v>2.5</v>
      </c>
      <c r="D8240" s="196">
        <v>2.64</v>
      </c>
      <c r="E8240" s="195" t="s">
        <v>583</v>
      </c>
      <c r="F8240" s="195" t="s">
        <v>438</v>
      </c>
    </row>
    <row r="8241" spans="1:6" x14ac:dyDescent="0.25">
      <c r="A8241" s="189" t="str">
        <f t="shared" si="128"/>
        <v>PG-US 12.643.83N</v>
      </c>
      <c r="B8241" s="195" t="s">
        <v>475</v>
      </c>
      <c r="C8241" s="196">
        <v>2.64</v>
      </c>
      <c r="D8241" s="196">
        <v>3.83</v>
      </c>
      <c r="E8241" s="195" t="s">
        <v>583</v>
      </c>
      <c r="F8241" s="195" t="s">
        <v>430</v>
      </c>
    </row>
    <row r="8242" spans="1:6" x14ac:dyDescent="0.25">
      <c r="A8242" s="189" t="str">
        <f t="shared" si="128"/>
        <v>PG-US 12.643.83S</v>
      </c>
      <c r="B8242" s="195" t="s">
        <v>475</v>
      </c>
      <c r="C8242" s="196">
        <v>2.64</v>
      </c>
      <c r="D8242" s="196">
        <v>3.83</v>
      </c>
      <c r="E8242" s="195" t="s">
        <v>583</v>
      </c>
      <c r="F8242" s="195" t="s">
        <v>438</v>
      </c>
    </row>
    <row r="8243" spans="1:6" x14ac:dyDescent="0.25">
      <c r="A8243" s="189" t="str">
        <f t="shared" si="128"/>
        <v>PG-US 14.365.24N</v>
      </c>
      <c r="B8243" s="195" t="s">
        <v>475</v>
      </c>
      <c r="C8243" s="196">
        <v>4.3600000000000003</v>
      </c>
      <c r="D8243" s="196">
        <v>5.24</v>
      </c>
      <c r="E8243" s="195" t="s">
        <v>583</v>
      </c>
      <c r="F8243" s="195" t="s">
        <v>430</v>
      </c>
    </row>
    <row r="8244" spans="1:6" x14ac:dyDescent="0.25">
      <c r="A8244" s="189" t="str">
        <f t="shared" si="128"/>
        <v>PG-US 14.365.24S</v>
      </c>
      <c r="B8244" s="195" t="s">
        <v>475</v>
      </c>
      <c r="C8244" s="196">
        <v>4.3600000000000003</v>
      </c>
      <c r="D8244" s="196">
        <v>5.24</v>
      </c>
      <c r="E8244" s="195" t="s">
        <v>583</v>
      </c>
      <c r="F8244" s="195" t="s">
        <v>438</v>
      </c>
    </row>
    <row r="8245" spans="1:6" x14ac:dyDescent="0.25">
      <c r="A8245" s="189" t="str">
        <f t="shared" si="128"/>
        <v>PG-US 15.245.54N</v>
      </c>
      <c r="B8245" s="195" t="s">
        <v>475</v>
      </c>
      <c r="C8245" s="196">
        <v>5.24</v>
      </c>
      <c r="D8245" s="196">
        <v>5.54</v>
      </c>
      <c r="E8245" s="195" t="s">
        <v>583</v>
      </c>
      <c r="F8245" s="195" t="s">
        <v>430</v>
      </c>
    </row>
    <row r="8246" spans="1:6" x14ac:dyDescent="0.25">
      <c r="A8246" s="189" t="str">
        <f t="shared" si="128"/>
        <v>PG-US 15.245.54S</v>
      </c>
      <c r="B8246" s="195" t="s">
        <v>475</v>
      </c>
      <c r="C8246" s="196">
        <v>5.24</v>
      </c>
      <c r="D8246" s="196">
        <v>5.54</v>
      </c>
      <c r="E8246" s="195" t="s">
        <v>583</v>
      </c>
      <c r="F8246" s="195" t="s">
        <v>438</v>
      </c>
    </row>
    <row r="8247" spans="1:6" x14ac:dyDescent="0.25">
      <c r="A8247" s="189" t="str">
        <f t="shared" si="128"/>
        <v>PG-US 15.545.76N</v>
      </c>
      <c r="B8247" s="195" t="s">
        <v>475</v>
      </c>
      <c r="C8247" s="196">
        <v>5.54</v>
      </c>
      <c r="D8247" s="196">
        <v>5.76</v>
      </c>
      <c r="E8247" s="195" t="s">
        <v>583</v>
      </c>
      <c r="F8247" s="195" t="s">
        <v>430</v>
      </c>
    </row>
    <row r="8248" spans="1:6" x14ac:dyDescent="0.25">
      <c r="A8248" s="189" t="str">
        <f t="shared" si="128"/>
        <v>PG-US 15.545.76S</v>
      </c>
      <c r="B8248" s="195" t="s">
        <v>475</v>
      </c>
      <c r="C8248" s="196">
        <v>5.54</v>
      </c>
      <c r="D8248" s="196">
        <v>5.76</v>
      </c>
      <c r="E8248" s="195" t="s">
        <v>583</v>
      </c>
      <c r="F8248" s="195" t="s">
        <v>438</v>
      </c>
    </row>
    <row r="8249" spans="1:6" x14ac:dyDescent="0.25">
      <c r="A8249" s="189" t="str">
        <f t="shared" si="128"/>
        <v>PG-US 15.765.95N</v>
      </c>
      <c r="B8249" s="195" t="s">
        <v>475</v>
      </c>
      <c r="C8249" s="196">
        <v>5.76</v>
      </c>
      <c r="D8249" s="196">
        <v>5.95</v>
      </c>
      <c r="E8249" s="195" t="s">
        <v>583</v>
      </c>
      <c r="F8249" s="195" t="s">
        <v>430</v>
      </c>
    </row>
    <row r="8250" spans="1:6" x14ac:dyDescent="0.25">
      <c r="A8250" s="189" t="str">
        <f t="shared" si="128"/>
        <v>PG-US 15.765.95S</v>
      </c>
      <c r="B8250" s="195" t="s">
        <v>475</v>
      </c>
      <c r="C8250" s="196">
        <v>5.76</v>
      </c>
      <c r="D8250" s="196">
        <v>5.95</v>
      </c>
      <c r="E8250" s="195" t="s">
        <v>583</v>
      </c>
      <c r="F8250" s="195" t="s">
        <v>438</v>
      </c>
    </row>
    <row r="8251" spans="1:6" x14ac:dyDescent="0.25">
      <c r="A8251" s="189" t="str">
        <f t="shared" si="128"/>
        <v>PG-US 15.956.15N</v>
      </c>
      <c r="B8251" s="195" t="s">
        <v>475</v>
      </c>
      <c r="C8251" s="196">
        <v>5.95</v>
      </c>
      <c r="D8251" s="196">
        <v>6.15</v>
      </c>
      <c r="E8251" s="195" t="s">
        <v>583</v>
      </c>
      <c r="F8251" s="195" t="s">
        <v>430</v>
      </c>
    </row>
    <row r="8252" spans="1:6" x14ac:dyDescent="0.25">
      <c r="A8252" s="189" t="str">
        <f t="shared" si="128"/>
        <v>PG-US 15.956.15S</v>
      </c>
      <c r="B8252" s="195" t="s">
        <v>475</v>
      </c>
      <c r="C8252" s="196">
        <v>5.95</v>
      </c>
      <c r="D8252" s="196">
        <v>6.15</v>
      </c>
      <c r="E8252" s="195" t="s">
        <v>583</v>
      </c>
      <c r="F8252" s="195" t="s">
        <v>438</v>
      </c>
    </row>
    <row r="8253" spans="1:6" x14ac:dyDescent="0.25">
      <c r="A8253" s="189" t="str">
        <f t="shared" si="128"/>
        <v>PG-US 17.18N</v>
      </c>
      <c r="B8253" s="195" t="s">
        <v>475</v>
      </c>
      <c r="C8253" s="196">
        <v>7.1</v>
      </c>
      <c r="D8253" s="196">
        <v>8</v>
      </c>
      <c r="E8253" s="195" t="s">
        <v>589</v>
      </c>
      <c r="F8253" s="195" t="s">
        <v>430</v>
      </c>
    </row>
    <row r="8254" spans="1:6" x14ac:dyDescent="0.25">
      <c r="A8254" s="189" t="str">
        <f t="shared" si="128"/>
        <v>PG-US 17.118S</v>
      </c>
      <c r="B8254" s="195" t="s">
        <v>475</v>
      </c>
      <c r="C8254" s="196">
        <v>7.11</v>
      </c>
      <c r="D8254" s="196">
        <v>8</v>
      </c>
      <c r="E8254" s="195" t="s">
        <v>595</v>
      </c>
      <c r="F8254" s="195" t="s">
        <v>438</v>
      </c>
    </row>
    <row r="8255" spans="1:6" x14ac:dyDescent="0.25">
      <c r="A8255" s="189" t="str">
        <f t="shared" si="128"/>
        <v>PG-US 188.9N</v>
      </c>
      <c r="B8255" s="195" t="s">
        <v>475</v>
      </c>
      <c r="C8255" s="196">
        <v>8</v>
      </c>
      <c r="D8255" s="196">
        <v>8.9</v>
      </c>
      <c r="E8255" s="195" t="s">
        <v>583</v>
      </c>
      <c r="F8255" s="195" t="s">
        <v>430</v>
      </c>
    </row>
    <row r="8256" spans="1:6" x14ac:dyDescent="0.25">
      <c r="A8256" s="189" t="str">
        <f t="shared" si="128"/>
        <v>PG-US 188.9S</v>
      </c>
      <c r="B8256" s="195" t="s">
        <v>475</v>
      </c>
      <c r="C8256" s="196">
        <v>8</v>
      </c>
      <c r="D8256" s="196">
        <v>8.9</v>
      </c>
      <c r="E8256" s="195" t="s">
        <v>583</v>
      </c>
      <c r="F8256" s="195" t="s">
        <v>438</v>
      </c>
    </row>
    <row r="8257" spans="1:6" x14ac:dyDescent="0.25">
      <c r="A8257" s="189" t="str">
        <f t="shared" si="128"/>
        <v>PG-US 19.169.48N</v>
      </c>
      <c r="B8257" s="195" t="s">
        <v>475</v>
      </c>
      <c r="C8257" s="196">
        <v>9.16</v>
      </c>
      <c r="D8257" s="196">
        <v>9.48</v>
      </c>
      <c r="E8257" s="195" t="s">
        <v>583</v>
      </c>
      <c r="F8257" s="195" t="s">
        <v>430</v>
      </c>
    </row>
    <row r="8258" spans="1:6" x14ac:dyDescent="0.25">
      <c r="A8258" s="189" t="str">
        <f t="shared" si="128"/>
        <v>PG-US 19.169.48S</v>
      </c>
      <c r="B8258" s="195" t="s">
        <v>475</v>
      </c>
      <c r="C8258" s="196">
        <v>9.16</v>
      </c>
      <c r="D8258" s="196">
        <v>9.48</v>
      </c>
      <c r="E8258" s="195" t="s">
        <v>583</v>
      </c>
      <c r="F8258" s="195" t="s">
        <v>438</v>
      </c>
    </row>
    <row r="8259" spans="1:6" x14ac:dyDescent="0.25">
      <c r="A8259" s="189" t="str">
        <f t="shared" ref="A8259:A8322" si="129">B8259&amp;C8259&amp;D8259&amp;F8259</f>
        <v>PG-US 19.489.87N</v>
      </c>
      <c r="B8259" s="195" t="s">
        <v>475</v>
      </c>
      <c r="C8259" s="196">
        <v>9.48</v>
      </c>
      <c r="D8259" s="196">
        <v>9.8699999999999992</v>
      </c>
      <c r="E8259" s="195" t="s">
        <v>583</v>
      </c>
      <c r="F8259" s="195" t="s">
        <v>430</v>
      </c>
    </row>
    <row r="8260" spans="1:6" x14ac:dyDescent="0.25">
      <c r="A8260" s="189" t="str">
        <f t="shared" si="129"/>
        <v>PG-US 19.489.87S</v>
      </c>
      <c r="B8260" s="195" t="s">
        <v>475</v>
      </c>
      <c r="C8260" s="196">
        <v>9.48</v>
      </c>
      <c r="D8260" s="196">
        <v>9.8699999999999992</v>
      </c>
      <c r="E8260" s="195" t="s">
        <v>583</v>
      </c>
      <c r="F8260" s="195" t="s">
        <v>438</v>
      </c>
    </row>
    <row r="8261" spans="1:6" x14ac:dyDescent="0.25">
      <c r="A8261" s="189" t="str">
        <f t="shared" si="129"/>
        <v>PG-US 19.8711.35N</v>
      </c>
      <c r="B8261" s="195" t="s">
        <v>475</v>
      </c>
      <c r="C8261" s="196">
        <v>9.8699999999999992</v>
      </c>
      <c r="D8261" s="196">
        <v>11.35</v>
      </c>
      <c r="E8261" s="195" t="s">
        <v>583</v>
      </c>
      <c r="F8261" s="195" t="s">
        <v>430</v>
      </c>
    </row>
    <row r="8262" spans="1:6" x14ac:dyDescent="0.25">
      <c r="A8262" s="189" t="str">
        <f t="shared" si="129"/>
        <v>PG-US 19.8711.35S</v>
      </c>
      <c r="B8262" s="195" t="s">
        <v>475</v>
      </c>
      <c r="C8262" s="196">
        <v>9.8699999999999992</v>
      </c>
      <c r="D8262" s="196">
        <v>11.35</v>
      </c>
      <c r="E8262" s="195" t="s">
        <v>583</v>
      </c>
      <c r="F8262" s="195" t="s">
        <v>438</v>
      </c>
    </row>
    <row r="8263" spans="1:6" x14ac:dyDescent="0.25">
      <c r="A8263" s="189" t="str">
        <f t="shared" si="129"/>
        <v>PG-US 111.3512.7N</v>
      </c>
      <c r="B8263" s="195" t="s">
        <v>475</v>
      </c>
      <c r="C8263" s="196">
        <v>11.35</v>
      </c>
      <c r="D8263" s="196">
        <v>12.7</v>
      </c>
      <c r="E8263" s="195" t="s">
        <v>583</v>
      </c>
      <c r="F8263" s="195" t="s">
        <v>430</v>
      </c>
    </row>
    <row r="8264" spans="1:6" x14ac:dyDescent="0.25">
      <c r="A8264" s="189" t="str">
        <f t="shared" si="129"/>
        <v>PG-US 111.3512.7S</v>
      </c>
      <c r="B8264" s="195" t="s">
        <v>475</v>
      </c>
      <c r="C8264" s="196">
        <v>11.35</v>
      </c>
      <c r="D8264" s="196">
        <v>12.7</v>
      </c>
      <c r="E8264" s="195" t="s">
        <v>583</v>
      </c>
      <c r="F8264" s="195" t="s">
        <v>438</v>
      </c>
    </row>
    <row r="8265" spans="1:6" x14ac:dyDescent="0.25">
      <c r="A8265" s="189" t="str">
        <f t="shared" si="129"/>
        <v>PG-US 112.714.12N</v>
      </c>
      <c r="B8265" s="195" t="s">
        <v>475</v>
      </c>
      <c r="C8265" s="196">
        <v>12.7</v>
      </c>
      <c r="D8265" s="196">
        <v>14.12</v>
      </c>
      <c r="E8265" s="195" t="s">
        <v>583</v>
      </c>
      <c r="F8265" s="195" t="s">
        <v>430</v>
      </c>
    </row>
    <row r="8266" spans="1:6" x14ac:dyDescent="0.25">
      <c r="A8266" s="189" t="str">
        <f t="shared" si="129"/>
        <v>PG-US 112.714.12S</v>
      </c>
      <c r="B8266" s="195" t="s">
        <v>475</v>
      </c>
      <c r="C8266" s="196">
        <v>12.7</v>
      </c>
      <c r="D8266" s="196">
        <v>14.12</v>
      </c>
      <c r="E8266" s="195" t="s">
        <v>583</v>
      </c>
      <c r="F8266" s="195" t="s">
        <v>438</v>
      </c>
    </row>
    <row r="8267" spans="1:6" x14ac:dyDescent="0.25">
      <c r="A8267" s="189" t="str">
        <f t="shared" si="129"/>
        <v>PG-US 1 RP1-500.14N</v>
      </c>
      <c r="B8267" s="195" t="s">
        <v>3886</v>
      </c>
      <c r="C8267" s="196">
        <v>0</v>
      </c>
      <c r="D8267" s="196">
        <v>0.14000000000000001</v>
      </c>
      <c r="E8267" s="195" t="s">
        <v>589</v>
      </c>
      <c r="F8267" s="195" t="s">
        <v>430</v>
      </c>
    </row>
    <row r="8268" spans="1:6" x14ac:dyDescent="0.25">
      <c r="A8268" s="189" t="str">
        <f t="shared" si="129"/>
        <v>PG-US 1 RP2-500.17W</v>
      </c>
      <c r="B8268" s="195" t="s">
        <v>3887</v>
      </c>
      <c r="C8268" s="196">
        <v>0</v>
      </c>
      <c r="D8268" s="196">
        <v>0.17</v>
      </c>
      <c r="E8268" s="195" t="s">
        <v>593</v>
      </c>
      <c r="F8268" s="195" t="s">
        <v>432</v>
      </c>
    </row>
    <row r="8269" spans="1:6" x14ac:dyDescent="0.25">
      <c r="A8269" s="189" t="str">
        <f t="shared" si="129"/>
        <v>PG-US 1 RP6-500.12E</v>
      </c>
      <c r="B8269" s="195" t="s">
        <v>3888</v>
      </c>
      <c r="C8269" s="196">
        <v>0</v>
      </c>
      <c r="D8269" s="196">
        <v>0.12</v>
      </c>
      <c r="E8269" s="195" t="s">
        <v>598</v>
      </c>
      <c r="F8269" s="195" t="s">
        <v>19</v>
      </c>
    </row>
    <row r="8270" spans="1:6" x14ac:dyDescent="0.25">
      <c r="A8270" s="189" t="str">
        <f t="shared" si="129"/>
        <v>PG-US 1 RP8-500.14S</v>
      </c>
      <c r="B8270" s="195" t="s">
        <v>3889</v>
      </c>
      <c r="C8270" s="196">
        <v>0</v>
      </c>
      <c r="D8270" s="196">
        <v>0.14000000000000001</v>
      </c>
      <c r="E8270" s="195" t="s">
        <v>595</v>
      </c>
      <c r="F8270" s="195" t="s">
        <v>438</v>
      </c>
    </row>
    <row r="8271" spans="1:6" x14ac:dyDescent="0.25">
      <c r="A8271" s="189" t="str">
        <f t="shared" si="129"/>
        <v>PG-US 1AL1.511.85N</v>
      </c>
      <c r="B8271" s="195" t="s">
        <v>3890</v>
      </c>
      <c r="C8271" s="196">
        <v>1.51</v>
      </c>
      <c r="D8271" s="196">
        <v>1.85</v>
      </c>
      <c r="E8271" s="195" t="s">
        <v>583</v>
      </c>
      <c r="F8271" s="195" t="s">
        <v>430</v>
      </c>
    </row>
    <row r="8272" spans="1:6" x14ac:dyDescent="0.25">
      <c r="A8272" s="189" t="str">
        <f t="shared" si="129"/>
        <v>PG-US 1AL1.511.85S</v>
      </c>
      <c r="B8272" s="195" t="s">
        <v>3890</v>
      </c>
      <c r="C8272" s="196">
        <v>1.51</v>
      </c>
      <c r="D8272" s="196">
        <v>1.85</v>
      </c>
      <c r="E8272" s="195" t="s">
        <v>583</v>
      </c>
      <c r="F8272" s="195" t="s">
        <v>438</v>
      </c>
    </row>
    <row r="8273" spans="1:6" x14ac:dyDescent="0.25">
      <c r="A8273" s="189" t="str">
        <f t="shared" si="129"/>
        <v>PG-US 1AL1.852.09N</v>
      </c>
      <c r="B8273" s="195" t="s">
        <v>3890</v>
      </c>
      <c r="C8273" s="196">
        <v>1.85</v>
      </c>
      <c r="D8273" s="196">
        <v>2.09</v>
      </c>
      <c r="E8273" s="195" t="s">
        <v>583</v>
      </c>
      <c r="F8273" s="195" t="s">
        <v>430</v>
      </c>
    </row>
    <row r="8274" spans="1:6" x14ac:dyDescent="0.25">
      <c r="A8274" s="189" t="str">
        <f t="shared" si="129"/>
        <v>PG-US 1AL1.852.09S</v>
      </c>
      <c r="B8274" s="195" t="s">
        <v>3890</v>
      </c>
      <c r="C8274" s="196">
        <v>1.85</v>
      </c>
      <c r="D8274" s="196">
        <v>2.09</v>
      </c>
      <c r="E8274" s="195" t="s">
        <v>583</v>
      </c>
      <c r="F8274" s="195" t="s">
        <v>438</v>
      </c>
    </row>
    <row r="8275" spans="1:6" x14ac:dyDescent="0.25">
      <c r="A8275" s="189" t="str">
        <f t="shared" si="129"/>
        <v>PG-US 301 RP1-1400.16N</v>
      </c>
      <c r="B8275" s="195" t="s">
        <v>3891</v>
      </c>
      <c r="C8275" s="196">
        <v>0</v>
      </c>
      <c r="D8275" s="196">
        <v>0.16</v>
      </c>
      <c r="E8275" s="195" t="s">
        <v>589</v>
      </c>
      <c r="F8275" s="195" t="s">
        <v>430</v>
      </c>
    </row>
    <row r="8276" spans="1:6" x14ac:dyDescent="0.25">
      <c r="A8276" s="189" t="str">
        <f t="shared" si="129"/>
        <v>PG-US 301 RP1-2000.16E</v>
      </c>
      <c r="B8276" s="195" t="s">
        <v>3892</v>
      </c>
      <c r="C8276" s="196">
        <v>0</v>
      </c>
      <c r="D8276" s="196">
        <v>0.16</v>
      </c>
      <c r="E8276" s="195" t="s">
        <v>598</v>
      </c>
      <c r="F8276" s="195" t="s">
        <v>19</v>
      </c>
    </row>
    <row r="8277" spans="1:6" x14ac:dyDescent="0.25">
      <c r="A8277" s="189" t="str">
        <f t="shared" si="129"/>
        <v>PG-US 301 RP2-1400.24W</v>
      </c>
      <c r="B8277" s="195" t="s">
        <v>3893</v>
      </c>
      <c r="C8277" s="196">
        <v>0</v>
      </c>
      <c r="D8277" s="196">
        <v>0.24</v>
      </c>
      <c r="E8277" s="195" t="s">
        <v>593</v>
      </c>
      <c r="F8277" s="195" t="s">
        <v>432</v>
      </c>
    </row>
    <row r="8278" spans="1:6" x14ac:dyDescent="0.25">
      <c r="A8278" s="189" t="str">
        <f t="shared" si="129"/>
        <v>PG-US 301 RP2-2000.26N</v>
      </c>
      <c r="B8278" s="195" t="s">
        <v>3894</v>
      </c>
      <c r="C8278" s="196">
        <v>0</v>
      </c>
      <c r="D8278" s="196">
        <v>0.26</v>
      </c>
      <c r="E8278" s="195" t="s">
        <v>589</v>
      </c>
      <c r="F8278" s="195" t="s">
        <v>430</v>
      </c>
    </row>
    <row r="8279" spans="1:6" x14ac:dyDescent="0.25">
      <c r="A8279" s="189" t="str">
        <f t="shared" si="129"/>
        <v>PG-US 301 RP3-1400.19E</v>
      </c>
      <c r="B8279" s="195" t="s">
        <v>3895</v>
      </c>
      <c r="C8279" s="196">
        <v>0</v>
      </c>
      <c r="D8279" s="196">
        <v>0.19</v>
      </c>
      <c r="E8279" s="195" t="s">
        <v>598</v>
      </c>
      <c r="F8279" s="195" t="s">
        <v>19</v>
      </c>
    </row>
    <row r="8280" spans="1:6" x14ac:dyDescent="0.25">
      <c r="A8280" s="189" t="str">
        <f t="shared" si="129"/>
        <v>PG-US 301 RP3-2000.16S</v>
      </c>
      <c r="B8280" s="195" t="s">
        <v>3896</v>
      </c>
      <c r="C8280" s="196">
        <v>0</v>
      </c>
      <c r="D8280" s="196">
        <v>0.16</v>
      </c>
      <c r="E8280" s="195" t="s">
        <v>595</v>
      </c>
      <c r="F8280" s="195" t="s">
        <v>438</v>
      </c>
    </row>
    <row r="8281" spans="1:6" x14ac:dyDescent="0.25">
      <c r="A8281" s="189" t="str">
        <f t="shared" si="129"/>
        <v>PG-US 301 RP4-1400.23N</v>
      </c>
      <c r="B8281" s="195" t="s">
        <v>3897</v>
      </c>
      <c r="C8281" s="196">
        <v>0</v>
      </c>
      <c r="D8281" s="196">
        <v>0.23</v>
      </c>
      <c r="E8281" s="195" t="s">
        <v>589</v>
      </c>
      <c r="F8281" s="195" t="s">
        <v>430</v>
      </c>
    </row>
    <row r="8282" spans="1:6" x14ac:dyDescent="0.25">
      <c r="A8282" s="189" t="str">
        <f t="shared" si="129"/>
        <v>PG-US 301 RP5-1400.19N</v>
      </c>
      <c r="B8282" s="195" t="s">
        <v>3898</v>
      </c>
      <c r="C8282" s="196">
        <v>0</v>
      </c>
      <c r="D8282" s="196">
        <v>0.19</v>
      </c>
      <c r="E8282" s="195" t="s">
        <v>589</v>
      </c>
      <c r="F8282" s="195" t="s">
        <v>430</v>
      </c>
    </row>
    <row r="8283" spans="1:6" x14ac:dyDescent="0.25">
      <c r="A8283" s="189" t="str">
        <f t="shared" si="129"/>
        <v>PG-US 301 RP5-2000.15S</v>
      </c>
      <c r="B8283" s="195" t="s">
        <v>3899</v>
      </c>
      <c r="C8283" s="196">
        <v>0</v>
      </c>
      <c r="D8283" s="196">
        <v>0.15</v>
      </c>
      <c r="E8283" s="195" t="s">
        <v>595</v>
      </c>
      <c r="F8283" s="195" t="s">
        <v>438</v>
      </c>
    </row>
    <row r="8284" spans="1:6" x14ac:dyDescent="0.25">
      <c r="A8284" s="189" t="str">
        <f t="shared" si="129"/>
        <v>PG-US 301 RP6-1400.2E</v>
      </c>
      <c r="B8284" s="195" t="s">
        <v>3900</v>
      </c>
      <c r="C8284" s="196">
        <v>0</v>
      </c>
      <c r="D8284" s="196">
        <v>0.2</v>
      </c>
      <c r="E8284" s="195" t="s">
        <v>598</v>
      </c>
      <c r="F8284" s="195" t="s">
        <v>19</v>
      </c>
    </row>
    <row r="8285" spans="1:6" x14ac:dyDescent="0.25">
      <c r="A8285" s="189" t="str">
        <f t="shared" si="129"/>
        <v>PG-US 301 RP7-1400.16W</v>
      </c>
      <c r="B8285" s="195" t="s">
        <v>3901</v>
      </c>
      <c r="C8285" s="196">
        <v>0</v>
      </c>
      <c r="D8285" s="196">
        <v>0.16</v>
      </c>
      <c r="E8285" s="195" t="s">
        <v>593</v>
      </c>
      <c r="F8285" s="195" t="s">
        <v>432</v>
      </c>
    </row>
    <row r="8286" spans="1:6" x14ac:dyDescent="0.25">
      <c r="A8286" s="189" t="str">
        <f t="shared" si="129"/>
        <v>PG-US 301 RP7-2000.15W</v>
      </c>
      <c r="B8286" s="195" t="s">
        <v>3902</v>
      </c>
      <c r="C8286" s="196">
        <v>0</v>
      </c>
      <c r="D8286" s="196">
        <v>0.15</v>
      </c>
      <c r="E8286" s="195" t="s">
        <v>593</v>
      </c>
      <c r="F8286" s="195" t="s">
        <v>432</v>
      </c>
    </row>
    <row r="8287" spans="1:6" x14ac:dyDescent="0.25">
      <c r="A8287" s="189" t="str">
        <f t="shared" si="129"/>
        <v>PG-US 301 RP8-1400.22S</v>
      </c>
      <c r="B8287" s="195" t="s">
        <v>3903</v>
      </c>
      <c r="C8287" s="196">
        <v>0</v>
      </c>
      <c r="D8287" s="196">
        <v>0.22</v>
      </c>
      <c r="E8287" s="195" t="s">
        <v>595</v>
      </c>
      <c r="F8287" s="195" t="s">
        <v>438</v>
      </c>
    </row>
    <row r="8288" spans="1:6" x14ac:dyDescent="0.25">
      <c r="A8288" s="189" t="str">
        <f t="shared" si="129"/>
        <v>PG-US 301 RP8-2000.16S</v>
      </c>
      <c r="B8288" s="195" t="s">
        <v>3904</v>
      </c>
      <c r="C8288" s="196">
        <v>0</v>
      </c>
      <c r="D8288" s="196">
        <v>0.16</v>
      </c>
      <c r="E8288" s="195" t="s">
        <v>595</v>
      </c>
      <c r="F8288" s="195" t="s">
        <v>438</v>
      </c>
    </row>
    <row r="8289" spans="1:6" x14ac:dyDescent="0.25">
      <c r="A8289" s="189" t="str">
        <f t="shared" si="129"/>
        <v>PG-US 50 RP10-100.05W</v>
      </c>
      <c r="B8289" s="195" t="s">
        <v>3905</v>
      </c>
      <c r="C8289" s="196">
        <v>0</v>
      </c>
      <c r="D8289" s="196">
        <v>0.05</v>
      </c>
      <c r="E8289" s="195" t="s">
        <v>593</v>
      </c>
      <c r="F8289" s="195" t="s">
        <v>432</v>
      </c>
    </row>
    <row r="8290" spans="1:6" x14ac:dyDescent="0.25">
      <c r="A8290" s="189" t="str">
        <f t="shared" si="129"/>
        <v>PG-US 50 RP1-100.06N</v>
      </c>
      <c r="B8290" s="195" t="s">
        <v>3906</v>
      </c>
      <c r="C8290" s="196">
        <v>0</v>
      </c>
      <c r="D8290" s="196">
        <v>0.06</v>
      </c>
      <c r="E8290" s="195" t="s">
        <v>589</v>
      </c>
      <c r="F8290" s="195" t="s">
        <v>430</v>
      </c>
    </row>
    <row r="8291" spans="1:6" x14ac:dyDescent="0.25">
      <c r="A8291" s="189" t="str">
        <f t="shared" si="129"/>
        <v>PG-US 50 RP1-300.16N</v>
      </c>
      <c r="B8291" s="195" t="s">
        <v>3907</v>
      </c>
      <c r="C8291" s="196">
        <v>0</v>
      </c>
      <c r="D8291" s="196">
        <v>0.16</v>
      </c>
      <c r="E8291" s="195" t="s">
        <v>589</v>
      </c>
      <c r="F8291" s="195" t="s">
        <v>430</v>
      </c>
    </row>
    <row r="8292" spans="1:6" x14ac:dyDescent="0.25">
      <c r="A8292" s="189" t="str">
        <f t="shared" si="129"/>
        <v>PG-US 50 RP1-500.06W</v>
      </c>
      <c r="B8292" s="195" t="s">
        <v>3908</v>
      </c>
      <c r="C8292" s="196">
        <v>0</v>
      </c>
      <c r="D8292" s="196">
        <v>0.06</v>
      </c>
      <c r="E8292" s="195" t="s">
        <v>593</v>
      </c>
      <c r="F8292" s="195" t="s">
        <v>432</v>
      </c>
    </row>
    <row r="8293" spans="1:6" x14ac:dyDescent="0.25">
      <c r="A8293" s="189" t="str">
        <f t="shared" si="129"/>
        <v>PG-US 50 RP2-200.19E</v>
      </c>
      <c r="B8293" s="195" t="s">
        <v>3909</v>
      </c>
      <c r="C8293" s="196">
        <v>0</v>
      </c>
      <c r="D8293" s="196">
        <v>0.19</v>
      </c>
      <c r="E8293" s="195" t="s">
        <v>598</v>
      </c>
      <c r="F8293" s="195" t="s">
        <v>19</v>
      </c>
    </row>
    <row r="8294" spans="1:6" x14ac:dyDescent="0.25">
      <c r="A8294" s="189" t="str">
        <f t="shared" si="129"/>
        <v>PG-US 50 RP2-300.22S</v>
      </c>
      <c r="B8294" s="195" t="s">
        <v>3910</v>
      </c>
      <c r="C8294" s="196">
        <v>0</v>
      </c>
      <c r="D8294" s="196">
        <v>0.22</v>
      </c>
      <c r="E8294" s="195" t="s">
        <v>595</v>
      </c>
      <c r="F8294" s="195" t="s">
        <v>438</v>
      </c>
    </row>
    <row r="8295" spans="1:6" x14ac:dyDescent="0.25">
      <c r="A8295" s="189" t="str">
        <f t="shared" si="129"/>
        <v>PG-US 50 RP2-500.17W</v>
      </c>
      <c r="B8295" s="195" t="s">
        <v>3911</v>
      </c>
      <c r="C8295" s="196">
        <v>0</v>
      </c>
      <c r="D8295" s="196">
        <v>0.17</v>
      </c>
      <c r="E8295" s="195" t="s">
        <v>593</v>
      </c>
      <c r="F8295" s="195" t="s">
        <v>432</v>
      </c>
    </row>
    <row r="8296" spans="1:6" x14ac:dyDescent="0.25">
      <c r="A8296" s="189" t="str">
        <f t="shared" si="129"/>
        <v>PG-US 50 RP2-600.16W</v>
      </c>
      <c r="B8296" s="195" t="s">
        <v>3912</v>
      </c>
      <c r="C8296" s="196">
        <v>0</v>
      </c>
      <c r="D8296" s="196">
        <v>0.16</v>
      </c>
      <c r="E8296" s="195" t="s">
        <v>593</v>
      </c>
      <c r="F8296" s="195" t="s">
        <v>432</v>
      </c>
    </row>
    <row r="8297" spans="1:6" x14ac:dyDescent="0.25">
      <c r="A8297" s="189" t="str">
        <f t="shared" si="129"/>
        <v>PG-US 50 RP3-100.14E</v>
      </c>
      <c r="B8297" s="195" t="s">
        <v>3913</v>
      </c>
      <c r="C8297" s="196">
        <v>0</v>
      </c>
      <c r="D8297" s="196">
        <v>0.14000000000000001</v>
      </c>
      <c r="E8297" s="195" t="s">
        <v>598</v>
      </c>
      <c r="F8297" s="195" t="s">
        <v>19</v>
      </c>
    </row>
    <row r="8298" spans="1:6" x14ac:dyDescent="0.25">
      <c r="A8298" s="189" t="str">
        <f t="shared" si="129"/>
        <v>PG-US 50 RP3-200.2E</v>
      </c>
      <c r="B8298" s="195" t="s">
        <v>3914</v>
      </c>
      <c r="C8298" s="196">
        <v>0</v>
      </c>
      <c r="D8298" s="196">
        <v>0.2</v>
      </c>
      <c r="E8298" s="195" t="s">
        <v>598</v>
      </c>
      <c r="F8298" s="195" t="s">
        <v>19</v>
      </c>
    </row>
    <row r="8299" spans="1:6" x14ac:dyDescent="0.25">
      <c r="A8299" s="189" t="str">
        <f t="shared" si="129"/>
        <v>PG-US 50 RP3-300.13N</v>
      </c>
      <c r="B8299" s="195" t="s">
        <v>3915</v>
      </c>
      <c r="C8299" s="196">
        <v>0</v>
      </c>
      <c r="D8299" s="196">
        <v>0.13</v>
      </c>
      <c r="E8299" s="195" t="s">
        <v>589</v>
      </c>
      <c r="F8299" s="195" t="s">
        <v>430</v>
      </c>
    </row>
    <row r="8300" spans="1:6" x14ac:dyDescent="0.25">
      <c r="A8300" s="189" t="str">
        <f t="shared" si="129"/>
        <v>PG-US 50 RP3-500.08E</v>
      </c>
      <c r="B8300" s="195" t="s">
        <v>3916</v>
      </c>
      <c r="C8300" s="196">
        <v>0</v>
      </c>
      <c r="D8300" s="196">
        <v>0.08</v>
      </c>
      <c r="E8300" s="195" t="s">
        <v>598</v>
      </c>
      <c r="F8300" s="195" t="s">
        <v>19</v>
      </c>
    </row>
    <row r="8301" spans="1:6" x14ac:dyDescent="0.25">
      <c r="A8301" s="189" t="str">
        <f t="shared" si="129"/>
        <v>PG-US 50 RP4-100.18N</v>
      </c>
      <c r="B8301" s="195" t="s">
        <v>3917</v>
      </c>
      <c r="C8301" s="196">
        <v>0</v>
      </c>
      <c r="D8301" s="196">
        <v>0.18</v>
      </c>
      <c r="E8301" s="195" t="s">
        <v>589</v>
      </c>
      <c r="F8301" s="195" t="s">
        <v>430</v>
      </c>
    </row>
    <row r="8302" spans="1:6" x14ac:dyDescent="0.25">
      <c r="A8302" s="189" t="str">
        <f t="shared" si="129"/>
        <v>PG-US 50 RP4-300.05S</v>
      </c>
      <c r="B8302" s="195" t="s">
        <v>3918</v>
      </c>
      <c r="C8302" s="196">
        <v>0</v>
      </c>
      <c r="D8302" s="196">
        <v>0.05</v>
      </c>
      <c r="E8302" s="195" t="s">
        <v>595</v>
      </c>
      <c r="F8302" s="195" t="s">
        <v>438</v>
      </c>
    </row>
    <row r="8303" spans="1:6" x14ac:dyDescent="0.25">
      <c r="A8303" s="189" t="str">
        <f t="shared" si="129"/>
        <v>PG-US 50 RP4-500.18E</v>
      </c>
      <c r="B8303" s="195" t="s">
        <v>3919</v>
      </c>
      <c r="C8303" s="196">
        <v>0</v>
      </c>
      <c r="D8303" s="196">
        <v>0.18</v>
      </c>
      <c r="E8303" s="195" t="s">
        <v>598</v>
      </c>
      <c r="F8303" s="195" t="s">
        <v>19</v>
      </c>
    </row>
    <row r="8304" spans="1:6" x14ac:dyDescent="0.25">
      <c r="A8304" s="189" t="str">
        <f t="shared" si="129"/>
        <v>PG-US 50 RP4-600.05N</v>
      </c>
      <c r="B8304" s="195" t="s">
        <v>3920</v>
      </c>
      <c r="C8304" s="196">
        <v>0</v>
      </c>
      <c r="D8304" s="196">
        <v>0.05</v>
      </c>
      <c r="E8304" s="195" t="s">
        <v>589</v>
      </c>
      <c r="F8304" s="195" t="s">
        <v>430</v>
      </c>
    </row>
    <row r="8305" spans="1:6" x14ac:dyDescent="0.25">
      <c r="A8305" s="189" t="str">
        <f t="shared" si="129"/>
        <v>PG-US 50 RP5-100.19S</v>
      </c>
      <c r="B8305" s="195" t="s">
        <v>3921</v>
      </c>
      <c r="C8305" s="196">
        <v>0</v>
      </c>
      <c r="D8305" s="196">
        <v>0.19</v>
      </c>
      <c r="E8305" s="195" t="s">
        <v>595</v>
      </c>
      <c r="F8305" s="195" t="s">
        <v>438</v>
      </c>
    </row>
    <row r="8306" spans="1:6" x14ac:dyDescent="0.25">
      <c r="A8306" s="189" t="str">
        <f t="shared" si="129"/>
        <v>PG-US 50 RP5-300.36S</v>
      </c>
      <c r="B8306" s="195" t="s">
        <v>3922</v>
      </c>
      <c r="C8306" s="196">
        <v>0</v>
      </c>
      <c r="D8306" s="196">
        <v>0.36</v>
      </c>
      <c r="E8306" s="195" t="s">
        <v>595</v>
      </c>
      <c r="F8306" s="195" t="s">
        <v>438</v>
      </c>
    </row>
    <row r="8307" spans="1:6" x14ac:dyDescent="0.25">
      <c r="A8307" s="189" t="str">
        <f t="shared" si="129"/>
        <v>PG-US 50 RP5-500.04E</v>
      </c>
      <c r="B8307" s="195" t="s">
        <v>3923</v>
      </c>
      <c r="C8307" s="196">
        <v>0</v>
      </c>
      <c r="D8307" s="196">
        <v>0.04</v>
      </c>
      <c r="E8307" s="195" t="s">
        <v>598</v>
      </c>
      <c r="F8307" s="195" t="s">
        <v>19</v>
      </c>
    </row>
    <row r="8308" spans="1:6" x14ac:dyDescent="0.25">
      <c r="A8308" s="189" t="str">
        <f t="shared" si="129"/>
        <v>PG-US 50 RP5-600.14E</v>
      </c>
      <c r="B8308" s="195" t="s">
        <v>3924</v>
      </c>
      <c r="C8308" s="196">
        <v>0</v>
      </c>
      <c r="D8308" s="196">
        <v>0.14000000000000001</v>
      </c>
      <c r="E8308" s="195" t="s">
        <v>598</v>
      </c>
      <c r="F8308" s="195" t="s">
        <v>19</v>
      </c>
    </row>
    <row r="8309" spans="1:6" x14ac:dyDescent="0.25">
      <c r="A8309" s="189" t="str">
        <f t="shared" si="129"/>
        <v>PG-US 50 RP6-100.19S</v>
      </c>
      <c r="B8309" s="195" t="s">
        <v>3925</v>
      </c>
      <c r="C8309" s="196">
        <v>0</v>
      </c>
      <c r="D8309" s="196">
        <v>0.19</v>
      </c>
      <c r="E8309" s="195" t="s">
        <v>595</v>
      </c>
      <c r="F8309" s="195" t="s">
        <v>438</v>
      </c>
    </row>
    <row r="8310" spans="1:6" x14ac:dyDescent="0.25">
      <c r="A8310" s="189" t="str">
        <f t="shared" si="129"/>
        <v>PG-US 50 RP6-300.45N</v>
      </c>
      <c r="B8310" s="195" t="s">
        <v>3926</v>
      </c>
      <c r="C8310" s="196">
        <v>0</v>
      </c>
      <c r="D8310" s="196">
        <v>0.45</v>
      </c>
      <c r="E8310" s="195" t="s">
        <v>589</v>
      </c>
      <c r="F8310" s="195" t="s">
        <v>430</v>
      </c>
    </row>
    <row r="8311" spans="1:6" x14ac:dyDescent="0.25">
      <c r="A8311" s="189" t="str">
        <f t="shared" si="129"/>
        <v>PG-US 50 RP6-500.32E</v>
      </c>
      <c r="B8311" s="195" t="s">
        <v>3927</v>
      </c>
      <c r="C8311" s="196">
        <v>0</v>
      </c>
      <c r="D8311" s="196">
        <v>0.32</v>
      </c>
      <c r="E8311" s="195" t="s">
        <v>598</v>
      </c>
      <c r="F8311" s="195" t="s">
        <v>19</v>
      </c>
    </row>
    <row r="8312" spans="1:6" x14ac:dyDescent="0.25">
      <c r="A8312" s="189" t="str">
        <f t="shared" si="129"/>
        <v>PG-US 50 RP7-100.12W</v>
      </c>
      <c r="B8312" s="195" t="s">
        <v>3928</v>
      </c>
      <c r="C8312" s="196">
        <v>0</v>
      </c>
      <c r="D8312" s="196">
        <v>0.12</v>
      </c>
      <c r="E8312" s="195" t="s">
        <v>593</v>
      </c>
      <c r="F8312" s="195" t="s">
        <v>432</v>
      </c>
    </row>
    <row r="8313" spans="1:6" x14ac:dyDescent="0.25">
      <c r="A8313" s="189" t="str">
        <f t="shared" si="129"/>
        <v>PG-US 50 RP7-300.03S</v>
      </c>
      <c r="B8313" s="195" t="s">
        <v>3929</v>
      </c>
      <c r="C8313" s="196">
        <v>0</v>
      </c>
      <c r="D8313" s="196">
        <v>0.03</v>
      </c>
      <c r="E8313" s="195" t="s">
        <v>595</v>
      </c>
      <c r="F8313" s="195" t="s">
        <v>438</v>
      </c>
    </row>
    <row r="8314" spans="1:6" x14ac:dyDescent="0.25">
      <c r="A8314" s="189" t="str">
        <f t="shared" si="129"/>
        <v>PG-US 50 RP7-500.06W</v>
      </c>
      <c r="B8314" s="195" t="s">
        <v>3930</v>
      </c>
      <c r="C8314" s="196">
        <v>0</v>
      </c>
      <c r="D8314" s="196">
        <v>0.06</v>
      </c>
      <c r="E8314" s="195" t="s">
        <v>593</v>
      </c>
      <c r="F8314" s="195" t="s">
        <v>432</v>
      </c>
    </row>
    <row r="8315" spans="1:6" x14ac:dyDescent="0.25">
      <c r="A8315" s="189" t="str">
        <f t="shared" si="129"/>
        <v>PG-US 50 RP8-100.1S</v>
      </c>
      <c r="B8315" s="195" t="s">
        <v>3931</v>
      </c>
      <c r="C8315" s="196">
        <v>0</v>
      </c>
      <c r="D8315" s="196">
        <v>0.1</v>
      </c>
      <c r="E8315" s="195" t="s">
        <v>595</v>
      </c>
      <c r="F8315" s="195" t="s">
        <v>438</v>
      </c>
    </row>
    <row r="8316" spans="1:6" x14ac:dyDescent="0.25">
      <c r="A8316" s="189" t="str">
        <f t="shared" si="129"/>
        <v>PG-US 50 RP8-200.13W</v>
      </c>
      <c r="B8316" s="195" t="s">
        <v>3932</v>
      </c>
      <c r="C8316" s="196">
        <v>0</v>
      </c>
      <c r="D8316" s="196">
        <v>0.13</v>
      </c>
      <c r="E8316" s="195" t="s">
        <v>593</v>
      </c>
      <c r="F8316" s="195" t="s">
        <v>432</v>
      </c>
    </row>
    <row r="8317" spans="1:6" x14ac:dyDescent="0.25">
      <c r="A8317" s="189" t="str">
        <f t="shared" si="129"/>
        <v>PG-US 50 RP8-300.3S</v>
      </c>
      <c r="B8317" s="195" t="s">
        <v>3933</v>
      </c>
      <c r="C8317" s="196">
        <v>0</v>
      </c>
      <c r="D8317" s="196">
        <v>0.3</v>
      </c>
      <c r="E8317" s="195" t="s">
        <v>595</v>
      </c>
      <c r="F8317" s="195" t="s">
        <v>438</v>
      </c>
    </row>
    <row r="8318" spans="1:6" x14ac:dyDescent="0.25">
      <c r="A8318" s="189" t="str">
        <f t="shared" si="129"/>
        <v>PG-US 50 RP8-500.33S</v>
      </c>
      <c r="B8318" s="195" t="s">
        <v>3934</v>
      </c>
      <c r="C8318" s="196">
        <v>0</v>
      </c>
      <c r="D8318" s="196">
        <v>0.33</v>
      </c>
      <c r="E8318" s="195" t="s">
        <v>595</v>
      </c>
      <c r="F8318" s="195" t="s">
        <v>438</v>
      </c>
    </row>
    <row r="8319" spans="1:6" x14ac:dyDescent="0.25">
      <c r="A8319" s="189" t="str">
        <f t="shared" si="129"/>
        <v>PG-US 50 RP8-600.19W</v>
      </c>
      <c r="B8319" s="195" t="s">
        <v>3935</v>
      </c>
      <c r="C8319" s="196">
        <v>0</v>
      </c>
      <c r="D8319" s="196">
        <v>0.19</v>
      </c>
      <c r="E8319" s="195" t="s">
        <v>593</v>
      </c>
      <c r="F8319" s="195" t="s">
        <v>432</v>
      </c>
    </row>
    <row r="8320" spans="1:6" x14ac:dyDescent="0.25">
      <c r="A8320" s="189" t="str">
        <f t="shared" si="129"/>
        <v>PG-US 50 RP9-100.05S</v>
      </c>
      <c r="B8320" s="195" t="s">
        <v>3936</v>
      </c>
      <c r="C8320" s="196">
        <v>0</v>
      </c>
      <c r="D8320" s="196">
        <v>0.05</v>
      </c>
      <c r="E8320" s="195" t="s">
        <v>595</v>
      </c>
      <c r="F8320" s="195" t="s">
        <v>438</v>
      </c>
    </row>
    <row r="8321" spans="1:6" x14ac:dyDescent="0.25">
      <c r="A8321" s="189" t="str">
        <f t="shared" si="129"/>
        <v>PG-US 50PA00.21S</v>
      </c>
      <c r="B8321" s="195" t="s">
        <v>3937</v>
      </c>
      <c r="C8321" s="196">
        <v>0</v>
      </c>
      <c r="D8321" s="196">
        <v>0.21</v>
      </c>
      <c r="E8321" s="195" t="s">
        <v>595</v>
      </c>
      <c r="F8321" s="195" t="s">
        <v>438</v>
      </c>
    </row>
    <row r="8322" spans="1:6" x14ac:dyDescent="0.25">
      <c r="A8322" s="189" t="str">
        <f t="shared" si="129"/>
        <v>QA-MD 18A02.9N</v>
      </c>
      <c r="B8322" s="195" t="s">
        <v>3938</v>
      </c>
      <c r="C8322" s="196">
        <v>0</v>
      </c>
      <c r="D8322" s="196">
        <v>2.9</v>
      </c>
      <c r="E8322" s="195" t="s">
        <v>583</v>
      </c>
      <c r="F8322" s="195" t="s">
        <v>430</v>
      </c>
    </row>
    <row r="8323" spans="1:6" x14ac:dyDescent="0.25">
      <c r="A8323" s="189" t="str">
        <f t="shared" ref="A8323:A8386" si="130">B8323&amp;C8323&amp;D8323&amp;F8323</f>
        <v>QA-MD 18A02.9S</v>
      </c>
      <c r="B8323" s="195" t="s">
        <v>3938</v>
      </c>
      <c r="C8323" s="196">
        <v>0</v>
      </c>
      <c r="D8323" s="196">
        <v>2.9</v>
      </c>
      <c r="E8323" s="195" t="s">
        <v>583</v>
      </c>
      <c r="F8323" s="195" t="s">
        <v>438</v>
      </c>
    </row>
    <row r="8324" spans="1:6" x14ac:dyDescent="0.25">
      <c r="A8324" s="189" t="str">
        <f t="shared" si="130"/>
        <v>QA-MD 18A2.93N</v>
      </c>
      <c r="B8324" s="195" t="s">
        <v>3938</v>
      </c>
      <c r="C8324" s="196">
        <v>2.9</v>
      </c>
      <c r="D8324" s="196">
        <v>3</v>
      </c>
      <c r="E8324" s="195" t="s">
        <v>583</v>
      </c>
      <c r="F8324" s="195" t="s">
        <v>430</v>
      </c>
    </row>
    <row r="8325" spans="1:6" x14ac:dyDescent="0.25">
      <c r="A8325" s="189" t="str">
        <f t="shared" si="130"/>
        <v>QA-MD 18A2.93S</v>
      </c>
      <c r="B8325" s="195" t="s">
        <v>3938</v>
      </c>
      <c r="C8325" s="196">
        <v>2.9</v>
      </c>
      <c r="D8325" s="196">
        <v>3</v>
      </c>
      <c r="E8325" s="195" t="s">
        <v>583</v>
      </c>
      <c r="F8325" s="195" t="s">
        <v>438</v>
      </c>
    </row>
    <row r="8326" spans="1:6" x14ac:dyDescent="0.25">
      <c r="A8326" s="189" t="str">
        <f t="shared" si="130"/>
        <v>QA-MD 18A33.55N</v>
      </c>
      <c r="B8326" s="195" t="s">
        <v>3938</v>
      </c>
      <c r="C8326" s="196">
        <v>3</v>
      </c>
      <c r="D8326" s="196">
        <v>3.55</v>
      </c>
      <c r="E8326" s="195" t="s">
        <v>583</v>
      </c>
      <c r="F8326" s="195" t="s">
        <v>430</v>
      </c>
    </row>
    <row r="8327" spans="1:6" x14ac:dyDescent="0.25">
      <c r="A8327" s="189" t="str">
        <f t="shared" si="130"/>
        <v>QA-MD 18A33.55S</v>
      </c>
      <c r="B8327" s="195" t="s">
        <v>3938</v>
      </c>
      <c r="C8327" s="196">
        <v>3</v>
      </c>
      <c r="D8327" s="196">
        <v>3.55</v>
      </c>
      <c r="E8327" s="195" t="s">
        <v>583</v>
      </c>
      <c r="F8327" s="195" t="s">
        <v>438</v>
      </c>
    </row>
    <row r="8328" spans="1:6" x14ac:dyDescent="0.25">
      <c r="A8328" s="189" t="str">
        <f t="shared" si="130"/>
        <v>QA-MD 18A3.553.8N</v>
      </c>
      <c r="B8328" s="195" t="s">
        <v>3938</v>
      </c>
      <c r="C8328" s="196">
        <v>3.55</v>
      </c>
      <c r="D8328" s="196">
        <v>3.8</v>
      </c>
      <c r="E8328" s="195" t="s">
        <v>583</v>
      </c>
      <c r="F8328" s="195" t="s">
        <v>430</v>
      </c>
    </row>
    <row r="8329" spans="1:6" x14ac:dyDescent="0.25">
      <c r="A8329" s="189" t="str">
        <f t="shared" si="130"/>
        <v>QA-MD 18A3.553.8S</v>
      </c>
      <c r="B8329" s="195" t="s">
        <v>3938</v>
      </c>
      <c r="C8329" s="196">
        <v>3.55</v>
      </c>
      <c r="D8329" s="196">
        <v>3.8</v>
      </c>
      <c r="E8329" s="195" t="s">
        <v>583</v>
      </c>
      <c r="F8329" s="195" t="s">
        <v>438</v>
      </c>
    </row>
    <row r="8330" spans="1:6" x14ac:dyDescent="0.25">
      <c r="A8330" s="189" t="str">
        <f t="shared" si="130"/>
        <v>QA-MD 18A3.84.55N</v>
      </c>
      <c r="B8330" s="195" t="s">
        <v>3938</v>
      </c>
      <c r="C8330" s="196">
        <v>3.8</v>
      </c>
      <c r="D8330" s="196">
        <v>4.55</v>
      </c>
      <c r="E8330" s="195" t="s">
        <v>583</v>
      </c>
      <c r="F8330" s="195" t="s">
        <v>430</v>
      </c>
    </row>
    <row r="8331" spans="1:6" x14ac:dyDescent="0.25">
      <c r="A8331" s="189" t="str">
        <f t="shared" si="130"/>
        <v>QA-MD 18A3.84.55S</v>
      </c>
      <c r="B8331" s="195" t="s">
        <v>3938</v>
      </c>
      <c r="C8331" s="196">
        <v>3.8</v>
      </c>
      <c r="D8331" s="196">
        <v>4.55</v>
      </c>
      <c r="E8331" s="195" t="s">
        <v>583</v>
      </c>
      <c r="F8331" s="195" t="s">
        <v>438</v>
      </c>
    </row>
    <row r="8332" spans="1:6" x14ac:dyDescent="0.25">
      <c r="A8332" s="189" t="str">
        <f t="shared" si="130"/>
        <v>QA-MD 18A4.554.9N</v>
      </c>
      <c r="B8332" s="195" t="s">
        <v>3938</v>
      </c>
      <c r="C8332" s="196">
        <v>4.55</v>
      </c>
      <c r="D8332" s="196">
        <v>4.9000000000000004</v>
      </c>
      <c r="E8332" s="195" t="s">
        <v>583</v>
      </c>
      <c r="F8332" s="195" t="s">
        <v>430</v>
      </c>
    </row>
    <row r="8333" spans="1:6" x14ac:dyDescent="0.25">
      <c r="A8333" s="189" t="str">
        <f t="shared" si="130"/>
        <v>QA-MD 18A4.554.9S</v>
      </c>
      <c r="B8333" s="195" t="s">
        <v>3938</v>
      </c>
      <c r="C8333" s="196">
        <v>4.55</v>
      </c>
      <c r="D8333" s="196">
        <v>4.9000000000000004</v>
      </c>
      <c r="E8333" s="195" t="s">
        <v>583</v>
      </c>
      <c r="F8333" s="195" t="s">
        <v>438</v>
      </c>
    </row>
    <row r="8334" spans="1:6" x14ac:dyDescent="0.25">
      <c r="A8334" s="189" t="str">
        <f t="shared" si="130"/>
        <v>QA-MD 18A4.95.38N</v>
      </c>
      <c r="B8334" s="195" t="s">
        <v>3938</v>
      </c>
      <c r="C8334" s="196">
        <v>4.9000000000000004</v>
      </c>
      <c r="D8334" s="196">
        <v>5.38</v>
      </c>
      <c r="E8334" s="195" t="s">
        <v>583</v>
      </c>
      <c r="F8334" s="195" t="s">
        <v>430</v>
      </c>
    </row>
    <row r="8335" spans="1:6" x14ac:dyDescent="0.25">
      <c r="A8335" s="189" t="str">
        <f t="shared" si="130"/>
        <v>QA-MD 18A4.95.38S</v>
      </c>
      <c r="B8335" s="195" t="s">
        <v>3938</v>
      </c>
      <c r="C8335" s="196">
        <v>4.9000000000000004</v>
      </c>
      <c r="D8335" s="196">
        <v>5.38</v>
      </c>
      <c r="E8335" s="195" t="s">
        <v>583</v>
      </c>
      <c r="F8335" s="195" t="s">
        <v>438</v>
      </c>
    </row>
    <row r="8336" spans="1:6" x14ac:dyDescent="0.25">
      <c r="A8336" s="189" t="str">
        <f t="shared" si="130"/>
        <v>QA-MD 18B00.5E</v>
      </c>
      <c r="B8336" s="195" t="s">
        <v>3939</v>
      </c>
      <c r="C8336" s="196">
        <v>0</v>
      </c>
      <c r="D8336" s="196">
        <v>0.5</v>
      </c>
      <c r="E8336" s="195" t="s">
        <v>583</v>
      </c>
      <c r="F8336" s="195" t="s">
        <v>19</v>
      </c>
    </row>
    <row r="8337" spans="1:6" x14ac:dyDescent="0.25">
      <c r="A8337" s="189" t="str">
        <f t="shared" si="130"/>
        <v>QA-MD 18B00.5W</v>
      </c>
      <c r="B8337" s="195" t="s">
        <v>3939</v>
      </c>
      <c r="C8337" s="196">
        <v>0</v>
      </c>
      <c r="D8337" s="196">
        <v>0.5</v>
      </c>
      <c r="E8337" s="195" t="s">
        <v>583</v>
      </c>
      <c r="F8337" s="195" t="s">
        <v>432</v>
      </c>
    </row>
    <row r="8338" spans="1:6" x14ac:dyDescent="0.25">
      <c r="A8338" s="189" t="str">
        <f t="shared" si="130"/>
        <v>QA-MD 18B0.52E</v>
      </c>
      <c r="B8338" s="195" t="s">
        <v>3939</v>
      </c>
      <c r="C8338" s="196">
        <v>0.5</v>
      </c>
      <c r="D8338" s="196">
        <v>2</v>
      </c>
      <c r="E8338" s="195" t="s">
        <v>583</v>
      </c>
      <c r="F8338" s="195" t="s">
        <v>19</v>
      </c>
    </row>
    <row r="8339" spans="1:6" x14ac:dyDescent="0.25">
      <c r="A8339" s="189" t="str">
        <f t="shared" si="130"/>
        <v>QA-MD 18B0.52W</v>
      </c>
      <c r="B8339" s="195" t="s">
        <v>3939</v>
      </c>
      <c r="C8339" s="196">
        <v>0.5</v>
      </c>
      <c r="D8339" s="196">
        <v>2</v>
      </c>
      <c r="E8339" s="195" t="s">
        <v>583</v>
      </c>
      <c r="F8339" s="195" t="s">
        <v>432</v>
      </c>
    </row>
    <row r="8340" spans="1:6" x14ac:dyDescent="0.25">
      <c r="A8340" s="189" t="str">
        <f t="shared" si="130"/>
        <v>QA-MD 18B2.652.95E</v>
      </c>
      <c r="B8340" s="195" t="s">
        <v>3939</v>
      </c>
      <c r="C8340" s="196">
        <v>2.65</v>
      </c>
      <c r="D8340" s="196">
        <v>2.95</v>
      </c>
      <c r="E8340" s="195" t="s">
        <v>583</v>
      </c>
      <c r="F8340" s="195" t="s">
        <v>19</v>
      </c>
    </row>
    <row r="8341" spans="1:6" x14ac:dyDescent="0.25">
      <c r="A8341" s="189" t="str">
        <f t="shared" si="130"/>
        <v>QA-MD 18B2.652.95W</v>
      </c>
      <c r="B8341" s="195" t="s">
        <v>3939</v>
      </c>
      <c r="C8341" s="196">
        <v>2.65</v>
      </c>
      <c r="D8341" s="196">
        <v>2.95</v>
      </c>
      <c r="E8341" s="195" t="s">
        <v>583</v>
      </c>
      <c r="F8341" s="195" t="s">
        <v>432</v>
      </c>
    </row>
    <row r="8342" spans="1:6" x14ac:dyDescent="0.25">
      <c r="A8342" s="189" t="str">
        <f t="shared" si="130"/>
        <v>QA-MD 18B2.952.97E</v>
      </c>
      <c r="B8342" s="195" t="s">
        <v>3939</v>
      </c>
      <c r="C8342" s="196">
        <v>2.95</v>
      </c>
      <c r="D8342" s="196">
        <v>2.97</v>
      </c>
      <c r="E8342" s="195" t="s">
        <v>598</v>
      </c>
      <c r="F8342" s="195" t="s">
        <v>19</v>
      </c>
    </row>
    <row r="8343" spans="1:6" x14ac:dyDescent="0.25">
      <c r="A8343" s="189" t="str">
        <f t="shared" si="130"/>
        <v>QA-MD 18B2.953.9W</v>
      </c>
      <c r="B8343" s="195" t="s">
        <v>3939</v>
      </c>
      <c r="C8343" s="196">
        <v>2.95</v>
      </c>
      <c r="D8343" s="196">
        <v>3.9</v>
      </c>
      <c r="E8343" s="195" t="s">
        <v>593</v>
      </c>
      <c r="F8343" s="195" t="s">
        <v>432</v>
      </c>
    </row>
    <row r="8344" spans="1:6" x14ac:dyDescent="0.25">
      <c r="A8344" s="189" t="str">
        <f t="shared" si="130"/>
        <v>QA-MD 18B2.973.9E</v>
      </c>
      <c r="B8344" s="195" t="s">
        <v>3939</v>
      </c>
      <c r="C8344" s="196">
        <v>2.97</v>
      </c>
      <c r="D8344" s="196">
        <v>3.9</v>
      </c>
      <c r="E8344" s="195" t="s">
        <v>598</v>
      </c>
      <c r="F8344" s="195" t="s">
        <v>19</v>
      </c>
    </row>
    <row r="8345" spans="1:6" x14ac:dyDescent="0.25">
      <c r="A8345" s="189" t="str">
        <f t="shared" si="130"/>
        <v>QA-MD 18B3.94.5E</v>
      </c>
      <c r="B8345" s="195" t="s">
        <v>3939</v>
      </c>
      <c r="C8345" s="196">
        <v>3.9</v>
      </c>
      <c r="D8345" s="196">
        <v>4.5</v>
      </c>
      <c r="E8345" s="195" t="s">
        <v>583</v>
      </c>
      <c r="F8345" s="195" t="s">
        <v>19</v>
      </c>
    </row>
    <row r="8346" spans="1:6" x14ac:dyDescent="0.25">
      <c r="A8346" s="189" t="str">
        <f t="shared" si="130"/>
        <v>QA-MD 18B3.94.5W</v>
      </c>
      <c r="B8346" s="195" t="s">
        <v>3939</v>
      </c>
      <c r="C8346" s="196">
        <v>3.9</v>
      </c>
      <c r="D8346" s="196">
        <v>4.5</v>
      </c>
      <c r="E8346" s="195" t="s">
        <v>583</v>
      </c>
      <c r="F8346" s="195" t="s">
        <v>432</v>
      </c>
    </row>
    <row r="8347" spans="1:6" x14ac:dyDescent="0.25">
      <c r="A8347" s="189" t="str">
        <f t="shared" si="130"/>
        <v>QA-MD 18B4.55.75E</v>
      </c>
      <c r="B8347" s="195" t="s">
        <v>3939</v>
      </c>
      <c r="C8347" s="196">
        <v>4.5</v>
      </c>
      <c r="D8347" s="196">
        <v>5.75</v>
      </c>
      <c r="E8347" s="195" t="s">
        <v>583</v>
      </c>
      <c r="F8347" s="195" t="s">
        <v>19</v>
      </c>
    </row>
    <row r="8348" spans="1:6" x14ac:dyDescent="0.25">
      <c r="A8348" s="189" t="str">
        <f t="shared" si="130"/>
        <v>QA-MD 18B4.55.75W</v>
      </c>
      <c r="B8348" s="195" t="s">
        <v>3939</v>
      </c>
      <c r="C8348" s="196">
        <v>4.5</v>
      </c>
      <c r="D8348" s="196">
        <v>5.75</v>
      </c>
      <c r="E8348" s="195" t="s">
        <v>583</v>
      </c>
      <c r="F8348" s="195" t="s">
        <v>432</v>
      </c>
    </row>
    <row r="8349" spans="1:6" x14ac:dyDescent="0.25">
      <c r="A8349" s="189" t="str">
        <f t="shared" si="130"/>
        <v>QA-MD 18B5.757.94E</v>
      </c>
      <c r="B8349" s="195" t="s">
        <v>3939</v>
      </c>
      <c r="C8349" s="196">
        <v>5.75</v>
      </c>
      <c r="D8349" s="196">
        <v>7.94</v>
      </c>
      <c r="E8349" s="195" t="s">
        <v>583</v>
      </c>
      <c r="F8349" s="195" t="s">
        <v>19</v>
      </c>
    </row>
    <row r="8350" spans="1:6" x14ac:dyDescent="0.25">
      <c r="A8350" s="189" t="str">
        <f t="shared" si="130"/>
        <v>QA-MD 18B5.757.94W</v>
      </c>
      <c r="B8350" s="195" t="s">
        <v>3939</v>
      </c>
      <c r="C8350" s="196">
        <v>5.75</v>
      </c>
      <c r="D8350" s="196">
        <v>7.94</v>
      </c>
      <c r="E8350" s="195" t="s">
        <v>583</v>
      </c>
      <c r="F8350" s="195" t="s">
        <v>432</v>
      </c>
    </row>
    <row r="8351" spans="1:6" x14ac:dyDescent="0.25">
      <c r="A8351" s="189" t="str">
        <f t="shared" si="130"/>
        <v>QA-MD 18C00.4E</v>
      </c>
      <c r="B8351" s="195" t="s">
        <v>3940</v>
      </c>
      <c r="C8351" s="196">
        <v>0</v>
      </c>
      <c r="D8351" s="196">
        <v>0.4</v>
      </c>
      <c r="E8351" s="195" t="s">
        <v>583</v>
      </c>
      <c r="F8351" s="195" t="s">
        <v>19</v>
      </c>
    </row>
    <row r="8352" spans="1:6" x14ac:dyDescent="0.25">
      <c r="A8352" s="189" t="str">
        <f t="shared" si="130"/>
        <v>QA-MD 18C00.4W</v>
      </c>
      <c r="B8352" s="195" t="s">
        <v>3940</v>
      </c>
      <c r="C8352" s="196">
        <v>0</v>
      </c>
      <c r="D8352" s="196">
        <v>0.4</v>
      </c>
      <c r="E8352" s="195" t="s">
        <v>583</v>
      </c>
      <c r="F8352" s="195" t="s">
        <v>432</v>
      </c>
    </row>
    <row r="8353" spans="1:6" x14ac:dyDescent="0.25">
      <c r="A8353" s="189" t="str">
        <f t="shared" si="130"/>
        <v>QA-MD 18C0.41.3E</v>
      </c>
      <c r="B8353" s="195" t="s">
        <v>3940</v>
      </c>
      <c r="C8353" s="196">
        <v>0.4</v>
      </c>
      <c r="D8353" s="196">
        <v>1.3</v>
      </c>
      <c r="E8353" s="195" t="s">
        <v>583</v>
      </c>
      <c r="F8353" s="195" t="s">
        <v>19</v>
      </c>
    </row>
    <row r="8354" spans="1:6" x14ac:dyDescent="0.25">
      <c r="A8354" s="189" t="str">
        <f t="shared" si="130"/>
        <v>QA-MD 18C0.41.3W</v>
      </c>
      <c r="B8354" s="195" t="s">
        <v>3940</v>
      </c>
      <c r="C8354" s="196">
        <v>0.4</v>
      </c>
      <c r="D8354" s="196">
        <v>1.3</v>
      </c>
      <c r="E8354" s="195" t="s">
        <v>583</v>
      </c>
      <c r="F8354" s="195" t="s">
        <v>432</v>
      </c>
    </row>
    <row r="8355" spans="1:6" x14ac:dyDescent="0.25">
      <c r="A8355" s="189" t="str">
        <f t="shared" si="130"/>
        <v>QA-MD 18C1.36.71E</v>
      </c>
      <c r="B8355" s="195" t="s">
        <v>3940</v>
      </c>
      <c r="C8355" s="196">
        <v>1.3</v>
      </c>
      <c r="D8355" s="196">
        <v>6.71</v>
      </c>
      <c r="E8355" s="195" t="s">
        <v>583</v>
      </c>
      <c r="F8355" s="195" t="s">
        <v>19</v>
      </c>
    </row>
    <row r="8356" spans="1:6" x14ac:dyDescent="0.25">
      <c r="A8356" s="189" t="str">
        <f t="shared" si="130"/>
        <v>QA-MD 18C1.36.71W</v>
      </c>
      <c r="B8356" s="195" t="s">
        <v>3940</v>
      </c>
      <c r="C8356" s="196">
        <v>1.3</v>
      </c>
      <c r="D8356" s="196">
        <v>6.71</v>
      </c>
      <c r="E8356" s="195" t="s">
        <v>583</v>
      </c>
      <c r="F8356" s="195" t="s">
        <v>432</v>
      </c>
    </row>
    <row r="8357" spans="1:6" x14ac:dyDescent="0.25">
      <c r="A8357" s="189" t="str">
        <f t="shared" si="130"/>
        <v>QA-MD 18G00.06N</v>
      </c>
      <c r="B8357" s="195" t="s">
        <v>3941</v>
      </c>
      <c r="C8357" s="196">
        <v>0</v>
      </c>
      <c r="D8357" s="196">
        <v>0.06</v>
      </c>
      <c r="E8357" s="195" t="s">
        <v>589</v>
      </c>
      <c r="F8357" s="195" t="s">
        <v>430</v>
      </c>
    </row>
    <row r="8358" spans="1:6" x14ac:dyDescent="0.25">
      <c r="A8358" s="189" t="str">
        <f t="shared" si="130"/>
        <v>QA-MD 18G00.06S</v>
      </c>
      <c r="B8358" s="195" t="s">
        <v>3941</v>
      </c>
      <c r="C8358" s="196">
        <v>0</v>
      </c>
      <c r="D8358" s="196">
        <v>0.06</v>
      </c>
      <c r="E8358" s="195" t="s">
        <v>595</v>
      </c>
      <c r="F8358" s="195" t="s">
        <v>438</v>
      </c>
    </row>
    <row r="8359" spans="1:6" x14ac:dyDescent="0.25">
      <c r="A8359" s="189" t="str">
        <f t="shared" si="130"/>
        <v>QA-MD 18H00.19N</v>
      </c>
      <c r="B8359" s="195" t="s">
        <v>3942</v>
      </c>
      <c r="C8359" s="196">
        <v>0</v>
      </c>
      <c r="D8359" s="196">
        <v>0.19</v>
      </c>
      <c r="E8359" s="195" t="s">
        <v>589</v>
      </c>
      <c r="F8359" s="195" t="s">
        <v>430</v>
      </c>
    </row>
    <row r="8360" spans="1:6" x14ac:dyDescent="0.25">
      <c r="A8360" s="189" t="str">
        <f t="shared" si="130"/>
        <v>QA-MD 18H00.19S</v>
      </c>
      <c r="B8360" s="195" t="s">
        <v>3942</v>
      </c>
      <c r="C8360" s="196">
        <v>0</v>
      </c>
      <c r="D8360" s="196">
        <v>0.19</v>
      </c>
      <c r="E8360" s="195" t="s">
        <v>595</v>
      </c>
      <c r="F8360" s="195" t="s">
        <v>438</v>
      </c>
    </row>
    <row r="8361" spans="1:6" x14ac:dyDescent="0.25">
      <c r="A8361" s="189" t="str">
        <f t="shared" si="130"/>
        <v>QA-MD 18R00.32E</v>
      </c>
      <c r="B8361" s="195" t="s">
        <v>3943</v>
      </c>
      <c r="C8361" s="196">
        <v>0</v>
      </c>
      <c r="D8361" s="196">
        <v>0.32</v>
      </c>
      <c r="E8361" s="195" t="s">
        <v>598</v>
      </c>
      <c r="F8361" s="195" t="s">
        <v>19</v>
      </c>
    </row>
    <row r="8362" spans="1:6" x14ac:dyDescent="0.25">
      <c r="A8362" s="189" t="str">
        <f t="shared" si="130"/>
        <v>QA-MD 18R00.32W</v>
      </c>
      <c r="B8362" s="195" t="s">
        <v>3943</v>
      </c>
      <c r="C8362" s="196">
        <v>0</v>
      </c>
      <c r="D8362" s="196">
        <v>0.32</v>
      </c>
      <c r="E8362" s="195" t="s">
        <v>593</v>
      </c>
      <c r="F8362" s="195" t="s">
        <v>432</v>
      </c>
    </row>
    <row r="8363" spans="1:6" x14ac:dyDescent="0.25">
      <c r="A8363" s="189" t="str">
        <f t="shared" si="130"/>
        <v>QA-MD 18S00.33E</v>
      </c>
      <c r="B8363" s="195" t="s">
        <v>3944</v>
      </c>
      <c r="C8363" s="196">
        <v>0</v>
      </c>
      <c r="D8363" s="196">
        <v>0.33</v>
      </c>
      <c r="E8363" s="195" t="s">
        <v>598</v>
      </c>
      <c r="F8363" s="195" t="s">
        <v>19</v>
      </c>
    </row>
    <row r="8364" spans="1:6" x14ac:dyDescent="0.25">
      <c r="A8364" s="189" t="str">
        <f t="shared" si="130"/>
        <v>QA-MD 18S00.33W</v>
      </c>
      <c r="B8364" s="195" t="s">
        <v>3944</v>
      </c>
      <c r="C8364" s="196">
        <v>0</v>
      </c>
      <c r="D8364" s="196">
        <v>0.33</v>
      </c>
      <c r="E8364" s="195" t="s">
        <v>593</v>
      </c>
      <c r="F8364" s="195" t="s">
        <v>432</v>
      </c>
    </row>
    <row r="8365" spans="1:6" x14ac:dyDescent="0.25">
      <c r="A8365" s="189" t="str">
        <f t="shared" si="130"/>
        <v>QA-MD 18T00.38E</v>
      </c>
      <c r="B8365" s="195" t="s">
        <v>3945</v>
      </c>
      <c r="C8365" s="196">
        <v>0</v>
      </c>
      <c r="D8365" s="196">
        <v>0.38</v>
      </c>
      <c r="E8365" s="195" t="s">
        <v>598</v>
      </c>
      <c r="F8365" s="195" t="s">
        <v>19</v>
      </c>
    </row>
    <row r="8366" spans="1:6" x14ac:dyDescent="0.25">
      <c r="A8366" s="189" t="str">
        <f t="shared" si="130"/>
        <v>QA-MD 18T00.38W</v>
      </c>
      <c r="B8366" s="195" t="s">
        <v>3945</v>
      </c>
      <c r="C8366" s="196">
        <v>0</v>
      </c>
      <c r="D8366" s="196">
        <v>0.38</v>
      </c>
      <c r="E8366" s="195" t="s">
        <v>593</v>
      </c>
      <c r="F8366" s="195" t="s">
        <v>432</v>
      </c>
    </row>
    <row r="8367" spans="1:6" x14ac:dyDescent="0.25">
      <c r="A8367" s="189" t="str">
        <f t="shared" si="130"/>
        <v>QA-MD 18V00.65N</v>
      </c>
      <c r="B8367" s="195" t="s">
        <v>3946</v>
      </c>
      <c r="C8367" s="196">
        <v>0</v>
      </c>
      <c r="D8367" s="196">
        <v>0.65</v>
      </c>
      <c r="E8367" s="195" t="s">
        <v>589</v>
      </c>
      <c r="F8367" s="195" t="s">
        <v>430</v>
      </c>
    </row>
    <row r="8368" spans="1:6" x14ac:dyDescent="0.25">
      <c r="A8368" s="189" t="str">
        <f t="shared" si="130"/>
        <v>QA-MD 18V00.65S</v>
      </c>
      <c r="B8368" s="195" t="s">
        <v>3946</v>
      </c>
      <c r="C8368" s="196">
        <v>0</v>
      </c>
      <c r="D8368" s="196">
        <v>0.65</v>
      </c>
      <c r="E8368" s="195" t="s">
        <v>595</v>
      </c>
      <c r="F8368" s="195" t="s">
        <v>438</v>
      </c>
    </row>
    <row r="8369" spans="1:6" x14ac:dyDescent="0.25">
      <c r="A8369" s="189" t="str">
        <f t="shared" si="130"/>
        <v>QA-MD 18W0.260.33N</v>
      </c>
      <c r="B8369" s="195" t="s">
        <v>3947</v>
      </c>
      <c r="C8369" s="196">
        <v>0.26</v>
      </c>
      <c r="D8369" s="196">
        <v>0.33</v>
      </c>
      <c r="E8369" s="195" t="s">
        <v>589</v>
      </c>
      <c r="F8369" s="195" t="s">
        <v>430</v>
      </c>
    </row>
    <row r="8370" spans="1:6" x14ac:dyDescent="0.25">
      <c r="A8370" s="189" t="str">
        <f t="shared" si="130"/>
        <v>QA-MD 18W0.260.33S</v>
      </c>
      <c r="B8370" s="195" t="s">
        <v>3947</v>
      </c>
      <c r="C8370" s="196">
        <v>0.26</v>
      </c>
      <c r="D8370" s="196">
        <v>0.33</v>
      </c>
      <c r="E8370" s="195" t="s">
        <v>595</v>
      </c>
      <c r="F8370" s="195" t="s">
        <v>438</v>
      </c>
    </row>
    <row r="8371" spans="1:6" x14ac:dyDescent="0.25">
      <c r="A8371" s="189" t="str">
        <f t="shared" si="130"/>
        <v>QA-MD 18Y00.11E</v>
      </c>
      <c r="B8371" s="195" t="s">
        <v>3948</v>
      </c>
      <c r="C8371" s="196">
        <v>0</v>
      </c>
      <c r="D8371" s="196">
        <v>0.11</v>
      </c>
      <c r="E8371" s="195" t="s">
        <v>598</v>
      </c>
      <c r="F8371" s="195" t="s">
        <v>19</v>
      </c>
    </row>
    <row r="8372" spans="1:6" x14ac:dyDescent="0.25">
      <c r="A8372" s="189" t="str">
        <f t="shared" si="130"/>
        <v>QA-MD 18Y00.11W</v>
      </c>
      <c r="B8372" s="195" t="s">
        <v>3948</v>
      </c>
      <c r="C8372" s="196">
        <v>0</v>
      </c>
      <c r="D8372" s="196">
        <v>0.11</v>
      </c>
      <c r="E8372" s="195" t="s">
        <v>593</v>
      </c>
      <c r="F8372" s="195" t="s">
        <v>432</v>
      </c>
    </row>
    <row r="8373" spans="1:6" x14ac:dyDescent="0.25">
      <c r="A8373" s="189" t="str">
        <f t="shared" si="130"/>
        <v>QA-MD 1900.47E</v>
      </c>
      <c r="B8373" s="195" t="s">
        <v>3949</v>
      </c>
      <c r="C8373" s="196">
        <v>0</v>
      </c>
      <c r="D8373" s="196">
        <v>0.47</v>
      </c>
      <c r="E8373" s="195" t="s">
        <v>583</v>
      </c>
      <c r="F8373" s="195" t="s">
        <v>19</v>
      </c>
    </row>
    <row r="8374" spans="1:6" x14ac:dyDescent="0.25">
      <c r="A8374" s="189" t="str">
        <f t="shared" si="130"/>
        <v>QA-MD 1900.47W</v>
      </c>
      <c r="B8374" s="195" t="s">
        <v>3949</v>
      </c>
      <c r="C8374" s="196">
        <v>0</v>
      </c>
      <c r="D8374" s="196">
        <v>0.47</v>
      </c>
      <c r="E8374" s="195" t="s">
        <v>583</v>
      </c>
      <c r="F8374" s="195" t="s">
        <v>432</v>
      </c>
    </row>
    <row r="8375" spans="1:6" x14ac:dyDescent="0.25">
      <c r="A8375" s="189" t="str">
        <f t="shared" si="130"/>
        <v>QA-MD 190.471.46E</v>
      </c>
      <c r="B8375" s="195" t="s">
        <v>3949</v>
      </c>
      <c r="C8375" s="196">
        <v>0.47</v>
      </c>
      <c r="D8375" s="196">
        <v>1.46</v>
      </c>
      <c r="E8375" s="195" t="s">
        <v>583</v>
      </c>
      <c r="F8375" s="195" t="s">
        <v>19</v>
      </c>
    </row>
    <row r="8376" spans="1:6" x14ac:dyDescent="0.25">
      <c r="A8376" s="189" t="str">
        <f t="shared" si="130"/>
        <v>QA-MD 190.471.46W</v>
      </c>
      <c r="B8376" s="195" t="s">
        <v>3949</v>
      </c>
      <c r="C8376" s="196">
        <v>0.47</v>
      </c>
      <c r="D8376" s="196">
        <v>1.46</v>
      </c>
      <c r="E8376" s="195" t="s">
        <v>583</v>
      </c>
      <c r="F8376" s="195" t="s">
        <v>432</v>
      </c>
    </row>
    <row r="8377" spans="1:6" x14ac:dyDescent="0.25">
      <c r="A8377" s="189" t="str">
        <f t="shared" si="130"/>
        <v>QA-MD 191.462.05E</v>
      </c>
      <c r="B8377" s="195" t="s">
        <v>3949</v>
      </c>
      <c r="C8377" s="196">
        <v>1.46</v>
      </c>
      <c r="D8377" s="196">
        <v>2.0499999999999998</v>
      </c>
      <c r="E8377" s="195" t="s">
        <v>583</v>
      </c>
      <c r="F8377" s="195" t="s">
        <v>19</v>
      </c>
    </row>
    <row r="8378" spans="1:6" x14ac:dyDescent="0.25">
      <c r="A8378" s="189" t="str">
        <f t="shared" si="130"/>
        <v>QA-MD 191.462.05W</v>
      </c>
      <c r="B8378" s="195" t="s">
        <v>3949</v>
      </c>
      <c r="C8378" s="196">
        <v>1.46</v>
      </c>
      <c r="D8378" s="196">
        <v>2.0499999999999998</v>
      </c>
      <c r="E8378" s="195" t="s">
        <v>583</v>
      </c>
      <c r="F8378" s="195" t="s">
        <v>432</v>
      </c>
    </row>
    <row r="8379" spans="1:6" x14ac:dyDescent="0.25">
      <c r="A8379" s="189" t="str">
        <f t="shared" si="130"/>
        <v>QA-MD 192.058.26E</v>
      </c>
      <c r="B8379" s="195" t="s">
        <v>3949</v>
      </c>
      <c r="C8379" s="196">
        <v>2.0499999999999998</v>
      </c>
      <c r="D8379" s="196">
        <v>8.26</v>
      </c>
      <c r="E8379" s="195" t="s">
        <v>583</v>
      </c>
      <c r="F8379" s="195" t="s">
        <v>19</v>
      </c>
    </row>
    <row r="8380" spans="1:6" x14ac:dyDescent="0.25">
      <c r="A8380" s="189" t="str">
        <f t="shared" si="130"/>
        <v>QA-MD 192.058.26W</v>
      </c>
      <c r="B8380" s="195" t="s">
        <v>3949</v>
      </c>
      <c r="C8380" s="196">
        <v>2.0499999999999998</v>
      </c>
      <c r="D8380" s="196">
        <v>8.26</v>
      </c>
      <c r="E8380" s="195" t="s">
        <v>583</v>
      </c>
      <c r="F8380" s="195" t="s">
        <v>432</v>
      </c>
    </row>
    <row r="8381" spans="1:6" x14ac:dyDescent="0.25">
      <c r="A8381" s="189" t="str">
        <f t="shared" si="130"/>
        <v>QA-MD 198.268.6E</v>
      </c>
      <c r="B8381" s="195" t="s">
        <v>3949</v>
      </c>
      <c r="C8381" s="196">
        <v>8.26</v>
      </c>
      <c r="D8381" s="196">
        <v>8.6</v>
      </c>
      <c r="E8381" s="195" t="s">
        <v>583</v>
      </c>
      <c r="F8381" s="195" t="s">
        <v>19</v>
      </c>
    </row>
    <row r="8382" spans="1:6" x14ac:dyDescent="0.25">
      <c r="A8382" s="189" t="str">
        <f t="shared" si="130"/>
        <v>QA-MD 198.268.6W</v>
      </c>
      <c r="B8382" s="195" t="s">
        <v>3949</v>
      </c>
      <c r="C8382" s="196">
        <v>8.26</v>
      </c>
      <c r="D8382" s="196">
        <v>8.6</v>
      </c>
      <c r="E8382" s="195" t="s">
        <v>583</v>
      </c>
      <c r="F8382" s="195" t="s">
        <v>432</v>
      </c>
    </row>
    <row r="8383" spans="1:6" x14ac:dyDescent="0.25">
      <c r="A8383" s="189" t="str">
        <f t="shared" si="130"/>
        <v>QA-MD 19A00.49N</v>
      </c>
      <c r="B8383" s="195" t="s">
        <v>3950</v>
      </c>
      <c r="C8383" s="196">
        <v>0</v>
      </c>
      <c r="D8383" s="196">
        <v>0.49</v>
      </c>
      <c r="E8383" s="195" t="s">
        <v>589</v>
      </c>
      <c r="F8383" s="195" t="s">
        <v>430</v>
      </c>
    </row>
    <row r="8384" spans="1:6" x14ac:dyDescent="0.25">
      <c r="A8384" s="189" t="str">
        <f t="shared" si="130"/>
        <v>QA-MD 19A00.49S</v>
      </c>
      <c r="B8384" s="195" t="s">
        <v>3950</v>
      </c>
      <c r="C8384" s="196">
        <v>0</v>
      </c>
      <c r="D8384" s="196">
        <v>0.49</v>
      </c>
      <c r="E8384" s="195" t="s">
        <v>595</v>
      </c>
      <c r="F8384" s="195" t="s">
        <v>438</v>
      </c>
    </row>
    <row r="8385" spans="1:6" x14ac:dyDescent="0.25">
      <c r="A8385" s="189" t="str">
        <f t="shared" si="130"/>
        <v>QA-MD 21300.57N</v>
      </c>
      <c r="B8385" s="195" t="s">
        <v>448</v>
      </c>
      <c r="C8385" s="196">
        <v>0</v>
      </c>
      <c r="D8385" s="196">
        <v>0.56999999999999995</v>
      </c>
      <c r="E8385" s="195" t="s">
        <v>583</v>
      </c>
      <c r="F8385" s="195" t="s">
        <v>430</v>
      </c>
    </row>
    <row r="8386" spans="1:6" x14ac:dyDescent="0.25">
      <c r="A8386" s="189" t="str">
        <f t="shared" si="130"/>
        <v>QA-MD 21300.57S</v>
      </c>
      <c r="B8386" s="195" t="s">
        <v>448</v>
      </c>
      <c r="C8386" s="196">
        <v>0</v>
      </c>
      <c r="D8386" s="196">
        <v>0.56999999999999995</v>
      </c>
      <c r="E8386" s="195" t="s">
        <v>583</v>
      </c>
      <c r="F8386" s="195" t="s">
        <v>438</v>
      </c>
    </row>
    <row r="8387" spans="1:6" x14ac:dyDescent="0.25">
      <c r="A8387" s="189" t="str">
        <f t="shared" ref="A8387:A8450" si="131">B8387&amp;C8387&amp;D8387&amp;F8387</f>
        <v>QA-MD 2130.570.65N</v>
      </c>
      <c r="B8387" s="195" t="s">
        <v>448</v>
      </c>
      <c r="C8387" s="196">
        <v>0.56999999999999995</v>
      </c>
      <c r="D8387" s="196">
        <v>0.65</v>
      </c>
      <c r="E8387" s="195" t="s">
        <v>583</v>
      </c>
      <c r="F8387" s="195" t="s">
        <v>430</v>
      </c>
    </row>
    <row r="8388" spans="1:6" x14ac:dyDescent="0.25">
      <c r="A8388" s="189" t="str">
        <f t="shared" si="131"/>
        <v>QA-MD 2130.570.65S</v>
      </c>
      <c r="B8388" s="195" t="s">
        <v>448</v>
      </c>
      <c r="C8388" s="196">
        <v>0.56999999999999995</v>
      </c>
      <c r="D8388" s="196">
        <v>0.65</v>
      </c>
      <c r="E8388" s="195" t="s">
        <v>583</v>
      </c>
      <c r="F8388" s="195" t="s">
        <v>438</v>
      </c>
    </row>
    <row r="8389" spans="1:6" x14ac:dyDescent="0.25">
      <c r="A8389" s="189" t="str">
        <f t="shared" si="131"/>
        <v>QA-MD 2130.650.82N</v>
      </c>
      <c r="B8389" s="195" t="s">
        <v>448</v>
      </c>
      <c r="C8389" s="196">
        <v>0.65</v>
      </c>
      <c r="D8389" s="196">
        <v>0.82</v>
      </c>
      <c r="E8389" s="195" t="s">
        <v>583</v>
      </c>
      <c r="F8389" s="195" t="s">
        <v>430</v>
      </c>
    </row>
    <row r="8390" spans="1:6" x14ac:dyDescent="0.25">
      <c r="A8390" s="189" t="str">
        <f t="shared" si="131"/>
        <v>QA-MD 2130.650.82S</v>
      </c>
      <c r="B8390" s="195" t="s">
        <v>448</v>
      </c>
      <c r="C8390" s="196">
        <v>0.65</v>
      </c>
      <c r="D8390" s="196">
        <v>0.82</v>
      </c>
      <c r="E8390" s="195" t="s">
        <v>583</v>
      </c>
      <c r="F8390" s="195" t="s">
        <v>438</v>
      </c>
    </row>
    <row r="8391" spans="1:6" x14ac:dyDescent="0.25">
      <c r="A8391" s="189" t="str">
        <f t="shared" si="131"/>
        <v>QA-MD 2130.820.91N</v>
      </c>
      <c r="B8391" s="195" t="s">
        <v>448</v>
      </c>
      <c r="C8391" s="196">
        <v>0.82</v>
      </c>
      <c r="D8391" s="196">
        <v>0.91</v>
      </c>
      <c r="E8391" s="195" t="s">
        <v>583</v>
      </c>
      <c r="F8391" s="195" t="s">
        <v>430</v>
      </c>
    </row>
    <row r="8392" spans="1:6" x14ac:dyDescent="0.25">
      <c r="A8392" s="189" t="str">
        <f t="shared" si="131"/>
        <v>QA-MD 2130.820.91S</v>
      </c>
      <c r="B8392" s="195" t="s">
        <v>448</v>
      </c>
      <c r="C8392" s="196">
        <v>0.82</v>
      </c>
      <c r="D8392" s="196">
        <v>0.91</v>
      </c>
      <c r="E8392" s="195" t="s">
        <v>583</v>
      </c>
      <c r="F8392" s="195" t="s">
        <v>438</v>
      </c>
    </row>
    <row r="8393" spans="1:6" x14ac:dyDescent="0.25">
      <c r="A8393" s="189" t="str">
        <f t="shared" si="131"/>
        <v>QA-MD 2130.915.2N</v>
      </c>
      <c r="B8393" s="195" t="s">
        <v>448</v>
      </c>
      <c r="C8393" s="196">
        <v>0.91</v>
      </c>
      <c r="D8393" s="196">
        <v>5.2</v>
      </c>
      <c r="E8393" s="195" t="s">
        <v>583</v>
      </c>
      <c r="F8393" s="195" t="s">
        <v>430</v>
      </c>
    </row>
    <row r="8394" spans="1:6" x14ac:dyDescent="0.25">
      <c r="A8394" s="189" t="str">
        <f t="shared" si="131"/>
        <v>QA-MD 2130.915.2S</v>
      </c>
      <c r="B8394" s="195" t="s">
        <v>448</v>
      </c>
      <c r="C8394" s="196">
        <v>0.91</v>
      </c>
      <c r="D8394" s="196">
        <v>5.2</v>
      </c>
      <c r="E8394" s="195" t="s">
        <v>583</v>
      </c>
      <c r="F8394" s="195" t="s">
        <v>438</v>
      </c>
    </row>
    <row r="8395" spans="1:6" x14ac:dyDescent="0.25">
      <c r="A8395" s="189" t="str">
        <f t="shared" si="131"/>
        <v>QA-MD 2135.25.72N</v>
      </c>
      <c r="B8395" s="195" t="s">
        <v>448</v>
      </c>
      <c r="C8395" s="196">
        <v>5.2</v>
      </c>
      <c r="D8395" s="196">
        <v>5.72</v>
      </c>
      <c r="E8395" s="195" t="s">
        <v>583</v>
      </c>
      <c r="F8395" s="195" t="s">
        <v>430</v>
      </c>
    </row>
    <row r="8396" spans="1:6" x14ac:dyDescent="0.25">
      <c r="A8396" s="189" t="str">
        <f t="shared" si="131"/>
        <v>QA-MD 2135.25.72S</v>
      </c>
      <c r="B8396" s="195" t="s">
        <v>448</v>
      </c>
      <c r="C8396" s="196">
        <v>5.2</v>
      </c>
      <c r="D8396" s="196">
        <v>5.72</v>
      </c>
      <c r="E8396" s="195" t="s">
        <v>583</v>
      </c>
      <c r="F8396" s="195" t="s">
        <v>438</v>
      </c>
    </row>
    <row r="8397" spans="1:6" x14ac:dyDescent="0.25">
      <c r="A8397" s="189" t="str">
        <f t="shared" si="131"/>
        <v>QA-MD 2135.726.39N</v>
      </c>
      <c r="B8397" s="195" t="s">
        <v>448</v>
      </c>
      <c r="C8397" s="196">
        <v>5.72</v>
      </c>
      <c r="D8397" s="196">
        <v>6.39</v>
      </c>
      <c r="E8397" s="195" t="s">
        <v>583</v>
      </c>
      <c r="F8397" s="195" t="s">
        <v>430</v>
      </c>
    </row>
    <row r="8398" spans="1:6" x14ac:dyDescent="0.25">
      <c r="A8398" s="189" t="str">
        <f t="shared" si="131"/>
        <v>QA-MD 2135.726.39S</v>
      </c>
      <c r="B8398" s="195" t="s">
        <v>448</v>
      </c>
      <c r="C8398" s="196">
        <v>5.72</v>
      </c>
      <c r="D8398" s="196">
        <v>6.39</v>
      </c>
      <c r="E8398" s="195" t="s">
        <v>583</v>
      </c>
      <c r="F8398" s="195" t="s">
        <v>438</v>
      </c>
    </row>
    <row r="8399" spans="1:6" x14ac:dyDescent="0.25">
      <c r="A8399" s="189" t="str">
        <f t="shared" si="131"/>
        <v>QA-MD 2136.396.55N</v>
      </c>
      <c r="B8399" s="195" t="s">
        <v>448</v>
      </c>
      <c r="C8399" s="196">
        <v>6.39</v>
      </c>
      <c r="D8399" s="196">
        <v>6.55</v>
      </c>
      <c r="E8399" s="195" t="s">
        <v>583</v>
      </c>
      <c r="F8399" s="195" t="s">
        <v>430</v>
      </c>
    </row>
    <row r="8400" spans="1:6" x14ac:dyDescent="0.25">
      <c r="A8400" s="189" t="str">
        <f t="shared" si="131"/>
        <v>QA-MD 2136.396.55S</v>
      </c>
      <c r="B8400" s="195" t="s">
        <v>448</v>
      </c>
      <c r="C8400" s="196">
        <v>6.39</v>
      </c>
      <c r="D8400" s="196">
        <v>6.55</v>
      </c>
      <c r="E8400" s="195" t="s">
        <v>583</v>
      </c>
      <c r="F8400" s="195" t="s">
        <v>438</v>
      </c>
    </row>
    <row r="8401" spans="1:6" x14ac:dyDescent="0.25">
      <c r="A8401" s="189" t="str">
        <f t="shared" si="131"/>
        <v>QA-MD 2136.557.03N</v>
      </c>
      <c r="B8401" s="195" t="s">
        <v>448</v>
      </c>
      <c r="C8401" s="196">
        <v>6.55</v>
      </c>
      <c r="D8401" s="196">
        <v>7.03</v>
      </c>
      <c r="E8401" s="195" t="s">
        <v>583</v>
      </c>
      <c r="F8401" s="195" t="s">
        <v>430</v>
      </c>
    </row>
    <row r="8402" spans="1:6" x14ac:dyDescent="0.25">
      <c r="A8402" s="189" t="str">
        <f t="shared" si="131"/>
        <v>QA-MD 2136.557.03S</v>
      </c>
      <c r="B8402" s="195" t="s">
        <v>448</v>
      </c>
      <c r="C8402" s="196">
        <v>6.55</v>
      </c>
      <c r="D8402" s="196">
        <v>7.03</v>
      </c>
      <c r="E8402" s="195" t="s">
        <v>583</v>
      </c>
      <c r="F8402" s="195" t="s">
        <v>438</v>
      </c>
    </row>
    <row r="8403" spans="1:6" x14ac:dyDescent="0.25">
      <c r="A8403" s="189" t="str">
        <f t="shared" si="131"/>
        <v>QA-MD 2137.037.08S</v>
      </c>
      <c r="B8403" s="195" t="s">
        <v>448</v>
      </c>
      <c r="C8403" s="196">
        <v>7.03</v>
      </c>
      <c r="D8403" s="196">
        <v>7.08</v>
      </c>
      <c r="E8403" s="195" t="s">
        <v>595</v>
      </c>
      <c r="F8403" s="195" t="s">
        <v>438</v>
      </c>
    </row>
    <row r="8404" spans="1:6" x14ac:dyDescent="0.25">
      <c r="A8404" s="189" t="str">
        <f t="shared" si="131"/>
        <v>QA-MD 2137.038.52N</v>
      </c>
      <c r="B8404" s="195" t="s">
        <v>448</v>
      </c>
      <c r="C8404" s="196">
        <v>7.03</v>
      </c>
      <c r="D8404" s="196">
        <v>8.52</v>
      </c>
      <c r="E8404" s="195" t="s">
        <v>589</v>
      </c>
      <c r="F8404" s="195" t="s">
        <v>430</v>
      </c>
    </row>
    <row r="8405" spans="1:6" x14ac:dyDescent="0.25">
      <c r="A8405" s="189" t="str">
        <f t="shared" si="131"/>
        <v>QA-MD 2137.087.84S</v>
      </c>
      <c r="B8405" s="195" t="s">
        <v>448</v>
      </c>
      <c r="C8405" s="196">
        <v>7.08</v>
      </c>
      <c r="D8405" s="196">
        <v>7.84</v>
      </c>
      <c r="E8405" s="195" t="s">
        <v>595</v>
      </c>
      <c r="F8405" s="195" t="s">
        <v>438</v>
      </c>
    </row>
    <row r="8406" spans="1:6" x14ac:dyDescent="0.25">
      <c r="A8406" s="189" t="str">
        <f t="shared" si="131"/>
        <v>QA-MD 2137.848.52S</v>
      </c>
      <c r="B8406" s="195" t="s">
        <v>448</v>
      </c>
      <c r="C8406" s="196">
        <v>7.84</v>
      </c>
      <c r="D8406" s="196">
        <v>8.52</v>
      </c>
      <c r="E8406" s="195" t="s">
        <v>595</v>
      </c>
      <c r="F8406" s="195" t="s">
        <v>438</v>
      </c>
    </row>
    <row r="8407" spans="1:6" x14ac:dyDescent="0.25">
      <c r="A8407" s="189" t="str">
        <f t="shared" si="131"/>
        <v>QA-MD 2138.528.6N</v>
      </c>
      <c r="B8407" s="195" t="s">
        <v>448</v>
      </c>
      <c r="C8407" s="196">
        <v>8.52</v>
      </c>
      <c r="D8407" s="196">
        <v>8.6</v>
      </c>
      <c r="E8407" s="195" t="s">
        <v>583</v>
      </c>
      <c r="F8407" s="195" t="s">
        <v>430</v>
      </c>
    </row>
    <row r="8408" spans="1:6" x14ac:dyDescent="0.25">
      <c r="A8408" s="189" t="str">
        <f t="shared" si="131"/>
        <v>QA-MD 2138.528.6S</v>
      </c>
      <c r="B8408" s="195" t="s">
        <v>448</v>
      </c>
      <c r="C8408" s="196">
        <v>8.52</v>
      </c>
      <c r="D8408" s="196">
        <v>8.6</v>
      </c>
      <c r="E8408" s="195" t="s">
        <v>583</v>
      </c>
      <c r="F8408" s="195" t="s">
        <v>438</v>
      </c>
    </row>
    <row r="8409" spans="1:6" x14ac:dyDescent="0.25">
      <c r="A8409" s="189" t="str">
        <f t="shared" si="131"/>
        <v>QA-MD 2138.610.35N</v>
      </c>
      <c r="B8409" s="195" t="s">
        <v>448</v>
      </c>
      <c r="C8409" s="196">
        <v>8.6</v>
      </c>
      <c r="D8409" s="196">
        <v>10.35</v>
      </c>
      <c r="E8409" s="195" t="s">
        <v>583</v>
      </c>
      <c r="F8409" s="195" t="s">
        <v>430</v>
      </c>
    </row>
    <row r="8410" spans="1:6" x14ac:dyDescent="0.25">
      <c r="A8410" s="189" t="str">
        <f t="shared" si="131"/>
        <v>QA-MD 2138.610.35S</v>
      </c>
      <c r="B8410" s="195" t="s">
        <v>448</v>
      </c>
      <c r="C8410" s="196">
        <v>8.6</v>
      </c>
      <c r="D8410" s="196">
        <v>10.35</v>
      </c>
      <c r="E8410" s="195" t="s">
        <v>583</v>
      </c>
      <c r="F8410" s="195" t="s">
        <v>438</v>
      </c>
    </row>
    <row r="8411" spans="1:6" x14ac:dyDescent="0.25">
      <c r="A8411" s="189" t="str">
        <f t="shared" si="131"/>
        <v>QA-MD 21310.3510.75N</v>
      </c>
      <c r="B8411" s="195" t="s">
        <v>448</v>
      </c>
      <c r="C8411" s="196">
        <v>10.35</v>
      </c>
      <c r="D8411" s="196">
        <v>10.75</v>
      </c>
      <c r="E8411" s="195" t="s">
        <v>583</v>
      </c>
      <c r="F8411" s="195" t="s">
        <v>430</v>
      </c>
    </row>
    <row r="8412" spans="1:6" x14ac:dyDescent="0.25">
      <c r="A8412" s="189" t="str">
        <f t="shared" si="131"/>
        <v>QA-MD 21310.3510.75S</v>
      </c>
      <c r="B8412" s="195" t="s">
        <v>448</v>
      </c>
      <c r="C8412" s="196">
        <v>10.35</v>
      </c>
      <c r="D8412" s="196">
        <v>10.75</v>
      </c>
      <c r="E8412" s="195" t="s">
        <v>583</v>
      </c>
      <c r="F8412" s="195" t="s">
        <v>438</v>
      </c>
    </row>
    <row r="8413" spans="1:6" x14ac:dyDescent="0.25">
      <c r="A8413" s="189" t="str">
        <f t="shared" si="131"/>
        <v>QA-MD 21310.7522.33N</v>
      </c>
      <c r="B8413" s="195" t="s">
        <v>448</v>
      </c>
      <c r="C8413" s="196">
        <v>10.75</v>
      </c>
      <c r="D8413" s="196">
        <v>22.33</v>
      </c>
      <c r="E8413" s="195" t="s">
        <v>583</v>
      </c>
      <c r="F8413" s="195" t="s">
        <v>430</v>
      </c>
    </row>
    <row r="8414" spans="1:6" x14ac:dyDescent="0.25">
      <c r="A8414" s="189" t="str">
        <f t="shared" si="131"/>
        <v>QA-MD 21310.7522.33S</v>
      </c>
      <c r="B8414" s="195" t="s">
        <v>448</v>
      </c>
      <c r="C8414" s="196">
        <v>10.75</v>
      </c>
      <c r="D8414" s="196">
        <v>22.33</v>
      </c>
      <c r="E8414" s="195" t="s">
        <v>583</v>
      </c>
      <c r="F8414" s="195" t="s">
        <v>438</v>
      </c>
    </row>
    <row r="8415" spans="1:6" x14ac:dyDescent="0.25">
      <c r="A8415" s="189" t="str">
        <f t="shared" si="131"/>
        <v>QA-MD 21322.4522.69N</v>
      </c>
      <c r="B8415" s="195" t="s">
        <v>448</v>
      </c>
      <c r="C8415" s="196">
        <v>22.45</v>
      </c>
      <c r="D8415" s="196">
        <v>22.69</v>
      </c>
      <c r="E8415" s="195" t="s">
        <v>589</v>
      </c>
      <c r="F8415" s="195" t="s">
        <v>430</v>
      </c>
    </row>
    <row r="8416" spans="1:6" x14ac:dyDescent="0.25">
      <c r="A8416" s="189" t="str">
        <f t="shared" si="131"/>
        <v>QA-MD 21322.4522.7S</v>
      </c>
      <c r="B8416" s="195" t="s">
        <v>448</v>
      </c>
      <c r="C8416" s="196">
        <v>22.45</v>
      </c>
      <c r="D8416" s="196">
        <v>22.7</v>
      </c>
      <c r="E8416" s="195" t="s">
        <v>595</v>
      </c>
      <c r="F8416" s="195" t="s">
        <v>438</v>
      </c>
    </row>
    <row r="8417" spans="1:6" x14ac:dyDescent="0.25">
      <c r="A8417" s="189" t="str">
        <f t="shared" si="131"/>
        <v>QA-MD 21322.6922.9N</v>
      </c>
      <c r="B8417" s="195" t="s">
        <v>448</v>
      </c>
      <c r="C8417" s="196">
        <v>22.69</v>
      </c>
      <c r="D8417" s="196">
        <v>22.9</v>
      </c>
      <c r="E8417" s="195" t="s">
        <v>589</v>
      </c>
      <c r="F8417" s="195" t="s">
        <v>430</v>
      </c>
    </row>
    <row r="8418" spans="1:6" x14ac:dyDescent="0.25">
      <c r="A8418" s="189" t="str">
        <f t="shared" si="131"/>
        <v>QA-MD 21322.722.9S</v>
      </c>
      <c r="B8418" s="195" t="s">
        <v>448</v>
      </c>
      <c r="C8418" s="196">
        <v>22.7</v>
      </c>
      <c r="D8418" s="196">
        <v>22.9</v>
      </c>
      <c r="E8418" s="195" t="s">
        <v>595</v>
      </c>
      <c r="F8418" s="195" t="s">
        <v>438</v>
      </c>
    </row>
    <row r="8419" spans="1:6" x14ac:dyDescent="0.25">
      <c r="A8419" s="189" t="str">
        <f t="shared" si="131"/>
        <v>QA-MD 29003.69N</v>
      </c>
      <c r="B8419" s="195" t="s">
        <v>3951</v>
      </c>
      <c r="C8419" s="196">
        <v>0</v>
      </c>
      <c r="D8419" s="196">
        <v>3.69</v>
      </c>
      <c r="E8419" s="195" t="s">
        <v>583</v>
      </c>
      <c r="F8419" s="195" t="s">
        <v>430</v>
      </c>
    </row>
    <row r="8420" spans="1:6" x14ac:dyDescent="0.25">
      <c r="A8420" s="189" t="str">
        <f t="shared" si="131"/>
        <v>QA-MD 29003.69S</v>
      </c>
      <c r="B8420" s="195" t="s">
        <v>3951</v>
      </c>
      <c r="C8420" s="196">
        <v>0</v>
      </c>
      <c r="D8420" s="196">
        <v>3.69</v>
      </c>
      <c r="E8420" s="195" t="s">
        <v>583</v>
      </c>
      <c r="F8420" s="195" t="s">
        <v>438</v>
      </c>
    </row>
    <row r="8421" spans="1:6" x14ac:dyDescent="0.25">
      <c r="A8421" s="189" t="str">
        <f t="shared" si="131"/>
        <v>QA-MD 2903.694.8N</v>
      </c>
      <c r="B8421" s="195" t="s">
        <v>3951</v>
      </c>
      <c r="C8421" s="196">
        <v>3.69</v>
      </c>
      <c r="D8421" s="196">
        <v>4.8</v>
      </c>
      <c r="E8421" s="195" t="s">
        <v>583</v>
      </c>
      <c r="F8421" s="195" t="s">
        <v>430</v>
      </c>
    </row>
    <row r="8422" spans="1:6" x14ac:dyDescent="0.25">
      <c r="A8422" s="189" t="str">
        <f t="shared" si="131"/>
        <v>QA-MD 2903.694.8S</v>
      </c>
      <c r="B8422" s="195" t="s">
        <v>3951</v>
      </c>
      <c r="C8422" s="196">
        <v>3.69</v>
      </c>
      <c r="D8422" s="196">
        <v>4.8</v>
      </c>
      <c r="E8422" s="195" t="s">
        <v>583</v>
      </c>
      <c r="F8422" s="195" t="s">
        <v>438</v>
      </c>
    </row>
    <row r="8423" spans="1:6" x14ac:dyDescent="0.25">
      <c r="A8423" s="189" t="str">
        <f t="shared" si="131"/>
        <v>QA-MD 30000.78E</v>
      </c>
      <c r="B8423" s="195" t="s">
        <v>3952</v>
      </c>
      <c r="C8423" s="196">
        <v>0</v>
      </c>
      <c r="D8423" s="196">
        <v>0.78</v>
      </c>
      <c r="E8423" s="195" t="s">
        <v>583</v>
      </c>
      <c r="F8423" s="195" t="s">
        <v>19</v>
      </c>
    </row>
    <row r="8424" spans="1:6" x14ac:dyDescent="0.25">
      <c r="A8424" s="189" t="str">
        <f t="shared" si="131"/>
        <v>QA-MD 30000.78W</v>
      </c>
      <c r="B8424" s="195" t="s">
        <v>3952</v>
      </c>
      <c r="C8424" s="196">
        <v>0</v>
      </c>
      <c r="D8424" s="196">
        <v>0.78</v>
      </c>
      <c r="E8424" s="195" t="s">
        <v>583</v>
      </c>
      <c r="F8424" s="195" t="s">
        <v>432</v>
      </c>
    </row>
    <row r="8425" spans="1:6" x14ac:dyDescent="0.25">
      <c r="A8425" s="189" t="str">
        <f t="shared" si="131"/>
        <v>QA-MD 3000.781.51E</v>
      </c>
      <c r="B8425" s="195" t="s">
        <v>3952</v>
      </c>
      <c r="C8425" s="196">
        <v>0.78</v>
      </c>
      <c r="D8425" s="196">
        <v>1.51</v>
      </c>
      <c r="E8425" s="195" t="s">
        <v>583</v>
      </c>
      <c r="F8425" s="195" t="s">
        <v>19</v>
      </c>
    </row>
    <row r="8426" spans="1:6" x14ac:dyDescent="0.25">
      <c r="A8426" s="189" t="str">
        <f t="shared" si="131"/>
        <v>QA-MD 3000.781.51W</v>
      </c>
      <c r="B8426" s="195" t="s">
        <v>3952</v>
      </c>
      <c r="C8426" s="196">
        <v>0.78</v>
      </c>
      <c r="D8426" s="196">
        <v>1.51</v>
      </c>
      <c r="E8426" s="195" t="s">
        <v>583</v>
      </c>
      <c r="F8426" s="195" t="s">
        <v>432</v>
      </c>
    </row>
    <row r="8427" spans="1:6" x14ac:dyDescent="0.25">
      <c r="A8427" s="189" t="str">
        <f t="shared" si="131"/>
        <v>QA-MD 3001.511.58E</v>
      </c>
      <c r="B8427" s="195" t="s">
        <v>3952</v>
      </c>
      <c r="C8427" s="196">
        <v>1.51</v>
      </c>
      <c r="D8427" s="196">
        <v>1.58</v>
      </c>
      <c r="E8427" s="195" t="s">
        <v>583</v>
      </c>
      <c r="F8427" s="195" t="s">
        <v>19</v>
      </c>
    </row>
    <row r="8428" spans="1:6" x14ac:dyDescent="0.25">
      <c r="A8428" s="189" t="str">
        <f t="shared" si="131"/>
        <v>QA-MD 3001.511.58W</v>
      </c>
      <c r="B8428" s="195" t="s">
        <v>3952</v>
      </c>
      <c r="C8428" s="196">
        <v>1.51</v>
      </c>
      <c r="D8428" s="196">
        <v>1.58</v>
      </c>
      <c r="E8428" s="195" t="s">
        <v>583</v>
      </c>
      <c r="F8428" s="195" t="s">
        <v>432</v>
      </c>
    </row>
    <row r="8429" spans="1:6" x14ac:dyDescent="0.25">
      <c r="A8429" s="189" t="str">
        <f t="shared" si="131"/>
        <v>QA-MD 3001.583.24E</v>
      </c>
      <c r="B8429" s="195" t="s">
        <v>3952</v>
      </c>
      <c r="C8429" s="196">
        <v>1.58</v>
      </c>
      <c r="D8429" s="196">
        <v>3.24</v>
      </c>
      <c r="E8429" s="195" t="s">
        <v>583</v>
      </c>
      <c r="F8429" s="195" t="s">
        <v>19</v>
      </c>
    </row>
    <row r="8430" spans="1:6" x14ac:dyDescent="0.25">
      <c r="A8430" s="189" t="str">
        <f t="shared" si="131"/>
        <v>QA-MD 3001.583.24W</v>
      </c>
      <c r="B8430" s="195" t="s">
        <v>3952</v>
      </c>
      <c r="C8430" s="196">
        <v>1.58</v>
      </c>
      <c r="D8430" s="196">
        <v>3.24</v>
      </c>
      <c r="E8430" s="195" t="s">
        <v>583</v>
      </c>
      <c r="F8430" s="195" t="s">
        <v>432</v>
      </c>
    </row>
    <row r="8431" spans="1:6" x14ac:dyDescent="0.25">
      <c r="A8431" s="189" t="str">
        <f t="shared" si="131"/>
        <v>QA-MD 3003.243.58E</v>
      </c>
      <c r="B8431" s="195" t="s">
        <v>3952</v>
      </c>
      <c r="C8431" s="196">
        <v>3.24</v>
      </c>
      <c r="D8431" s="196">
        <v>3.58</v>
      </c>
      <c r="E8431" s="195" t="s">
        <v>583</v>
      </c>
      <c r="F8431" s="195" t="s">
        <v>19</v>
      </c>
    </row>
    <row r="8432" spans="1:6" x14ac:dyDescent="0.25">
      <c r="A8432" s="189" t="str">
        <f t="shared" si="131"/>
        <v>QA-MD 3003.243.58W</v>
      </c>
      <c r="B8432" s="195" t="s">
        <v>3952</v>
      </c>
      <c r="C8432" s="196">
        <v>3.24</v>
      </c>
      <c r="D8432" s="196">
        <v>3.58</v>
      </c>
      <c r="E8432" s="195" t="s">
        <v>583</v>
      </c>
      <c r="F8432" s="195" t="s">
        <v>432</v>
      </c>
    </row>
    <row r="8433" spans="1:6" x14ac:dyDescent="0.25">
      <c r="A8433" s="189" t="str">
        <f t="shared" si="131"/>
        <v>QA-MD 3003.584.08E</v>
      </c>
      <c r="B8433" s="195" t="s">
        <v>3952</v>
      </c>
      <c r="C8433" s="196">
        <v>3.58</v>
      </c>
      <c r="D8433" s="196">
        <v>4.08</v>
      </c>
      <c r="E8433" s="195" t="s">
        <v>583</v>
      </c>
      <c r="F8433" s="195" t="s">
        <v>19</v>
      </c>
    </row>
    <row r="8434" spans="1:6" x14ac:dyDescent="0.25">
      <c r="A8434" s="189" t="str">
        <f t="shared" si="131"/>
        <v>QA-MD 3003.584.08W</v>
      </c>
      <c r="B8434" s="195" t="s">
        <v>3952</v>
      </c>
      <c r="C8434" s="196">
        <v>3.58</v>
      </c>
      <c r="D8434" s="196">
        <v>4.08</v>
      </c>
      <c r="E8434" s="195" t="s">
        <v>583</v>
      </c>
      <c r="F8434" s="195" t="s">
        <v>432</v>
      </c>
    </row>
    <row r="8435" spans="1:6" x14ac:dyDescent="0.25">
      <c r="A8435" s="189" t="str">
        <f t="shared" si="131"/>
        <v>QA-MD 3004.089.63E</v>
      </c>
      <c r="B8435" s="195" t="s">
        <v>3952</v>
      </c>
      <c r="C8435" s="196">
        <v>4.08</v>
      </c>
      <c r="D8435" s="196">
        <v>9.6300000000000008</v>
      </c>
      <c r="E8435" s="195" t="s">
        <v>583</v>
      </c>
      <c r="F8435" s="195" t="s">
        <v>19</v>
      </c>
    </row>
    <row r="8436" spans="1:6" x14ac:dyDescent="0.25">
      <c r="A8436" s="189" t="str">
        <f t="shared" si="131"/>
        <v>QA-MD 3004.089.63W</v>
      </c>
      <c r="B8436" s="195" t="s">
        <v>3952</v>
      </c>
      <c r="C8436" s="196">
        <v>4.08</v>
      </c>
      <c r="D8436" s="196">
        <v>9.6300000000000008</v>
      </c>
      <c r="E8436" s="195" t="s">
        <v>583</v>
      </c>
      <c r="F8436" s="195" t="s">
        <v>432</v>
      </c>
    </row>
    <row r="8437" spans="1:6" x14ac:dyDescent="0.25">
      <c r="A8437" s="189" t="str">
        <f t="shared" si="131"/>
        <v>QA-MD 300A00.16E</v>
      </c>
      <c r="B8437" s="195" t="s">
        <v>3953</v>
      </c>
      <c r="C8437" s="196">
        <v>0</v>
      </c>
      <c r="D8437" s="196">
        <v>0.16</v>
      </c>
      <c r="E8437" s="195" t="s">
        <v>583</v>
      </c>
      <c r="F8437" s="195" t="s">
        <v>19</v>
      </c>
    </row>
    <row r="8438" spans="1:6" x14ac:dyDescent="0.25">
      <c r="A8438" s="189" t="str">
        <f t="shared" si="131"/>
        <v>QA-MD 300A00.16W</v>
      </c>
      <c r="B8438" s="195" t="s">
        <v>3953</v>
      </c>
      <c r="C8438" s="196">
        <v>0</v>
      </c>
      <c r="D8438" s="196">
        <v>0.16</v>
      </c>
      <c r="E8438" s="195" t="s">
        <v>583</v>
      </c>
      <c r="F8438" s="195" t="s">
        <v>432</v>
      </c>
    </row>
    <row r="8439" spans="1:6" x14ac:dyDescent="0.25">
      <c r="A8439" s="189" t="str">
        <f t="shared" si="131"/>
        <v>QA-MD 300A0.162.65E</v>
      </c>
      <c r="B8439" s="195" t="s">
        <v>3953</v>
      </c>
      <c r="C8439" s="196">
        <v>0.16</v>
      </c>
      <c r="D8439" s="196">
        <v>2.65</v>
      </c>
      <c r="E8439" s="195" t="s">
        <v>583</v>
      </c>
      <c r="F8439" s="195" t="s">
        <v>19</v>
      </c>
    </row>
    <row r="8440" spans="1:6" x14ac:dyDescent="0.25">
      <c r="A8440" s="189" t="str">
        <f t="shared" si="131"/>
        <v>QA-MD 300A0.162.65W</v>
      </c>
      <c r="B8440" s="195" t="s">
        <v>3953</v>
      </c>
      <c r="C8440" s="196">
        <v>0.16</v>
      </c>
      <c r="D8440" s="196">
        <v>2.65</v>
      </c>
      <c r="E8440" s="195" t="s">
        <v>583</v>
      </c>
      <c r="F8440" s="195" t="s">
        <v>432</v>
      </c>
    </row>
    <row r="8441" spans="1:6" x14ac:dyDescent="0.25">
      <c r="A8441" s="189" t="str">
        <f t="shared" si="131"/>
        <v>QA-MD 300A2.653.92E</v>
      </c>
      <c r="B8441" s="195" t="s">
        <v>3953</v>
      </c>
      <c r="C8441" s="196">
        <v>2.65</v>
      </c>
      <c r="D8441" s="196">
        <v>3.92</v>
      </c>
      <c r="E8441" s="195" t="s">
        <v>583</v>
      </c>
      <c r="F8441" s="195" t="s">
        <v>19</v>
      </c>
    </row>
    <row r="8442" spans="1:6" x14ac:dyDescent="0.25">
      <c r="A8442" s="189" t="str">
        <f t="shared" si="131"/>
        <v>QA-MD 300A2.653.92W</v>
      </c>
      <c r="B8442" s="195" t="s">
        <v>3953</v>
      </c>
      <c r="C8442" s="196">
        <v>2.65</v>
      </c>
      <c r="D8442" s="196">
        <v>3.92</v>
      </c>
      <c r="E8442" s="195" t="s">
        <v>583</v>
      </c>
      <c r="F8442" s="195" t="s">
        <v>432</v>
      </c>
    </row>
    <row r="8443" spans="1:6" x14ac:dyDescent="0.25">
      <c r="A8443" s="189" t="str">
        <f t="shared" si="131"/>
        <v>QA-MD 30203.5E</v>
      </c>
      <c r="B8443" s="195" t="s">
        <v>3954</v>
      </c>
      <c r="C8443" s="196">
        <v>0</v>
      </c>
      <c r="D8443" s="196">
        <v>3.5</v>
      </c>
      <c r="E8443" s="195" t="s">
        <v>583</v>
      </c>
      <c r="F8443" s="195" t="s">
        <v>19</v>
      </c>
    </row>
    <row r="8444" spans="1:6" x14ac:dyDescent="0.25">
      <c r="A8444" s="189" t="str">
        <f t="shared" si="131"/>
        <v>QA-MD 30203.5W</v>
      </c>
      <c r="B8444" s="195" t="s">
        <v>3954</v>
      </c>
      <c r="C8444" s="196">
        <v>0</v>
      </c>
      <c r="D8444" s="196">
        <v>3.5</v>
      </c>
      <c r="E8444" s="195" t="s">
        <v>583</v>
      </c>
      <c r="F8444" s="195" t="s">
        <v>432</v>
      </c>
    </row>
    <row r="8445" spans="1:6" x14ac:dyDescent="0.25">
      <c r="A8445" s="189" t="str">
        <f t="shared" si="131"/>
        <v>QA-MD 3023.54.7E</v>
      </c>
      <c r="B8445" s="195" t="s">
        <v>3954</v>
      </c>
      <c r="C8445" s="196">
        <v>3.5</v>
      </c>
      <c r="D8445" s="196">
        <v>4.7</v>
      </c>
      <c r="E8445" s="195" t="s">
        <v>583</v>
      </c>
      <c r="F8445" s="195" t="s">
        <v>19</v>
      </c>
    </row>
    <row r="8446" spans="1:6" x14ac:dyDescent="0.25">
      <c r="A8446" s="189" t="str">
        <f t="shared" si="131"/>
        <v>QA-MD 3023.54.7W</v>
      </c>
      <c r="B8446" s="195" t="s">
        <v>3954</v>
      </c>
      <c r="C8446" s="196">
        <v>3.5</v>
      </c>
      <c r="D8446" s="196">
        <v>4.7</v>
      </c>
      <c r="E8446" s="195" t="s">
        <v>583</v>
      </c>
      <c r="F8446" s="195" t="s">
        <v>432</v>
      </c>
    </row>
    <row r="8447" spans="1:6" x14ac:dyDescent="0.25">
      <c r="A8447" s="189" t="str">
        <f t="shared" si="131"/>
        <v>QA-MD 3024.75.94E</v>
      </c>
      <c r="B8447" s="195" t="s">
        <v>3954</v>
      </c>
      <c r="C8447" s="196">
        <v>4.7</v>
      </c>
      <c r="D8447" s="196">
        <v>5.94</v>
      </c>
      <c r="E8447" s="195" t="s">
        <v>583</v>
      </c>
      <c r="F8447" s="195" t="s">
        <v>19</v>
      </c>
    </row>
    <row r="8448" spans="1:6" x14ac:dyDescent="0.25">
      <c r="A8448" s="189" t="str">
        <f t="shared" si="131"/>
        <v>QA-MD 3024.75.94W</v>
      </c>
      <c r="B8448" s="195" t="s">
        <v>3954</v>
      </c>
      <c r="C8448" s="196">
        <v>4.7</v>
      </c>
      <c r="D8448" s="196">
        <v>5.94</v>
      </c>
      <c r="E8448" s="195" t="s">
        <v>583</v>
      </c>
      <c r="F8448" s="195" t="s">
        <v>432</v>
      </c>
    </row>
    <row r="8449" spans="1:6" x14ac:dyDescent="0.25">
      <c r="A8449" s="189" t="str">
        <f t="shared" si="131"/>
        <v>QA-MD 3025.947.65E</v>
      </c>
      <c r="B8449" s="195" t="s">
        <v>3954</v>
      </c>
      <c r="C8449" s="196">
        <v>5.94</v>
      </c>
      <c r="D8449" s="196">
        <v>7.65</v>
      </c>
      <c r="E8449" s="195" t="s">
        <v>583</v>
      </c>
      <c r="F8449" s="195" t="s">
        <v>19</v>
      </c>
    </row>
    <row r="8450" spans="1:6" x14ac:dyDescent="0.25">
      <c r="A8450" s="189" t="str">
        <f t="shared" si="131"/>
        <v>QA-MD 3025.947.65W</v>
      </c>
      <c r="B8450" s="195" t="s">
        <v>3954</v>
      </c>
      <c r="C8450" s="196">
        <v>5.94</v>
      </c>
      <c r="D8450" s="196">
        <v>7.65</v>
      </c>
      <c r="E8450" s="195" t="s">
        <v>583</v>
      </c>
      <c r="F8450" s="195" t="s">
        <v>432</v>
      </c>
    </row>
    <row r="8451" spans="1:6" x14ac:dyDescent="0.25">
      <c r="A8451" s="189" t="str">
        <f>B8451&amp;C8451&amp;D8451&amp;F8451</f>
        <v>QA-MD 30300.25N</v>
      </c>
      <c r="B8451" s="195" t="s">
        <v>3955</v>
      </c>
      <c r="C8451" s="196">
        <v>0</v>
      </c>
      <c r="D8451" s="196">
        <v>0.25</v>
      </c>
      <c r="E8451" s="195" t="s">
        <v>589</v>
      </c>
      <c r="F8451" s="195" t="s">
        <v>430</v>
      </c>
    </row>
    <row r="8452" spans="1:6" x14ac:dyDescent="0.25">
      <c r="A8452" s="189" t="str">
        <f>B8452&amp;C8452&amp;D8452&amp;F8452</f>
        <v>QA-MD 30300.25S</v>
      </c>
      <c r="B8452" s="195" t="s">
        <v>3955</v>
      </c>
      <c r="C8452" s="196">
        <v>0</v>
      </c>
      <c r="D8452" s="196">
        <v>0.25</v>
      </c>
      <c r="E8452" s="195" t="s">
        <v>595</v>
      </c>
      <c r="F8452" s="195" t="s">
        <v>438</v>
      </c>
    </row>
    <row r="8453" spans="1:6" x14ac:dyDescent="0.25">
      <c r="A8453" s="189" t="str">
        <f>B8453&amp;C8453&amp;D8453&amp;F8453</f>
        <v>QA-MD 3030.250.42N</v>
      </c>
      <c r="B8453" s="195" t="s">
        <v>3955</v>
      </c>
      <c r="C8453" s="196">
        <v>0.25</v>
      </c>
      <c r="D8453" s="196">
        <v>0.42</v>
      </c>
      <c r="E8453" s="195" t="s">
        <v>589</v>
      </c>
      <c r="F8453" s="195" t="s">
        <v>430</v>
      </c>
    </row>
    <row r="8454" spans="1:6" x14ac:dyDescent="0.25">
      <c r="A8454" s="189" t="str">
        <f>B8454&amp;C8454&amp;D8454&amp;F8454</f>
        <v>QA-MD 30402.4E</v>
      </c>
      <c r="B8454" s="195" t="s">
        <v>3956</v>
      </c>
      <c r="C8454" s="196">
        <v>0</v>
      </c>
      <c r="D8454" s="196">
        <v>2.4</v>
      </c>
      <c r="E8454" s="195" t="s">
        <v>583</v>
      </c>
      <c r="F8454" s="195" t="s">
        <v>19</v>
      </c>
    </row>
    <row r="8455" spans="1:6" x14ac:dyDescent="0.25">
      <c r="A8455" s="189" t="str">
        <f>B8455&amp;C8455&amp;D8455&amp;F8455</f>
        <v>QA-MD 30402.4W</v>
      </c>
      <c r="B8455" s="195" t="s">
        <v>3956</v>
      </c>
      <c r="C8455" s="196">
        <v>0</v>
      </c>
      <c r="D8455" s="196">
        <v>2.4</v>
      </c>
      <c r="E8455" s="195" t="s">
        <v>583</v>
      </c>
      <c r="F8455" s="195" t="s">
        <v>432</v>
      </c>
    </row>
    <row r="8456" spans="1:6" x14ac:dyDescent="0.25">
      <c r="A8456" s="189" t="str">
        <f t="shared" ref="A8456:A8519" si="132">B8456&amp;C8456&amp;D8456&amp;F8456</f>
        <v>QA-MD 3042.43.13W</v>
      </c>
      <c r="B8456" s="195" t="s">
        <v>3956</v>
      </c>
      <c r="C8456" s="196">
        <v>2.4</v>
      </c>
      <c r="D8456" s="196">
        <v>3.13</v>
      </c>
      <c r="E8456" s="195" t="s">
        <v>593</v>
      </c>
      <c r="F8456" s="195" t="s">
        <v>432</v>
      </c>
    </row>
    <row r="8457" spans="1:6" x14ac:dyDescent="0.25">
      <c r="A8457" s="189" t="str">
        <f t="shared" si="132"/>
        <v>QA-MD 3042.43.21E</v>
      </c>
      <c r="B8457" s="195" t="s">
        <v>3956</v>
      </c>
      <c r="C8457" s="196">
        <v>2.4</v>
      </c>
      <c r="D8457" s="196">
        <v>3.21</v>
      </c>
      <c r="E8457" s="195" t="s">
        <v>598</v>
      </c>
      <c r="F8457" s="195" t="s">
        <v>19</v>
      </c>
    </row>
    <row r="8458" spans="1:6" x14ac:dyDescent="0.25">
      <c r="A8458" s="189" t="str">
        <f t="shared" si="132"/>
        <v>QA-MD 3043.133.28W</v>
      </c>
      <c r="B8458" s="195" t="s">
        <v>3956</v>
      </c>
      <c r="C8458" s="196">
        <v>3.13</v>
      </c>
      <c r="D8458" s="196">
        <v>3.28</v>
      </c>
      <c r="E8458" s="195" t="s">
        <v>593</v>
      </c>
      <c r="F8458" s="195" t="s">
        <v>432</v>
      </c>
    </row>
    <row r="8459" spans="1:6" x14ac:dyDescent="0.25">
      <c r="A8459" s="189" t="str">
        <f t="shared" si="132"/>
        <v>QA-MD 3043.213.98E</v>
      </c>
      <c r="B8459" s="195" t="s">
        <v>3956</v>
      </c>
      <c r="C8459" s="196">
        <v>3.21</v>
      </c>
      <c r="D8459" s="196">
        <v>3.98</v>
      </c>
      <c r="E8459" s="195" t="s">
        <v>598</v>
      </c>
      <c r="F8459" s="195" t="s">
        <v>19</v>
      </c>
    </row>
    <row r="8460" spans="1:6" x14ac:dyDescent="0.25">
      <c r="A8460" s="189" t="str">
        <f t="shared" si="132"/>
        <v>QA-MD 3043.283.98W</v>
      </c>
      <c r="B8460" s="195" t="s">
        <v>3956</v>
      </c>
      <c r="C8460" s="196">
        <v>3.28</v>
      </c>
      <c r="D8460" s="196">
        <v>3.98</v>
      </c>
      <c r="E8460" s="195" t="s">
        <v>593</v>
      </c>
      <c r="F8460" s="195" t="s">
        <v>432</v>
      </c>
    </row>
    <row r="8461" spans="1:6" x14ac:dyDescent="0.25">
      <c r="A8461" s="189" t="str">
        <f t="shared" si="132"/>
        <v>QA-MD 3043.985.79E</v>
      </c>
      <c r="B8461" s="195" t="s">
        <v>3956</v>
      </c>
      <c r="C8461" s="196">
        <v>3.98</v>
      </c>
      <c r="D8461" s="196">
        <v>5.79</v>
      </c>
      <c r="E8461" s="195" t="s">
        <v>583</v>
      </c>
      <c r="F8461" s="195" t="s">
        <v>19</v>
      </c>
    </row>
    <row r="8462" spans="1:6" x14ac:dyDescent="0.25">
      <c r="A8462" s="189" t="str">
        <f t="shared" si="132"/>
        <v>QA-MD 3043.985.79W</v>
      </c>
      <c r="B8462" s="195" t="s">
        <v>3956</v>
      </c>
      <c r="C8462" s="196">
        <v>3.98</v>
      </c>
      <c r="D8462" s="196">
        <v>5.79</v>
      </c>
      <c r="E8462" s="195" t="s">
        <v>583</v>
      </c>
      <c r="F8462" s="195" t="s">
        <v>432</v>
      </c>
    </row>
    <row r="8463" spans="1:6" x14ac:dyDescent="0.25">
      <c r="A8463" s="189" t="str">
        <f t="shared" si="132"/>
        <v>QA-MD 304A08.96E</v>
      </c>
      <c r="B8463" s="195" t="s">
        <v>3957</v>
      </c>
      <c r="C8463" s="196">
        <v>0</v>
      </c>
      <c r="D8463" s="196">
        <v>8.9600000000000009</v>
      </c>
      <c r="E8463" s="195" t="s">
        <v>598</v>
      </c>
      <c r="F8463" s="195" t="s">
        <v>19</v>
      </c>
    </row>
    <row r="8464" spans="1:6" x14ac:dyDescent="0.25">
      <c r="A8464" s="189" t="str">
        <f t="shared" si="132"/>
        <v>QA-MD 304A0.18.96W</v>
      </c>
      <c r="B8464" s="195" t="s">
        <v>3957</v>
      </c>
      <c r="C8464" s="196">
        <v>0.1</v>
      </c>
      <c r="D8464" s="196">
        <v>8.9600000000000009</v>
      </c>
      <c r="E8464" s="195" t="s">
        <v>593</v>
      </c>
      <c r="F8464" s="195" t="s">
        <v>432</v>
      </c>
    </row>
    <row r="8465" spans="1:6" x14ac:dyDescent="0.25">
      <c r="A8465" s="189" t="str">
        <f t="shared" si="132"/>
        <v>QA-MD 30502.9E</v>
      </c>
      <c r="B8465" s="195" t="s">
        <v>3958</v>
      </c>
      <c r="C8465" s="196">
        <v>0</v>
      </c>
      <c r="D8465" s="196">
        <v>2.9</v>
      </c>
      <c r="E8465" s="195" t="s">
        <v>583</v>
      </c>
      <c r="F8465" s="195" t="s">
        <v>19</v>
      </c>
    </row>
    <row r="8466" spans="1:6" x14ac:dyDescent="0.25">
      <c r="A8466" s="189" t="str">
        <f t="shared" si="132"/>
        <v>QA-MD 30502.9W</v>
      </c>
      <c r="B8466" s="195" t="s">
        <v>3958</v>
      </c>
      <c r="C8466" s="196">
        <v>0</v>
      </c>
      <c r="D8466" s="196">
        <v>2.9</v>
      </c>
      <c r="E8466" s="195" t="s">
        <v>583</v>
      </c>
      <c r="F8466" s="195" t="s">
        <v>432</v>
      </c>
    </row>
    <row r="8467" spans="1:6" x14ac:dyDescent="0.25">
      <c r="A8467" s="189" t="str">
        <f t="shared" si="132"/>
        <v>QA-MD 3052.93.1E</v>
      </c>
      <c r="B8467" s="195" t="s">
        <v>3958</v>
      </c>
      <c r="C8467" s="196">
        <v>2.9</v>
      </c>
      <c r="D8467" s="196">
        <v>3.1</v>
      </c>
      <c r="E8467" s="195" t="s">
        <v>583</v>
      </c>
      <c r="F8467" s="195" t="s">
        <v>19</v>
      </c>
    </row>
    <row r="8468" spans="1:6" x14ac:dyDescent="0.25">
      <c r="A8468" s="189" t="str">
        <f t="shared" si="132"/>
        <v>QA-MD 3052.93.1W</v>
      </c>
      <c r="B8468" s="195" t="s">
        <v>3958</v>
      </c>
      <c r="C8468" s="196">
        <v>2.9</v>
      </c>
      <c r="D8468" s="196">
        <v>3.1</v>
      </c>
      <c r="E8468" s="195" t="s">
        <v>583</v>
      </c>
      <c r="F8468" s="195" t="s">
        <v>432</v>
      </c>
    </row>
    <row r="8469" spans="1:6" x14ac:dyDescent="0.25">
      <c r="A8469" s="189" t="str">
        <f t="shared" si="132"/>
        <v>QA-MD 3053.15.08E</v>
      </c>
      <c r="B8469" s="195" t="s">
        <v>3958</v>
      </c>
      <c r="C8469" s="196">
        <v>3.1</v>
      </c>
      <c r="D8469" s="196">
        <v>5.08</v>
      </c>
      <c r="E8469" s="195" t="s">
        <v>583</v>
      </c>
      <c r="F8469" s="195" t="s">
        <v>19</v>
      </c>
    </row>
    <row r="8470" spans="1:6" x14ac:dyDescent="0.25">
      <c r="A8470" s="189" t="str">
        <f t="shared" si="132"/>
        <v>QA-MD 3053.15.08W</v>
      </c>
      <c r="B8470" s="195" t="s">
        <v>3958</v>
      </c>
      <c r="C8470" s="196">
        <v>3.1</v>
      </c>
      <c r="D8470" s="196">
        <v>5.08</v>
      </c>
      <c r="E8470" s="195" t="s">
        <v>583</v>
      </c>
      <c r="F8470" s="195" t="s">
        <v>432</v>
      </c>
    </row>
    <row r="8471" spans="1:6" x14ac:dyDescent="0.25">
      <c r="A8471" s="189" t="str">
        <f t="shared" si="132"/>
        <v>QA-MD 30900.23N</v>
      </c>
      <c r="B8471" s="195" t="s">
        <v>3959</v>
      </c>
      <c r="C8471" s="196">
        <v>0</v>
      </c>
      <c r="D8471" s="196">
        <v>0.23</v>
      </c>
      <c r="E8471" s="195" t="s">
        <v>583</v>
      </c>
      <c r="F8471" s="195" t="s">
        <v>430</v>
      </c>
    </row>
    <row r="8472" spans="1:6" x14ac:dyDescent="0.25">
      <c r="A8472" s="189" t="str">
        <f t="shared" si="132"/>
        <v>QA-MD 30900.23S</v>
      </c>
      <c r="B8472" s="195" t="s">
        <v>3959</v>
      </c>
      <c r="C8472" s="196">
        <v>0</v>
      </c>
      <c r="D8472" s="196">
        <v>0.23</v>
      </c>
      <c r="E8472" s="195" t="s">
        <v>583</v>
      </c>
      <c r="F8472" s="195" t="s">
        <v>438</v>
      </c>
    </row>
    <row r="8473" spans="1:6" x14ac:dyDescent="0.25">
      <c r="A8473" s="189" t="str">
        <f t="shared" si="132"/>
        <v>QA-MD 3090.233.27N</v>
      </c>
      <c r="B8473" s="195" t="s">
        <v>3959</v>
      </c>
      <c r="C8473" s="196">
        <v>0.23</v>
      </c>
      <c r="D8473" s="196">
        <v>3.27</v>
      </c>
      <c r="E8473" s="195" t="s">
        <v>583</v>
      </c>
      <c r="F8473" s="195" t="s">
        <v>430</v>
      </c>
    </row>
    <row r="8474" spans="1:6" x14ac:dyDescent="0.25">
      <c r="A8474" s="189" t="str">
        <f t="shared" si="132"/>
        <v>QA-MD 3090.233.27S</v>
      </c>
      <c r="B8474" s="195" t="s">
        <v>3959</v>
      </c>
      <c r="C8474" s="196">
        <v>0.23</v>
      </c>
      <c r="D8474" s="196">
        <v>3.27</v>
      </c>
      <c r="E8474" s="195" t="s">
        <v>583</v>
      </c>
      <c r="F8474" s="195" t="s">
        <v>438</v>
      </c>
    </row>
    <row r="8475" spans="1:6" x14ac:dyDescent="0.25">
      <c r="A8475" s="189" t="str">
        <f t="shared" si="132"/>
        <v>QA-MD 3093.277.62N</v>
      </c>
      <c r="B8475" s="195" t="s">
        <v>3959</v>
      </c>
      <c r="C8475" s="196">
        <v>3.27</v>
      </c>
      <c r="D8475" s="196">
        <v>7.62</v>
      </c>
      <c r="E8475" s="195" t="s">
        <v>583</v>
      </c>
      <c r="F8475" s="195" t="s">
        <v>430</v>
      </c>
    </row>
    <row r="8476" spans="1:6" x14ac:dyDescent="0.25">
      <c r="A8476" s="189" t="str">
        <f t="shared" si="132"/>
        <v>QA-MD 3093.277.62S</v>
      </c>
      <c r="B8476" s="195" t="s">
        <v>3959</v>
      </c>
      <c r="C8476" s="196">
        <v>3.27</v>
      </c>
      <c r="D8476" s="196">
        <v>7.62</v>
      </c>
      <c r="E8476" s="195" t="s">
        <v>583</v>
      </c>
      <c r="F8476" s="195" t="s">
        <v>438</v>
      </c>
    </row>
    <row r="8477" spans="1:6" x14ac:dyDescent="0.25">
      <c r="A8477" s="189" t="str">
        <f t="shared" si="132"/>
        <v>QA-MD 3097.629.11N</v>
      </c>
      <c r="B8477" s="195" t="s">
        <v>3959</v>
      </c>
      <c r="C8477" s="196">
        <v>7.62</v>
      </c>
      <c r="D8477" s="196">
        <v>9.11</v>
      </c>
      <c r="E8477" s="195" t="s">
        <v>583</v>
      </c>
      <c r="F8477" s="195" t="s">
        <v>430</v>
      </c>
    </row>
    <row r="8478" spans="1:6" x14ac:dyDescent="0.25">
      <c r="A8478" s="189" t="str">
        <f t="shared" si="132"/>
        <v>QA-MD 3097.629.11S</v>
      </c>
      <c r="B8478" s="195" t="s">
        <v>3959</v>
      </c>
      <c r="C8478" s="196">
        <v>7.62</v>
      </c>
      <c r="D8478" s="196">
        <v>9.11</v>
      </c>
      <c r="E8478" s="195" t="s">
        <v>583</v>
      </c>
      <c r="F8478" s="195" t="s">
        <v>438</v>
      </c>
    </row>
    <row r="8479" spans="1:6" x14ac:dyDescent="0.25">
      <c r="A8479" s="189" t="str">
        <f t="shared" si="132"/>
        <v>QA-MD 31300.24N</v>
      </c>
      <c r="B8479" s="195" t="s">
        <v>3960</v>
      </c>
      <c r="C8479" s="196">
        <v>0</v>
      </c>
      <c r="D8479" s="196">
        <v>0.24</v>
      </c>
      <c r="E8479" s="195" t="s">
        <v>583</v>
      </c>
      <c r="F8479" s="195" t="s">
        <v>430</v>
      </c>
    </row>
    <row r="8480" spans="1:6" x14ac:dyDescent="0.25">
      <c r="A8480" s="189" t="str">
        <f t="shared" si="132"/>
        <v>QA-MD 31300.24S</v>
      </c>
      <c r="B8480" s="195" t="s">
        <v>3960</v>
      </c>
      <c r="C8480" s="196">
        <v>0</v>
      </c>
      <c r="D8480" s="196">
        <v>0.24</v>
      </c>
      <c r="E8480" s="195" t="s">
        <v>583</v>
      </c>
      <c r="F8480" s="195" t="s">
        <v>438</v>
      </c>
    </row>
    <row r="8481" spans="1:6" x14ac:dyDescent="0.25">
      <c r="A8481" s="189" t="str">
        <f t="shared" si="132"/>
        <v>QA-MD 3130.249.05N</v>
      </c>
      <c r="B8481" s="195" t="s">
        <v>3960</v>
      </c>
      <c r="C8481" s="196">
        <v>0.24</v>
      </c>
      <c r="D8481" s="196">
        <v>9.0500000000000007</v>
      </c>
      <c r="E8481" s="195" t="s">
        <v>583</v>
      </c>
      <c r="F8481" s="195" t="s">
        <v>430</v>
      </c>
    </row>
    <row r="8482" spans="1:6" x14ac:dyDescent="0.25">
      <c r="A8482" s="189" t="str">
        <f t="shared" si="132"/>
        <v>QA-MD 3130.249.05S</v>
      </c>
      <c r="B8482" s="195" t="s">
        <v>3960</v>
      </c>
      <c r="C8482" s="196">
        <v>0.24</v>
      </c>
      <c r="D8482" s="196">
        <v>9.0500000000000007</v>
      </c>
      <c r="E8482" s="195" t="s">
        <v>583</v>
      </c>
      <c r="F8482" s="195" t="s">
        <v>438</v>
      </c>
    </row>
    <row r="8483" spans="1:6" x14ac:dyDescent="0.25">
      <c r="A8483" s="189" t="str">
        <f t="shared" si="132"/>
        <v>QA-MD 3139.0514.78N</v>
      </c>
      <c r="B8483" s="195" t="s">
        <v>3960</v>
      </c>
      <c r="C8483" s="196">
        <v>9.0500000000000007</v>
      </c>
      <c r="D8483" s="196">
        <v>14.78</v>
      </c>
      <c r="E8483" s="195" t="s">
        <v>583</v>
      </c>
      <c r="F8483" s="195" t="s">
        <v>430</v>
      </c>
    </row>
    <row r="8484" spans="1:6" x14ac:dyDescent="0.25">
      <c r="A8484" s="189" t="str">
        <f t="shared" si="132"/>
        <v>QA-MD 3139.0514.78S</v>
      </c>
      <c r="B8484" s="195" t="s">
        <v>3960</v>
      </c>
      <c r="C8484" s="196">
        <v>9.0500000000000007</v>
      </c>
      <c r="D8484" s="196">
        <v>14.78</v>
      </c>
      <c r="E8484" s="195" t="s">
        <v>583</v>
      </c>
      <c r="F8484" s="195" t="s">
        <v>438</v>
      </c>
    </row>
    <row r="8485" spans="1:6" x14ac:dyDescent="0.25">
      <c r="A8485" s="189" t="str">
        <f t="shared" si="132"/>
        <v>QA-MD 31314.7814.78N</v>
      </c>
      <c r="B8485" s="195" t="s">
        <v>3960</v>
      </c>
      <c r="C8485" s="196">
        <v>14.78</v>
      </c>
      <c r="D8485" s="196">
        <v>14.78</v>
      </c>
      <c r="E8485" s="195" t="s">
        <v>583</v>
      </c>
      <c r="F8485" s="195" t="s">
        <v>430</v>
      </c>
    </row>
    <row r="8486" spans="1:6" x14ac:dyDescent="0.25">
      <c r="A8486" s="189" t="str">
        <f t="shared" si="132"/>
        <v>QA-MD 31314.7814.78S</v>
      </c>
      <c r="B8486" s="195" t="s">
        <v>3960</v>
      </c>
      <c r="C8486" s="196">
        <v>14.78</v>
      </c>
      <c r="D8486" s="196">
        <v>14.78</v>
      </c>
      <c r="E8486" s="195" t="s">
        <v>583</v>
      </c>
      <c r="F8486" s="195" t="s">
        <v>438</v>
      </c>
    </row>
    <row r="8487" spans="1:6" x14ac:dyDescent="0.25">
      <c r="A8487" s="189" t="str">
        <f t="shared" si="132"/>
        <v>QA-MD 40400.27E</v>
      </c>
      <c r="B8487" s="195" t="s">
        <v>3961</v>
      </c>
      <c r="C8487" s="196">
        <v>0</v>
      </c>
      <c r="D8487" s="196">
        <v>0.27</v>
      </c>
      <c r="E8487" s="195" t="s">
        <v>583</v>
      </c>
      <c r="F8487" s="195" t="s">
        <v>19</v>
      </c>
    </row>
    <row r="8488" spans="1:6" x14ac:dyDescent="0.25">
      <c r="A8488" s="189" t="str">
        <f t="shared" si="132"/>
        <v>QA-MD 40400.27W</v>
      </c>
      <c r="B8488" s="195" t="s">
        <v>3961</v>
      </c>
      <c r="C8488" s="196">
        <v>0</v>
      </c>
      <c r="D8488" s="196">
        <v>0.27</v>
      </c>
      <c r="E8488" s="195" t="s">
        <v>583</v>
      </c>
      <c r="F8488" s="195" t="s">
        <v>432</v>
      </c>
    </row>
    <row r="8489" spans="1:6" x14ac:dyDescent="0.25">
      <c r="A8489" s="189" t="str">
        <f t="shared" si="132"/>
        <v>QA-MD 4040.270.8W</v>
      </c>
      <c r="B8489" s="195" t="s">
        <v>3961</v>
      </c>
      <c r="C8489" s="196">
        <v>0.27</v>
      </c>
      <c r="D8489" s="196">
        <v>0.8</v>
      </c>
      <c r="E8489" s="195" t="s">
        <v>593</v>
      </c>
      <c r="F8489" s="195" t="s">
        <v>432</v>
      </c>
    </row>
    <row r="8490" spans="1:6" x14ac:dyDescent="0.25">
      <c r="A8490" s="189" t="str">
        <f t="shared" si="132"/>
        <v>QA-MD 4040.271.47E</v>
      </c>
      <c r="B8490" s="195" t="s">
        <v>3961</v>
      </c>
      <c r="C8490" s="196">
        <v>0.27</v>
      </c>
      <c r="D8490" s="196">
        <v>1.47</v>
      </c>
      <c r="E8490" s="195" t="s">
        <v>598</v>
      </c>
      <c r="F8490" s="195" t="s">
        <v>19</v>
      </c>
    </row>
    <row r="8491" spans="1:6" x14ac:dyDescent="0.25">
      <c r="A8491" s="189" t="str">
        <f t="shared" si="132"/>
        <v>QA-MD 4040.81.2W</v>
      </c>
      <c r="B8491" s="195" t="s">
        <v>3961</v>
      </c>
      <c r="C8491" s="196">
        <v>0.8</v>
      </c>
      <c r="D8491" s="196">
        <v>1.2</v>
      </c>
      <c r="E8491" s="195" t="s">
        <v>593</v>
      </c>
      <c r="F8491" s="195" t="s">
        <v>432</v>
      </c>
    </row>
    <row r="8492" spans="1:6" x14ac:dyDescent="0.25">
      <c r="A8492" s="189" t="str">
        <f t="shared" si="132"/>
        <v>QA-MD 4041.21.47W</v>
      </c>
      <c r="B8492" s="195" t="s">
        <v>3961</v>
      </c>
      <c r="C8492" s="196">
        <v>1.2</v>
      </c>
      <c r="D8492" s="196">
        <v>1.47</v>
      </c>
      <c r="E8492" s="195" t="s">
        <v>593</v>
      </c>
      <c r="F8492" s="195" t="s">
        <v>432</v>
      </c>
    </row>
    <row r="8493" spans="1:6" x14ac:dyDescent="0.25">
      <c r="A8493" s="189" t="str">
        <f t="shared" si="132"/>
        <v>QA-MD 40501.4N</v>
      </c>
      <c r="B8493" s="195" t="s">
        <v>3962</v>
      </c>
      <c r="C8493" s="196">
        <v>0</v>
      </c>
      <c r="D8493" s="196">
        <v>1.4</v>
      </c>
      <c r="E8493" s="195" t="s">
        <v>583</v>
      </c>
      <c r="F8493" s="195" t="s">
        <v>430</v>
      </c>
    </row>
    <row r="8494" spans="1:6" x14ac:dyDescent="0.25">
      <c r="A8494" s="189" t="str">
        <f t="shared" si="132"/>
        <v>QA-MD 40501.4S</v>
      </c>
      <c r="B8494" s="195" t="s">
        <v>3962</v>
      </c>
      <c r="C8494" s="196">
        <v>0</v>
      </c>
      <c r="D8494" s="196">
        <v>1.4</v>
      </c>
      <c r="E8494" s="195" t="s">
        <v>583</v>
      </c>
      <c r="F8494" s="195" t="s">
        <v>438</v>
      </c>
    </row>
    <row r="8495" spans="1:6" x14ac:dyDescent="0.25">
      <c r="A8495" s="189" t="str">
        <f t="shared" si="132"/>
        <v>QA-MD 4051.43.48N</v>
      </c>
      <c r="B8495" s="195" t="s">
        <v>3962</v>
      </c>
      <c r="C8495" s="196">
        <v>1.4</v>
      </c>
      <c r="D8495" s="196">
        <v>3.48</v>
      </c>
      <c r="E8495" s="195" t="s">
        <v>583</v>
      </c>
      <c r="F8495" s="195" t="s">
        <v>430</v>
      </c>
    </row>
    <row r="8496" spans="1:6" x14ac:dyDescent="0.25">
      <c r="A8496" s="189" t="str">
        <f t="shared" si="132"/>
        <v>QA-MD 4051.43.48S</v>
      </c>
      <c r="B8496" s="195" t="s">
        <v>3962</v>
      </c>
      <c r="C8496" s="196">
        <v>1.4</v>
      </c>
      <c r="D8496" s="196">
        <v>3.48</v>
      </c>
      <c r="E8496" s="195" t="s">
        <v>583</v>
      </c>
      <c r="F8496" s="195" t="s">
        <v>438</v>
      </c>
    </row>
    <row r="8497" spans="1:6" x14ac:dyDescent="0.25">
      <c r="A8497" s="189" t="str">
        <f t="shared" si="132"/>
        <v>QA-MD 4053.483.55N</v>
      </c>
      <c r="B8497" s="195" t="s">
        <v>3962</v>
      </c>
      <c r="C8497" s="196">
        <v>3.48</v>
      </c>
      <c r="D8497" s="196">
        <v>3.55</v>
      </c>
      <c r="E8497" s="195" t="s">
        <v>583</v>
      </c>
      <c r="F8497" s="195" t="s">
        <v>430</v>
      </c>
    </row>
    <row r="8498" spans="1:6" x14ac:dyDescent="0.25">
      <c r="A8498" s="189" t="str">
        <f t="shared" si="132"/>
        <v>QA-MD 4053.483.55S</v>
      </c>
      <c r="B8498" s="195" t="s">
        <v>3962</v>
      </c>
      <c r="C8498" s="196">
        <v>3.48</v>
      </c>
      <c r="D8498" s="196">
        <v>3.55</v>
      </c>
      <c r="E8498" s="195" t="s">
        <v>583</v>
      </c>
      <c r="F8498" s="195" t="s">
        <v>438</v>
      </c>
    </row>
    <row r="8499" spans="1:6" x14ac:dyDescent="0.25">
      <c r="A8499" s="189" t="str">
        <f t="shared" si="132"/>
        <v>QA-MD 4053.555.98N</v>
      </c>
      <c r="B8499" s="195" t="s">
        <v>3962</v>
      </c>
      <c r="C8499" s="196">
        <v>3.55</v>
      </c>
      <c r="D8499" s="196">
        <v>5.98</v>
      </c>
      <c r="E8499" s="195" t="s">
        <v>583</v>
      </c>
      <c r="F8499" s="195" t="s">
        <v>430</v>
      </c>
    </row>
    <row r="8500" spans="1:6" x14ac:dyDescent="0.25">
      <c r="A8500" s="189" t="str">
        <f t="shared" si="132"/>
        <v>QA-MD 4053.555.98S</v>
      </c>
      <c r="B8500" s="195" t="s">
        <v>3962</v>
      </c>
      <c r="C8500" s="196">
        <v>3.55</v>
      </c>
      <c r="D8500" s="196">
        <v>5.98</v>
      </c>
      <c r="E8500" s="195" t="s">
        <v>583</v>
      </c>
      <c r="F8500" s="195" t="s">
        <v>438</v>
      </c>
    </row>
    <row r="8501" spans="1:6" x14ac:dyDescent="0.25">
      <c r="A8501" s="189" t="str">
        <f t="shared" si="132"/>
        <v>QA-MD 4055.988.59N</v>
      </c>
      <c r="B8501" s="195" t="s">
        <v>3962</v>
      </c>
      <c r="C8501" s="196">
        <v>5.98</v>
      </c>
      <c r="D8501" s="196">
        <v>8.59</v>
      </c>
      <c r="E8501" s="195" t="s">
        <v>583</v>
      </c>
      <c r="F8501" s="195" t="s">
        <v>430</v>
      </c>
    </row>
    <row r="8502" spans="1:6" x14ac:dyDescent="0.25">
      <c r="A8502" s="189" t="str">
        <f t="shared" si="132"/>
        <v>QA-MD 4055.988.59S</v>
      </c>
      <c r="B8502" s="195" t="s">
        <v>3962</v>
      </c>
      <c r="C8502" s="196">
        <v>5.98</v>
      </c>
      <c r="D8502" s="196">
        <v>8.59</v>
      </c>
      <c r="E8502" s="195" t="s">
        <v>583</v>
      </c>
      <c r="F8502" s="195" t="s">
        <v>438</v>
      </c>
    </row>
    <row r="8503" spans="1:6" x14ac:dyDescent="0.25">
      <c r="A8503" s="189" t="str">
        <f t="shared" si="132"/>
        <v>QA-MD 45600.88N</v>
      </c>
      <c r="B8503" s="195" t="s">
        <v>3963</v>
      </c>
      <c r="C8503" s="196">
        <v>0</v>
      </c>
      <c r="D8503" s="196">
        <v>0.88</v>
      </c>
      <c r="E8503" s="195" t="s">
        <v>583</v>
      </c>
      <c r="F8503" s="195" t="s">
        <v>430</v>
      </c>
    </row>
    <row r="8504" spans="1:6" x14ac:dyDescent="0.25">
      <c r="A8504" s="189" t="str">
        <f t="shared" si="132"/>
        <v>QA-MD 45600.88S</v>
      </c>
      <c r="B8504" s="195" t="s">
        <v>3963</v>
      </c>
      <c r="C8504" s="196">
        <v>0</v>
      </c>
      <c r="D8504" s="196">
        <v>0.88</v>
      </c>
      <c r="E8504" s="195" t="s">
        <v>583</v>
      </c>
      <c r="F8504" s="195" t="s">
        <v>438</v>
      </c>
    </row>
    <row r="8505" spans="1:6" x14ac:dyDescent="0.25">
      <c r="A8505" s="189" t="str">
        <f t="shared" si="132"/>
        <v>QA-MD 456A00.32N</v>
      </c>
      <c r="B8505" s="195" t="s">
        <v>3964</v>
      </c>
      <c r="C8505" s="196">
        <v>0</v>
      </c>
      <c r="D8505" s="196">
        <v>0.32</v>
      </c>
      <c r="E8505" s="195" t="s">
        <v>589</v>
      </c>
      <c r="F8505" s="195" t="s">
        <v>430</v>
      </c>
    </row>
    <row r="8506" spans="1:6" x14ac:dyDescent="0.25">
      <c r="A8506" s="189" t="str">
        <f t="shared" si="132"/>
        <v>QA-MD 456A00.32S</v>
      </c>
      <c r="B8506" s="195" t="s">
        <v>3964</v>
      </c>
      <c r="C8506" s="196">
        <v>0</v>
      </c>
      <c r="D8506" s="196">
        <v>0.32</v>
      </c>
      <c r="E8506" s="195" t="s">
        <v>595</v>
      </c>
      <c r="F8506" s="195" t="s">
        <v>438</v>
      </c>
    </row>
    <row r="8507" spans="1:6" x14ac:dyDescent="0.25">
      <c r="A8507" s="189" t="str">
        <f t="shared" si="132"/>
        <v>QA-MD 48105.13N</v>
      </c>
      <c r="B8507" s="195" t="s">
        <v>3965</v>
      </c>
      <c r="C8507" s="196">
        <v>0</v>
      </c>
      <c r="D8507" s="196">
        <v>5.13</v>
      </c>
      <c r="E8507" s="195" t="s">
        <v>583</v>
      </c>
      <c r="F8507" s="195" t="s">
        <v>430</v>
      </c>
    </row>
    <row r="8508" spans="1:6" x14ac:dyDescent="0.25">
      <c r="A8508" s="189" t="str">
        <f t="shared" si="132"/>
        <v>QA-MD 48105.13S</v>
      </c>
      <c r="B8508" s="195" t="s">
        <v>3965</v>
      </c>
      <c r="C8508" s="196">
        <v>0</v>
      </c>
      <c r="D8508" s="196">
        <v>5.13</v>
      </c>
      <c r="E8508" s="195" t="s">
        <v>583</v>
      </c>
      <c r="F8508" s="195" t="s">
        <v>438</v>
      </c>
    </row>
    <row r="8509" spans="1:6" x14ac:dyDescent="0.25">
      <c r="A8509" s="189" t="str">
        <f t="shared" si="132"/>
        <v>QA-MD 54402.65E</v>
      </c>
      <c r="B8509" s="195" t="s">
        <v>3966</v>
      </c>
      <c r="C8509" s="196">
        <v>0</v>
      </c>
      <c r="D8509" s="196">
        <v>2.65</v>
      </c>
      <c r="E8509" s="195" t="s">
        <v>583</v>
      </c>
      <c r="F8509" s="195" t="s">
        <v>19</v>
      </c>
    </row>
    <row r="8510" spans="1:6" x14ac:dyDescent="0.25">
      <c r="A8510" s="189" t="str">
        <f t="shared" si="132"/>
        <v>QA-MD 54402.65W</v>
      </c>
      <c r="B8510" s="195" t="s">
        <v>3966</v>
      </c>
      <c r="C8510" s="196">
        <v>0</v>
      </c>
      <c r="D8510" s="196">
        <v>2.65</v>
      </c>
      <c r="E8510" s="195" t="s">
        <v>583</v>
      </c>
      <c r="F8510" s="195" t="s">
        <v>432</v>
      </c>
    </row>
    <row r="8511" spans="1:6" x14ac:dyDescent="0.25">
      <c r="A8511" s="189" t="str">
        <f t="shared" si="132"/>
        <v>QA-MD 5442.658.85E</v>
      </c>
      <c r="B8511" s="195" t="s">
        <v>3966</v>
      </c>
      <c r="C8511" s="196">
        <v>2.65</v>
      </c>
      <c r="D8511" s="196">
        <v>8.85</v>
      </c>
      <c r="E8511" s="195" t="s">
        <v>583</v>
      </c>
      <c r="F8511" s="195" t="s">
        <v>19</v>
      </c>
    </row>
    <row r="8512" spans="1:6" x14ac:dyDescent="0.25">
      <c r="A8512" s="189" t="str">
        <f t="shared" si="132"/>
        <v>QA-MD 5442.658.85W</v>
      </c>
      <c r="B8512" s="195" t="s">
        <v>3966</v>
      </c>
      <c r="C8512" s="196">
        <v>2.65</v>
      </c>
      <c r="D8512" s="196">
        <v>8.85</v>
      </c>
      <c r="E8512" s="195" t="s">
        <v>583</v>
      </c>
      <c r="F8512" s="195" t="s">
        <v>432</v>
      </c>
    </row>
    <row r="8513" spans="1:6" x14ac:dyDescent="0.25">
      <c r="A8513" s="189" t="str">
        <f t="shared" si="132"/>
        <v>QA-MD 5448.859E</v>
      </c>
      <c r="B8513" s="195" t="s">
        <v>3966</v>
      </c>
      <c r="C8513" s="196">
        <v>8.85</v>
      </c>
      <c r="D8513" s="196">
        <v>9</v>
      </c>
      <c r="E8513" s="195" t="s">
        <v>583</v>
      </c>
      <c r="F8513" s="195" t="s">
        <v>19</v>
      </c>
    </row>
    <row r="8514" spans="1:6" x14ac:dyDescent="0.25">
      <c r="A8514" s="189" t="str">
        <f t="shared" si="132"/>
        <v>QA-MD 5448.859W</v>
      </c>
      <c r="B8514" s="195" t="s">
        <v>3966</v>
      </c>
      <c r="C8514" s="196">
        <v>8.85</v>
      </c>
      <c r="D8514" s="196">
        <v>9</v>
      </c>
      <c r="E8514" s="195" t="s">
        <v>583</v>
      </c>
      <c r="F8514" s="195" t="s">
        <v>432</v>
      </c>
    </row>
    <row r="8515" spans="1:6" x14ac:dyDescent="0.25">
      <c r="A8515" s="189" t="str">
        <f t="shared" si="132"/>
        <v>QA-MD 54499.29E</v>
      </c>
      <c r="B8515" s="195" t="s">
        <v>3966</v>
      </c>
      <c r="C8515" s="196">
        <v>9</v>
      </c>
      <c r="D8515" s="196">
        <v>9.2899999999999991</v>
      </c>
      <c r="E8515" s="195" t="s">
        <v>583</v>
      </c>
      <c r="F8515" s="195" t="s">
        <v>19</v>
      </c>
    </row>
    <row r="8516" spans="1:6" x14ac:dyDescent="0.25">
      <c r="A8516" s="189" t="str">
        <f t="shared" si="132"/>
        <v>QA-MD 54499.29W</v>
      </c>
      <c r="B8516" s="195" t="s">
        <v>3966</v>
      </c>
      <c r="C8516" s="196">
        <v>9</v>
      </c>
      <c r="D8516" s="196">
        <v>9.2899999999999991</v>
      </c>
      <c r="E8516" s="195" t="s">
        <v>583</v>
      </c>
      <c r="F8516" s="195" t="s">
        <v>432</v>
      </c>
    </row>
    <row r="8517" spans="1:6" x14ac:dyDescent="0.25">
      <c r="A8517" s="189" t="str">
        <f t="shared" si="132"/>
        <v>QA-MD 544A00.19E</v>
      </c>
      <c r="B8517" s="195" t="s">
        <v>3967</v>
      </c>
      <c r="C8517" s="196">
        <v>0</v>
      </c>
      <c r="D8517" s="196">
        <v>0.19</v>
      </c>
      <c r="E8517" s="195" t="s">
        <v>583</v>
      </c>
      <c r="F8517" s="195" t="s">
        <v>19</v>
      </c>
    </row>
    <row r="8518" spans="1:6" x14ac:dyDescent="0.25">
      <c r="A8518" s="189" t="str">
        <f t="shared" si="132"/>
        <v>QA-MD 544A00.19W</v>
      </c>
      <c r="B8518" s="195" t="s">
        <v>3967</v>
      </c>
      <c r="C8518" s="196">
        <v>0</v>
      </c>
      <c r="D8518" s="196">
        <v>0.19</v>
      </c>
      <c r="E8518" s="195" t="s">
        <v>583</v>
      </c>
      <c r="F8518" s="195" t="s">
        <v>432</v>
      </c>
    </row>
    <row r="8519" spans="1:6" x14ac:dyDescent="0.25">
      <c r="A8519" s="189" t="str">
        <f t="shared" si="132"/>
        <v>QA-MD 55200.34N</v>
      </c>
      <c r="B8519" s="195" t="s">
        <v>449</v>
      </c>
      <c r="C8519" s="196">
        <v>0</v>
      </c>
      <c r="D8519" s="196">
        <v>0.34</v>
      </c>
      <c r="E8519" s="195" t="s">
        <v>583</v>
      </c>
      <c r="F8519" s="195" t="s">
        <v>430</v>
      </c>
    </row>
    <row r="8520" spans="1:6" x14ac:dyDescent="0.25">
      <c r="A8520" s="189" t="str">
        <f t="shared" ref="A8520:A8583" si="133">B8520&amp;C8520&amp;D8520&amp;F8520</f>
        <v>QA-MD 55200.34S</v>
      </c>
      <c r="B8520" s="195" t="s">
        <v>449</v>
      </c>
      <c r="C8520" s="196">
        <v>0</v>
      </c>
      <c r="D8520" s="196">
        <v>0.34</v>
      </c>
      <c r="E8520" s="195" t="s">
        <v>583</v>
      </c>
      <c r="F8520" s="195" t="s">
        <v>438</v>
      </c>
    </row>
    <row r="8521" spans="1:6" x14ac:dyDescent="0.25">
      <c r="A8521" s="189" t="str">
        <f t="shared" si="133"/>
        <v>QA-MD 5520.342.11N</v>
      </c>
      <c r="B8521" s="195" t="s">
        <v>449</v>
      </c>
      <c r="C8521" s="196">
        <v>0.34</v>
      </c>
      <c r="D8521" s="196">
        <v>2.11</v>
      </c>
      <c r="E8521" s="195" t="s">
        <v>583</v>
      </c>
      <c r="F8521" s="195" t="s">
        <v>430</v>
      </c>
    </row>
    <row r="8522" spans="1:6" x14ac:dyDescent="0.25">
      <c r="A8522" s="189" t="str">
        <f t="shared" si="133"/>
        <v>QA-MD 5520.342.11S</v>
      </c>
      <c r="B8522" s="195" t="s">
        <v>449</v>
      </c>
      <c r="C8522" s="196">
        <v>0.34</v>
      </c>
      <c r="D8522" s="196">
        <v>2.11</v>
      </c>
      <c r="E8522" s="195" t="s">
        <v>583</v>
      </c>
      <c r="F8522" s="195" t="s">
        <v>438</v>
      </c>
    </row>
    <row r="8523" spans="1:6" x14ac:dyDescent="0.25">
      <c r="A8523" s="189" t="str">
        <f t="shared" si="133"/>
        <v>QA-MD 5522.112.2N</v>
      </c>
      <c r="B8523" s="195" t="s">
        <v>449</v>
      </c>
      <c r="C8523" s="196">
        <v>2.11</v>
      </c>
      <c r="D8523" s="196">
        <v>2.2000000000000002</v>
      </c>
      <c r="E8523" s="195" t="s">
        <v>583</v>
      </c>
      <c r="F8523" s="195" t="s">
        <v>430</v>
      </c>
    </row>
    <row r="8524" spans="1:6" x14ac:dyDescent="0.25">
      <c r="A8524" s="189" t="str">
        <f t="shared" si="133"/>
        <v>QA-MD 5522.112.2S</v>
      </c>
      <c r="B8524" s="195" t="s">
        <v>449</v>
      </c>
      <c r="C8524" s="196">
        <v>2.11</v>
      </c>
      <c r="D8524" s="196">
        <v>2.2000000000000002</v>
      </c>
      <c r="E8524" s="195" t="s">
        <v>583</v>
      </c>
      <c r="F8524" s="195" t="s">
        <v>438</v>
      </c>
    </row>
    <row r="8525" spans="1:6" x14ac:dyDescent="0.25">
      <c r="A8525" s="189" t="str">
        <f t="shared" si="133"/>
        <v>QA-MD 552A00.08N</v>
      </c>
      <c r="B8525" s="195" t="s">
        <v>3968</v>
      </c>
      <c r="C8525" s="196">
        <v>0</v>
      </c>
      <c r="D8525" s="196">
        <v>0.08</v>
      </c>
      <c r="E8525" s="195" t="s">
        <v>589</v>
      </c>
      <c r="F8525" s="195" t="s">
        <v>430</v>
      </c>
    </row>
    <row r="8526" spans="1:6" x14ac:dyDescent="0.25">
      <c r="A8526" s="189" t="str">
        <f t="shared" si="133"/>
        <v>QA-MD 552A00.08S</v>
      </c>
      <c r="B8526" s="195" t="s">
        <v>3968</v>
      </c>
      <c r="C8526" s="196">
        <v>0</v>
      </c>
      <c r="D8526" s="196">
        <v>0.08</v>
      </c>
      <c r="E8526" s="195" t="s">
        <v>595</v>
      </c>
      <c r="F8526" s="195" t="s">
        <v>438</v>
      </c>
    </row>
    <row r="8527" spans="1:6" x14ac:dyDescent="0.25">
      <c r="A8527" s="189" t="str">
        <f t="shared" si="133"/>
        <v>QA-MD 65600.7E</v>
      </c>
      <c r="B8527" s="195" t="s">
        <v>3969</v>
      </c>
      <c r="C8527" s="196">
        <v>0</v>
      </c>
      <c r="D8527" s="196">
        <v>0.7</v>
      </c>
      <c r="E8527" s="195" t="s">
        <v>598</v>
      </c>
      <c r="F8527" s="195" t="s">
        <v>19</v>
      </c>
    </row>
    <row r="8528" spans="1:6" x14ac:dyDescent="0.25">
      <c r="A8528" s="189" t="str">
        <f t="shared" si="133"/>
        <v>QA-MD 65600.7W</v>
      </c>
      <c r="B8528" s="195" t="s">
        <v>3969</v>
      </c>
      <c r="C8528" s="196">
        <v>0</v>
      </c>
      <c r="D8528" s="196">
        <v>0.7</v>
      </c>
      <c r="E8528" s="195" t="s">
        <v>593</v>
      </c>
      <c r="F8528" s="195" t="s">
        <v>432</v>
      </c>
    </row>
    <row r="8529" spans="1:6" x14ac:dyDescent="0.25">
      <c r="A8529" s="189" t="str">
        <f t="shared" si="133"/>
        <v>QA-MD 66200.08N</v>
      </c>
      <c r="B8529" s="195" t="s">
        <v>3970</v>
      </c>
      <c r="C8529" s="196">
        <v>0</v>
      </c>
      <c r="D8529" s="196">
        <v>0.08</v>
      </c>
      <c r="E8529" s="195" t="s">
        <v>583</v>
      </c>
      <c r="F8529" s="195" t="s">
        <v>430</v>
      </c>
    </row>
    <row r="8530" spans="1:6" x14ac:dyDescent="0.25">
      <c r="A8530" s="189" t="str">
        <f t="shared" si="133"/>
        <v>QA-MD 66200.08S</v>
      </c>
      <c r="B8530" s="195" t="s">
        <v>3970</v>
      </c>
      <c r="C8530" s="196">
        <v>0</v>
      </c>
      <c r="D8530" s="196">
        <v>0.08</v>
      </c>
      <c r="E8530" s="195" t="s">
        <v>583</v>
      </c>
      <c r="F8530" s="195" t="s">
        <v>438</v>
      </c>
    </row>
    <row r="8531" spans="1:6" x14ac:dyDescent="0.25">
      <c r="A8531" s="189" t="str">
        <f t="shared" si="133"/>
        <v>QA-MD 6620.081.4N</v>
      </c>
      <c r="B8531" s="195" t="s">
        <v>3970</v>
      </c>
      <c r="C8531" s="196">
        <v>0.08</v>
      </c>
      <c r="D8531" s="196">
        <v>1.4</v>
      </c>
      <c r="E8531" s="195" t="s">
        <v>583</v>
      </c>
      <c r="F8531" s="195" t="s">
        <v>430</v>
      </c>
    </row>
    <row r="8532" spans="1:6" x14ac:dyDescent="0.25">
      <c r="A8532" s="189" t="str">
        <f t="shared" si="133"/>
        <v>QA-MD 6620.081.4S</v>
      </c>
      <c r="B8532" s="195" t="s">
        <v>3970</v>
      </c>
      <c r="C8532" s="196">
        <v>0.08</v>
      </c>
      <c r="D8532" s="196">
        <v>1.4</v>
      </c>
      <c r="E8532" s="195" t="s">
        <v>583</v>
      </c>
      <c r="F8532" s="195" t="s">
        <v>438</v>
      </c>
    </row>
    <row r="8533" spans="1:6" x14ac:dyDescent="0.25">
      <c r="A8533" s="189" t="str">
        <f t="shared" si="133"/>
        <v>QA-MD 662A00.08S</v>
      </c>
      <c r="B8533" s="195" t="s">
        <v>3971</v>
      </c>
      <c r="C8533" s="196">
        <v>0</v>
      </c>
      <c r="D8533" s="196">
        <v>0.08</v>
      </c>
      <c r="E8533" s="195" t="s">
        <v>595</v>
      </c>
      <c r="F8533" s="195" t="s">
        <v>438</v>
      </c>
    </row>
    <row r="8534" spans="1:6" x14ac:dyDescent="0.25">
      <c r="A8534" s="189" t="str">
        <f t="shared" si="133"/>
        <v>QA-MD 759B00.21E</v>
      </c>
      <c r="B8534" s="195" t="s">
        <v>3972</v>
      </c>
      <c r="C8534" s="196">
        <v>0</v>
      </c>
      <c r="D8534" s="196">
        <v>0.21</v>
      </c>
      <c r="E8534" s="195" t="s">
        <v>598</v>
      </c>
      <c r="F8534" s="195" t="s">
        <v>19</v>
      </c>
    </row>
    <row r="8535" spans="1:6" x14ac:dyDescent="0.25">
      <c r="A8535" s="189" t="str">
        <f t="shared" si="133"/>
        <v>QA-MD 759B00.21W</v>
      </c>
      <c r="B8535" s="195" t="s">
        <v>3972</v>
      </c>
      <c r="C8535" s="196">
        <v>0</v>
      </c>
      <c r="D8535" s="196">
        <v>0.21</v>
      </c>
      <c r="E8535" s="195" t="s">
        <v>593</v>
      </c>
      <c r="F8535" s="195" t="s">
        <v>432</v>
      </c>
    </row>
    <row r="8536" spans="1:6" x14ac:dyDescent="0.25">
      <c r="A8536" s="189" t="str">
        <f t="shared" si="133"/>
        <v>QA-MD 800.96N</v>
      </c>
      <c r="B8536" s="195" t="s">
        <v>450</v>
      </c>
      <c r="C8536" s="196">
        <v>0</v>
      </c>
      <c r="D8536" s="196">
        <v>0.96</v>
      </c>
      <c r="E8536" s="195" t="s">
        <v>583</v>
      </c>
      <c r="F8536" s="195" t="s">
        <v>430</v>
      </c>
    </row>
    <row r="8537" spans="1:6" x14ac:dyDescent="0.25">
      <c r="A8537" s="189" t="str">
        <f t="shared" si="133"/>
        <v>QA-MD 800.96S</v>
      </c>
      <c r="B8537" s="195" t="s">
        <v>450</v>
      </c>
      <c r="C8537" s="196">
        <v>0</v>
      </c>
      <c r="D8537" s="196">
        <v>0.96</v>
      </c>
      <c r="E8537" s="195" t="s">
        <v>583</v>
      </c>
      <c r="F8537" s="195" t="s">
        <v>438</v>
      </c>
    </row>
    <row r="8538" spans="1:6" x14ac:dyDescent="0.25">
      <c r="A8538" s="189" t="str">
        <f t="shared" si="133"/>
        <v>QA-MD 80.963.09N</v>
      </c>
      <c r="B8538" s="195" t="s">
        <v>450</v>
      </c>
      <c r="C8538" s="196">
        <v>0.96</v>
      </c>
      <c r="D8538" s="196">
        <v>3.09</v>
      </c>
      <c r="E8538" s="195" t="s">
        <v>583</v>
      </c>
      <c r="F8538" s="195" t="s">
        <v>430</v>
      </c>
    </row>
    <row r="8539" spans="1:6" x14ac:dyDescent="0.25">
      <c r="A8539" s="189" t="str">
        <f t="shared" si="133"/>
        <v>QA-MD 80.963.09S</v>
      </c>
      <c r="B8539" s="195" t="s">
        <v>450</v>
      </c>
      <c r="C8539" s="196">
        <v>0.96</v>
      </c>
      <c r="D8539" s="196">
        <v>3.09</v>
      </c>
      <c r="E8539" s="195" t="s">
        <v>583</v>
      </c>
      <c r="F8539" s="195" t="s">
        <v>438</v>
      </c>
    </row>
    <row r="8540" spans="1:6" x14ac:dyDescent="0.25">
      <c r="A8540" s="189" t="str">
        <f t="shared" si="133"/>
        <v>QA-MD 83.094.16N</v>
      </c>
      <c r="B8540" s="195" t="s">
        <v>450</v>
      </c>
      <c r="C8540" s="196">
        <v>3.09</v>
      </c>
      <c r="D8540" s="196">
        <v>4.16</v>
      </c>
      <c r="E8540" s="195" t="s">
        <v>583</v>
      </c>
      <c r="F8540" s="195" t="s">
        <v>430</v>
      </c>
    </row>
    <row r="8541" spans="1:6" x14ac:dyDescent="0.25">
      <c r="A8541" s="189" t="str">
        <f t="shared" si="133"/>
        <v>QA-MD 83.094.16S</v>
      </c>
      <c r="B8541" s="195" t="s">
        <v>450</v>
      </c>
      <c r="C8541" s="196">
        <v>3.09</v>
      </c>
      <c r="D8541" s="196">
        <v>4.16</v>
      </c>
      <c r="E8541" s="195" t="s">
        <v>583</v>
      </c>
      <c r="F8541" s="195" t="s">
        <v>438</v>
      </c>
    </row>
    <row r="8542" spans="1:6" x14ac:dyDescent="0.25">
      <c r="A8542" s="189" t="str">
        <f t="shared" si="133"/>
        <v>QA-MD 84.164.25N</v>
      </c>
      <c r="B8542" s="195" t="s">
        <v>450</v>
      </c>
      <c r="C8542" s="196">
        <v>4.16</v>
      </c>
      <c r="D8542" s="196">
        <v>4.25</v>
      </c>
      <c r="E8542" s="195" t="s">
        <v>589</v>
      </c>
      <c r="F8542" s="195" t="s">
        <v>430</v>
      </c>
    </row>
    <row r="8543" spans="1:6" x14ac:dyDescent="0.25">
      <c r="A8543" s="189" t="str">
        <f t="shared" si="133"/>
        <v>QA-MD 84.164.3S</v>
      </c>
      <c r="B8543" s="195" t="s">
        <v>450</v>
      </c>
      <c r="C8543" s="196">
        <v>4.16</v>
      </c>
      <c r="D8543" s="196">
        <v>4.3</v>
      </c>
      <c r="E8543" s="195" t="s">
        <v>595</v>
      </c>
      <c r="F8543" s="195" t="s">
        <v>438</v>
      </c>
    </row>
    <row r="8544" spans="1:6" x14ac:dyDescent="0.25">
      <c r="A8544" s="189" t="str">
        <f t="shared" si="133"/>
        <v>QA-MD 84.254.3N</v>
      </c>
      <c r="B8544" s="195" t="s">
        <v>450</v>
      </c>
      <c r="C8544" s="196">
        <v>4.25</v>
      </c>
      <c r="D8544" s="196">
        <v>4.3</v>
      </c>
      <c r="E8544" s="195" t="s">
        <v>589</v>
      </c>
      <c r="F8544" s="195" t="s">
        <v>430</v>
      </c>
    </row>
    <row r="8545" spans="1:6" x14ac:dyDescent="0.25">
      <c r="A8545" s="189" t="str">
        <f t="shared" si="133"/>
        <v>QA-MD 84.35.24N</v>
      </c>
      <c r="B8545" s="195" t="s">
        <v>450</v>
      </c>
      <c r="C8545" s="196">
        <v>4.3</v>
      </c>
      <c r="D8545" s="196">
        <v>5.24</v>
      </c>
      <c r="E8545" s="195" t="s">
        <v>583</v>
      </c>
      <c r="F8545" s="195" t="s">
        <v>430</v>
      </c>
    </row>
    <row r="8546" spans="1:6" x14ac:dyDescent="0.25">
      <c r="A8546" s="189" t="str">
        <f t="shared" si="133"/>
        <v>QA-MD 84.35.24S</v>
      </c>
      <c r="B8546" s="195" t="s">
        <v>450</v>
      </c>
      <c r="C8546" s="196">
        <v>4.3</v>
      </c>
      <c r="D8546" s="196">
        <v>5.24</v>
      </c>
      <c r="E8546" s="195" t="s">
        <v>583</v>
      </c>
      <c r="F8546" s="195" t="s">
        <v>438</v>
      </c>
    </row>
    <row r="8547" spans="1:6" x14ac:dyDescent="0.25">
      <c r="A8547" s="189" t="str">
        <f t="shared" si="133"/>
        <v>QA-MD 85.245.7S</v>
      </c>
      <c r="B8547" s="195" t="s">
        <v>450</v>
      </c>
      <c r="C8547" s="196">
        <v>5.24</v>
      </c>
      <c r="D8547" s="196">
        <v>5.7</v>
      </c>
      <c r="E8547" s="195" t="s">
        <v>595</v>
      </c>
      <c r="F8547" s="195" t="s">
        <v>438</v>
      </c>
    </row>
    <row r="8548" spans="1:6" x14ac:dyDescent="0.25">
      <c r="A8548" s="189" t="str">
        <f t="shared" si="133"/>
        <v>QA-MD 85.246.21N</v>
      </c>
      <c r="B8548" s="195" t="s">
        <v>450</v>
      </c>
      <c r="C8548" s="196">
        <v>5.24</v>
      </c>
      <c r="D8548" s="196">
        <v>6.21</v>
      </c>
      <c r="E8548" s="195" t="s">
        <v>589</v>
      </c>
      <c r="F8548" s="195" t="s">
        <v>430</v>
      </c>
    </row>
    <row r="8549" spans="1:6" x14ac:dyDescent="0.25">
      <c r="A8549" s="189" t="str">
        <f t="shared" si="133"/>
        <v>QA-MD 85.75.85S</v>
      </c>
      <c r="B8549" s="195" t="s">
        <v>450</v>
      </c>
      <c r="C8549" s="196">
        <v>5.7</v>
      </c>
      <c r="D8549" s="196">
        <v>5.85</v>
      </c>
      <c r="E8549" s="195" t="s">
        <v>595</v>
      </c>
      <c r="F8549" s="195" t="s">
        <v>438</v>
      </c>
    </row>
    <row r="8550" spans="1:6" x14ac:dyDescent="0.25">
      <c r="A8550" s="189" t="str">
        <f t="shared" si="133"/>
        <v>QA-MD 85.856.21S</v>
      </c>
      <c r="B8550" s="195" t="s">
        <v>450</v>
      </c>
      <c r="C8550" s="196">
        <v>5.85</v>
      </c>
      <c r="D8550" s="196">
        <v>6.21</v>
      </c>
      <c r="E8550" s="195" t="s">
        <v>595</v>
      </c>
      <c r="F8550" s="195" t="s">
        <v>438</v>
      </c>
    </row>
    <row r="8551" spans="1:6" x14ac:dyDescent="0.25">
      <c r="A8551" s="189" t="str">
        <f t="shared" si="133"/>
        <v>QA-MD 86.216.45S</v>
      </c>
      <c r="B8551" s="195" t="s">
        <v>450</v>
      </c>
      <c r="C8551" s="196">
        <v>6.21</v>
      </c>
      <c r="D8551" s="196">
        <v>6.45</v>
      </c>
      <c r="E8551" s="195" t="s">
        <v>595</v>
      </c>
      <c r="F8551" s="195" t="s">
        <v>438</v>
      </c>
    </row>
    <row r="8552" spans="1:6" x14ac:dyDescent="0.25">
      <c r="A8552" s="189" t="str">
        <f t="shared" si="133"/>
        <v>QA-MD 86.217.75N</v>
      </c>
      <c r="B8552" s="195" t="s">
        <v>450</v>
      </c>
      <c r="C8552" s="196">
        <v>6.21</v>
      </c>
      <c r="D8552" s="196">
        <v>7.75</v>
      </c>
      <c r="E8552" s="195" t="s">
        <v>589</v>
      </c>
      <c r="F8552" s="195" t="s">
        <v>430</v>
      </c>
    </row>
    <row r="8553" spans="1:6" x14ac:dyDescent="0.25">
      <c r="A8553" s="189" t="str">
        <f t="shared" si="133"/>
        <v>QA-MD 86.457.75S</v>
      </c>
      <c r="B8553" s="195" t="s">
        <v>450</v>
      </c>
      <c r="C8553" s="196">
        <v>6.45</v>
      </c>
      <c r="D8553" s="196">
        <v>7.75</v>
      </c>
      <c r="E8553" s="195" t="s">
        <v>595</v>
      </c>
      <c r="F8553" s="195" t="s">
        <v>438</v>
      </c>
    </row>
    <row r="8554" spans="1:6" x14ac:dyDescent="0.25">
      <c r="A8554" s="189" t="str">
        <f t="shared" si="133"/>
        <v>QA-MD 80201.02N</v>
      </c>
      <c r="B8554" s="195" t="s">
        <v>3973</v>
      </c>
      <c r="C8554" s="196">
        <v>0</v>
      </c>
      <c r="D8554" s="196">
        <v>1.02</v>
      </c>
      <c r="E8554" s="195" t="s">
        <v>583</v>
      </c>
      <c r="F8554" s="195" t="s">
        <v>430</v>
      </c>
    </row>
    <row r="8555" spans="1:6" x14ac:dyDescent="0.25">
      <c r="A8555" s="189" t="str">
        <f t="shared" si="133"/>
        <v>QA-MD 80201.02S</v>
      </c>
      <c r="B8555" s="195" t="s">
        <v>3973</v>
      </c>
      <c r="C8555" s="196">
        <v>0</v>
      </c>
      <c r="D8555" s="196">
        <v>1.02</v>
      </c>
      <c r="E8555" s="195" t="s">
        <v>583</v>
      </c>
      <c r="F8555" s="195" t="s">
        <v>438</v>
      </c>
    </row>
    <row r="8556" spans="1:6" x14ac:dyDescent="0.25">
      <c r="A8556" s="189" t="str">
        <f t="shared" si="133"/>
        <v>QA-MD 83400.16E</v>
      </c>
      <c r="B8556" s="195" t="s">
        <v>3974</v>
      </c>
      <c r="C8556" s="196">
        <v>0</v>
      </c>
      <c r="D8556" s="196">
        <v>0.16</v>
      </c>
      <c r="E8556" s="195" t="s">
        <v>598</v>
      </c>
      <c r="F8556" s="195" t="s">
        <v>19</v>
      </c>
    </row>
    <row r="8557" spans="1:6" x14ac:dyDescent="0.25">
      <c r="A8557" s="189" t="str">
        <f t="shared" si="133"/>
        <v>QA-MD 83400.16W</v>
      </c>
      <c r="B8557" s="195" t="s">
        <v>3974</v>
      </c>
      <c r="C8557" s="196">
        <v>0</v>
      </c>
      <c r="D8557" s="196">
        <v>0.16</v>
      </c>
      <c r="E8557" s="195" t="s">
        <v>593</v>
      </c>
      <c r="F8557" s="195" t="s">
        <v>432</v>
      </c>
    </row>
    <row r="8558" spans="1:6" x14ac:dyDescent="0.25">
      <c r="A8558" s="189" t="str">
        <f t="shared" si="133"/>
        <v>QA-MD 83500.13N</v>
      </c>
      <c r="B8558" s="195" t="s">
        <v>3975</v>
      </c>
      <c r="C8558" s="196">
        <v>0</v>
      </c>
      <c r="D8558" s="196">
        <v>0.13</v>
      </c>
      <c r="E8558" s="195" t="s">
        <v>589</v>
      </c>
      <c r="F8558" s="195" t="s">
        <v>430</v>
      </c>
    </row>
    <row r="8559" spans="1:6" x14ac:dyDescent="0.25">
      <c r="A8559" s="189" t="str">
        <f t="shared" si="133"/>
        <v>QA-MD 83500.13S</v>
      </c>
      <c r="B8559" s="195" t="s">
        <v>3975</v>
      </c>
      <c r="C8559" s="196">
        <v>0</v>
      </c>
      <c r="D8559" s="196">
        <v>0.13</v>
      </c>
      <c r="E8559" s="195" t="s">
        <v>595</v>
      </c>
      <c r="F8559" s="195" t="s">
        <v>438</v>
      </c>
    </row>
    <row r="8560" spans="1:6" x14ac:dyDescent="0.25">
      <c r="A8560" s="189" t="str">
        <f t="shared" si="133"/>
        <v>QA-MD 835A00.07E</v>
      </c>
      <c r="B8560" s="195" t="s">
        <v>3976</v>
      </c>
      <c r="C8560" s="196">
        <v>0</v>
      </c>
      <c r="D8560" s="196">
        <v>7.0000000000000007E-2</v>
      </c>
      <c r="E8560" s="195" t="s">
        <v>598</v>
      </c>
      <c r="F8560" s="195" t="s">
        <v>19</v>
      </c>
    </row>
    <row r="8561" spans="1:6" x14ac:dyDescent="0.25">
      <c r="A8561" s="189" t="str">
        <f t="shared" si="133"/>
        <v>QA-MD 835A00.07W</v>
      </c>
      <c r="B8561" s="195" t="s">
        <v>3976</v>
      </c>
      <c r="C8561" s="196">
        <v>0</v>
      </c>
      <c r="D8561" s="196">
        <v>7.0000000000000007E-2</v>
      </c>
      <c r="E8561" s="195" t="s">
        <v>593</v>
      </c>
      <c r="F8561" s="195" t="s">
        <v>432</v>
      </c>
    </row>
    <row r="8562" spans="1:6" x14ac:dyDescent="0.25">
      <c r="A8562" s="189" t="str">
        <f t="shared" si="133"/>
        <v>QA-MD 835A0.070.76E</v>
      </c>
      <c r="B8562" s="195" t="s">
        <v>3976</v>
      </c>
      <c r="C8562" s="196">
        <v>7.0000000000000007E-2</v>
      </c>
      <c r="D8562" s="196">
        <v>0.76</v>
      </c>
      <c r="E8562" s="195" t="s">
        <v>598</v>
      </c>
      <c r="F8562" s="195" t="s">
        <v>19</v>
      </c>
    </row>
    <row r="8563" spans="1:6" x14ac:dyDescent="0.25">
      <c r="A8563" s="189" t="str">
        <f t="shared" si="133"/>
        <v>QA-MD 835A0.070.76W</v>
      </c>
      <c r="B8563" s="195" t="s">
        <v>3976</v>
      </c>
      <c r="C8563" s="196">
        <v>7.0000000000000007E-2</v>
      </c>
      <c r="D8563" s="196">
        <v>0.76</v>
      </c>
      <c r="E8563" s="195" t="s">
        <v>593</v>
      </c>
      <c r="F8563" s="195" t="s">
        <v>432</v>
      </c>
    </row>
    <row r="8564" spans="1:6" x14ac:dyDescent="0.25">
      <c r="A8564" s="189" t="str">
        <f t="shared" si="133"/>
        <v>QA-MD 835B00.62E</v>
      </c>
      <c r="B8564" s="195" t="s">
        <v>3977</v>
      </c>
      <c r="C8564" s="196">
        <v>0</v>
      </c>
      <c r="D8564" s="196">
        <v>0.62</v>
      </c>
      <c r="E8564" s="195" t="s">
        <v>598</v>
      </c>
      <c r="F8564" s="195" t="s">
        <v>19</v>
      </c>
    </row>
    <row r="8565" spans="1:6" x14ac:dyDescent="0.25">
      <c r="A8565" s="189" t="str">
        <f t="shared" si="133"/>
        <v>QA-MD 835B00.62W</v>
      </c>
      <c r="B8565" s="195" t="s">
        <v>3977</v>
      </c>
      <c r="C8565" s="196">
        <v>0</v>
      </c>
      <c r="D8565" s="196">
        <v>0.62</v>
      </c>
      <c r="E8565" s="195" t="s">
        <v>593</v>
      </c>
      <c r="F8565" s="195" t="s">
        <v>432</v>
      </c>
    </row>
    <row r="8566" spans="1:6" x14ac:dyDescent="0.25">
      <c r="A8566" s="189" t="str">
        <f t="shared" si="133"/>
        <v>QA-MD 835C00.2E</v>
      </c>
      <c r="B8566" s="195" t="s">
        <v>3978</v>
      </c>
      <c r="C8566" s="196">
        <v>0</v>
      </c>
      <c r="D8566" s="196">
        <v>0.2</v>
      </c>
      <c r="E8566" s="195" t="s">
        <v>598</v>
      </c>
      <c r="F8566" s="195" t="s">
        <v>19</v>
      </c>
    </row>
    <row r="8567" spans="1:6" x14ac:dyDescent="0.25">
      <c r="A8567" s="189" t="str">
        <f t="shared" si="133"/>
        <v>QA-MD 835C00.2W</v>
      </c>
      <c r="B8567" s="195" t="s">
        <v>3978</v>
      </c>
      <c r="C8567" s="196">
        <v>0</v>
      </c>
      <c r="D8567" s="196">
        <v>0.2</v>
      </c>
      <c r="E8567" s="195" t="s">
        <v>593</v>
      </c>
      <c r="F8567" s="195" t="s">
        <v>432</v>
      </c>
    </row>
    <row r="8568" spans="1:6" x14ac:dyDescent="0.25">
      <c r="A8568" s="189" t="str">
        <f t="shared" si="133"/>
        <v>QA-MD 835C0.20.76W</v>
      </c>
      <c r="B8568" s="195" t="s">
        <v>3978</v>
      </c>
      <c r="C8568" s="196">
        <v>0.2</v>
      </c>
      <c r="D8568" s="196">
        <v>0.76</v>
      </c>
      <c r="E8568" s="195" t="s">
        <v>593</v>
      </c>
      <c r="F8568" s="195" t="s">
        <v>432</v>
      </c>
    </row>
    <row r="8569" spans="1:6" x14ac:dyDescent="0.25">
      <c r="A8569" s="189" t="str">
        <f t="shared" si="133"/>
        <v>QA-MD 835C0.20.77E</v>
      </c>
      <c r="B8569" s="195" t="s">
        <v>3978</v>
      </c>
      <c r="C8569" s="196">
        <v>0.2</v>
      </c>
      <c r="D8569" s="196">
        <v>0.77</v>
      </c>
      <c r="E8569" s="195" t="s">
        <v>598</v>
      </c>
      <c r="F8569" s="195" t="s">
        <v>19</v>
      </c>
    </row>
    <row r="8570" spans="1:6" x14ac:dyDescent="0.25">
      <c r="A8570" s="189" t="str">
        <f t="shared" si="133"/>
        <v>QA-MD 835G00.4E</v>
      </c>
      <c r="B8570" s="195" t="s">
        <v>3979</v>
      </c>
      <c r="C8570" s="196">
        <v>0</v>
      </c>
      <c r="D8570" s="196">
        <v>0.4</v>
      </c>
      <c r="E8570" s="195" t="s">
        <v>598</v>
      </c>
      <c r="F8570" s="195" t="s">
        <v>19</v>
      </c>
    </row>
    <row r="8571" spans="1:6" x14ac:dyDescent="0.25">
      <c r="A8571" s="189" t="str">
        <f t="shared" si="133"/>
        <v>QA-MD 835G00.4W</v>
      </c>
      <c r="B8571" s="195" t="s">
        <v>3979</v>
      </c>
      <c r="C8571" s="196">
        <v>0</v>
      </c>
      <c r="D8571" s="196">
        <v>0.4</v>
      </c>
      <c r="E8571" s="195" t="s">
        <v>593</v>
      </c>
      <c r="F8571" s="195" t="s">
        <v>432</v>
      </c>
    </row>
    <row r="8572" spans="1:6" x14ac:dyDescent="0.25">
      <c r="A8572" s="189" t="str">
        <f t="shared" si="133"/>
        <v>QA-MD 835H00.74E</v>
      </c>
      <c r="B8572" s="195" t="s">
        <v>3980</v>
      </c>
      <c r="C8572" s="196">
        <v>0</v>
      </c>
      <c r="D8572" s="196">
        <v>0.74</v>
      </c>
      <c r="E8572" s="195" t="s">
        <v>598</v>
      </c>
      <c r="F8572" s="195" t="s">
        <v>19</v>
      </c>
    </row>
    <row r="8573" spans="1:6" x14ac:dyDescent="0.25">
      <c r="A8573" s="189" t="str">
        <f t="shared" si="133"/>
        <v>QA-MD 835H00.74W</v>
      </c>
      <c r="B8573" s="195" t="s">
        <v>3980</v>
      </c>
      <c r="C8573" s="196">
        <v>0</v>
      </c>
      <c r="D8573" s="196">
        <v>0.74</v>
      </c>
      <c r="E8573" s="195" t="s">
        <v>593</v>
      </c>
      <c r="F8573" s="195" t="s">
        <v>432</v>
      </c>
    </row>
    <row r="8574" spans="1:6" x14ac:dyDescent="0.25">
      <c r="A8574" s="189" t="str">
        <f t="shared" si="133"/>
        <v>QA-MD 835I00.2N</v>
      </c>
      <c r="B8574" s="195" t="s">
        <v>3981</v>
      </c>
      <c r="C8574" s="196">
        <v>0</v>
      </c>
      <c r="D8574" s="196">
        <v>0.2</v>
      </c>
      <c r="E8574" s="195" t="s">
        <v>589</v>
      </c>
      <c r="F8574" s="195" t="s">
        <v>430</v>
      </c>
    </row>
    <row r="8575" spans="1:6" x14ac:dyDescent="0.25">
      <c r="A8575" s="189" t="str">
        <f t="shared" si="133"/>
        <v>QA-MD 835I00.2S</v>
      </c>
      <c r="B8575" s="195" t="s">
        <v>3981</v>
      </c>
      <c r="C8575" s="196">
        <v>0</v>
      </c>
      <c r="D8575" s="196">
        <v>0.2</v>
      </c>
      <c r="E8575" s="195" t="s">
        <v>595</v>
      </c>
      <c r="F8575" s="195" t="s">
        <v>438</v>
      </c>
    </row>
    <row r="8576" spans="1:6" x14ac:dyDescent="0.25">
      <c r="A8576" s="189" t="str">
        <f t="shared" si="133"/>
        <v>QA-MD 835J00.77E</v>
      </c>
      <c r="B8576" s="195" t="s">
        <v>3982</v>
      </c>
      <c r="C8576" s="196">
        <v>0</v>
      </c>
      <c r="D8576" s="196">
        <v>0.77</v>
      </c>
      <c r="E8576" s="195" t="s">
        <v>598</v>
      </c>
      <c r="F8576" s="195" t="s">
        <v>19</v>
      </c>
    </row>
    <row r="8577" spans="1:6" x14ac:dyDescent="0.25">
      <c r="A8577" s="189" t="str">
        <f t="shared" si="133"/>
        <v>QA-MD 835J00.77W</v>
      </c>
      <c r="B8577" s="195" t="s">
        <v>3982</v>
      </c>
      <c r="C8577" s="196">
        <v>0</v>
      </c>
      <c r="D8577" s="196">
        <v>0.77</v>
      </c>
      <c r="E8577" s="195" t="s">
        <v>593</v>
      </c>
      <c r="F8577" s="195" t="s">
        <v>432</v>
      </c>
    </row>
    <row r="8578" spans="1:6" x14ac:dyDescent="0.25">
      <c r="A8578" s="189" t="str">
        <f t="shared" si="133"/>
        <v>QA-MD 835K00.42N</v>
      </c>
      <c r="B8578" s="195" t="s">
        <v>3983</v>
      </c>
      <c r="C8578" s="196">
        <v>0</v>
      </c>
      <c r="D8578" s="196">
        <v>0.42</v>
      </c>
      <c r="E8578" s="195" t="s">
        <v>589</v>
      </c>
      <c r="F8578" s="195" t="s">
        <v>430</v>
      </c>
    </row>
    <row r="8579" spans="1:6" x14ac:dyDescent="0.25">
      <c r="A8579" s="189" t="str">
        <f t="shared" si="133"/>
        <v>QA-MD 835K00.42S</v>
      </c>
      <c r="B8579" s="195" t="s">
        <v>3983</v>
      </c>
      <c r="C8579" s="196">
        <v>0</v>
      </c>
      <c r="D8579" s="196">
        <v>0.42</v>
      </c>
      <c r="E8579" s="195" t="s">
        <v>595</v>
      </c>
      <c r="F8579" s="195" t="s">
        <v>438</v>
      </c>
    </row>
    <row r="8580" spans="1:6" x14ac:dyDescent="0.25">
      <c r="A8580" s="189" t="str">
        <f t="shared" si="133"/>
        <v>QA-MD 83700.12N</v>
      </c>
      <c r="B8580" s="195" t="s">
        <v>3984</v>
      </c>
      <c r="C8580" s="196">
        <v>0</v>
      </c>
      <c r="D8580" s="196">
        <v>0.12</v>
      </c>
      <c r="E8580" s="195" t="s">
        <v>589</v>
      </c>
      <c r="F8580" s="195" t="s">
        <v>430</v>
      </c>
    </row>
    <row r="8581" spans="1:6" x14ac:dyDescent="0.25">
      <c r="A8581" s="189" t="str">
        <f t="shared" si="133"/>
        <v>QA-MD 83700.12S</v>
      </c>
      <c r="B8581" s="195" t="s">
        <v>3984</v>
      </c>
      <c r="C8581" s="196">
        <v>0</v>
      </c>
      <c r="D8581" s="196">
        <v>0.12</v>
      </c>
      <c r="E8581" s="195" t="s">
        <v>595</v>
      </c>
      <c r="F8581" s="195" t="s">
        <v>438</v>
      </c>
    </row>
    <row r="8582" spans="1:6" x14ac:dyDescent="0.25">
      <c r="A8582" s="189" t="str">
        <f t="shared" si="133"/>
        <v>QA-MD 8A00.1E</v>
      </c>
      <c r="B8582" s="195" t="s">
        <v>3985</v>
      </c>
      <c r="C8582" s="196">
        <v>0</v>
      </c>
      <c r="D8582" s="196">
        <v>0.1</v>
      </c>
      <c r="E8582" s="195" t="s">
        <v>598</v>
      </c>
      <c r="F8582" s="195" t="s">
        <v>19</v>
      </c>
    </row>
    <row r="8583" spans="1:6" x14ac:dyDescent="0.25">
      <c r="A8583" s="189" t="str">
        <f t="shared" si="133"/>
        <v>QA-MD 8A00.1W</v>
      </c>
      <c r="B8583" s="195" t="s">
        <v>3985</v>
      </c>
      <c r="C8583" s="196">
        <v>0</v>
      </c>
      <c r="D8583" s="196">
        <v>0.1</v>
      </c>
      <c r="E8583" s="195" t="s">
        <v>593</v>
      </c>
      <c r="F8583" s="195" t="s">
        <v>432</v>
      </c>
    </row>
    <row r="8584" spans="1:6" x14ac:dyDescent="0.25">
      <c r="A8584" s="189" t="str">
        <f t="shared" ref="A8584:A8647" si="134">B8584&amp;C8584&amp;D8584&amp;F8584</f>
        <v>QA-US 301 RP1-8900.07W</v>
      </c>
      <c r="B8584" s="195" t="s">
        <v>3986</v>
      </c>
      <c r="C8584" s="196">
        <v>0</v>
      </c>
      <c r="D8584" s="196">
        <v>7.0000000000000007E-2</v>
      </c>
      <c r="E8584" s="195" t="s">
        <v>593</v>
      </c>
      <c r="F8584" s="195" t="s">
        <v>432</v>
      </c>
    </row>
    <row r="8585" spans="1:6" x14ac:dyDescent="0.25">
      <c r="A8585" s="189" t="str">
        <f t="shared" si="134"/>
        <v>QA-US 301 RP2-8900.26N</v>
      </c>
      <c r="B8585" s="195" t="s">
        <v>3987</v>
      </c>
      <c r="C8585" s="196">
        <v>0</v>
      </c>
      <c r="D8585" s="196">
        <v>0.26</v>
      </c>
      <c r="E8585" s="195" t="s">
        <v>589</v>
      </c>
      <c r="F8585" s="195" t="s">
        <v>430</v>
      </c>
    </row>
    <row r="8586" spans="1:6" x14ac:dyDescent="0.25">
      <c r="A8586" s="189" t="str">
        <f t="shared" si="134"/>
        <v>QA-US 301 RP3-10600.03S</v>
      </c>
      <c r="B8586" s="195" t="s">
        <v>3988</v>
      </c>
      <c r="C8586" s="196">
        <v>0</v>
      </c>
      <c r="D8586" s="196">
        <v>0.03</v>
      </c>
      <c r="E8586" s="195" t="s">
        <v>595</v>
      </c>
      <c r="F8586" s="195" t="s">
        <v>438</v>
      </c>
    </row>
    <row r="8587" spans="1:6" x14ac:dyDescent="0.25">
      <c r="A8587" s="189" t="str">
        <f t="shared" si="134"/>
        <v>QA-US 301 RP3-8900.25S</v>
      </c>
      <c r="B8587" s="195" t="s">
        <v>3989</v>
      </c>
      <c r="C8587" s="196">
        <v>0</v>
      </c>
      <c r="D8587" s="196">
        <v>0.25</v>
      </c>
      <c r="E8587" s="195" t="s">
        <v>595</v>
      </c>
      <c r="F8587" s="195" t="s">
        <v>438</v>
      </c>
    </row>
    <row r="8588" spans="1:6" x14ac:dyDescent="0.25">
      <c r="A8588" s="189" t="str">
        <f t="shared" si="134"/>
        <v>QA-US 301 RP4-10600.12N</v>
      </c>
      <c r="B8588" s="195" t="s">
        <v>3990</v>
      </c>
      <c r="C8588" s="196">
        <v>0</v>
      </c>
      <c r="D8588" s="196">
        <v>0.12</v>
      </c>
      <c r="E8588" s="195" t="s">
        <v>589</v>
      </c>
      <c r="F8588" s="195" t="s">
        <v>430</v>
      </c>
    </row>
    <row r="8589" spans="1:6" x14ac:dyDescent="0.25">
      <c r="A8589" s="189" t="str">
        <f t="shared" si="134"/>
        <v>QA-US 301 RP4-10600.2S</v>
      </c>
      <c r="B8589" s="195" t="s">
        <v>3990</v>
      </c>
      <c r="C8589" s="196">
        <v>0</v>
      </c>
      <c r="D8589" s="196">
        <v>0.2</v>
      </c>
      <c r="E8589" s="195" t="s">
        <v>595</v>
      </c>
      <c r="F8589" s="195" t="s">
        <v>438</v>
      </c>
    </row>
    <row r="8590" spans="1:6" x14ac:dyDescent="0.25">
      <c r="A8590" s="189" t="str">
        <f t="shared" si="134"/>
        <v>QA-US 301 RP4-8900.4N</v>
      </c>
      <c r="B8590" s="195" t="s">
        <v>3991</v>
      </c>
      <c r="C8590" s="196">
        <v>0</v>
      </c>
      <c r="D8590" s="196">
        <v>0.4</v>
      </c>
      <c r="E8590" s="195" t="s">
        <v>589</v>
      </c>
      <c r="F8590" s="195" t="s">
        <v>430</v>
      </c>
    </row>
    <row r="8591" spans="1:6" x14ac:dyDescent="0.25">
      <c r="A8591" s="189" t="str">
        <f t="shared" si="134"/>
        <v>QA-US 301 RP5-8900.06E</v>
      </c>
      <c r="B8591" s="195" t="s">
        <v>3992</v>
      </c>
      <c r="C8591" s="196">
        <v>0</v>
      </c>
      <c r="D8591" s="196">
        <v>0.06</v>
      </c>
      <c r="E8591" s="195" t="s">
        <v>598</v>
      </c>
      <c r="F8591" s="195" t="s">
        <v>19</v>
      </c>
    </row>
    <row r="8592" spans="1:6" x14ac:dyDescent="0.25">
      <c r="A8592" s="189" t="str">
        <f t="shared" si="134"/>
        <v>QA-US 301 RP6-8900.24S</v>
      </c>
      <c r="B8592" s="195" t="s">
        <v>3993</v>
      </c>
      <c r="C8592" s="196">
        <v>0</v>
      </c>
      <c r="D8592" s="196">
        <v>0.24</v>
      </c>
      <c r="E8592" s="195" t="s">
        <v>595</v>
      </c>
      <c r="F8592" s="195" t="s">
        <v>438</v>
      </c>
    </row>
    <row r="8593" spans="1:6" x14ac:dyDescent="0.25">
      <c r="A8593" s="189" t="str">
        <f t="shared" si="134"/>
        <v>QA-US 301 RP7-10600.02N</v>
      </c>
      <c r="B8593" s="195" t="s">
        <v>3994</v>
      </c>
      <c r="C8593" s="196">
        <v>0</v>
      </c>
      <c r="D8593" s="196">
        <v>0.02</v>
      </c>
      <c r="E8593" s="195" t="s">
        <v>589</v>
      </c>
      <c r="F8593" s="195" t="s">
        <v>430</v>
      </c>
    </row>
    <row r="8594" spans="1:6" x14ac:dyDescent="0.25">
      <c r="A8594" s="189" t="str">
        <f t="shared" si="134"/>
        <v>QA-US 301 RP7-8900.06W</v>
      </c>
      <c r="B8594" s="195" t="s">
        <v>3995</v>
      </c>
      <c r="C8594" s="196">
        <v>0</v>
      </c>
      <c r="D8594" s="196">
        <v>0.06</v>
      </c>
      <c r="E8594" s="195" t="s">
        <v>593</v>
      </c>
      <c r="F8594" s="195" t="s">
        <v>432</v>
      </c>
    </row>
    <row r="8595" spans="1:6" x14ac:dyDescent="0.25">
      <c r="A8595" s="189" t="str">
        <f t="shared" si="134"/>
        <v>QA-US 301 RP8-10600.12N</v>
      </c>
      <c r="B8595" s="195" t="s">
        <v>3996</v>
      </c>
      <c r="C8595" s="196">
        <v>0</v>
      </c>
      <c r="D8595" s="196">
        <v>0.12</v>
      </c>
      <c r="E8595" s="195" t="s">
        <v>589</v>
      </c>
      <c r="F8595" s="195" t="s">
        <v>430</v>
      </c>
    </row>
    <row r="8596" spans="1:6" x14ac:dyDescent="0.25">
      <c r="A8596" s="189" t="str">
        <f t="shared" si="134"/>
        <v>QA-US 301 RP8-10600.21S</v>
      </c>
      <c r="B8596" s="195" t="s">
        <v>3996</v>
      </c>
      <c r="C8596" s="196">
        <v>0</v>
      </c>
      <c r="D8596" s="196">
        <v>0.21</v>
      </c>
      <c r="E8596" s="195" t="s">
        <v>595</v>
      </c>
      <c r="F8596" s="195" t="s">
        <v>438</v>
      </c>
    </row>
    <row r="8597" spans="1:6" x14ac:dyDescent="0.25">
      <c r="A8597" s="189" t="str">
        <f t="shared" si="134"/>
        <v>QA-US 301 RP8-8900.27S</v>
      </c>
      <c r="B8597" s="195" t="s">
        <v>3997</v>
      </c>
      <c r="C8597" s="196">
        <v>0</v>
      </c>
      <c r="D8597" s="196">
        <v>0.27</v>
      </c>
      <c r="E8597" s="195" t="s">
        <v>595</v>
      </c>
      <c r="F8597" s="195" t="s">
        <v>438</v>
      </c>
    </row>
    <row r="8598" spans="1:6" x14ac:dyDescent="0.25">
      <c r="A8598" s="189" t="str">
        <f t="shared" si="134"/>
        <v>QA-US 50 RP1-3700.02W</v>
      </c>
      <c r="B8598" s="195" t="s">
        <v>3998</v>
      </c>
      <c r="C8598" s="196">
        <v>0</v>
      </c>
      <c r="D8598" s="196">
        <v>0.02</v>
      </c>
      <c r="E8598" s="195" t="s">
        <v>593</v>
      </c>
      <c r="F8598" s="195" t="s">
        <v>432</v>
      </c>
    </row>
    <row r="8599" spans="1:6" x14ac:dyDescent="0.25">
      <c r="A8599" s="189" t="str">
        <f t="shared" si="134"/>
        <v>QA-US 50 RP2-3700.14S</v>
      </c>
      <c r="B8599" s="195" t="s">
        <v>3999</v>
      </c>
      <c r="C8599" s="196">
        <v>0</v>
      </c>
      <c r="D8599" s="196">
        <v>0.14000000000000001</v>
      </c>
      <c r="E8599" s="195" t="s">
        <v>595</v>
      </c>
      <c r="F8599" s="195" t="s">
        <v>438</v>
      </c>
    </row>
    <row r="8600" spans="1:6" x14ac:dyDescent="0.25">
      <c r="A8600" s="189" t="str">
        <f t="shared" si="134"/>
        <v>QA-US 50 RP2-4300.13W</v>
      </c>
      <c r="B8600" s="195" t="s">
        <v>4000</v>
      </c>
      <c r="C8600" s="196">
        <v>0</v>
      </c>
      <c r="D8600" s="196">
        <v>0.13</v>
      </c>
      <c r="E8600" s="195" t="s">
        <v>593</v>
      </c>
      <c r="F8600" s="195" t="s">
        <v>432</v>
      </c>
    </row>
    <row r="8601" spans="1:6" x14ac:dyDescent="0.25">
      <c r="A8601" s="189" t="str">
        <f t="shared" si="134"/>
        <v>QA-US 50 RP3-3700.03E</v>
      </c>
      <c r="B8601" s="195" t="s">
        <v>4001</v>
      </c>
      <c r="C8601" s="196">
        <v>0</v>
      </c>
      <c r="D8601" s="196">
        <v>0.03</v>
      </c>
      <c r="E8601" s="195" t="s">
        <v>598</v>
      </c>
      <c r="F8601" s="195" t="s">
        <v>19</v>
      </c>
    </row>
    <row r="8602" spans="1:6" x14ac:dyDescent="0.25">
      <c r="A8602" s="189" t="str">
        <f t="shared" si="134"/>
        <v>QA-US 50 RP4-3700.18N</v>
      </c>
      <c r="B8602" s="195" t="s">
        <v>4002</v>
      </c>
      <c r="C8602" s="196">
        <v>0</v>
      </c>
      <c r="D8602" s="196">
        <v>0.18</v>
      </c>
      <c r="E8602" s="195" t="s">
        <v>589</v>
      </c>
      <c r="F8602" s="195" t="s">
        <v>430</v>
      </c>
    </row>
    <row r="8603" spans="1:6" x14ac:dyDescent="0.25">
      <c r="A8603" s="189" t="str">
        <f t="shared" si="134"/>
        <v>QA-US 50 RP4-4500.1N</v>
      </c>
      <c r="B8603" s="195" t="s">
        <v>4003</v>
      </c>
      <c r="C8603" s="196">
        <v>0</v>
      </c>
      <c r="D8603" s="196">
        <v>0.1</v>
      </c>
      <c r="E8603" s="195" t="s">
        <v>589</v>
      </c>
      <c r="F8603" s="195" t="s">
        <v>430</v>
      </c>
    </row>
    <row r="8604" spans="1:6" x14ac:dyDescent="0.25">
      <c r="A8604" s="189" t="str">
        <f t="shared" si="134"/>
        <v>QA-US 50 RP5-3700.03E</v>
      </c>
      <c r="B8604" s="195" t="s">
        <v>4004</v>
      </c>
      <c r="C8604" s="196">
        <v>0</v>
      </c>
      <c r="D8604" s="196">
        <v>0.03</v>
      </c>
      <c r="E8604" s="195" t="s">
        <v>598</v>
      </c>
      <c r="F8604" s="195" t="s">
        <v>19</v>
      </c>
    </row>
    <row r="8605" spans="1:6" x14ac:dyDescent="0.25">
      <c r="A8605" s="189" t="str">
        <f t="shared" si="134"/>
        <v>QA-US 50 RP5-4100.13N</v>
      </c>
      <c r="B8605" s="195" t="s">
        <v>4005</v>
      </c>
      <c r="C8605" s="196">
        <v>0</v>
      </c>
      <c r="D8605" s="196">
        <v>0.13</v>
      </c>
      <c r="E8605" s="195" t="s">
        <v>589</v>
      </c>
      <c r="F8605" s="195" t="s">
        <v>430</v>
      </c>
    </row>
    <row r="8606" spans="1:6" x14ac:dyDescent="0.25">
      <c r="A8606" s="189" t="str">
        <f t="shared" si="134"/>
        <v>QA-US 50 RP5-4500.05S</v>
      </c>
      <c r="B8606" s="195" t="s">
        <v>4006</v>
      </c>
      <c r="C8606" s="196">
        <v>0</v>
      </c>
      <c r="D8606" s="196">
        <v>0.05</v>
      </c>
      <c r="E8606" s="195" t="s">
        <v>595</v>
      </c>
      <c r="F8606" s="195" t="s">
        <v>438</v>
      </c>
    </row>
    <row r="8607" spans="1:6" x14ac:dyDescent="0.25">
      <c r="A8607" s="189" t="str">
        <f t="shared" si="134"/>
        <v>QA-US 50 RP6-3700.22E</v>
      </c>
      <c r="B8607" s="195" t="s">
        <v>4007</v>
      </c>
      <c r="C8607" s="196">
        <v>0</v>
      </c>
      <c r="D8607" s="196">
        <v>0.22</v>
      </c>
      <c r="E8607" s="195" t="s">
        <v>598</v>
      </c>
      <c r="F8607" s="195" t="s">
        <v>19</v>
      </c>
    </row>
    <row r="8608" spans="1:6" x14ac:dyDescent="0.25">
      <c r="A8608" s="189" t="str">
        <f t="shared" si="134"/>
        <v>QA-US 50 RP6-4100.17S</v>
      </c>
      <c r="B8608" s="195" t="s">
        <v>4008</v>
      </c>
      <c r="C8608" s="196">
        <v>0</v>
      </c>
      <c r="D8608" s="196">
        <v>0.17</v>
      </c>
      <c r="E8608" s="195" t="s">
        <v>595</v>
      </c>
      <c r="F8608" s="195" t="s">
        <v>438</v>
      </c>
    </row>
    <row r="8609" spans="1:6" x14ac:dyDescent="0.25">
      <c r="A8609" s="189" t="str">
        <f t="shared" si="134"/>
        <v>QA-US 50 RP6-4300.17E</v>
      </c>
      <c r="B8609" s="195" t="s">
        <v>4009</v>
      </c>
      <c r="C8609" s="196">
        <v>0</v>
      </c>
      <c r="D8609" s="196">
        <v>0.17</v>
      </c>
      <c r="E8609" s="195" t="s">
        <v>598</v>
      </c>
      <c r="F8609" s="195" t="s">
        <v>19</v>
      </c>
    </row>
    <row r="8610" spans="1:6" x14ac:dyDescent="0.25">
      <c r="A8610" s="189" t="str">
        <f t="shared" si="134"/>
        <v>QA-US 50 RP6-4500.19E</v>
      </c>
      <c r="B8610" s="195" t="s">
        <v>4010</v>
      </c>
      <c r="C8610" s="196">
        <v>0</v>
      </c>
      <c r="D8610" s="196">
        <v>0.19</v>
      </c>
      <c r="E8610" s="195" t="s">
        <v>598</v>
      </c>
      <c r="F8610" s="195" t="s">
        <v>19</v>
      </c>
    </row>
    <row r="8611" spans="1:6" x14ac:dyDescent="0.25">
      <c r="A8611" s="189" t="str">
        <f t="shared" si="134"/>
        <v>QA-US 50 RP7-3700.03W</v>
      </c>
      <c r="B8611" s="195" t="s">
        <v>4011</v>
      </c>
      <c r="C8611" s="196">
        <v>0</v>
      </c>
      <c r="D8611" s="196">
        <v>0.03</v>
      </c>
      <c r="E8611" s="195" t="s">
        <v>593</v>
      </c>
      <c r="F8611" s="195" t="s">
        <v>432</v>
      </c>
    </row>
    <row r="8612" spans="1:6" x14ac:dyDescent="0.25">
      <c r="A8612" s="189" t="str">
        <f t="shared" si="134"/>
        <v>QA-US 50 RP7-4100.06W</v>
      </c>
      <c r="B8612" s="195" t="s">
        <v>4012</v>
      </c>
      <c r="C8612" s="196">
        <v>0</v>
      </c>
      <c r="D8612" s="196">
        <v>0.06</v>
      </c>
      <c r="E8612" s="195" t="s">
        <v>593</v>
      </c>
      <c r="F8612" s="195" t="s">
        <v>432</v>
      </c>
    </row>
    <row r="8613" spans="1:6" x14ac:dyDescent="0.25">
      <c r="A8613" s="189" t="str">
        <f t="shared" si="134"/>
        <v>QA-US 50 RP7-4300.03S</v>
      </c>
      <c r="B8613" s="195" t="s">
        <v>4013</v>
      </c>
      <c r="C8613" s="196">
        <v>0</v>
      </c>
      <c r="D8613" s="196">
        <v>0.03</v>
      </c>
      <c r="E8613" s="195" t="s">
        <v>595</v>
      </c>
      <c r="F8613" s="195" t="s">
        <v>438</v>
      </c>
    </row>
    <row r="8614" spans="1:6" x14ac:dyDescent="0.25">
      <c r="A8614" s="189" t="str">
        <f t="shared" si="134"/>
        <v>QA-US 50 RP8-3700.24S</v>
      </c>
      <c r="B8614" s="195" t="s">
        <v>4014</v>
      </c>
      <c r="C8614" s="196">
        <v>0</v>
      </c>
      <c r="D8614" s="196">
        <v>0.24</v>
      </c>
      <c r="E8614" s="195" t="s">
        <v>595</v>
      </c>
      <c r="F8614" s="195" t="s">
        <v>438</v>
      </c>
    </row>
    <row r="8615" spans="1:6" x14ac:dyDescent="0.25">
      <c r="A8615" s="189" t="str">
        <f t="shared" si="134"/>
        <v>QA-US 50 RP8-4100.07S</v>
      </c>
      <c r="B8615" s="195" t="s">
        <v>4015</v>
      </c>
      <c r="C8615" s="196">
        <v>0</v>
      </c>
      <c r="D8615" s="196">
        <v>7.0000000000000007E-2</v>
      </c>
      <c r="E8615" s="195" t="s">
        <v>595</v>
      </c>
      <c r="F8615" s="195" t="s">
        <v>438</v>
      </c>
    </row>
    <row r="8616" spans="1:6" x14ac:dyDescent="0.25">
      <c r="A8616" s="189" t="str">
        <f t="shared" si="134"/>
        <v>QA-US 50 RP8-4300.21S</v>
      </c>
      <c r="B8616" s="195" t="s">
        <v>4016</v>
      </c>
      <c r="C8616" s="196">
        <v>0</v>
      </c>
      <c r="D8616" s="196">
        <v>0.21</v>
      </c>
      <c r="E8616" s="195" t="s">
        <v>595</v>
      </c>
      <c r="F8616" s="195" t="s">
        <v>438</v>
      </c>
    </row>
    <row r="8617" spans="1:6" x14ac:dyDescent="0.25">
      <c r="A8617" s="189" t="str">
        <f t="shared" si="134"/>
        <v>QA-US 50 RP8-4500.18S</v>
      </c>
      <c r="B8617" s="195" t="s">
        <v>4017</v>
      </c>
      <c r="C8617" s="196">
        <v>0</v>
      </c>
      <c r="D8617" s="196">
        <v>0.18</v>
      </c>
      <c r="E8617" s="195" t="s">
        <v>595</v>
      </c>
      <c r="F8617" s="195" t="s">
        <v>438</v>
      </c>
    </row>
    <row r="8618" spans="1:6" x14ac:dyDescent="0.25">
      <c r="A8618" s="189" t="str">
        <f t="shared" si="134"/>
        <v>QA-US 50QB00.1E</v>
      </c>
      <c r="B8618" s="195" t="s">
        <v>4018</v>
      </c>
      <c r="C8618" s="196">
        <v>0</v>
      </c>
      <c r="D8618" s="196">
        <v>0.1</v>
      </c>
      <c r="E8618" s="195" t="s">
        <v>598</v>
      </c>
      <c r="F8618" s="195" t="s">
        <v>19</v>
      </c>
    </row>
    <row r="8619" spans="1:6" x14ac:dyDescent="0.25">
      <c r="A8619" s="189" t="str">
        <f t="shared" si="134"/>
        <v>QA-US 50QC00.55W</v>
      </c>
      <c r="B8619" s="195" t="s">
        <v>4019</v>
      </c>
      <c r="C8619" s="196">
        <v>0</v>
      </c>
      <c r="D8619" s="196">
        <v>0.55000000000000004</v>
      </c>
      <c r="E8619" s="195" t="s">
        <v>593</v>
      </c>
      <c r="F8619" s="195" t="s">
        <v>432</v>
      </c>
    </row>
    <row r="8620" spans="1:6" x14ac:dyDescent="0.25">
      <c r="A8620" s="189" t="str">
        <f t="shared" si="134"/>
        <v>SM-MD 23404.9E</v>
      </c>
      <c r="B8620" s="195" t="s">
        <v>4020</v>
      </c>
      <c r="C8620" s="196">
        <v>0</v>
      </c>
      <c r="D8620" s="196">
        <v>4.9000000000000004</v>
      </c>
      <c r="E8620" s="195" t="s">
        <v>583</v>
      </c>
      <c r="F8620" s="195" t="s">
        <v>19</v>
      </c>
    </row>
    <row r="8621" spans="1:6" x14ac:dyDescent="0.25">
      <c r="A8621" s="189" t="str">
        <f t="shared" si="134"/>
        <v>SM-MD 23404.9W</v>
      </c>
      <c r="B8621" s="195" t="s">
        <v>4020</v>
      </c>
      <c r="C8621" s="196">
        <v>0</v>
      </c>
      <c r="D8621" s="196">
        <v>4.9000000000000004</v>
      </c>
      <c r="E8621" s="195" t="s">
        <v>583</v>
      </c>
      <c r="F8621" s="195" t="s">
        <v>432</v>
      </c>
    </row>
    <row r="8622" spans="1:6" x14ac:dyDescent="0.25">
      <c r="A8622" s="189" t="str">
        <f t="shared" si="134"/>
        <v>SM-MD 2344.910.01E</v>
      </c>
      <c r="B8622" s="195" t="s">
        <v>4020</v>
      </c>
      <c r="C8622" s="196">
        <v>4.9000000000000004</v>
      </c>
      <c r="D8622" s="196">
        <v>10.01</v>
      </c>
      <c r="E8622" s="195" t="s">
        <v>583</v>
      </c>
      <c r="F8622" s="195" t="s">
        <v>19</v>
      </c>
    </row>
    <row r="8623" spans="1:6" x14ac:dyDescent="0.25">
      <c r="A8623" s="189" t="str">
        <f t="shared" si="134"/>
        <v>SM-MD 2344.910.01W</v>
      </c>
      <c r="B8623" s="195" t="s">
        <v>4020</v>
      </c>
      <c r="C8623" s="196">
        <v>4.9000000000000004</v>
      </c>
      <c r="D8623" s="196">
        <v>10.01</v>
      </c>
      <c r="E8623" s="195" t="s">
        <v>583</v>
      </c>
      <c r="F8623" s="195" t="s">
        <v>432</v>
      </c>
    </row>
    <row r="8624" spans="1:6" x14ac:dyDescent="0.25">
      <c r="A8624" s="189" t="str">
        <f t="shared" si="134"/>
        <v>SM-MD 23410.0112.66E</v>
      </c>
      <c r="B8624" s="195" t="s">
        <v>4020</v>
      </c>
      <c r="C8624" s="196">
        <v>10.01</v>
      </c>
      <c r="D8624" s="196">
        <v>12.66</v>
      </c>
      <c r="E8624" s="195" t="s">
        <v>583</v>
      </c>
      <c r="F8624" s="195" t="s">
        <v>19</v>
      </c>
    </row>
    <row r="8625" spans="1:6" x14ac:dyDescent="0.25">
      <c r="A8625" s="189" t="str">
        <f t="shared" si="134"/>
        <v>SM-MD 23410.0112.66W</v>
      </c>
      <c r="B8625" s="195" t="s">
        <v>4020</v>
      </c>
      <c r="C8625" s="196">
        <v>10.01</v>
      </c>
      <c r="D8625" s="196">
        <v>12.66</v>
      </c>
      <c r="E8625" s="195" t="s">
        <v>583</v>
      </c>
      <c r="F8625" s="195" t="s">
        <v>432</v>
      </c>
    </row>
    <row r="8626" spans="1:6" x14ac:dyDescent="0.25">
      <c r="A8626" s="189" t="str">
        <f t="shared" si="134"/>
        <v>SM-MD 23509.27N</v>
      </c>
      <c r="B8626" s="195" t="s">
        <v>529</v>
      </c>
      <c r="C8626" s="196">
        <v>0</v>
      </c>
      <c r="D8626" s="196">
        <v>9.27</v>
      </c>
      <c r="E8626" s="195" t="s">
        <v>583</v>
      </c>
      <c r="F8626" s="195" t="s">
        <v>430</v>
      </c>
    </row>
    <row r="8627" spans="1:6" x14ac:dyDescent="0.25">
      <c r="A8627" s="189" t="str">
        <f t="shared" si="134"/>
        <v>SM-MD 23509.27S</v>
      </c>
      <c r="B8627" s="195" t="s">
        <v>529</v>
      </c>
      <c r="C8627" s="196">
        <v>0</v>
      </c>
      <c r="D8627" s="196">
        <v>9.27</v>
      </c>
      <c r="E8627" s="195" t="s">
        <v>583</v>
      </c>
      <c r="F8627" s="195" t="s">
        <v>438</v>
      </c>
    </row>
    <row r="8628" spans="1:6" x14ac:dyDescent="0.25">
      <c r="A8628" s="189" t="str">
        <f t="shared" si="134"/>
        <v>SM-MD 2359.279.86N</v>
      </c>
      <c r="B8628" s="195" t="s">
        <v>529</v>
      </c>
      <c r="C8628" s="196">
        <v>9.27</v>
      </c>
      <c r="D8628" s="196">
        <v>9.86</v>
      </c>
      <c r="E8628" s="195" t="s">
        <v>583</v>
      </c>
      <c r="F8628" s="195" t="s">
        <v>430</v>
      </c>
    </row>
    <row r="8629" spans="1:6" x14ac:dyDescent="0.25">
      <c r="A8629" s="189" t="str">
        <f t="shared" si="134"/>
        <v>SM-MD 2359.279.86S</v>
      </c>
      <c r="B8629" s="195" t="s">
        <v>529</v>
      </c>
      <c r="C8629" s="196">
        <v>9.27</v>
      </c>
      <c r="D8629" s="196">
        <v>9.86</v>
      </c>
      <c r="E8629" s="195" t="s">
        <v>583</v>
      </c>
      <c r="F8629" s="195" t="s">
        <v>438</v>
      </c>
    </row>
    <row r="8630" spans="1:6" x14ac:dyDescent="0.25">
      <c r="A8630" s="189" t="str">
        <f t="shared" si="134"/>
        <v>SM-MD 2359.8911.8N</v>
      </c>
      <c r="B8630" s="195" t="s">
        <v>529</v>
      </c>
      <c r="C8630" s="196">
        <v>9.89</v>
      </c>
      <c r="D8630" s="196">
        <v>11.8</v>
      </c>
      <c r="E8630" s="195" t="s">
        <v>589</v>
      </c>
      <c r="F8630" s="195" t="s">
        <v>430</v>
      </c>
    </row>
    <row r="8631" spans="1:6" x14ac:dyDescent="0.25">
      <c r="A8631" s="189" t="str">
        <f t="shared" si="134"/>
        <v>SM-MD 2359.911.8S</v>
      </c>
      <c r="B8631" s="195" t="s">
        <v>529</v>
      </c>
      <c r="C8631" s="196">
        <v>9.9</v>
      </c>
      <c r="D8631" s="196">
        <v>11.8</v>
      </c>
      <c r="E8631" s="195" t="s">
        <v>595</v>
      </c>
      <c r="F8631" s="195" t="s">
        <v>438</v>
      </c>
    </row>
    <row r="8632" spans="1:6" x14ac:dyDescent="0.25">
      <c r="A8632" s="189" t="str">
        <f t="shared" si="134"/>
        <v>SM-MD 23606.06N</v>
      </c>
      <c r="B8632" s="195" t="s">
        <v>4021</v>
      </c>
      <c r="C8632" s="196">
        <v>0</v>
      </c>
      <c r="D8632" s="196">
        <v>6.06</v>
      </c>
      <c r="E8632" s="195" t="s">
        <v>583</v>
      </c>
      <c r="F8632" s="195" t="s">
        <v>430</v>
      </c>
    </row>
    <row r="8633" spans="1:6" x14ac:dyDescent="0.25">
      <c r="A8633" s="189" t="str">
        <f t="shared" si="134"/>
        <v>SM-MD 23606.06S</v>
      </c>
      <c r="B8633" s="195" t="s">
        <v>4021</v>
      </c>
      <c r="C8633" s="196">
        <v>0</v>
      </c>
      <c r="D8633" s="196">
        <v>6.06</v>
      </c>
      <c r="E8633" s="195" t="s">
        <v>583</v>
      </c>
      <c r="F8633" s="195" t="s">
        <v>438</v>
      </c>
    </row>
    <row r="8634" spans="1:6" x14ac:dyDescent="0.25">
      <c r="A8634" s="189" t="str">
        <f t="shared" si="134"/>
        <v>SM-MD 2366.066.19N</v>
      </c>
      <c r="B8634" s="195" t="s">
        <v>4021</v>
      </c>
      <c r="C8634" s="196">
        <v>6.06</v>
      </c>
      <c r="D8634" s="196">
        <v>6.19</v>
      </c>
      <c r="E8634" s="195" t="s">
        <v>583</v>
      </c>
      <c r="F8634" s="195" t="s">
        <v>430</v>
      </c>
    </row>
    <row r="8635" spans="1:6" x14ac:dyDescent="0.25">
      <c r="A8635" s="189" t="str">
        <f t="shared" si="134"/>
        <v>SM-MD 2366.066.19S</v>
      </c>
      <c r="B8635" s="195" t="s">
        <v>4021</v>
      </c>
      <c r="C8635" s="196">
        <v>6.06</v>
      </c>
      <c r="D8635" s="196">
        <v>6.19</v>
      </c>
      <c r="E8635" s="195" t="s">
        <v>583</v>
      </c>
      <c r="F8635" s="195" t="s">
        <v>438</v>
      </c>
    </row>
    <row r="8636" spans="1:6" x14ac:dyDescent="0.25">
      <c r="A8636" s="189" t="str">
        <f t="shared" si="134"/>
        <v>SM-MD 236A00.18N</v>
      </c>
      <c r="B8636" s="195" t="s">
        <v>4022</v>
      </c>
      <c r="C8636" s="196">
        <v>0</v>
      </c>
      <c r="D8636" s="196">
        <v>0.18</v>
      </c>
      <c r="E8636" s="195" t="s">
        <v>583</v>
      </c>
      <c r="F8636" s="195" t="s">
        <v>430</v>
      </c>
    </row>
    <row r="8637" spans="1:6" x14ac:dyDescent="0.25">
      <c r="A8637" s="189" t="str">
        <f t="shared" si="134"/>
        <v>SM-MD 236A00.18S</v>
      </c>
      <c r="B8637" s="195" t="s">
        <v>4022</v>
      </c>
      <c r="C8637" s="196">
        <v>0</v>
      </c>
      <c r="D8637" s="196">
        <v>0.18</v>
      </c>
      <c r="E8637" s="195" t="s">
        <v>583</v>
      </c>
      <c r="F8637" s="195" t="s">
        <v>438</v>
      </c>
    </row>
    <row r="8638" spans="1:6" x14ac:dyDescent="0.25">
      <c r="A8638" s="189" t="str">
        <f t="shared" si="134"/>
        <v>SM-MD 23804.1N</v>
      </c>
      <c r="B8638" s="195" t="s">
        <v>4023</v>
      </c>
      <c r="C8638" s="196">
        <v>0</v>
      </c>
      <c r="D8638" s="196">
        <v>4.0999999999999996</v>
      </c>
      <c r="E8638" s="195" t="s">
        <v>583</v>
      </c>
      <c r="F8638" s="195" t="s">
        <v>430</v>
      </c>
    </row>
    <row r="8639" spans="1:6" x14ac:dyDescent="0.25">
      <c r="A8639" s="189" t="str">
        <f t="shared" si="134"/>
        <v>SM-MD 23804.1S</v>
      </c>
      <c r="B8639" s="195" t="s">
        <v>4023</v>
      </c>
      <c r="C8639" s="196">
        <v>0</v>
      </c>
      <c r="D8639" s="196">
        <v>4.0999999999999996</v>
      </c>
      <c r="E8639" s="195" t="s">
        <v>583</v>
      </c>
      <c r="F8639" s="195" t="s">
        <v>438</v>
      </c>
    </row>
    <row r="8640" spans="1:6" x14ac:dyDescent="0.25">
      <c r="A8640" s="189" t="str">
        <f t="shared" si="134"/>
        <v>SM-MD 2384.17.15N</v>
      </c>
      <c r="B8640" s="195" t="s">
        <v>4023</v>
      </c>
      <c r="C8640" s="196">
        <v>4.0999999999999996</v>
      </c>
      <c r="D8640" s="196">
        <v>7.15</v>
      </c>
      <c r="E8640" s="195" t="s">
        <v>583</v>
      </c>
      <c r="F8640" s="195" t="s">
        <v>430</v>
      </c>
    </row>
    <row r="8641" spans="1:6" x14ac:dyDescent="0.25">
      <c r="A8641" s="189" t="str">
        <f t="shared" si="134"/>
        <v>SM-MD 2384.17.15S</v>
      </c>
      <c r="B8641" s="195" t="s">
        <v>4023</v>
      </c>
      <c r="C8641" s="196">
        <v>4.0999999999999996</v>
      </c>
      <c r="D8641" s="196">
        <v>7.15</v>
      </c>
      <c r="E8641" s="195" t="s">
        <v>583</v>
      </c>
      <c r="F8641" s="195" t="s">
        <v>438</v>
      </c>
    </row>
    <row r="8642" spans="1:6" x14ac:dyDescent="0.25">
      <c r="A8642" s="189" t="str">
        <f t="shared" si="134"/>
        <v>SM-MD 2387.1510.83N</v>
      </c>
      <c r="B8642" s="195" t="s">
        <v>4023</v>
      </c>
      <c r="C8642" s="196">
        <v>7.15</v>
      </c>
      <c r="D8642" s="196">
        <v>10.83</v>
      </c>
      <c r="E8642" s="195" t="s">
        <v>583</v>
      </c>
      <c r="F8642" s="195" t="s">
        <v>430</v>
      </c>
    </row>
    <row r="8643" spans="1:6" x14ac:dyDescent="0.25">
      <c r="A8643" s="189" t="str">
        <f t="shared" si="134"/>
        <v>SM-MD 2387.1510.83S</v>
      </c>
      <c r="B8643" s="195" t="s">
        <v>4023</v>
      </c>
      <c r="C8643" s="196">
        <v>7.15</v>
      </c>
      <c r="D8643" s="196">
        <v>10.83</v>
      </c>
      <c r="E8643" s="195" t="s">
        <v>583</v>
      </c>
      <c r="F8643" s="195" t="s">
        <v>438</v>
      </c>
    </row>
    <row r="8644" spans="1:6" x14ac:dyDescent="0.25">
      <c r="A8644" s="189" t="str">
        <f t="shared" si="134"/>
        <v>SM-MD 23901.08E</v>
      </c>
      <c r="B8644" s="195" t="s">
        <v>4024</v>
      </c>
      <c r="C8644" s="196">
        <v>0</v>
      </c>
      <c r="D8644" s="196">
        <v>1.08</v>
      </c>
      <c r="E8644" s="195" t="s">
        <v>583</v>
      </c>
      <c r="F8644" s="195" t="s">
        <v>19</v>
      </c>
    </row>
    <row r="8645" spans="1:6" x14ac:dyDescent="0.25">
      <c r="A8645" s="189" t="str">
        <f t="shared" si="134"/>
        <v>SM-MD 23901.08W</v>
      </c>
      <c r="B8645" s="195" t="s">
        <v>4024</v>
      </c>
      <c r="C8645" s="196">
        <v>0</v>
      </c>
      <c r="D8645" s="196">
        <v>1.08</v>
      </c>
      <c r="E8645" s="195" t="s">
        <v>583</v>
      </c>
      <c r="F8645" s="195" t="s">
        <v>432</v>
      </c>
    </row>
    <row r="8646" spans="1:6" x14ac:dyDescent="0.25">
      <c r="A8646" s="189" t="str">
        <f t="shared" si="134"/>
        <v>SM-MD 2391.081.64E</v>
      </c>
      <c r="B8646" s="195" t="s">
        <v>4024</v>
      </c>
      <c r="C8646" s="196">
        <v>1.08</v>
      </c>
      <c r="D8646" s="196">
        <v>1.64</v>
      </c>
      <c r="E8646" s="195" t="s">
        <v>583</v>
      </c>
      <c r="F8646" s="195" t="s">
        <v>19</v>
      </c>
    </row>
    <row r="8647" spans="1:6" x14ac:dyDescent="0.25">
      <c r="A8647" s="189" t="str">
        <f t="shared" si="134"/>
        <v>SM-MD 2391.081.64W</v>
      </c>
      <c r="B8647" s="195" t="s">
        <v>4024</v>
      </c>
      <c r="C8647" s="196">
        <v>1.08</v>
      </c>
      <c r="D8647" s="196">
        <v>1.64</v>
      </c>
      <c r="E8647" s="195" t="s">
        <v>583</v>
      </c>
      <c r="F8647" s="195" t="s">
        <v>432</v>
      </c>
    </row>
    <row r="8648" spans="1:6" x14ac:dyDescent="0.25">
      <c r="A8648" s="189" t="str">
        <f t="shared" ref="A8648:A8711" si="135">B8648&amp;C8648&amp;D8648&amp;F8648</f>
        <v>SM-MD 24203.01N</v>
      </c>
      <c r="B8648" s="195" t="s">
        <v>530</v>
      </c>
      <c r="C8648" s="196">
        <v>0</v>
      </c>
      <c r="D8648" s="196">
        <v>3.01</v>
      </c>
      <c r="E8648" s="195" t="s">
        <v>583</v>
      </c>
      <c r="F8648" s="195" t="s">
        <v>430</v>
      </c>
    </row>
    <row r="8649" spans="1:6" x14ac:dyDescent="0.25">
      <c r="A8649" s="189" t="str">
        <f t="shared" si="135"/>
        <v>SM-MD 24203.01S</v>
      </c>
      <c r="B8649" s="195" t="s">
        <v>530</v>
      </c>
      <c r="C8649" s="196">
        <v>0</v>
      </c>
      <c r="D8649" s="196">
        <v>3.01</v>
      </c>
      <c r="E8649" s="195" t="s">
        <v>583</v>
      </c>
      <c r="F8649" s="195" t="s">
        <v>438</v>
      </c>
    </row>
    <row r="8650" spans="1:6" x14ac:dyDescent="0.25">
      <c r="A8650" s="189" t="str">
        <f t="shared" si="135"/>
        <v>SM-MD 2423.015.55N</v>
      </c>
      <c r="B8650" s="195" t="s">
        <v>530</v>
      </c>
      <c r="C8650" s="196">
        <v>3.01</v>
      </c>
      <c r="D8650" s="196">
        <v>5.55</v>
      </c>
      <c r="E8650" s="195" t="s">
        <v>583</v>
      </c>
      <c r="F8650" s="195" t="s">
        <v>430</v>
      </c>
    </row>
    <row r="8651" spans="1:6" x14ac:dyDescent="0.25">
      <c r="A8651" s="189" t="str">
        <f t="shared" si="135"/>
        <v>SM-MD 2423.015.55S</v>
      </c>
      <c r="B8651" s="195" t="s">
        <v>530</v>
      </c>
      <c r="C8651" s="196">
        <v>3.01</v>
      </c>
      <c r="D8651" s="196">
        <v>5.55</v>
      </c>
      <c r="E8651" s="195" t="s">
        <v>583</v>
      </c>
      <c r="F8651" s="195" t="s">
        <v>438</v>
      </c>
    </row>
    <row r="8652" spans="1:6" x14ac:dyDescent="0.25">
      <c r="A8652" s="189" t="str">
        <f t="shared" si="135"/>
        <v>SM-MD 2425.558N</v>
      </c>
      <c r="B8652" s="195" t="s">
        <v>530</v>
      </c>
      <c r="C8652" s="196">
        <v>5.55</v>
      </c>
      <c r="D8652" s="196">
        <v>8</v>
      </c>
      <c r="E8652" s="195" t="s">
        <v>583</v>
      </c>
      <c r="F8652" s="195" t="s">
        <v>430</v>
      </c>
    </row>
    <row r="8653" spans="1:6" x14ac:dyDescent="0.25">
      <c r="A8653" s="189" t="str">
        <f t="shared" si="135"/>
        <v>SM-MD 2425.558S</v>
      </c>
      <c r="B8653" s="195" t="s">
        <v>530</v>
      </c>
      <c r="C8653" s="196">
        <v>5.55</v>
      </c>
      <c r="D8653" s="196">
        <v>8</v>
      </c>
      <c r="E8653" s="195" t="s">
        <v>583</v>
      </c>
      <c r="F8653" s="195" t="s">
        <v>438</v>
      </c>
    </row>
    <row r="8654" spans="1:6" x14ac:dyDescent="0.25">
      <c r="A8654" s="189" t="str">
        <f t="shared" si="135"/>
        <v>SM-MD 24289N</v>
      </c>
      <c r="B8654" s="195" t="s">
        <v>530</v>
      </c>
      <c r="C8654" s="196">
        <v>8</v>
      </c>
      <c r="D8654" s="196">
        <v>9</v>
      </c>
      <c r="E8654" s="195" t="s">
        <v>583</v>
      </c>
      <c r="F8654" s="195" t="s">
        <v>430</v>
      </c>
    </row>
    <row r="8655" spans="1:6" x14ac:dyDescent="0.25">
      <c r="A8655" s="189" t="str">
        <f t="shared" si="135"/>
        <v>SM-MD 24289S</v>
      </c>
      <c r="B8655" s="195" t="s">
        <v>530</v>
      </c>
      <c r="C8655" s="196">
        <v>8</v>
      </c>
      <c r="D8655" s="196">
        <v>9</v>
      </c>
      <c r="E8655" s="195" t="s">
        <v>583</v>
      </c>
      <c r="F8655" s="195" t="s">
        <v>438</v>
      </c>
    </row>
    <row r="8656" spans="1:6" x14ac:dyDescent="0.25">
      <c r="A8656" s="189" t="str">
        <f t="shared" si="135"/>
        <v>SM-MD 242912.8N</v>
      </c>
      <c r="B8656" s="195" t="s">
        <v>530</v>
      </c>
      <c r="C8656" s="196">
        <v>9</v>
      </c>
      <c r="D8656" s="196">
        <v>12.8</v>
      </c>
      <c r="E8656" s="195" t="s">
        <v>583</v>
      </c>
      <c r="F8656" s="195" t="s">
        <v>430</v>
      </c>
    </row>
    <row r="8657" spans="1:6" x14ac:dyDescent="0.25">
      <c r="A8657" s="189" t="str">
        <f t="shared" si="135"/>
        <v>SM-MD 242912.8S</v>
      </c>
      <c r="B8657" s="195" t="s">
        <v>530</v>
      </c>
      <c r="C8657" s="196">
        <v>9</v>
      </c>
      <c r="D8657" s="196">
        <v>12.8</v>
      </c>
      <c r="E8657" s="195" t="s">
        <v>583</v>
      </c>
      <c r="F8657" s="195" t="s">
        <v>438</v>
      </c>
    </row>
    <row r="8658" spans="1:6" x14ac:dyDescent="0.25">
      <c r="A8658" s="189" t="str">
        <f t="shared" si="135"/>
        <v>SM-MD 24301.05N</v>
      </c>
      <c r="B8658" s="195" t="s">
        <v>4025</v>
      </c>
      <c r="C8658" s="196">
        <v>0</v>
      </c>
      <c r="D8658" s="196">
        <v>1.05</v>
      </c>
      <c r="E8658" s="195" t="s">
        <v>583</v>
      </c>
      <c r="F8658" s="195" t="s">
        <v>430</v>
      </c>
    </row>
    <row r="8659" spans="1:6" x14ac:dyDescent="0.25">
      <c r="A8659" s="189" t="str">
        <f t="shared" si="135"/>
        <v>SM-MD 24301.05S</v>
      </c>
      <c r="B8659" s="195" t="s">
        <v>4025</v>
      </c>
      <c r="C8659" s="196">
        <v>0</v>
      </c>
      <c r="D8659" s="196">
        <v>1.05</v>
      </c>
      <c r="E8659" s="195" t="s">
        <v>583</v>
      </c>
      <c r="F8659" s="195" t="s">
        <v>438</v>
      </c>
    </row>
    <row r="8660" spans="1:6" x14ac:dyDescent="0.25">
      <c r="A8660" s="189" t="str">
        <f t="shared" si="135"/>
        <v>SM-MD 2431.051.5N</v>
      </c>
      <c r="B8660" s="195" t="s">
        <v>4025</v>
      </c>
      <c r="C8660" s="196">
        <v>1.05</v>
      </c>
      <c r="D8660" s="196">
        <v>1.5</v>
      </c>
      <c r="E8660" s="195" t="s">
        <v>583</v>
      </c>
      <c r="F8660" s="195" t="s">
        <v>430</v>
      </c>
    </row>
    <row r="8661" spans="1:6" x14ac:dyDescent="0.25">
      <c r="A8661" s="189" t="str">
        <f t="shared" si="135"/>
        <v>SM-MD 2431.051.5S</v>
      </c>
      <c r="B8661" s="195" t="s">
        <v>4025</v>
      </c>
      <c r="C8661" s="196">
        <v>1.05</v>
      </c>
      <c r="D8661" s="196">
        <v>1.5</v>
      </c>
      <c r="E8661" s="195" t="s">
        <v>583</v>
      </c>
      <c r="F8661" s="195" t="s">
        <v>438</v>
      </c>
    </row>
    <row r="8662" spans="1:6" x14ac:dyDescent="0.25">
      <c r="A8662" s="189" t="str">
        <f t="shared" si="135"/>
        <v>SM-MD 2431.54.62N</v>
      </c>
      <c r="B8662" s="195" t="s">
        <v>4025</v>
      </c>
      <c r="C8662" s="196">
        <v>1.5</v>
      </c>
      <c r="D8662" s="196">
        <v>4.62</v>
      </c>
      <c r="E8662" s="195" t="s">
        <v>583</v>
      </c>
      <c r="F8662" s="195" t="s">
        <v>430</v>
      </c>
    </row>
    <row r="8663" spans="1:6" x14ac:dyDescent="0.25">
      <c r="A8663" s="189" t="str">
        <f t="shared" si="135"/>
        <v>SM-MD 2431.54.62S</v>
      </c>
      <c r="B8663" s="195" t="s">
        <v>4025</v>
      </c>
      <c r="C8663" s="196">
        <v>1.5</v>
      </c>
      <c r="D8663" s="196">
        <v>4.62</v>
      </c>
      <c r="E8663" s="195" t="s">
        <v>583</v>
      </c>
      <c r="F8663" s="195" t="s">
        <v>438</v>
      </c>
    </row>
    <row r="8664" spans="1:6" x14ac:dyDescent="0.25">
      <c r="A8664" s="189" t="str">
        <f t="shared" si="135"/>
        <v>SM-MD 2434.624.66N</v>
      </c>
      <c r="B8664" s="195" t="s">
        <v>4025</v>
      </c>
      <c r="C8664" s="196">
        <v>4.62</v>
      </c>
      <c r="D8664" s="196">
        <v>4.66</v>
      </c>
      <c r="E8664" s="195" t="s">
        <v>583</v>
      </c>
      <c r="F8664" s="195" t="s">
        <v>430</v>
      </c>
    </row>
    <row r="8665" spans="1:6" x14ac:dyDescent="0.25">
      <c r="A8665" s="189" t="str">
        <f t="shared" si="135"/>
        <v>SM-MD 2434.624.66S</v>
      </c>
      <c r="B8665" s="195" t="s">
        <v>4025</v>
      </c>
      <c r="C8665" s="196">
        <v>4.62</v>
      </c>
      <c r="D8665" s="196">
        <v>4.66</v>
      </c>
      <c r="E8665" s="195" t="s">
        <v>583</v>
      </c>
      <c r="F8665" s="195" t="s">
        <v>438</v>
      </c>
    </row>
    <row r="8666" spans="1:6" x14ac:dyDescent="0.25">
      <c r="A8666" s="189" t="str">
        <f t="shared" si="135"/>
        <v>SM-MD 24402E</v>
      </c>
      <c r="B8666" s="195" t="s">
        <v>4026</v>
      </c>
      <c r="C8666" s="196">
        <v>0</v>
      </c>
      <c r="D8666" s="196">
        <v>2</v>
      </c>
      <c r="E8666" s="195" t="s">
        <v>583</v>
      </c>
      <c r="F8666" s="195" t="s">
        <v>19</v>
      </c>
    </row>
    <row r="8667" spans="1:6" x14ac:dyDescent="0.25">
      <c r="A8667" s="189" t="str">
        <f t="shared" si="135"/>
        <v>SM-MD 24402W</v>
      </c>
      <c r="B8667" s="195" t="s">
        <v>4026</v>
      </c>
      <c r="C8667" s="196">
        <v>0</v>
      </c>
      <c r="D8667" s="196">
        <v>2</v>
      </c>
      <c r="E8667" s="195" t="s">
        <v>583</v>
      </c>
      <c r="F8667" s="195" t="s">
        <v>432</v>
      </c>
    </row>
    <row r="8668" spans="1:6" x14ac:dyDescent="0.25">
      <c r="A8668" s="189" t="str">
        <f t="shared" si="135"/>
        <v>SM-MD 24422.05E</v>
      </c>
      <c r="B8668" s="195" t="s">
        <v>4026</v>
      </c>
      <c r="C8668" s="196">
        <v>2</v>
      </c>
      <c r="D8668" s="196">
        <v>2.0499999999999998</v>
      </c>
      <c r="E8668" s="195" t="s">
        <v>583</v>
      </c>
      <c r="F8668" s="195" t="s">
        <v>19</v>
      </c>
    </row>
    <row r="8669" spans="1:6" x14ac:dyDescent="0.25">
      <c r="A8669" s="189" t="str">
        <f t="shared" si="135"/>
        <v>SM-MD 24422.05W</v>
      </c>
      <c r="B8669" s="195" t="s">
        <v>4026</v>
      </c>
      <c r="C8669" s="196">
        <v>2</v>
      </c>
      <c r="D8669" s="196">
        <v>2.0499999999999998</v>
      </c>
      <c r="E8669" s="195" t="s">
        <v>583</v>
      </c>
      <c r="F8669" s="195" t="s">
        <v>432</v>
      </c>
    </row>
    <row r="8670" spans="1:6" x14ac:dyDescent="0.25">
      <c r="A8670" s="189" t="str">
        <f t="shared" si="135"/>
        <v>SM-MD 2442.053.55E</v>
      </c>
      <c r="B8670" s="195" t="s">
        <v>4026</v>
      </c>
      <c r="C8670" s="196">
        <v>2.0499999999999998</v>
      </c>
      <c r="D8670" s="196">
        <v>3.55</v>
      </c>
      <c r="E8670" s="195" t="s">
        <v>583</v>
      </c>
      <c r="F8670" s="195" t="s">
        <v>19</v>
      </c>
    </row>
    <row r="8671" spans="1:6" x14ac:dyDescent="0.25">
      <c r="A8671" s="189" t="str">
        <f t="shared" si="135"/>
        <v>SM-MD 2442.053.55W</v>
      </c>
      <c r="B8671" s="195" t="s">
        <v>4026</v>
      </c>
      <c r="C8671" s="196">
        <v>2.0499999999999998</v>
      </c>
      <c r="D8671" s="196">
        <v>3.55</v>
      </c>
      <c r="E8671" s="195" t="s">
        <v>583</v>
      </c>
      <c r="F8671" s="195" t="s">
        <v>432</v>
      </c>
    </row>
    <row r="8672" spans="1:6" x14ac:dyDescent="0.25">
      <c r="A8672" s="189" t="str">
        <f t="shared" si="135"/>
        <v>SM-MD 2443.557.55E</v>
      </c>
      <c r="B8672" s="195" t="s">
        <v>4026</v>
      </c>
      <c r="C8672" s="196">
        <v>3.55</v>
      </c>
      <c r="D8672" s="196">
        <v>7.55</v>
      </c>
      <c r="E8672" s="195" t="s">
        <v>583</v>
      </c>
      <c r="F8672" s="195" t="s">
        <v>19</v>
      </c>
    </row>
    <row r="8673" spans="1:6" x14ac:dyDescent="0.25">
      <c r="A8673" s="189" t="str">
        <f t="shared" si="135"/>
        <v>SM-MD 2443.557.55W</v>
      </c>
      <c r="B8673" s="195" t="s">
        <v>4026</v>
      </c>
      <c r="C8673" s="196">
        <v>3.55</v>
      </c>
      <c r="D8673" s="196">
        <v>7.55</v>
      </c>
      <c r="E8673" s="195" t="s">
        <v>583</v>
      </c>
      <c r="F8673" s="195" t="s">
        <v>432</v>
      </c>
    </row>
    <row r="8674" spans="1:6" x14ac:dyDescent="0.25">
      <c r="A8674" s="189" t="str">
        <f t="shared" si="135"/>
        <v>SM-MD 2447.557.56E</v>
      </c>
      <c r="B8674" s="195" t="s">
        <v>4026</v>
      </c>
      <c r="C8674" s="196">
        <v>7.55</v>
      </c>
      <c r="D8674" s="196">
        <v>7.56</v>
      </c>
      <c r="E8674" s="195" t="s">
        <v>583</v>
      </c>
      <c r="F8674" s="195" t="s">
        <v>19</v>
      </c>
    </row>
    <row r="8675" spans="1:6" x14ac:dyDescent="0.25">
      <c r="A8675" s="189" t="str">
        <f t="shared" si="135"/>
        <v>SM-MD 2447.557.56W</v>
      </c>
      <c r="B8675" s="195" t="s">
        <v>4026</v>
      </c>
      <c r="C8675" s="196">
        <v>7.55</v>
      </c>
      <c r="D8675" s="196">
        <v>7.56</v>
      </c>
      <c r="E8675" s="195" t="s">
        <v>583</v>
      </c>
      <c r="F8675" s="195" t="s">
        <v>432</v>
      </c>
    </row>
    <row r="8676" spans="1:6" x14ac:dyDescent="0.25">
      <c r="A8676" s="189" t="str">
        <f t="shared" si="135"/>
        <v>SM-MD 2447.569.9E</v>
      </c>
      <c r="B8676" s="195" t="s">
        <v>4026</v>
      </c>
      <c r="C8676" s="196">
        <v>7.56</v>
      </c>
      <c r="D8676" s="196">
        <v>9.9</v>
      </c>
      <c r="E8676" s="195" t="s">
        <v>583</v>
      </c>
      <c r="F8676" s="195" t="s">
        <v>19</v>
      </c>
    </row>
    <row r="8677" spans="1:6" x14ac:dyDescent="0.25">
      <c r="A8677" s="189" t="str">
        <f t="shared" si="135"/>
        <v>SM-MD 2447.569.9W</v>
      </c>
      <c r="B8677" s="195" t="s">
        <v>4026</v>
      </c>
      <c r="C8677" s="196">
        <v>7.56</v>
      </c>
      <c r="D8677" s="196">
        <v>9.9</v>
      </c>
      <c r="E8677" s="195" t="s">
        <v>583</v>
      </c>
      <c r="F8677" s="195" t="s">
        <v>432</v>
      </c>
    </row>
    <row r="8678" spans="1:6" x14ac:dyDescent="0.25">
      <c r="A8678" s="189" t="str">
        <f t="shared" si="135"/>
        <v>SM-MD 2449.99.92E</v>
      </c>
      <c r="B8678" s="195" t="s">
        <v>4026</v>
      </c>
      <c r="C8678" s="196">
        <v>9.9</v>
      </c>
      <c r="D8678" s="196">
        <v>9.92</v>
      </c>
      <c r="E8678" s="195" t="s">
        <v>583</v>
      </c>
      <c r="F8678" s="195" t="s">
        <v>19</v>
      </c>
    </row>
    <row r="8679" spans="1:6" x14ac:dyDescent="0.25">
      <c r="A8679" s="189" t="str">
        <f t="shared" si="135"/>
        <v>SM-MD 2449.99.92W</v>
      </c>
      <c r="B8679" s="195" t="s">
        <v>4026</v>
      </c>
      <c r="C8679" s="196">
        <v>9.9</v>
      </c>
      <c r="D8679" s="196">
        <v>9.92</v>
      </c>
      <c r="E8679" s="195" t="s">
        <v>583</v>
      </c>
      <c r="F8679" s="195" t="s">
        <v>432</v>
      </c>
    </row>
    <row r="8680" spans="1:6" x14ac:dyDescent="0.25">
      <c r="A8680" s="189" t="str">
        <f t="shared" si="135"/>
        <v>SM-MD 2449.9210.48E</v>
      </c>
      <c r="B8680" s="195" t="s">
        <v>4026</v>
      </c>
      <c r="C8680" s="196">
        <v>9.92</v>
      </c>
      <c r="D8680" s="196">
        <v>10.48</v>
      </c>
      <c r="E8680" s="195" t="s">
        <v>583</v>
      </c>
      <c r="F8680" s="195" t="s">
        <v>19</v>
      </c>
    </row>
    <row r="8681" spans="1:6" x14ac:dyDescent="0.25">
      <c r="A8681" s="189" t="str">
        <f t="shared" si="135"/>
        <v>SM-MD 2449.9210.48W</v>
      </c>
      <c r="B8681" s="195" t="s">
        <v>4026</v>
      </c>
      <c r="C8681" s="196">
        <v>9.92</v>
      </c>
      <c r="D8681" s="196">
        <v>10.48</v>
      </c>
      <c r="E8681" s="195" t="s">
        <v>583</v>
      </c>
      <c r="F8681" s="195" t="s">
        <v>432</v>
      </c>
    </row>
    <row r="8682" spans="1:6" x14ac:dyDescent="0.25">
      <c r="A8682" s="189" t="str">
        <f t="shared" si="135"/>
        <v>SM-MD 24501.79N</v>
      </c>
      <c r="B8682" s="195" t="s">
        <v>531</v>
      </c>
      <c r="C8682" s="196">
        <v>0</v>
      </c>
      <c r="D8682" s="196">
        <v>1.79</v>
      </c>
      <c r="E8682" s="195" t="s">
        <v>583</v>
      </c>
      <c r="F8682" s="195" t="s">
        <v>430</v>
      </c>
    </row>
    <row r="8683" spans="1:6" x14ac:dyDescent="0.25">
      <c r="A8683" s="189" t="str">
        <f t="shared" si="135"/>
        <v>SM-MD 24501.79S</v>
      </c>
      <c r="B8683" s="195" t="s">
        <v>531</v>
      </c>
      <c r="C8683" s="196">
        <v>0</v>
      </c>
      <c r="D8683" s="196">
        <v>1.79</v>
      </c>
      <c r="E8683" s="195" t="s">
        <v>583</v>
      </c>
      <c r="F8683" s="195" t="s">
        <v>438</v>
      </c>
    </row>
    <row r="8684" spans="1:6" x14ac:dyDescent="0.25">
      <c r="A8684" s="189" t="str">
        <f t="shared" si="135"/>
        <v>SM-MD 2451.793.45N</v>
      </c>
      <c r="B8684" s="195" t="s">
        <v>531</v>
      </c>
      <c r="C8684" s="196">
        <v>1.79</v>
      </c>
      <c r="D8684" s="196">
        <v>3.45</v>
      </c>
      <c r="E8684" s="195" t="s">
        <v>583</v>
      </c>
      <c r="F8684" s="195" t="s">
        <v>430</v>
      </c>
    </row>
    <row r="8685" spans="1:6" x14ac:dyDescent="0.25">
      <c r="A8685" s="189" t="str">
        <f t="shared" si="135"/>
        <v>SM-MD 2451.793.45S</v>
      </c>
      <c r="B8685" s="195" t="s">
        <v>531</v>
      </c>
      <c r="C8685" s="196">
        <v>1.79</v>
      </c>
      <c r="D8685" s="196">
        <v>3.45</v>
      </c>
      <c r="E8685" s="195" t="s">
        <v>583</v>
      </c>
      <c r="F8685" s="195" t="s">
        <v>438</v>
      </c>
    </row>
    <row r="8686" spans="1:6" x14ac:dyDescent="0.25">
      <c r="A8686" s="189" t="str">
        <f t="shared" si="135"/>
        <v>SM-MD 2453.454.55N</v>
      </c>
      <c r="B8686" s="195" t="s">
        <v>531</v>
      </c>
      <c r="C8686" s="196">
        <v>3.45</v>
      </c>
      <c r="D8686" s="196">
        <v>4.55</v>
      </c>
      <c r="E8686" s="195" t="s">
        <v>583</v>
      </c>
      <c r="F8686" s="195" t="s">
        <v>430</v>
      </c>
    </row>
    <row r="8687" spans="1:6" x14ac:dyDescent="0.25">
      <c r="A8687" s="189" t="str">
        <f t="shared" si="135"/>
        <v>SM-MD 2453.454.55S</v>
      </c>
      <c r="B8687" s="195" t="s">
        <v>531</v>
      </c>
      <c r="C8687" s="196">
        <v>3.45</v>
      </c>
      <c r="D8687" s="196">
        <v>4.55</v>
      </c>
      <c r="E8687" s="195" t="s">
        <v>583</v>
      </c>
      <c r="F8687" s="195" t="s">
        <v>438</v>
      </c>
    </row>
    <row r="8688" spans="1:6" x14ac:dyDescent="0.25">
      <c r="A8688" s="189" t="str">
        <f t="shared" si="135"/>
        <v>SM-MD 2454.555.27N</v>
      </c>
      <c r="B8688" s="195" t="s">
        <v>531</v>
      </c>
      <c r="C8688" s="196">
        <v>4.55</v>
      </c>
      <c r="D8688" s="196">
        <v>5.27</v>
      </c>
      <c r="E8688" s="195" t="s">
        <v>583</v>
      </c>
      <c r="F8688" s="195" t="s">
        <v>430</v>
      </c>
    </row>
    <row r="8689" spans="1:6" x14ac:dyDescent="0.25">
      <c r="A8689" s="189" t="str">
        <f t="shared" si="135"/>
        <v>SM-MD 2454.555.27S</v>
      </c>
      <c r="B8689" s="195" t="s">
        <v>531</v>
      </c>
      <c r="C8689" s="196">
        <v>4.55</v>
      </c>
      <c r="D8689" s="196">
        <v>5.27</v>
      </c>
      <c r="E8689" s="195" t="s">
        <v>583</v>
      </c>
      <c r="F8689" s="195" t="s">
        <v>438</v>
      </c>
    </row>
    <row r="8690" spans="1:6" x14ac:dyDescent="0.25">
      <c r="A8690" s="189" t="str">
        <f t="shared" si="135"/>
        <v>SM-MD 2455.275.41N</v>
      </c>
      <c r="B8690" s="195" t="s">
        <v>531</v>
      </c>
      <c r="C8690" s="196">
        <v>5.27</v>
      </c>
      <c r="D8690" s="196">
        <v>5.41</v>
      </c>
      <c r="E8690" s="195" t="s">
        <v>583</v>
      </c>
      <c r="F8690" s="195" t="s">
        <v>430</v>
      </c>
    </row>
    <row r="8691" spans="1:6" x14ac:dyDescent="0.25">
      <c r="A8691" s="189" t="str">
        <f t="shared" si="135"/>
        <v>SM-MD 2455.275.41S</v>
      </c>
      <c r="B8691" s="195" t="s">
        <v>531</v>
      </c>
      <c r="C8691" s="196">
        <v>5.27</v>
      </c>
      <c r="D8691" s="196">
        <v>5.41</v>
      </c>
      <c r="E8691" s="195" t="s">
        <v>583</v>
      </c>
      <c r="F8691" s="195" t="s">
        <v>438</v>
      </c>
    </row>
    <row r="8692" spans="1:6" x14ac:dyDescent="0.25">
      <c r="A8692" s="189" t="str">
        <f t="shared" si="135"/>
        <v>SM-MD 2455.417.55N</v>
      </c>
      <c r="B8692" s="195" t="s">
        <v>531</v>
      </c>
      <c r="C8692" s="196">
        <v>5.41</v>
      </c>
      <c r="D8692" s="196">
        <v>7.55</v>
      </c>
      <c r="E8692" s="195" t="s">
        <v>583</v>
      </c>
      <c r="F8692" s="195" t="s">
        <v>430</v>
      </c>
    </row>
    <row r="8693" spans="1:6" x14ac:dyDescent="0.25">
      <c r="A8693" s="189" t="str">
        <f t="shared" si="135"/>
        <v>SM-MD 2455.417.55S</v>
      </c>
      <c r="B8693" s="195" t="s">
        <v>531</v>
      </c>
      <c r="C8693" s="196">
        <v>5.41</v>
      </c>
      <c r="D8693" s="196">
        <v>7.55</v>
      </c>
      <c r="E8693" s="195" t="s">
        <v>583</v>
      </c>
      <c r="F8693" s="195" t="s">
        <v>438</v>
      </c>
    </row>
    <row r="8694" spans="1:6" x14ac:dyDescent="0.25">
      <c r="A8694" s="189" t="str">
        <f t="shared" si="135"/>
        <v>SM-MD 24603.26E</v>
      </c>
      <c r="B8694" s="195" t="s">
        <v>4027</v>
      </c>
      <c r="C8694" s="196">
        <v>0</v>
      </c>
      <c r="D8694" s="196">
        <v>3.26</v>
      </c>
      <c r="E8694" s="195" t="s">
        <v>583</v>
      </c>
      <c r="F8694" s="195" t="s">
        <v>19</v>
      </c>
    </row>
    <row r="8695" spans="1:6" x14ac:dyDescent="0.25">
      <c r="A8695" s="189" t="str">
        <f t="shared" si="135"/>
        <v>SM-MD 24603.26W</v>
      </c>
      <c r="B8695" s="195" t="s">
        <v>4027</v>
      </c>
      <c r="C8695" s="196">
        <v>0</v>
      </c>
      <c r="D8695" s="196">
        <v>3.26</v>
      </c>
      <c r="E8695" s="195" t="s">
        <v>583</v>
      </c>
      <c r="F8695" s="195" t="s">
        <v>432</v>
      </c>
    </row>
    <row r="8696" spans="1:6" x14ac:dyDescent="0.25">
      <c r="A8696" s="189" t="str">
        <f t="shared" si="135"/>
        <v>SM-MD 2463.263.35E</v>
      </c>
      <c r="B8696" s="195" t="s">
        <v>4027</v>
      </c>
      <c r="C8696" s="196">
        <v>3.26</v>
      </c>
      <c r="D8696" s="196">
        <v>3.35</v>
      </c>
      <c r="E8696" s="195" t="s">
        <v>583</v>
      </c>
      <c r="F8696" s="195" t="s">
        <v>19</v>
      </c>
    </row>
    <row r="8697" spans="1:6" x14ac:dyDescent="0.25">
      <c r="A8697" s="189" t="str">
        <f t="shared" si="135"/>
        <v>SM-MD 2463.263.35W</v>
      </c>
      <c r="B8697" s="195" t="s">
        <v>4027</v>
      </c>
      <c r="C8697" s="196">
        <v>3.26</v>
      </c>
      <c r="D8697" s="196">
        <v>3.35</v>
      </c>
      <c r="E8697" s="195" t="s">
        <v>583</v>
      </c>
      <c r="F8697" s="195" t="s">
        <v>432</v>
      </c>
    </row>
    <row r="8698" spans="1:6" x14ac:dyDescent="0.25">
      <c r="A8698" s="189" t="str">
        <f t="shared" si="135"/>
        <v>SM-MD 24701.55N</v>
      </c>
      <c r="B8698" s="195" t="s">
        <v>4028</v>
      </c>
      <c r="C8698" s="196">
        <v>0</v>
      </c>
      <c r="D8698" s="196">
        <v>1.55</v>
      </c>
      <c r="E8698" s="195" t="s">
        <v>583</v>
      </c>
      <c r="F8698" s="195" t="s">
        <v>430</v>
      </c>
    </row>
    <row r="8699" spans="1:6" x14ac:dyDescent="0.25">
      <c r="A8699" s="189" t="str">
        <f t="shared" si="135"/>
        <v>SM-MD 24701.55S</v>
      </c>
      <c r="B8699" s="195" t="s">
        <v>4028</v>
      </c>
      <c r="C8699" s="196">
        <v>0</v>
      </c>
      <c r="D8699" s="196">
        <v>1.55</v>
      </c>
      <c r="E8699" s="195" t="s">
        <v>583</v>
      </c>
      <c r="F8699" s="195" t="s">
        <v>438</v>
      </c>
    </row>
    <row r="8700" spans="1:6" x14ac:dyDescent="0.25">
      <c r="A8700" s="189" t="str">
        <f t="shared" si="135"/>
        <v>SM-MD 2471.552.84N</v>
      </c>
      <c r="B8700" s="195" t="s">
        <v>4028</v>
      </c>
      <c r="C8700" s="196">
        <v>1.55</v>
      </c>
      <c r="D8700" s="196">
        <v>2.84</v>
      </c>
      <c r="E8700" s="195" t="s">
        <v>583</v>
      </c>
      <c r="F8700" s="195" t="s">
        <v>430</v>
      </c>
    </row>
    <row r="8701" spans="1:6" x14ac:dyDescent="0.25">
      <c r="A8701" s="189" t="str">
        <f t="shared" si="135"/>
        <v>SM-MD 2471.552.84S</v>
      </c>
      <c r="B8701" s="195" t="s">
        <v>4028</v>
      </c>
      <c r="C8701" s="196">
        <v>1.55</v>
      </c>
      <c r="D8701" s="196">
        <v>2.84</v>
      </c>
      <c r="E8701" s="195" t="s">
        <v>583</v>
      </c>
      <c r="F8701" s="195" t="s">
        <v>438</v>
      </c>
    </row>
    <row r="8702" spans="1:6" x14ac:dyDescent="0.25">
      <c r="A8702" s="189" t="str">
        <f t="shared" si="135"/>
        <v>SM-MD 2472.842.89N</v>
      </c>
      <c r="B8702" s="195" t="s">
        <v>4028</v>
      </c>
      <c r="C8702" s="196">
        <v>2.84</v>
      </c>
      <c r="D8702" s="196">
        <v>2.89</v>
      </c>
      <c r="E8702" s="195" t="s">
        <v>583</v>
      </c>
      <c r="F8702" s="195" t="s">
        <v>430</v>
      </c>
    </row>
    <row r="8703" spans="1:6" x14ac:dyDescent="0.25">
      <c r="A8703" s="189" t="str">
        <f t="shared" si="135"/>
        <v>SM-MD 2472.842.89S</v>
      </c>
      <c r="B8703" s="195" t="s">
        <v>4028</v>
      </c>
      <c r="C8703" s="196">
        <v>2.84</v>
      </c>
      <c r="D8703" s="196">
        <v>2.89</v>
      </c>
      <c r="E8703" s="195" t="s">
        <v>583</v>
      </c>
      <c r="F8703" s="195" t="s">
        <v>438</v>
      </c>
    </row>
    <row r="8704" spans="1:6" x14ac:dyDescent="0.25">
      <c r="A8704" s="189" t="str">
        <f t="shared" si="135"/>
        <v>SM-MD 24901.55N</v>
      </c>
      <c r="B8704" s="195" t="s">
        <v>4029</v>
      </c>
      <c r="C8704" s="196">
        <v>0</v>
      </c>
      <c r="D8704" s="196">
        <v>1.55</v>
      </c>
      <c r="E8704" s="195" t="s">
        <v>583</v>
      </c>
      <c r="F8704" s="195" t="s">
        <v>430</v>
      </c>
    </row>
    <row r="8705" spans="1:6" x14ac:dyDescent="0.25">
      <c r="A8705" s="189" t="str">
        <f t="shared" si="135"/>
        <v>SM-MD 24901.55S</v>
      </c>
      <c r="B8705" s="195" t="s">
        <v>4029</v>
      </c>
      <c r="C8705" s="196">
        <v>0</v>
      </c>
      <c r="D8705" s="196">
        <v>1.55</v>
      </c>
      <c r="E8705" s="195" t="s">
        <v>583</v>
      </c>
      <c r="F8705" s="195" t="s">
        <v>438</v>
      </c>
    </row>
    <row r="8706" spans="1:6" x14ac:dyDescent="0.25">
      <c r="A8706" s="189" t="str">
        <f t="shared" si="135"/>
        <v>SM-MD 2491.552.46N</v>
      </c>
      <c r="B8706" s="195" t="s">
        <v>4029</v>
      </c>
      <c r="C8706" s="196">
        <v>1.55</v>
      </c>
      <c r="D8706" s="196">
        <v>2.46</v>
      </c>
      <c r="E8706" s="195" t="s">
        <v>583</v>
      </c>
      <c r="F8706" s="195" t="s">
        <v>430</v>
      </c>
    </row>
    <row r="8707" spans="1:6" x14ac:dyDescent="0.25">
      <c r="A8707" s="189" t="str">
        <f t="shared" si="135"/>
        <v>SM-MD 2491.552.46S</v>
      </c>
      <c r="B8707" s="195" t="s">
        <v>4029</v>
      </c>
      <c r="C8707" s="196">
        <v>1.55</v>
      </c>
      <c r="D8707" s="196">
        <v>2.46</v>
      </c>
      <c r="E8707" s="195" t="s">
        <v>583</v>
      </c>
      <c r="F8707" s="195" t="s">
        <v>438</v>
      </c>
    </row>
    <row r="8708" spans="1:6" x14ac:dyDescent="0.25">
      <c r="A8708" s="189" t="str">
        <f t="shared" si="135"/>
        <v>SM-MD 2492.464.69N</v>
      </c>
      <c r="B8708" s="195" t="s">
        <v>4029</v>
      </c>
      <c r="C8708" s="196">
        <v>2.46</v>
      </c>
      <c r="D8708" s="196">
        <v>4.6900000000000004</v>
      </c>
      <c r="E8708" s="195" t="s">
        <v>583</v>
      </c>
      <c r="F8708" s="195" t="s">
        <v>430</v>
      </c>
    </row>
    <row r="8709" spans="1:6" x14ac:dyDescent="0.25">
      <c r="A8709" s="189" t="str">
        <f t="shared" si="135"/>
        <v>SM-MD 2492.464.69S</v>
      </c>
      <c r="B8709" s="195" t="s">
        <v>4029</v>
      </c>
      <c r="C8709" s="196">
        <v>2.46</v>
      </c>
      <c r="D8709" s="196">
        <v>4.6900000000000004</v>
      </c>
      <c r="E8709" s="195" t="s">
        <v>583</v>
      </c>
      <c r="F8709" s="195" t="s">
        <v>438</v>
      </c>
    </row>
    <row r="8710" spans="1:6" x14ac:dyDescent="0.25">
      <c r="A8710" s="189" t="str">
        <f t="shared" si="135"/>
        <v>SM-MD 2494.699.84N</v>
      </c>
      <c r="B8710" s="195" t="s">
        <v>4029</v>
      </c>
      <c r="C8710" s="196">
        <v>4.6900000000000004</v>
      </c>
      <c r="D8710" s="196">
        <v>9.84</v>
      </c>
      <c r="E8710" s="195" t="s">
        <v>583</v>
      </c>
      <c r="F8710" s="195" t="s">
        <v>430</v>
      </c>
    </row>
    <row r="8711" spans="1:6" x14ac:dyDescent="0.25">
      <c r="A8711" s="189" t="str">
        <f t="shared" si="135"/>
        <v>SM-MD 2494.699.84S</v>
      </c>
      <c r="B8711" s="195" t="s">
        <v>4029</v>
      </c>
      <c r="C8711" s="196">
        <v>4.6900000000000004</v>
      </c>
      <c r="D8711" s="196">
        <v>9.84</v>
      </c>
      <c r="E8711" s="195" t="s">
        <v>583</v>
      </c>
      <c r="F8711" s="195" t="s">
        <v>438</v>
      </c>
    </row>
    <row r="8712" spans="1:6" x14ac:dyDescent="0.25">
      <c r="A8712" s="189" t="str">
        <f t="shared" ref="A8712:A8775" si="136">B8712&amp;C8712&amp;D8712&amp;F8712</f>
        <v>SM-MD 405.58N</v>
      </c>
      <c r="B8712" s="195" t="s">
        <v>532</v>
      </c>
      <c r="C8712" s="196">
        <v>0</v>
      </c>
      <c r="D8712" s="196">
        <v>5.58</v>
      </c>
      <c r="E8712" s="195" t="s">
        <v>583</v>
      </c>
      <c r="F8712" s="195" t="s">
        <v>430</v>
      </c>
    </row>
    <row r="8713" spans="1:6" x14ac:dyDescent="0.25">
      <c r="A8713" s="189" t="str">
        <f t="shared" si="136"/>
        <v>SM-MD 405.58S</v>
      </c>
      <c r="B8713" s="195" t="s">
        <v>532</v>
      </c>
      <c r="C8713" s="196">
        <v>0</v>
      </c>
      <c r="D8713" s="196">
        <v>5.58</v>
      </c>
      <c r="E8713" s="195" t="s">
        <v>583</v>
      </c>
      <c r="F8713" s="195" t="s">
        <v>438</v>
      </c>
    </row>
    <row r="8714" spans="1:6" x14ac:dyDescent="0.25">
      <c r="A8714" s="189" t="str">
        <f t="shared" si="136"/>
        <v>SM-MD 45.586.1N</v>
      </c>
      <c r="B8714" s="195" t="s">
        <v>532</v>
      </c>
      <c r="C8714" s="196">
        <v>5.58</v>
      </c>
      <c r="D8714" s="196">
        <v>6.1</v>
      </c>
      <c r="E8714" s="195" t="s">
        <v>583</v>
      </c>
      <c r="F8714" s="195" t="s">
        <v>430</v>
      </c>
    </row>
    <row r="8715" spans="1:6" x14ac:dyDescent="0.25">
      <c r="A8715" s="189" t="str">
        <f t="shared" si="136"/>
        <v>SM-MD 45.586.1S</v>
      </c>
      <c r="B8715" s="195" t="s">
        <v>532</v>
      </c>
      <c r="C8715" s="196">
        <v>5.58</v>
      </c>
      <c r="D8715" s="196">
        <v>6.1</v>
      </c>
      <c r="E8715" s="195" t="s">
        <v>583</v>
      </c>
      <c r="F8715" s="195" t="s">
        <v>438</v>
      </c>
    </row>
    <row r="8716" spans="1:6" x14ac:dyDescent="0.25">
      <c r="A8716" s="189" t="str">
        <f t="shared" si="136"/>
        <v>SM-MD 46.16.65N</v>
      </c>
      <c r="B8716" s="195" t="s">
        <v>532</v>
      </c>
      <c r="C8716" s="196">
        <v>6.1</v>
      </c>
      <c r="D8716" s="196">
        <v>6.65</v>
      </c>
      <c r="E8716" s="195" t="s">
        <v>583</v>
      </c>
      <c r="F8716" s="195" t="s">
        <v>430</v>
      </c>
    </row>
    <row r="8717" spans="1:6" x14ac:dyDescent="0.25">
      <c r="A8717" s="189" t="str">
        <f t="shared" si="136"/>
        <v>SM-MD 46.16.65S</v>
      </c>
      <c r="B8717" s="195" t="s">
        <v>532</v>
      </c>
      <c r="C8717" s="196">
        <v>6.1</v>
      </c>
      <c r="D8717" s="196">
        <v>6.65</v>
      </c>
      <c r="E8717" s="195" t="s">
        <v>583</v>
      </c>
      <c r="F8717" s="195" t="s">
        <v>438</v>
      </c>
    </row>
    <row r="8718" spans="1:6" x14ac:dyDescent="0.25">
      <c r="A8718" s="189" t="str">
        <f t="shared" si="136"/>
        <v>SM-MD 46.658.11N</v>
      </c>
      <c r="B8718" s="195" t="s">
        <v>532</v>
      </c>
      <c r="C8718" s="196">
        <v>6.65</v>
      </c>
      <c r="D8718" s="196">
        <v>8.11</v>
      </c>
      <c r="E8718" s="195" t="s">
        <v>583</v>
      </c>
      <c r="F8718" s="195" t="s">
        <v>430</v>
      </c>
    </row>
    <row r="8719" spans="1:6" x14ac:dyDescent="0.25">
      <c r="A8719" s="189" t="str">
        <f t="shared" si="136"/>
        <v>SM-MD 46.658.11S</v>
      </c>
      <c r="B8719" s="195" t="s">
        <v>532</v>
      </c>
      <c r="C8719" s="196">
        <v>6.65</v>
      </c>
      <c r="D8719" s="196">
        <v>8.11</v>
      </c>
      <c r="E8719" s="195" t="s">
        <v>583</v>
      </c>
      <c r="F8719" s="195" t="s">
        <v>438</v>
      </c>
    </row>
    <row r="8720" spans="1:6" x14ac:dyDescent="0.25">
      <c r="A8720" s="189" t="str">
        <f t="shared" si="136"/>
        <v>SM-MD 48.118.53N</v>
      </c>
      <c r="B8720" s="195" t="s">
        <v>532</v>
      </c>
      <c r="C8720" s="196">
        <v>8.11</v>
      </c>
      <c r="D8720" s="196">
        <v>8.5299999999999994</v>
      </c>
      <c r="E8720" s="195" t="s">
        <v>583</v>
      </c>
      <c r="F8720" s="195" t="s">
        <v>430</v>
      </c>
    </row>
    <row r="8721" spans="1:6" x14ac:dyDescent="0.25">
      <c r="A8721" s="189" t="str">
        <f t="shared" si="136"/>
        <v>SM-MD 48.118.53S</v>
      </c>
      <c r="B8721" s="195" t="s">
        <v>532</v>
      </c>
      <c r="C8721" s="196">
        <v>8.11</v>
      </c>
      <c r="D8721" s="196">
        <v>8.5299999999999994</v>
      </c>
      <c r="E8721" s="195" t="s">
        <v>583</v>
      </c>
      <c r="F8721" s="195" t="s">
        <v>438</v>
      </c>
    </row>
    <row r="8722" spans="1:6" x14ac:dyDescent="0.25">
      <c r="A8722" s="189" t="str">
        <f t="shared" si="136"/>
        <v>SM-MD 48.538.58S</v>
      </c>
      <c r="B8722" s="195" t="s">
        <v>532</v>
      </c>
      <c r="C8722" s="196">
        <v>8.5299999999999994</v>
      </c>
      <c r="D8722" s="196">
        <v>8.58</v>
      </c>
      <c r="E8722" s="195" t="s">
        <v>595</v>
      </c>
      <c r="F8722" s="195" t="s">
        <v>438</v>
      </c>
    </row>
    <row r="8723" spans="1:6" x14ac:dyDescent="0.25">
      <c r="A8723" s="189" t="str">
        <f t="shared" si="136"/>
        <v>SM-MD 48.538.6N</v>
      </c>
      <c r="B8723" s="195" t="s">
        <v>532</v>
      </c>
      <c r="C8723" s="196">
        <v>8.5299999999999994</v>
      </c>
      <c r="D8723" s="196">
        <v>8.6</v>
      </c>
      <c r="E8723" s="195" t="s">
        <v>589</v>
      </c>
      <c r="F8723" s="195" t="s">
        <v>430</v>
      </c>
    </row>
    <row r="8724" spans="1:6" x14ac:dyDescent="0.25">
      <c r="A8724" s="189" t="str">
        <f t="shared" si="136"/>
        <v>SM-MD 48.589.36S</v>
      </c>
      <c r="B8724" s="195" t="s">
        <v>532</v>
      </c>
      <c r="C8724" s="196">
        <v>8.58</v>
      </c>
      <c r="D8724" s="196">
        <v>9.36</v>
      </c>
      <c r="E8724" s="195" t="s">
        <v>595</v>
      </c>
      <c r="F8724" s="195" t="s">
        <v>438</v>
      </c>
    </row>
    <row r="8725" spans="1:6" x14ac:dyDescent="0.25">
      <c r="A8725" s="189" t="str">
        <f t="shared" si="136"/>
        <v>SM-MD 48.69.36N</v>
      </c>
      <c r="B8725" s="195" t="s">
        <v>532</v>
      </c>
      <c r="C8725" s="196">
        <v>8.6</v>
      </c>
      <c r="D8725" s="196">
        <v>9.36</v>
      </c>
      <c r="E8725" s="195" t="s">
        <v>589</v>
      </c>
      <c r="F8725" s="195" t="s">
        <v>430</v>
      </c>
    </row>
    <row r="8726" spans="1:6" x14ac:dyDescent="0.25">
      <c r="A8726" s="189" t="str">
        <f t="shared" si="136"/>
        <v>SM-MD 47003.75N</v>
      </c>
      <c r="B8726" s="195" t="s">
        <v>4030</v>
      </c>
      <c r="C8726" s="196">
        <v>0</v>
      </c>
      <c r="D8726" s="196">
        <v>3.75</v>
      </c>
      <c r="E8726" s="195" t="s">
        <v>583</v>
      </c>
      <c r="F8726" s="195" t="s">
        <v>430</v>
      </c>
    </row>
    <row r="8727" spans="1:6" x14ac:dyDescent="0.25">
      <c r="A8727" s="189" t="str">
        <f t="shared" si="136"/>
        <v>SM-MD 47003.75S</v>
      </c>
      <c r="B8727" s="195" t="s">
        <v>4030</v>
      </c>
      <c r="C8727" s="196">
        <v>0</v>
      </c>
      <c r="D8727" s="196">
        <v>3.75</v>
      </c>
      <c r="E8727" s="195" t="s">
        <v>583</v>
      </c>
      <c r="F8727" s="195" t="s">
        <v>438</v>
      </c>
    </row>
    <row r="8728" spans="1:6" x14ac:dyDescent="0.25">
      <c r="A8728" s="189" t="str">
        <f t="shared" si="136"/>
        <v>SM-MD 47101.01N</v>
      </c>
      <c r="B8728" s="195" t="s">
        <v>4031</v>
      </c>
      <c r="C8728" s="196">
        <v>0</v>
      </c>
      <c r="D8728" s="196">
        <v>1.01</v>
      </c>
      <c r="E8728" s="195" t="s">
        <v>583</v>
      </c>
      <c r="F8728" s="195" t="s">
        <v>430</v>
      </c>
    </row>
    <row r="8729" spans="1:6" x14ac:dyDescent="0.25">
      <c r="A8729" s="189" t="str">
        <f t="shared" si="136"/>
        <v>SM-MD 47101.01S</v>
      </c>
      <c r="B8729" s="195" t="s">
        <v>4031</v>
      </c>
      <c r="C8729" s="196">
        <v>0</v>
      </c>
      <c r="D8729" s="196">
        <v>1.01</v>
      </c>
      <c r="E8729" s="195" t="s">
        <v>583</v>
      </c>
      <c r="F8729" s="195" t="s">
        <v>438</v>
      </c>
    </row>
    <row r="8730" spans="1:6" x14ac:dyDescent="0.25">
      <c r="A8730" s="189" t="str">
        <f t="shared" si="136"/>
        <v>SM-MD 47202.26N</v>
      </c>
      <c r="B8730" s="195" t="s">
        <v>4032</v>
      </c>
      <c r="C8730" s="196">
        <v>0</v>
      </c>
      <c r="D8730" s="196">
        <v>2.2599999999999998</v>
      </c>
      <c r="E8730" s="195" t="s">
        <v>583</v>
      </c>
      <c r="F8730" s="195" t="s">
        <v>430</v>
      </c>
    </row>
    <row r="8731" spans="1:6" x14ac:dyDescent="0.25">
      <c r="A8731" s="189" t="str">
        <f t="shared" si="136"/>
        <v>SM-MD 47202.26S</v>
      </c>
      <c r="B8731" s="195" t="s">
        <v>4032</v>
      </c>
      <c r="C8731" s="196">
        <v>0</v>
      </c>
      <c r="D8731" s="196">
        <v>2.2599999999999998</v>
      </c>
      <c r="E8731" s="195" t="s">
        <v>583</v>
      </c>
      <c r="F8731" s="195" t="s">
        <v>438</v>
      </c>
    </row>
    <row r="8732" spans="1:6" x14ac:dyDescent="0.25">
      <c r="A8732" s="189" t="str">
        <f t="shared" si="136"/>
        <v>SM-MD 4722.262.58N</v>
      </c>
      <c r="B8732" s="195" t="s">
        <v>4032</v>
      </c>
      <c r="C8732" s="196">
        <v>2.2599999999999998</v>
      </c>
      <c r="D8732" s="196">
        <v>2.58</v>
      </c>
      <c r="E8732" s="195" t="s">
        <v>583</v>
      </c>
      <c r="F8732" s="195" t="s">
        <v>430</v>
      </c>
    </row>
    <row r="8733" spans="1:6" x14ac:dyDescent="0.25">
      <c r="A8733" s="189" t="str">
        <f t="shared" si="136"/>
        <v>SM-MD 4722.262.58S</v>
      </c>
      <c r="B8733" s="195" t="s">
        <v>4032</v>
      </c>
      <c r="C8733" s="196">
        <v>2.2599999999999998</v>
      </c>
      <c r="D8733" s="196">
        <v>2.58</v>
      </c>
      <c r="E8733" s="195" t="s">
        <v>583</v>
      </c>
      <c r="F8733" s="195" t="s">
        <v>438</v>
      </c>
    </row>
    <row r="8734" spans="1:6" x14ac:dyDescent="0.25">
      <c r="A8734" s="189" t="str">
        <f t="shared" si="136"/>
        <v>SM-MD 48901.27E</v>
      </c>
      <c r="B8734" s="195" t="s">
        <v>4033</v>
      </c>
      <c r="C8734" s="196">
        <v>0</v>
      </c>
      <c r="D8734" s="196">
        <v>1.27</v>
      </c>
      <c r="E8734" s="195" t="s">
        <v>583</v>
      </c>
      <c r="F8734" s="195" t="s">
        <v>19</v>
      </c>
    </row>
    <row r="8735" spans="1:6" x14ac:dyDescent="0.25">
      <c r="A8735" s="189" t="str">
        <f t="shared" si="136"/>
        <v>SM-MD 48901.27W</v>
      </c>
      <c r="B8735" s="195" t="s">
        <v>4033</v>
      </c>
      <c r="C8735" s="196">
        <v>0</v>
      </c>
      <c r="D8735" s="196">
        <v>1.27</v>
      </c>
      <c r="E8735" s="195" t="s">
        <v>583</v>
      </c>
      <c r="F8735" s="195" t="s">
        <v>432</v>
      </c>
    </row>
    <row r="8736" spans="1:6" x14ac:dyDescent="0.25">
      <c r="A8736" s="189" t="str">
        <f t="shared" si="136"/>
        <v>SM-MD 4A00.15E</v>
      </c>
      <c r="B8736" s="195" t="s">
        <v>4034</v>
      </c>
      <c r="C8736" s="196">
        <v>0</v>
      </c>
      <c r="D8736" s="196">
        <v>0.15</v>
      </c>
      <c r="E8736" s="195" t="s">
        <v>583</v>
      </c>
      <c r="F8736" s="195" t="s">
        <v>19</v>
      </c>
    </row>
    <row r="8737" spans="1:6" x14ac:dyDescent="0.25">
      <c r="A8737" s="189" t="str">
        <f t="shared" si="136"/>
        <v>SM-MD 4A00.15W</v>
      </c>
      <c r="B8737" s="195" t="s">
        <v>4034</v>
      </c>
      <c r="C8737" s="196">
        <v>0</v>
      </c>
      <c r="D8737" s="196">
        <v>0.15</v>
      </c>
      <c r="E8737" s="195" t="s">
        <v>583</v>
      </c>
      <c r="F8737" s="195" t="s">
        <v>432</v>
      </c>
    </row>
    <row r="8738" spans="1:6" x14ac:dyDescent="0.25">
      <c r="A8738" s="189" t="str">
        <f t="shared" si="136"/>
        <v>SM-MD 4B00.11E</v>
      </c>
      <c r="B8738" s="195" t="s">
        <v>4035</v>
      </c>
      <c r="C8738" s="196">
        <v>0</v>
      </c>
      <c r="D8738" s="196">
        <v>0.11</v>
      </c>
      <c r="E8738" s="195" t="s">
        <v>583</v>
      </c>
      <c r="F8738" s="195" t="s">
        <v>19</v>
      </c>
    </row>
    <row r="8739" spans="1:6" x14ac:dyDescent="0.25">
      <c r="A8739" s="189" t="str">
        <f t="shared" si="136"/>
        <v>SM-MD 4B00.11W</v>
      </c>
      <c r="B8739" s="195" t="s">
        <v>4035</v>
      </c>
      <c r="C8739" s="196">
        <v>0</v>
      </c>
      <c r="D8739" s="196">
        <v>0.11</v>
      </c>
      <c r="E8739" s="195" t="s">
        <v>583</v>
      </c>
      <c r="F8739" s="195" t="s">
        <v>432</v>
      </c>
    </row>
    <row r="8740" spans="1:6" x14ac:dyDescent="0.25">
      <c r="A8740" s="189" t="str">
        <f t="shared" si="136"/>
        <v>SM-MD 500.41S</v>
      </c>
      <c r="B8740" s="195" t="s">
        <v>533</v>
      </c>
      <c r="C8740" s="196">
        <v>0</v>
      </c>
      <c r="D8740" s="196">
        <v>0.41</v>
      </c>
      <c r="E8740" s="195" t="s">
        <v>595</v>
      </c>
      <c r="F8740" s="195" t="s">
        <v>438</v>
      </c>
    </row>
    <row r="8741" spans="1:6" x14ac:dyDescent="0.25">
      <c r="A8741" s="189" t="str">
        <f t="shared" si="136"/>
        <v>SM-MD 500.47N</v>
      </c>
      <c r="B8741" s="195" t="s">
        <v>533</v>
      </c>
      <c r="C8741" s="196">
        <v>0</v>
      </c>
      <c r="D8741" s="196">
        <v>0.47</v>
      </c>
      <c r="E8741" s="195" t="s">
        <v>589</v>
      </c>
      <c r="F8741" s="195" t="s">
        <v>430</v>
      </c>
    </row>
    <row r="8742" spans="1:6" x14ac:dyDescent="0.25">
      <c r="A8742" s="189" t="str">
        <f t="shared" si="136"/>
        <v>SM-MD 50.410.47S</v>
      </c>
      <c r="B8742" s="195" t="s">
        <v>533</v>
      </c>
      <c r="C8742" s="196">
        <v>0.41</v>
      </c>
      <c r="D8742" s="196">
        <v>0.47</v>
      </c>
      <c r="E8742" s="195" t="s">
        <v>595</v>
      </c>
      <c r="F8742" s="195" t="s">
        <v>438</v>
      </c>
    </row>
    <row r="8743" spans="1:6" x14ac:dyDescent="0.25">
      <c r="A8743" s="189" t="str">
        <f t="shared" si="136"/>
        <v>SM-MD 50.471.15N</v>
      </c>
      <c r="B8743" s="195" t="s">
        <v>533</v>
      </c>
      <c r="C8743" s="196">
        <v>0.47</v>
      </c>
      <c r="D8743" s="196">
        <v>1.1499999999999999</v>
      </c>
      <c r="E8743" s="195" t="s">
        <v>583</v>
      </c>
      <c r="F8743" s="195" t="s">
        <v>430</v>
      </c>
    </row>
    <row r="8744" spans="1:6" x14ac:dyDescent="0.25">
      <c r="A8744" s="189" t="str">
        <f t="shared" si="136"/>
        <v>SM-MD 50.471.15S</v>
      </c>
      <c r="B8744" s="195" t="s">
        <v>533</v>
      </c>
      <c r="C8744" s="196">
        <v>0.47</v>
      </c>
      <c r="D8744" s="196">
        <v>1.1499999999999999</v>
      </c>
      <c r="E8744" s="195" t="s">
        <v>583</v>
      </c>
      <c r="F8744" s="195" t="s">
        <v>438</v>
      </c>
    </row>
    <row r="8745" spans="1:6" x14ac:dyDescent="0.25">
      <c r="A8745" s="189" t="str">
        <f t="shared" si="136"/>
        <v>SM-MD 51.152.1N</v>
      </c>
      <c r="B8745" s="195" t="s">
        <v>533</v>
      </c>
      <c r="C8745" s="196">
        <v>1.1499999999999999</v>
      </c>
      <c r="D8745" s="196">
        <v>2.1</v>
      </c>
      <c r="E8745" s="195" t="s">
        <v>583</v>
      </c>
      <c r="F8745" s="195" t="s">
        <v>430</v>
      </c>
    </row>
    <row r="8746" spans="1:6" x14ac:dyDescent="0.25">
      <c r="A8746" s="189" t="str">
        <f t="shared" si="136"/>
        <v>SM-MD 51.152.1S</v>
      </c>
      <c r="B8746" s="195" t="s">
        <v>533</v>
      </c>
      <c r="C8746" s="196">
        <v>1.1499999999999999</v>
      </c>
      <c r="D8746" s="196">
        <v>2.1</v>
      </c>
      <c r="E8746" s="195" t="s">
        <v>583</v>
      </c>
      <c r="F8746" s="195" t="s">
        <v>438</v>
      </c>
    </row>
    <row r="8747" spans="1:6" x14ac:dyDescent="0.25">
      <c r="A8747" s="189" t="str">
        <f t="shared" si="136"/>
        <v>SM-MD 52.15N</v>
      </c>
      <c r="B8747" s="195" t="s">
        <v>533</v>
      </c>
      <c r="C8747" s="196">
        <v>2.1</v>
      </c>
      <c r="D8747" s="196">
        <v>5</v>
      </c>
      <c r="E8747" s="195" t="s">
        <v>583</v>
      </c>
      <c r="F8747" s="195" t="s">
        <v>430</v>
      </c>
    </row>
    <row r="8748" spans="1:6" x14ac:dyDescent="0.25">
      <c r="A8748" s="189" t="str">
        <f t="shared" si="136"/>
        <v>SM-MD 52.15S</v>
      </c>
      <c r="B8748" s="195" t="s">
        <v>533</v>
      </c>
      <c r="C8748" s="196">
        <v>2.1</v>
      </c>
      <c r="D8748" s="196">
        <v>5</v>
      </c>
      <c r="E8748" s="195" t="s">
        <v>583</v>
      </c>
      <c r="F8748" s="195" t="s">
        <v>438</v>
      </c>
    </row>
    <row r="8749" spans="1:6" x14ac:dyDescent="0.25">
      <c r="A8749" s="189" t="str">
        <f t="shared" si="136"/>
        <v>SM-MD 5510.57N</v>
      </c>
      <c r="B8749" s="195" t="s">
        <v>533</v>
      </c>
      <c r="C8749" s="196">
        <v>5</v>
      </c>
      <c r="D8749" s="196">
        <v>10.57</v>
      </c>
      <c r="E8749" s="195" t="s">
        <v>583</v>
      </c>
      <c r="F8749" s="195" t="s">
        <v>430</v>
      </c>
    </row>
    <row r="8750" spans="1:6" x14ac:dyDescent="0.25">
      <c r="A8750" s="189" t="str">
        <f t="shared" si="136"/>
        <v>SM-MD 5510.57S</v>
      </c>
      <c r="B8750" s="195" t="s">
        <v>533</v>
      </c>
      <c r="C8750" s="196">
        <v>5</v>
      </c>
      <c r="D8750" s="196">
        <v>10.57</v>
      </c>
      <c r="E8750" s="195" t="s">
        <v>583</v>
      </c>
      <c r="F8750" s="195" t="s">
        <v>438</v>
      </c>
    </row>
    <row r="8751" spans="1:6" x14ac:dyDescent="0.25">
      <c r="A8751" s="189" t="str">
        <f t="shared" si="136"/>
        <v>SM-MD 510.5711.4N</v>
      </c>
      <c r="B8751" s="195" t="s">
        <v>533</v>
      </c>
      <c r="C8751" s="196">
        <v>10.57</v>
      </c>
      <c r="D8751" s="196">
        <v>11.4</v>
      </c>
      <c r="E8751" s="195" t="s">
        <v>583</v>
      </c>
      <c r="F8751" s="195" t="s">
        <v>430</v>
      </c>
    </row>
    <row r="8752" spans="1:6" x14ac:dyDescent="0.25">
      <c r="A8752" s="189" t="str">
        <f t="shared" si="136"/>
        <v>SM-MD 510.5711.4S</v>
      </c>
      <c r="B8752" s="195" t="s">
        <v>533</v>
      </c>
      <c r="C8752" s="196">
        <v>10.57</v>
      </c>
      <c r="D8752" s="196">
        <v>11.4</v>
      </c>
      <c r="E8752" s="195" t="s">
        <v>583</v>
      </c>
      <c r="F8752" s="195" t="s">
        <v>438</v>
      </c>
    </row>
    <row r="8753" spans="1:6" x14ac:dyDescent="0.25">
      <c r="A8753" s="189" t="str">
        <f t="shared" si="136"/>
        <v>SM-MD 511.414.61N</v>
      </c>
      <c r="B8753" s="195" t="s">
        <v>533</v>
      </c>
      <c r="C8753" s="196">
        <v>11.4</v>
      </c>
      <c r="D8753" s="196">
        <v>14.61</v>
      </c>
      <c r="E8753" s="195" t="s">
        <v>583</v>
      </c>
      <c r="F8753" s="195" t="s">
        <v>430</v>
      </c>
    </row>
    <row r="8754" spans="1:6" x14ac:dyDescent="0.25">
      <c r="A8754" s="189" t="str">
        <f t="shared" si="136"/>
        <v>SM-MD 511.414.61S</v>
      </c>
      <c r="B8754" s="195" t="s">
        <v>533</v>
      </c>
      <c r="C8754" s="196">
        <v>11.4</v>
      </c>
      <c r="D8754" s="196">
        <v>14.61</v>
      </c>
      <c r="E8754" s="195" t="s">
        <v>583</v>
      </c>
      <c r="F8754" s="195" t="s">
        <v>438</v>
      </c>
    </row>
    <row r="8755" spans="1:6" x14ac:dyDescent="0.25">
      <c r="A8755" s="189" t="str">
        <f t="shared" si="136"/>
        <v>SM-MD 514.6115.03N</v>
      </c>
      <c r="B8755" s="195" t="s">
        <v>533</v>
      </c>
      <c r="C8755" s="196">
        <v>14.61</v>
      </c>
      <c r="D8755" s="196">
        <v>15.03</v>
      </c>
      <c r="E8755" s="195" t="s">
        <v>583</v>
      </c>
      <c r="F8755" s="195" t="s">
        <v>430</v>
      </c>
    </row>
    <row r="8756" spans="1:6" x14ac:dyDescent="0.25">
      <c r="A8756" s="189" t="str">
        <f t="shared" si="136"/>
        <v>SM-MD 514.6115.03S</v>
      </c>
      <c r="B8756" s="195" t="s">
        <v>533</v>
      </c>
      <c r="C8756" s="196">
        <v>14.61</v>
      </c>
      <c r="D8756" s="196">
        <v>15.03</v>
      </c>
      <c r="E8756" s="195" t="s">
        <v>583</v>
      </c>
      <c r="F8756" s="195" t="s">
        <v>438</v>
      </c>
    </row>
    <row r="8757" spans="1:6" x14ac:dyDescent="0.25">
      <c r="A8757" s="189" t="str">
        <f t="shared" si="136"/>
        <v>SM-MD 515.0317.13N</v>
      </c>
      <c r="B8757" s="195" t="s">
        <v>533</v>
      </c>
      <c r="C8757" s="196">
        <v>15.03</v>
      </c>
      <c r="D8757" s="196">
        <v>17.13</v>
      </c>
      <c r="E8757" s="195" t="s">
        <v>583</v>
      </c>
      <c r="F8757" s="195" t="s">
        <v>430</v>
      </c>
    </row>
    <row r="8758" spans="1:6" x14ac:dyDescent="0.25">
      <c r="A8758" s="189" t="str">
        <f t="shared" si="136"/>
        <v>SM-MD 515.0317.13S</v>
      </c>
      <c r="B8758" s="195" t="s">
        <v>533</v>
      </c>
      <c r="C8758" s="196">
        <v>15.03</v>
      </c>
      <c r="D8758" s="196">
        <v>17.13</v>
      </c>
      <c r="E8758" s="195" t="s">
        <v>583</v>
      </c>
      <c r="F8758" s="195" t="s">
        <v>438</v>
      </c>
    </row>
    <row r="8759" spans="1:6" x14ac:dyDescent="0.25">
      <c r="A8759" s="189" t="str">
        <f t="shared" si="136"/>
        <v>SM-MD 517.1317.2N</v>
      </c>
      <c r="B8759" s="195" t="s">
        <v>533</v>
      </c>
      <c r="C8759" s="196">
        <v>17.13</v>
      </c>
      <c r="D8759" s="196">
        <v>17.2</v>
      </c>
      <c r="E8759" s="195" t="s">
        <v>583</v>
      </c>
      <c r="F8759" s="195" t="s">
        <v>430</v>
      </c>
    </row>
    <row r="8760" spans="1:6" x14ac:dyDescent="0.25">
      <c r="A8760" s="189" t="str">
        <f t="shared" si="136"/>
        <v>SM-MD 517.1317.2S</v>
      </c>
      <c r="B8760" s="195" t="s">
        <v>533</v>
      </c>
      <c r="C8760" s="196">
        <v>17.13</v>
      </c>
      <c r="D8760" s="196">
        <v>17.2</v>
      </c>
      <c r="E8760" s="195" t="s">
        <v>583</v>
      </c>
      <c r="F8760" s="195" t="s">
        <v>438</v>
      </c>
    </row>
    <row r="8761" spans="1:6" x14ac:dyDescent="0.25">
      <c r="A8761" s="189" t="str">
        <f t="shared" si="136"/>
        <v>SM-MD 517.3217.46N</v>
      </c>
      <c r="B8761" s="195" t="s">
        <v>533</v>
      </c>
      <c r="C8761" s="196">
        <v>17.32</v>
      </c>
      <c r="D8761" s="196">
        <v>17.46</v>
      </c>
      <c r="E8761" s="195" t="s">
        <v>583</v>
      </c>
      <c r="F8761" s="195" t="s">
        <v>430</v>
      </c>
    </row>
    <row r="8762" spans="1:6" x14ac:dyDescent="0.25">
      <c r="A8762" s="189" t="str">
        <f t="shared" si="136"/>
        <v>SM-MD 517.3217.46S</v>
      </c>
      <c r="B8762" s="195" t="s">
        <v>533</v>
      </c>
      <c r="C8762" s="196">
        <v>17.32</v>
      </c>
      <c r="D8762" s="196">
        <v>17.46</v>
      </c>
      <c r="E8762" s="195" t="s">
        <v>583</v>
      </c>
      <c r="F8762" s="195" t="s">
        <v>438</v>
      </c>
    </row>
    <row r="8763" spans="1:6" x14ac:dyDescent="0.25">
      <c r="A8763" s="189" t="str">
        <f t="shared" si="136"/>
        <v>SM-MD 517.4619.45N</v>
      </c>
      <c r="B8763" s="195" t="s">
        <v>533</v>
      </c>
      <c r="C8763" s="196">
        <v>17.46</v>
      </c>
      <c r="D8763" s="196">
        <v>19.45</v>
      </c>
      <c r="E8763" s="195" t="s">
        <v>583</v>
      </c>
      <c r="F8763" s="195" t="s">
        <v>430</v>
      </c>
    </row>
    <row r="8764" spans="1:6" x14ac:dyDescent="0.25">
      <c r="A8764" s="189" t="str">
        <f t="shared" si="136"/>
        <v>SM-MD 517.4619.45S</v>
      </c>
      <c r="B8764" s="195" t="s">
        <v>533</v>
      </c>
      <c r="C8764" s="196">
        <v>17.46</v>
      </c>
      <c r="D8764" s="196">
        <v>19.45</v>
      </c>
      <c r="E8764" s="195" t="s">
        <v>583</v>
      </c>
      <c r="F8764" s="195" t="s">
        <v>438</v>
      </c>
    </row>
    <row r="8765" spans="1:6" x14ac:dyDescent="0.25">
      <c r="A8765" s="189" t="str">
        <f t="shared" si="136"/>
        <v>SM-MD 519.4525.3N</v>
      </c>
      <c r="B8765" s="195" t="s">
        <v>533</v>
      </c>
      <c r="C8765" s="196">
        <v>19.45</v>
      </c>
      <c r="D8765" s="196">
        <v>25.3</v>
      </c>
      <c r="E8765" s="195" t="s">
        <v>583</v>
      </c>
      <c r="F8765" s="195" t="s">
        <v>430</v>
      </c>
    </row>
    <row r="8766" spans="1:6" x14ac:dyDescent="0.25">
      <c r="A8766" s="189" t="str">
        <f t="shared" si="136"/>
        <v>SM-MD 519.4525.3S</v>
      </c>
      <c r="B8766" s="195" t="s">
        <v>533</v>
      </c>
      <c r="C8766" s="196">
        <v>19.45</v>
      </c>
      <c r="D8766" s="196">
        <v>25.3</v>
      </c>
      <c r="E8766" s="195" t="s">
        <v>583</v>
      </c>
      <c r="F8766" s="195" t="s">
        <v>438</v>
      </c>
    </row>
    <row r="8767" spans="1:6" x14ac:dyDescent="0.25">
      <c r="A8767" s="189" t="str">
        <f t="shared" si="136"/>
        <v>SM-MD 529.329.55N</v>
      </c>
      <c r="B8767" s="195" t="s">
        <v>533</v>
      </c>
      <c r="C8767" s="196">
        <v>29.3</v>
      </c>
      <c r="D8767" s="196">
        <v>29.55</v>
      </c>
      <c r="E8767" s="195" t="s">
        <v>583</v>
      </c>
      <c r="F8767" s="195" t="s">
        <v>430</v>
      </c>
    </row>
    <row r="8768" spans="1:6" x14ac:dyDescent="0.25">
      <c r="A8768" s="189" t="str">
        <f t="shared" si="136"/>
        <v>SM-MD 529.329.55S</v>
      </c>
      <c r="B8768" s="195" t="s">
        <v>533</v>
      </c>
      <c r="C8768" s="196">
        <v>29.3</v>
      </c>
      <c r="D8768" s="196">
        <v>29.55</v>
      </c>
      <c r="E8768" s="195" t="s">
        <v>583</v>
      </c>
      <c r="F8768" s="195" t="s">
        <v>438</v>
      </c>
    </row>
    <row r="8769" spans="1:6" x14ac:dyDescent="0.25">
      <c r="A8769" s="189" t="str">
        <f t="shared" si="136"/>
        <v>SM-MD 529.5531.6N</v>
      </c>
      <c r="B8769" s="195" t="s">
        <v>533</v>
      </c>
      <c r="C8769" s="196">
        <v>29.55</v>
      </c>
      <c r="D8769" s="196">
        <v>31.6</v>
      </c>
      <c r="E8769" s="195" t="s">
        <v>583</v>
      </c>
      <c r="F8769" s="195" t="s">
        <v>430</v>
      </c>
    </row>
    <row r="8770" spans="1:6" x14ac:dyDescent="0.25">
      <c r="A8770" s="189" t="str">
        <f t="shared" si="136"/>
        <v>SM-MD 529.5531.6S</v>
      </c>
      <c r="B8770" s="195" t="s">
        <v>533</v>
      </c>
      <c r="C8770" s="196">
        <v>29.55</v>
      </c>
      <c r="D8770" s="196">
        <v>31.6</v>
      </c>
      <c r="E8770" s="195" t="s">
        <v>583</v>
      </c>
      <c r="F8770" s="195" t="s">
        <v>438</v>
      </c>
    </row>
    <row r="8771" spans="1:6" x14ac:dyDescent="0.25">
      <c r="A8771" s="189" t="str">
        <f t="shared" si="136"/>
        <v>SM-MD 531.632.61N</v>
      </c>
      <c r="B8771" s="195" t="s">
        <v>533</v>
      </c>
      <c r="C8771" s="196">
        <v>31.6</v>
      </c>
      <c r="D8771" s="196">
        <v>32.61</v>
      </c>
      <c r="E8771" s="195" t="s">
        <v>583</v>
      </c>
      <c r="F8771" s="195" t="s">
        <v>430</v>
      </c>
    </row>
    <row r="8772" spans="1:6" x14ac:dyDescent="0.25">
      <c r="A8772" s="189" t="str">
        <f t="shared" si="136"/>
        <v>SM-MD 531.632.61S</v>
      </c>
      <c r="B8772" s="195" t="s">
        <v>533</v>
      </c>
      <c r="C8772" s="196">
        <v>31.6</v>
      </c>
      <c r="D8772" s="196">
        <v>32.61</v>
      </c>
      <c r="E8772" s="195" t="s">
        <v>583</v>
      </c>
      <c r="F8772" s="195" t="s">
        <v>438</v>
      </c>
    </row>
    <row r="8773" spans="1:6" x14ac:dyDescent="0.25">
      <c r="A8773" s="189" t="str">
        <f t="shared" si="136"/>
        <v>SM-MD 532.6138.32N</v>
      </c>
      <c r="B8773" s="195" t="s">
        <v>533</v>
      </c>
      <c r="C8773" s="196">
        <v>32.61</v>
      </c>
      <c r="D8773" s="196">
        <v>38.32</v>
      </c>
      <c r="E8773" s="195" t="s">
        <v>583</v>
      </c>
      <c r="F8773" s="195" t="s">
        <v>430</v>
      </c>
    </row>
    <row r="8774" spans="1:6" x14ac:dyDescent="0.25">
      <c r="A8774" s="189" t="str">
        <f t="shared" si="136"/>
        <v>SM-MD 532.6138.32S</v>
      </c>
      <c r="B8774" s="195" t="s">
        <v>533</v>
      </c>
      <c r="C8774" s="196">
        <v>32.61</v>
      </c>
      <c r="D8774" s="196">
        <v>38.32</v>
      </c>
      <c r="E8774" s="195" t="s">
        <v>583</v>
      </c>
      <c r="F8774" s="195" t="s">
        <v>438</v>
      </c>
    </row>
    <row r="8775" spans="1:6" x14ac:dyDescent="0.25">
      <c r="A8775" s="189" t="str">
        <f t="shared" si="136"/>
        <v>SM-MD 52000.66N</v>
      </c>
      <c r="B8775" s="195" t="s">
        <v>4036</v>
      </c>
      <c r="C8775" s="196">
        <v>0</v>
      </c>
      <c r="D8775" s="196">
        <v>0.66</v>
      </c>
      <c r="E8775" s="195" t="s">
        <v>583</v>
      </c>
      <c r="F8775" s="195" t="s">
        <v>430</v>
      </c>
    </row>
    <row r="8776" spans="1:6" x14ac:dyDescent="0.25">
      <c r="A8776" s="189" t="str">
        <f t="shared" ref="A8776:A8839" si="137">B8776&amp;C8776&amp;D8776&amp;F8776</f>
        <v>SM-MD 52000.66S</v>
      </c>
      <c r="B8776" s="195" t="s">
        <v>4036</v>
      </c>
      <c r="C8776" s="196">
        <v>0</v>
      </c>
      <c r="D8776" s="196">
        <v>0.66</v>
      </c>
      <c r="E8776" s="195" t="s">
        <v>583</v>
      </c>
      <c r="F8776" s="195" t="s">
        <v>438</v>
      </c>
    </row>
    <row r="8777" spans="1:6" x14ac:dyDescent="0.25">
      <c r="A8777" s="189" t="str">
        <f t="shared" si="137"/>
        <v>SM-MD 5200.662.61N</v>
      </c>
      <c r="B8777" s="195" t="s">
        <v>4036</v>
      </c>
      <c r="C8777" s="196">
        <v>0.66</v>
      </c>
      <c r="D8777" s="196">
        <v>2.61</v>
      </c>
      <c r="E8777" s="195" t="s">
        <v>583</v>
      </c>
      <c r="F8777" s="195" t="s">
        <v>430</v>
      </c>
    </row>
    <row r="8778" spans="1:6" x14ac:dyDescent="0.25">
      <c r="A8778" s="189" t="str">
        <f t="shared" si="137"/>
        <v>SM-MD 5200.662.61S</v>
      </c>
      <c r="B8778" s="195" t="s">
        <v>4036</v>
      </c>
      <c r="C8778" s="196">
        <v>0.66</v>
      </c>
      <c r="D8778" s="196">
        <v>2.61</v>
      </c>
      <c r="E8778" s="195" t="s">
        <v>583</v>
      </c>
      <c r="F8778" s="195" t="s">
        <v>438</v>
      </c>
    </row>
    <row r="8779" spans="1:6" x14ac:dyDescent="0.25">
      <c r="A8779" s="189" t="str">
        <f t="shared" si="137"/>
        <v>SM-MD 58400.38N</v>
      </c>
      <c r="B8779" s="195" t="s">
        <v>4037</v>
      </c>
      <c r="C8779" s="196">
        <v>0</v>
      </c>
      <c r="D8779" s="196">
        <v>0.38</v>
      </c>
      <c r="E8779" s="195" t="s">
        <v>583</v>
      </c>
      <c r="F8779" s="195" t="s">
        <v>430</v>
      </c>
    </row>
    <row r="8780" spans="1:6" x14ac:dyDescent="0.25">
      <c r="A8780" s="189" t="str">
        <f t="shared" si="137"/>
        <v>SM-MD 58400.38S</v>
      </c>
      <c r="B8780" s="195" t="s">
        <v>4037</v>
      </c>
      <c r="C8780" s="196">
        <v>0</v>
      </c>
      <c r="D8780" s="196">
        <v>0.38</v>
      </c>
      <c r="E8780" s="195" t="s">
        <v>583</v>
      </c>
      <c r="F8780" s="195" t="s">
        <v>438</v>
      </c>
    </row>
    <row r="8781" spans="1:6" x14ac:dyDescent="0.25">
      <c r="A8781" s="189" t="str">
        <f t="shared" si="137"/>
        <v>SM-MD 5A00.11N</v>
      </c>
      <c r="B8781" s="195" t="s">
        <v>4038</v>
      </c>
      <c r="C8781" s="196">
        <v>0</v>
      </c>
      <c r="D8781" s="196">
        <v>0.11</v>
      </c>
      <c r="E8781" s="195" t="s">
        <v>589</v>
      </c>
      <c r="F8781" s="195" t="s">
        <v>430</v>
      </c>
    </row>
    <row r="8782" spans="1:6" x14ac:dyDescent="0.25">
      <c r="A8782" s="189" t="str">
        <f t="shared" si="137"/>
        <v>SM-MD 5A00.11S</v>
      </c>
      <c r="B8782" s="195" t="s">
        <v>4038</v>
      </c>
      <c r="C8782" s="196">
        <v>0</v>
      </c>
      <c r="D8782" s="196">
        <v>0.11</v>
      </c>
      <c r="E8782" s="195" t="s">
        <v>595</v>
      </c>
      <c r="F8782" s="195" t="s">
        <v>438</v>
      </c>
    </row>
    <row r="8783" spans="1:6" x14ac:dyDescent="0.25">
      <c r="A8783" s="189" t="str">
        <f t="shared" si="137"/>
        <v>SM-MD 5B00.1E</v>
      </c>
      <c r="B8783" s="195" t="s">
        <v>4039</v>
      </c>
      <c r="C8783" s="196">
        <v>0</v>
      </c>
      <c r="D8783" s="196">
        <v>0.1</v>
      </c>
      <c r="E8783" s="195" t="s">
        <v>583</v>
      </c>
      <c r="F8783" s="195" t="s">
        <v>19</v>
      </c>
    </row>
    <row r="8784" spans="1:6" x14ac:dyDescent="0.25">
      <c r="A8784" s="189" t="str">
        <f t="shared" si="137"/>
        <v>SM-MD 5B00.1W</v>
      </c>
      <c r="B8784" s="195" t="s">
        <v>4039</v>
      </c>
      <c r="C8784" s="196">
        <v>0</v>
      </c>
      <c r="D8784" s="196">
        <v>0.1</v>
      </c>
      <c r="E8784" s="195" t="s">
        <v>583</v>
      </c>
      <c r="F8784" s="195" t="s">
        <v>432</v>
      </c>
    </row>
    <row r="8785" spans="1:6" x14ac:dyDescent="0.25">
      <c r="A8785" s="189" t="str">
        <f t="shared" si="137"/>
        <v>SM-MD 5C00.07E</v>
      </c>
      <c r="B8785" s="195" t="s">
        <v>4040</v>
      </c>
      <c r="C8785" s="196">
        <v>0</v>
      </c>
      <c r="D8785" s="196">
        <v>7.0000000000000007E-2</v>
      </c>
      <c r="E8785" s="195" t="s">
        <v>598</v>
      </c>
      <c r="F8785" s="195" t="s">
        <v>19</v>
      </c>
    </row>
    <row r="8786" spans="1:6" x14ac:dyDescent="0.25">
      <c r="A8786" s="189" t="str">
        <f t="shared" si="137"/>
        <v>SM-MD 5F00.19N</v>
      </c>
      <c r="B8786" s="195" t="s">
        <v>4041</v>
      </c>
      <c r="C8786" s="196">
        <v>0</v>
      </c>
      <c r="D8786" s="196">
        <v>0.19</v>
      </c>
      <c r="E8786" s="195" t="s">
        <v>583</v>
      </c>
      <c r="F8786" s="195" t="s">
        <v>430</v>
      </c>
    </row>
    <row r="8787" spans="1:6" x14ac:dyDescent="0.25">
      <c r="A8787" s="189" t="str">
        <f t="shared" si="137"/>
        <v>SM-MD 5F00.19S</v>
      </c>
      <c r="B8787" s="195" t="s">
        <v>4041</v>
      </c>
      <c r="C8787" s="196">
        <v>0</v>
      </c>
      <c r="D8787" s="196">
        <v>0.19</v>
      </c>
      <c r="E8787" s="195" t="s">
        <v>583</v>
      </c>
      <c r="F8787" s="195" t="s">
        <v>438</v>
      </c>
    </row>
    <row r="8788" spans="1:6" x14ac:dyDescent="0.25">
      <c r="A8788" s="189" t="str">
        <f t="shared" si="137"/>
        <v>SM-MD 5G0.340.45N</v>
      </c>
      <c r="B8788" s="195" t="s">
        <v>4042</v>
      </c>
      <c r="C8788" s="196">
        <v>0.34</v>
      </c>
      <c r="D8788" s="196">
        <v>0.45</v>
      </c>
      <c r="E8788" s="195" t="s">
        <v>583</v>
      </c>
      <c r="F8788" s="195" t="s">
        <v>430</v>
      </c>
    </row>
    <row r="8789" spans="1:6" x14ac:dyDescent="0.25">
      <c r="A8789" s="189" t="str">
        <f t="shared" si="137"/>
        <v>SM-MD 5G0.340.45S</v>
      </c>
      <c r="B8789" s="195" t="s">
        <v>4042</v>
      </c>
      <c r="C8789" s="196">
        <v>0.34</v>
      </c>
      <c r="D8789" s="196">
        <v>0.45</v>
      </c>
      <c r="E8789" s="195" t="s">
        <v>583</v>
      </c>
      <c r="F8789" s="195" t="s">
        <v>438</v>
      </c>
    </row>
    <row r="8790" spans="1:6" x14ac:dyDescent="0.25">
      <c r="A8790" s="189" t="str">
        <f t="shared" si="137"/>
        <v>SM-MD 5H00.11N</v>
      </c>
      <c r="B8790" s="195" t="s">
        <v>4043</v>
      </c>
      <c r="C8790" s="196">
        <v>0</v>
      </c>
      <c r="D8790" s="196">
        <v>0.11</v>
      </c>
      <c r="E8790" s="195" t="s">
        <v>583</v>
      </c>
      <c r="F8790" s="195" t="s">
        <v>430</v>
      </c>
    </row>
    <row r="8791" spans="1:6" x14ac:dyDescent="0.25">
      <c r="A8791" s="189" t="str">
        <f t="shared" si="137"/>
        <v>SM-MD 5H00.11S</v>
      </c>
      <c r="B8791" s="195" t="s">
        <v>4043</v>
      </c>
      <c r="C8791" s="196">
        <v>0</v>
      </c>
      <c r="D8791" s="196">
        <v>0.11</v>
      </c>
      <c r="E8791" s="195" t="s">
        <v>583</v>
      </c>
      <c r="F8791" s="195" t="s">
        <v>438</v>
      </c>
    </row>
    <row r="8792" spans="1:6" x14ac:dyDescent="0.25">
      <c r="A8792" s="189" t="str">
        <f t="shared" si="137"/>
        <v>SM-MD 5J00.1N</v>
      </c>
      <c r="B8792" s="195" t="s">
        <v>4044</v>
      </c>
      <c r="C8792" s="196">
        <v>0</v>
      </c>
      <c r="D8792" s="196">
        <v>0.1</v>
      </c>
      <c r="E8792" s="195" t="s">
        <v>589</v>
      </c>
      <c r="F8792" s="195" t="s">
        <v>430</v>
      </c>
    </row>
    <row r="8793" spans="1:6" x14ac:dyDescent="0.25">
      <c r="A8793" s="189" t="str">
        <f t="shared" si="137"/>
        <v>SM-MD 5J00.1S</v>
      </c>
      <c r="B8793" s="195" t="s">
        <v>4044</v>
      </c>
      <c r="C8793" s="196">
        <v>0</v>
      </c>
      <c r="D8793" s="196">
        <v>0.1</v>
      </c>
      <c r="E8793" s="195" t="s">
        <v>595</v>
      </c>
      <c r="F8793" s="195" t="s">
        <v>438</v>
      </c>
    </row>
    <row r="8794" spans="1:6" x14ac:dyDescent="0.25">
      <c r="A8794" s="189" t="str">
        <f t="shared" si="137"/>
        <v>SM-MD 601.18E</v>
      </c>
      <c r="B8794" s="195" t="s">
        <v>4045</v>
      </c>
      <c r="C8794" s="196">
        <v>0</v>
      </c>
      <c r="D8794" s="196">
        <v>1.18</v>
      </c>
      <c r="E8794" s="195" t="s">
        <v>583</v>
      </c>
      <c r="F8794" s="195" t="s">
        <v>19</v>
      </c>
    </row>
    <row r="8795" spans="1:6" x14ac:dyDescent="0.25">
      <c r="A8795" s="189" t="str">
        <f t="shared" si="137"/>
        <v>SM-MD 601.18W</v>
      </c>
      <c r="B8795" s="195" t="s">
        <v>4045</v>
      </c>
      <c r="C8795" s="196">
        <v>0</v>
      </c>
      <c r="D8795" s="196">
        <v>1.18</v>
      </c>
      <c r="E8795" s="195" t="s">
        <v>583</v>
      </c>
      <c r="F8795" s="195" t="s">
        <v>432</v>
      </c>
    </row>
    <row r="8796" spans="1:6" x14ac:dyDescent="0.25">
      <c r="A8796" s="189" t="str">
        <f t="shared" si="137"/>
        <v>SM-MD 61.181.23E</v>
      </c>
      <c r="B8796" s="195" t="s">
        <v>4045</v>
      </c>
      <c r="C8796" s="196">
        <v>1.18</v>
      </c>
      <c r="D8796" s="196">
        <v>1.23</v>
      </c>
      <c r="E8796" s="195" t="s">
        <v>583</v>
      </c>
      <c r="F8796" s="195" t="s">
        <v>19</v>
      </c>
    </row>
    <row r="8797" spans="1:6" x14ac:dyDescent="0.25">
      <c r="A8797" s="189" t="str">
        <f t="shared" si="137"/>
        <v>SM-MD 61.181.23W</v>
      </c>
      <c r="B8797" s="195" t="s">
        <v>4045</v>
      </c>
      <c r="C8797" s="196">
        <v>1.18</v>
      </c>
      <c r="D8797" s="196">
        <v>1.23</v>
      </c>
      <c r="E8797" s="195" t="s">
        <v>583</v>
      </c>
      <c r="F8797" s="195" t="s">
        <v>432</v>
      </c>
    </row>
    <row r="8798" spans="1:6" x14ac:dyDescent="0.25">
      <c r="A8798" s="189" t="str">
        <f t="shared" si="137"/>
        <v>SM-MD 61.231.74E</v>
      </c>
      <c r="B8798" s="195" t="s">
        <v>4045</v>
      </c>
      <c r="C8798" s="196">
        <v>1.23</v>
      </c>
      <c r="D8798" s="196">
        <v>1.74</v>
      </c>
      <c r="E8798" s="195" t="s">
        <v>583</v>
      </c>
      <c r="F8798" s="195" t="s">
        <v>19</v>
      </c>
    </row>
    <row r="8799" spans="1:6" x14ac:dyDescent="0.25">
      <c r="A8799" s="189" t="str">
        <f t="shared" si="137"/>
        <v>SM-MD 61.231.74W</v>
      </c>
      <c r="B8799" s="195" t="s">
        <v>4045</v>
      </c>
      <c r="C8799" s="196">
        <v>1.23</v>
      </c>
      <c r="D8799" s="196">
        <v>1.74</v>
      </c>
      <c r="E8799" s="195" t="s">
        <v>583</v>
      </c>
      <c r="F8799" s="195" t="s">
        <v>432</v>
      </c>
    </row>
    <row r="8800" spans="1:6" x14ac:dyDescent="0.25">
      <c r="A8800" s="189" t="str">
        <f t="shared" si="137"/>
        <v>SM-MD 61.749.55E</v>
      </c>
      <c r="B8800" s="195" t="s">
        <v>4045</v>
      </c>
      <c r="C8800" s="196">
        <v>1.74</v>
      </c>
      <c r="D8800" s="196">
        <v>9.5500000000000007</v>
      </c>
      <c r="E8800" s="195" t="s">
        <v>583</v>
      </c>
      <c r="F8800" s="195" t="s">
        <v>19</v>
      </c>
    </row>
    <row r="8801" spans="1:6" x14ac:dyDescent="0.25">
      <c r="A8801" s="189" t="str">
        <f t="shared" si="137"/>
        <v>SM-MD 61.749.55W</v>
      </c>
      <c r="B8801" s="195" t="s">
        <v>4045</v>
      </c>
      <c r="C8801" s="196">
        <v>1.74</v>
      </c>
      <c r="D8801" s="196">
        <v>9.5500000000000007</v>
      </c>
      <c r="E8801" s="195" t="s">
        <v>583</v>
      </c>
      <c r="F8801" s="195" t="s">
        <v>432</v>
      </c>
    </row>
    <row r="8802" spans="1:6" x14ac:dyDescent="0.25">
      <c r="A8802" s="189" t="str">
        <f t="shared" si="137"/>
        <v>SM-MD 71201.11N</v>
      </c>
      <c r="B8802" s="195" t="s">
        <v>4046</v>
      </c>
      <c r="C8802" s="196">
        <v>0</v>
      </c>
      <c r="D8802" s="196">
        <v>1.1100000000000001</v>
      </c>
      <c r="E8802" s="195" t="s">
        <v>583</v>
      </c>
      <c r="F8802" s="195" t="s">
        <v>430</v>
      </c>
    </row>
    <row r="8803" spans="1:6" x14ac:dyDescent="0.25">
      <c r="A8803" s="189" t="str">
        <f t="shared" si="137"/>
        <v>SM-MD 71201.11S</v>
      </c>
      <c r="B8803" s="195" t="s">
        <v>4046</v>
      </c>
      <c r="C8803" s="196">
        <v>0</v>
      </c>
      <c r="D8803" s="196">
        <v>1.1100000000000001</v>
      </c>
      <c r="E8803" s="195" t="s">
        <v>583</v>
      </c>
      <c r="F8803" s="195" t="s">
        <v>438</v>
      </c>
    </row>
    <row r="8804" spans="1:6" x14ac:dyDescent="0.25">
      <c r="A8804" s="189" t="str">
        <f t="shared" si="137"/>
        <v>SM-MD 863A00.2E</v>
      </c>
      <c r="B8804" s="195" t="s">
        <v>4047</v>
      </c>
      <c r="C8804" s="196">
        <v>0</v>
      </c>
      <c r="D8804" s="196">
        <v>0.2</v>
      </c>
      <c r="E8804" s="195" t="s">
        <v>583</v>
      </c>
      <c r="F8804" s="195" t="s">
        <v>19</v>
      </c>
    </row>
    <row r="8805" spans="1:6" x14ac:dyDescent="0.25">
      <c r="A8805" s="189" t="str">
        <f t="shared" si="137"/>
        <v>SM-MD 863A00.2W</v>
      </c>
      <c r="B8805" s="195" t="s">
        <v>4047</v>
      </c>
      <c r="C8805" s="196">
        <v>0</v>
      </c>
      <c r="D8805" s="196">
        <v>0.2</v>
      </c>
      <c r="E8805" s="195" t="s">
        <v>583</v>
      </c>
      <c r="F8805" s="195" t="s">
        <v>432</v>
      </c>
    </row>
    <row r="8806" spans="1:6" x14ac:dyDescent="0.25">
      <c r="A8806" s="189" t="str">
        <f t="shared" si="137"/>
        <v>SM-MD 868G00.07E</v>
      </c>
      <c r="B8806" s="195" t="s">
        <v>4048</v>
      </c>
      <c r="C8806" s="196">
        <v>0</v>
      </c>
      <c r="D8806" s="196">
        <v>7.0000000000000007E-2</v>
      </c>
      <c r="E8806" s="195" t="s">
        <v>598</v>
      </c>
      <c r="F8806" s="195" t="s">
        <v>19</v>
      </c>
    </row>
    <row r="8807" spans="1:6" x14ac:dyDescent="0.25">
      <c r="A8807" s="189" t="str">
        <f t="shared" si="137"/>
        <v>SM-MD 868G00.07W</v>
      </c>
      <c r="B8807" s="195" t="s">
        <v>4048</v>
      </c>
      <c r="C8807" s="196">
        <v>0</v>
      </c>
      <c r="D8807" s="196">
        <v>7.0000000000000007E-2</v>
      </c>
      <c r="E8807" s="195" t="s">
        <v>593</v>
      </c>
      <c r="F8807" s="195" t="s">
        <v>432</v>
      </c>
    </row>
    <row r="8808" spans="1:6" x14ac:dyDescent="0.25">
      <c r="A8808" s="189" t="str">
        <f t="shared" si="137"/>
        <v>SM-MD 94402.26N</v>
      </c>
      <c r="B8808" s="195" t="s">
        <v>4049</v>
      </c>
      <c r="C8808" s="196">
        <v>0</v>
      </c>
      <c r="D8808" s="196">
        <v>2.2599999999999998</v>
      </c>
      <c r="E8808" s="195" t="s">
        <v>583</v>
      </c>
      <c r="F8808" s="195" t="s">
        <v>430</v>
      </c>
    </row>
    <row r="8809" spans="1:6" x14ac:dyDescent="0.25">
      <c r="A8809" s="189" t="str">
        <f t="shared" si="137"/>
        <v>SM-MD 94402.26S</v>
      </c>
      <c r="B8809" s="195" t="s">
        <v>4049</v>
      </c>
      <c r="C8809" s="196">
        <v>0</v>
      </c>
      <c r="D8809" s="196">
        <v>2.2599999999999998</v>
      </c>
      <c r="E8809" s="195" t="s">
        <v>583</v>
      </c>
      <c r="F8809" s="195" t="s">
        <v>438</v>
      </c>
    </row>
    <row r="8810" spans="1:6" x14ac:dyDescent="0.25">
      <c r="A8810" s="189" t="str">
        <f t="shared" si="137"/>
        <v>SM-MD 944A00.18E</v>
      </c>
      <c r="B8810" s="195" t="s">
        <v>4050</v>
      </c>
      <c r="C8810" s="196">
        <v>0</v>
      </c>
      <c r="D8810" s="196">
        <v>0.18</v>
      </c>
      <c r="E8810" s="195" t="s">
        <v>583</v>
      </c>
      <c r="F8810" s="195" t="s">
        <v>19</v>
      </c>
    </row>
    <row r="8811" spans="1:6" x14ac:dyDescent="0.25">
      <c r="A8811" s="189" t="str">
        <f t="shared" si="137"/>
        <v>SM-MD 944A00.18W</v>
      </c>
      <c r="B8811" s="195" t="s">
        <v>4050</v>
      </c>
      <c r="C8811" s="196">
        <v>0</v>
      </c>
      <c r="D8811" s="196">
        <v>0.18</v>
      </c>
      <c r="E8811" s="195" t="s">
        <v>583</v>
      </c>
      <c r="F8811" s="195" t="s">
        <v>432</v>
      </c>
    </row>
    <row r="8812" spans="1:6" x14ac:dyDescent="0.25">
      <c r="A8812" s="189" t="str">
        <f t="shared" si="137"/>
        <v>SM-MD 944B1.061.08E</v>
      </c>
      <c r="B8812" s="195" t="s">
        <v>4051</v>
      </c>
      <c r="C8812" s="196">
        <v>1.06</v>
      </c>
      <c r="D8812" s="196">
        <v>1.08</v>
      </c>
      <c r="E8812" s="195" t="s">
        <v>598</v>
      </c>
      <c r="F8812" s="195" t="s">
        <v>19</v>
      </c>
    </row>
    <row r="8813" spans="1:6" x14ac:dyDescent="0.25">
      <c r="A8813" s="189" t="str">
        <f t="shared" si="137"/>
        <v>SM-MD 944B1.061.08W</v>
      </c>
      <c r="B8813" s="195" t="s">
        <v>4051</v>
      </c>
      <c r="C8813" s="196">
        <v>1.06</v>
      </c>
      <c r="D8813" s="196">
        <v>1.08</v>
      </c>
      <c r="E8813" s="195" t="s">
        <v>593</v>
      </c>
      <c r="F8813" s="195" t="s">
        <v>432</v>
      </c>
    </row>
    <row r="8814" spans="1:6" x14ac:dyDescent="0.25">
      <c r="A8814" s="189" t="str">
        <f t="shared" si="137"/>
        <v>SM-MD 944C00.04E</v>
      </c>
      <c r="B8814" s="195" t="s">
        <v>4052</v>
      </c>
      <c r="C8814" s="196">
        <v>0</v>
      </c>
      <c r="D8814" s="196">
        <v>0.04</v>
      </c>
      <c r="E8814" s="195" t="s">
        <v>598</v>
      </c>
      <c r="F8814" s="195" t="s">
        <v>19</v>
      </c>
    </row>
    <row r="8815" spans="1:6" x14ac:dyDescent="0.25">
      <c r="A8815" s="189" t="str">
        <f t="shared" si="137"/>
        <v>SM-MD 944C00.04W</v>
      </c>
      <c r="B8815" s="195" t="s">
        <v>4052</v>
      </c>
      <c r="C8815" s="196">
        <v>0</v>
      </c>
      <c r="D8815" s="196">
        <v>0.04</v>
      </c>
      <c r="E8815" s="195" t="s">
        <v>593</v>
      </c>
      <c r="F8815" s="195" t="s">
        <v>432</v>
      </c>
    </row>
    <row r="8816" spans="1:6" x14ac:dyDescent="0.25">
      <c r="A8816" s="189" t="str">
        <f t="shared" si="137"/>
        <v>SM-MD 944D00.06E</v>
      </c>
      <c r="B8816" s="195" t="s">
        <v>4053</v>
      </c>
      <c r="C8816" s="196">
        <v>0</v>
      </c>
      <c r="D8816" s="196">
        <v>0.06</v>
      </c>
      <c r="E8816" s="195" t="s">
        <v>598</v>
      </c>
      <c r="F8816" s="195" t="s">
        <v>19</v>
      </c>
    </row>
    <row r="8817" spans="1:6" x14ac:dyDescent="0.25">
      <c r="A8817" s="189" t="str">
        <f t="shared" si="137"/>
        <v>SM-MD 944D00.06W</v>
      </c>
      <c r="B8817" s="195" t="s">
        <v>4053</v>
      </c>
      <c r="C8817" s="196">
        <v>0</v>
      </c>
      <c r="D8817" s="196">
        <v>0.06</v>
      </c>
      <c r="E8817" s="195" t="s">
        <v>593</v>
      </c>
      <c r="F8817" s="195" t="s">
        <v>432</v>
      </c>
    </row>
    <row r="8818" spans="1:6" x14ac:dyDescent="0.25">
      <c r="A8818" s="189" t="str">
        <f t="shared" si="137"/>
        <v>SM-MD 944E00.02E</v>
      </c>
      <c r="B8818" s="195" t="s">
        <v>4054</v>
      </c>
      <c r="C8818" s="196">
        <v>0</v>
      </c>
      <c r="D8818" s="196">
        <v>0.02</v>
      </c>
      <c r="E8818" s="195" t="s">
        <v>598</v>
      </c>
      <c r="F8818" s="195" t="s">
        <v>19</v>
      </c>
    </row>
    <row r="8819" spans="1:6" x14ac:dyDescent="0.25">
      <c r="A8819" s="189" t="str">
        <f t="shared" si="137"/>
        <v>SM-MD 944E00.02W</v>
      </c>
      <c r="B8819" s="195" t="s">
        <v>4054</v>
      </c>
      <c r="C8819" s="196">
        <v>0</v>
      </c>
      <c r="D8819" s="196">
        <v>0.02</v>
      </c>
      <c r="E8819" s="195" t="s">
        <v>593</v>
      </c>
      <c r="F8819" s="195" t="s">
        <v>432</v>
      </c>
    </row>
    <row r="8820" spans="1:6" x14ac:dyDescent="0.25">
      <c r="A8820" s="189" t="str">
        <f t="shared" si="137"/>
        <v>SM-MD 94500.1N</v>
      </c>
      <c r="B8820" s="195" t="s">
        <v>4055</v>
      </c>
      <c r="C8820" s="196">
        <v>0</v>
      </c>
      <c r="D8820" s="196">
        <v>0.1</v>
      </c>
      <c r="E8820" s="195" t="s">
        <v>589</v>
      </c>
      <c r="F8820" s="195" t="s">
        <v>430</v>
      </c>
    </row>
    <row r="8821" spans="1:6" x14ac:dyDescent="0.25">
      <c r="A8821" s="189" t="str">
        <f t="shared" si="137"/>
        <v>SM-MD 94500.1S</v>
      </c>
      <c r="B8821" s="195" t="s">
        <v>4055</v>
      </c>
      <c r="C8821" s="196">
        <v>0</v>
      </c>
      <c r="D8821" s="196">
        <v>0.1</v>
      </c>
      <c r="E8821" s="195" t="s">
        <v>595</v>
      </c>
      <c r="F8821" s="195" t="s">
        <v>438</v>
      </c>
    </row>
    <row r="8822" spans="1:6" x14ac:dyDescent="0.25">
      <c r="A8822" s="189" t="str">
        <f t="shared" si="137"/>
        <v>SO-MD 3580.090.75N</v>
      </c>
      <c r="B8822" s="195" t="s">
        <v>4056</v>
      </c>
      <c r="C8822" s="196">
        <v>0.09</v>
      </c>
      <c r="D8822" s="196">
        <v>0.75</v>
      </c>
      <c r="E8822" s="195" t="s">
        <v>583</v>
      </c>
      <c r="F8822" s="195" t="s">
        <v>430</v>
      </c>
    </row>
    <row r="8823" spans="1:6" x14ac:dyDescent="0.25">
      <c r="A8823" s="189" t="str">
        <f t="shared" si="137"/>
        <v>SO-MD 3580.090.75S</v>
      </c>
      <c r="B8823" s="195" t="s">
        <v>4056</v>
      </c>
      <c r="C8823" s="196">
        <v>0.09</v>
      </c>
      <c r="D8823" s="196">
        <v>0.75</v>
      </c>
      <c r="E8823" s="195" t="s">
        <v>583</v>
      </c>
      <c r="F8823" s="195" t="s">
        <v>438</v>
      </c>
    </row>
    <row r="8824" spans="1:6" x14ac:dyDescent="0.25">
      <c r="A8824" s="189" t="str">
        <f t="shared" si="137"/>
        <v>SO-MD 3580.751.13N</v>
      </c>
      <c r="B8824" s="195" t="s">
        <v>4056</v>
      </c>
      <c r="C8824" s="196">
        <v>0.75</v>
      </c>
      <c r="D8824" s="196">
        <v>1.1299999999999999</v>
      </c>
      <c r="E8824" s="195" t="s">
        <v>583</v>
      </c>
      <c r="F8824" s="195" t="s">
        <v>430</v>
      </c>
    </row>
    <row r="8825" spans="1:6" x14ac:dyDescent="0.25">
      <c r="A8825" s="189" t="str">
        <f t="shared" si="137"/>
        <v>SO-MD 3580.751.13S</v>
      </c>
      <c r="B8825" s="195" t="s">
        <v>4056</v>
      </c>
      <c r="C8825" s="196">
        <v>0.75</v>
      </c>
      <c r="D8825" s="196">
        <v>1.1299999999999999</v>
      </c>
      <c r="E8825" s="195" t="s">
        <v>583</v>
      </c>
      <c r="F8825" s="195" t="s">
        <v>438</v>
      </c>
    </row>
    <row r="8826" spans="1:6" x14ac:dyDescent="0.25">
      <c r="A8826" s="189" t="str">
        <f t="shared" si="137"/>
        <v>SO-MD 358A00.07N</v>
      </c>
      <c r="B8826" s="195" t="s">
        <v>4057</v>
      </c>
      <c r="C8826" s="196">
        <v>0</v>
      </c>
      <c r="D8826" s="196">
        <v>7.0000000000000007E-2</v>
      </c>
      <c r="E8826" s="195" t="s">
        <v>589</v>
      </c>
      <c r="F8826" s="195" t="s">
        <v>430</v>
      </c>
    </row>
    <row r="8827" spans="1:6" x14ac:dyDescent="0.25">
      <c r="A8827" s="189" t="str">
        <f t="shared" si="137"/>
        <v>SO-MD 358A00.07S</v>
      </c>
      <c r="B8827" s="195" t="s">
        <v>4057</v>
      </c>
      <c r="C8827" s="196">
        <v>0</v>
      </c>
      <c r="D8827" s="196">
        <v>7.0000000000000007E-2</v>
      </c>
      <c r="E8827" s="195" t="s">
        <v>595</v>
      </c>
      <c r="F8827" s="195" t="s">
        <v>438</v>
      </c>
    </row>
    <row r="8828" spans="1:6" x14ac:dyDescent="0.25">
      <c r="A8828" s="189" t="str">
        <f t="shared" si="137"/>
        <v>SO-MD 36100.81E</v>
      </c>
      <c r="B8828" s="195" t="s">
        <v>4058</v>
      </c>
      <c r="C8828" s="196">
        <v>0</v>
      </c>
      <c r="D8828" s="196">
        <v>0.81</v>
      </c>
      <c r="E8828" s="195" t="s">
        <v>583</v>
      </c>
      <c r="F8828" s="195" t="s">
        <v>19</v>
      </c>
    </row>
    <row r="8829" spans="1:6" x14ac:dyDescent="0.25">
      <c r="A8829" s="189" t="str">
        <f t="shared" si="137"/>
        <v>SO-MD 36100.81W</v>
      </c>
      <c r="B8829" s="195" t="s">
        <v>4058</v>
      </c>
      <c r="C8829" s="196">
        <v>0</v>
      </c>
      <c r="D8829" s="196">
        <v>0.81</v>
      </c>
      <c r="E8829" s="195" t="s">
        <v>583</v>
      </c>
      <c r="F8829" s="195" t="s">
        <v>432</v>
      </c>
    </row>
    <row r="8830" spans="1:6" x14ac:dyDescent="0.25">
      <c r="A8830" s="189" t="str">
        <f t="shared" si="137"/>
        <v>SO-MD 3610.814.37E</v>
      </c>
      <c r="B8830" s="195" t="s">
        <v>4058</v>
      </c>
      <c r="C8830" s="196">
        <v>0.81</v>
      </c>
      <c r="D8830" s="196">
        <v>4.37</v>
      </c>
      <c r="E8830" s="195" t="s">
        <v>583</v>
      </c>
      <c r="F8830" s="195" t="s">
        <v>19</v>
      </c>
    </row>
    <row r="8831" spans="1:6" x14ac:dyDescent="0.25">
      <c r="A8831" s="189" t="str">
        <f t="shared" si="137"/>
        <v>SO-MD 3610.814.37W</v>
      </c>
      <c r="B8831" s="195" t="s">
        <v>4058</v>
      </c>
      <c r="C8831" s="196">
        <v>0.81</v>
      </c>
      <c r="D8831" s="196">
        <v>4.37</v>
      </c>
      <c r="E8831" s="195" t="s">
        <v>583</v>
      </c>
      <c r="F8831" s="195" t="s">
        <v>432</v>
      </c>
    </row>
    <row r="8832" spans="1:6" x14ac:dyDescent="0.25">
      <c r="A8832" s="189" t="str">
        <f t="shared" si="137"/>
        <v>SO-MD 3614.375.62E</v>
      </c>
      <c r="B8832" s="195" t="s">
        <v>4058</v>
      </c>
      <c r="C8832" s="196">
        <v>4.37</v>
      </c>
      <c r="D8832" s="196">
        <v>5.62</v>
      </c>
      <c r="E8832" s="195" t="s">
        <v>583</v>
      </c>
      <c r="F8832" s="195" t="s">
        <v>19</v>
      </c>
    </row>
    <row r="8833" spans="1:6" x14ac:dyDescent="0.25">
      <c r="A8833" s="189" t="str">
        <f t="shared" si="137"/>
        <v>SO-MD 3614.375.62W</v>
      </c>
      <c r="B8833" s="195" t="s">
        <v>4058</v>
      </c>
      <c r="C8833" s="196">
        <v>4.37</v>
      </c>
      <c r="D8833" s="196">
        <v>5.62</v>
      </c>
      <c r="E8833" s="195" t="s">
        <v>583</v>
      </c>
      <c r="F8833" s="195" t="s">
        <v>432</v>
      </c>
    </row>
    <row r="8834" spans="1:6" x14ac:dyDescent="0.25">
      <c r="A8834" s="189" t="str">
        <f t="shared" si="137"/>
        <v>SO-MD 36200.9E</v>
      </c>
      <c r="B8834" s="195" t="s">
        <v>4059</v>
      </c>
      <c r="C8834" s="196">
        <v>0</v>
      </c>
      <c r="D8834" s="196">
        <v>0.9</v>
      </c>
      <c r="E8834" s="195" t="s">
        <v>583</v>
      </c>
      <c r="F8834" s="195" t="s">
        <v>19</v>
      </c>
    </row>
    <row r="8835" spans="1:6" x14ac:dyDescent="0.25">
      <c r="A8835" s="189" t="str">
        <f t="shared" si="137"/>
        <v>SO-MD 36200.9W</v>
      </c>
      <c r="B8835" s="195" t="s">
        <v>4059</v>
      </c>
      <c r="C8835" s="196">
        <v>0</v>
      </c>
      <c r="D8835" s="196">
        <v>0.9</v>
      </c>
      <c r="E8835" s="195" t="s">
        <v>583</v>
      </c>
      <c r="F8835" s="195" t="s">
        <v>432</v>
      </c>
    </row>
    <row r="8836" spans="1:6" x14ac:dyDescent="0.25">
      <c r="A8836" s="189" t="str">
        <f t="shared" si="137"/>
        <v>SO-MD 3620.90.91E</v>
      </c>
      <c r="B8836" s="195" t="s">
        <v>4059</v>
      </c>
      <c r="C8836" s="196">
        <v>0.9</v>
      </c>
      <c r="D8836" s="196">
        <v>0.91</v>
      </c>
      <c r="E8836" s="195" t="s">
        <v>583</v>
      </c>
      <c r="F8836" s="195" t="s">
        <v>19</v>
      </c>
    </row>
    <row r="8837" spans="1:6" x14ac:dyDescent="0.25">
      <c r="A8837" s="189" t="str">
        <f t="shared" si="137"/>
        <v>SO-MD 3620.90.91W</v>
      </c>
      <c r="B8837" s="195" t="s">
        <v>4059</v>
      </c>
      <c r="C8837" s="196">
        <v>0.9</v>
      </c>
      <c r="D8837" s="196">
        <v>0.91</v>
      </c>
      <c r="E8837" s="195" t="s">
        <v>583</v>
      </c>
      <c r="F8837" s="195" t="s">
        <v>432</v>
      </c>
    </row>
    <row r="8838" spans="1:6" x14ac:dyDescent="0.25">
      <c r="A8838" s="189" t="str">
        <f t="shared" si="137"/>
        <v>SO-MD 3620.912.67E</v>
      </c>
      <c r="B8838" s="195" t="s">
        <v>4059</v>
      </c>
      <c r="C8838" s="196">
        <v>0.91</v>
      </c>
      <c r="D8838" s="196">
        <v>2.67</v>
      </c>
      <c r="E8838" s="195" t="s">
        <v>583</v>
      </c>
      <c r="F8838" s="195" t="s">
        <v>19</v>
      </c>
    </row>
    <row r="8839" spans="1:6" x14ac:dyDescent="0.25">
      <c r="A8839" s="189" t="str">
        <f t="shared" si="137"/>
        <v>SO-MD 3620.912.67W</v>
      </c>
      <c r="B8839" s="195" t="s">
        <v>4059</v>
      </c>
      <c r="C8839" s="196">
        <v>0.91</v>
      </c>
      <c r="D8839" s="196">
        <v>2.67</v>
      </c>
      <c r="E8839" s="195" t="s">
        <v>583</v>
      </c>
      <c r="F8839" s="195" t="s">
        <v>432</v>
      </c>
    </row>
    <row r="8840" spans="1:6" x14ac:dyDescent="0.25">
      <c r="A8840" s="189" t="str">
        <f t="shared" ref="A8840:A8903" si="138">B8840&amp;C8840&amp;D8840&amp;F8840</f>
        <v>SO-MD 3622.675.69E</v>
      </c>
      <c r="B8840" s="195" t="s">
        <v>4059</v>
      </c>
      <c r="C8840" s="196">
        <v>2.67</v>
      </c>
      <c r="D8840" s="196">
        <v>5.69</v>
      </c>
      <c r="E8840" s="195" t="s">
        <v>583</v>
      </c>
      <c r="F8840" s="195" t="s">
        <v>19</v>
      </c>
    </row>
    <row r="8841" spans="1:6" x14ac:dyDescent="0.25">
      <c r="A8841" s="189" t="str">
        <f t="shared" si="138"/>
        <v>SO-MD 3622.675.69W</v>
      </c>
      <c r="B8841" s="195" t="s">
        <v>4059</v>
      </c>
      <c r="C8841" s="196">
        <v>2.67</v>
      </c>
      <c r="D8841" s="196">
        <v>5.69</v>
      </c>
      <c r="E8841" s="195" t="s">
        <v>583</v>
      </c>
      <c r="F8841" s="195" t="s">
        <v>432</v>
      </c>
    </row>
    <row r="8842" spans="1:6" x14ac:dyDescent="0.25">
      <c r="A8842" s="189" t="str">
        <f t="shared" si="138"/>
        <v>SO-MD 3625.695.84E</v>
      </c>
      <c r="B8842" s="195" t="s">
        <v>4059</v>
      </c>
      <c r="C8842" s="196">
        <v>5.69</v>
      </c>
      <c r="D8842" s="196">
        <v>5.84</v>
      </c>
      <c r="E8842" s="195" t="s">
        <v>583</v>
      </c>
      <c r="F8842" s="195" t="s">
        <v>19</v>
      </c>
    </row>
    <row r="8843" spans="1:6" x14ac:dyDescent="0.25">
      <c r="A8843" s="189" t="str">
        <f t="shared" si="138"/>
        <v>SO-MD 3625.695.84W</v>
      </c>
      <c r="B8843" s="195" t="s">
        <v>4059</v>
      </c>
      <c r="C8843" s="196">
        <v>5.69</v>
      </c>
      <c r="D8843" s="196">
        <v>5.84</v>
      </c>
      <c r="E8843" s="195" t="s">
        <v>583</v>
      </c>
      <c r="F8843" s="195" t="s">
        <v>432</v>
      </c>
    </row>
    <row r="8844" spans="1:6" x14ac:dyDescent="0.25">
      <c r="A8844" s="189" t="str">
        <f t="shared" si="138"/>
        <v>SO-MD 3625.846.23E</v>
      </c>
      <c r="B8844" s="195" t="s">
        <v>4059</v>
      </c>
      <c r="C8844" s="196">
        <v>5.84</v>
      </c>
      <c r="D8844" s="196">
        <v>6.23</v>
      </c>
      <c r="E8844" s="195" t="s">
        <v>583</v>
      </c>
      <c r="F8844" s="195" t="s">
        <v>19</v>
      </c>
    </row>
    <row r="8845" spans="1:6" x14ac:dyDescent="0.25">
      <c r="A8845" s="189" t="str">
        <f t="shared" si="138"/>
        <v>SO-MD 3625.846.23W</v>
      </c>
      <c r="B8845" s="195" t="s">
        <v>4059</v>
      </c>
      <c r="C8845" s="196">
        <v>5.84</v>
      </c>
      <c r="D8845" s="196">
        <v>6.23</v>
      </c>
      <c r="E8845" s="195" t="s">
        <v>583</v>
      </c>
      <c r="F8845" s="195" t="s">
        <v>432</v>
      </c>
    </row>
    <row r="8846" spans="1:6" x14ac:dyDescent="0.25">
      <c r="A8846" s="189" t="str">
        <f t="shared" si="138"/>
        <v>SO-MD 36300.65E</v>
      </c>
      <c r="B8846" s="195" t="s">
        <v>4060</v>
      </c>
      <c r="C8846" s="196">
        <v>0</v>
      </c>
      <c r="D8846" s="196">
        <v>0.65</v>
      </c>
      <c r="E8846" s="195" t="s">
        <v>583</v>
      </c>
      <c r="F8846" s="195" t="s">
        <v>19</v>
      </c>
    </row>
    <row r="8847" spans="1:6" x14ac:dyDescent="0.25">
      <c r="A8847" s="189" t="str">
        <f t="shared" si="138"/>
        <v>SO-MD 36300.65W</v>
      </c>
      <c r="B8847" s="195" t="s">
        <v>4060</v>
      </c>
      <c r="C8847" s="196">
        <v>0</v>
      </c>
      <c r="D8847" s="196">
        <v>0.65</v>
      </c>
      <c r="E8847" s="195" t="s">
        <v>583</v>
      </c>
      <c r="F8847" s="195" t="s">
        <v>432</v>
      </c>
    </row>
    <row r="8848" spans="1:6" x14ac:dyDescent="0.25">
      <c r="A8848" s="189" t="str">
        <f t="shared" si="138"/>
        <v>SO-MD 3630.652.31E</v>
      </c>
      <c r="B8848" s="195" t="s">
        <v>4060</v>
      </c>
      <c r="C8848" s="196">
        <v>0.65</v>
      </c>
      <c r="D8848" s="196">
        <v>2.31</v>
      </c>
      <c r="E8848" s="195" t="s">
        <v>583</v>
      </c>
      <c r="F8848" s="195" t="s">
        <v>19</v>
      </c>
    </row>
    <row r="8849" spans="1:6" x14ac:dyDescent="0.25">
      <c r="A8849" s="189" t="str">
        <f t="shared" si="138"/>
        <v>SO-MD 3630.652.31W</v>
      </c>
      <c r="B8849" s="195" t="s">
        <v>4060</v>
      </c>
      <c r="C8849" s="196">
        <v>0.65</v>
      </c>
      <c r="D8849" s="196">
        <v>2.31</v>
      </c>
      <c r="E8849" s="195" t="s">
        <v>583</v>
      </c>
      <c r="F8849" s="195" t="s">
        <v>432</v>
      </c>
    </row>
    <row r="8850" spans="1:6" x14ac:dyDescent="0.25">
      <c r="A8850" s="189" t="str">
        <f t="shared" si="138"/>
        <v>SO-MD 3632.312.73E</v>
      </c>
      <c r="B8850" s="195" t="s">
        <v>4060</v>
      </c>
      <c r="C8850" s="196">
        <v>2.31</v>
      </c>
      <c r="D8850" s="196">
        <v>2.73</v>
      </c>
      <c r="E8850" s="195" t="s">
        <v>583</v>
      </c>
      <c r="F8850" s="195" t="s">
        <v>19</v>
      </c>
    </row>
    <row r="8851" spans="1:6" x14ac:dyDescent="0.25">
      <c r="A8851" s="189" t="str">
        <f t="shared" si="138"/>
        <v>SO-MD 3632.312.73W</v>
      </c>
      <c r="B8851" s="195" t="s">
        <v>4060</v>
      </c>
      <c r="C8851" s="196">
        <v>2.31</v>
      </c>
      <c r="D8851" s="196">
        <v>2.73</v>
      </c>
      <c r="E8851" s="195" t="s">
        <v>583</v>
      </c>
      <c r="F8851" s="195" t="s">
        <v>432</v>
      </c>
    </row>
    <row r="8852" spans="1:6" x14ac:dyDescent="0.25">
      <c r="A8852" s="189" t="str">
        <f t="shared" si="138"/>
        <v>SO-MD 3632.733.3E</v>
      </c>
      <c r="B8852" s="195" t="s">
        <v>4060</v>
      </c>
      <c r="C8852" s="196">
        <v>2.73</v>
      </c>
      <c r="D8852" s="196">
        <v>3.3</v>
      </c>
      <c r="E8852" s="195" t="s">
        <v>583</v>
      </c>
      <c r="F8852" s="195" t="s">
        <v>19</v>
      </c>
    </row>
    <row r="8853" spans="1:6" x14ac:dyDescent="0.25">
      <c r="A8853" s="189" t="str">
        <f t="shared" si="138"/>
        <v>SO-MD 3632.733.3W</v>
      </c>
      <c r="B8853" s="195" t="s">
        <v>4060</v>
      </c>
      <c r="C8853" s="196">
        <v>2.73</v>
      </c>
      <c r="D8853" s="196">
        <v>3.3</v>
      </c>
      <c r="E8853" s="195" t="s">
        <v>583</v>
      </c>
      <c r="F8853" s="195" t="s">
        <v>432</v>
      </c>
    </row>
    <row r="8854" spans="1:6" x14ac:dyDescent="0.25">
      <c r="A8854" s="189" t="str">
        <f t="shared" si="138"/>
        <v>SO-MD 3633.33.44E</v>
      </c>
      <c r="B8854" s="195" t="s">
        <v>4060</v>
      </c>
      <c r="C8854" s="196">
        <v>3.3</v>
      </c>
      <c r="D8854" s="196">
        <v>3.44</v>
      </c>
      <c r="E8854" s="195" t="s">
        <v>598</v>
      </c>
      <c r="F8854" s="195" t="s">
        <v>19</v>
      </c>
    </row>
    <row r="8855" spans="1:6" x14ac:dyDescent="0.25">
      <c r="A8855" s="189" t="str">
        <f t="shared" si="138"/>
        <v>SO-MD 3633.33.48W</v>
      </c>
      <c r="B8855" s="195" t="s">
        <v>4060</v>
      </c>
      <c r="C8855" s="196">
        <v>3.3</v>
      </c>
      <c r="D8855" s="196">
        <v>3.48</v>
      </c>
      <c r="E8855" s="195" t="s">
        <v>593</v>
      </c>
      <c r="F8855" s="195" t="s">
        <v>432</v>
      </c>
    </row>
    <row r="8856" spans="1:6" x14ac:dyDescent="0.25">
      <c r="A8856" s="189" t="str">
        <f t="shared" si="138"/>
        <v>SO-MD 3633.443.48E</v>
      </c>
      <c r="B8856" s="195" t="s">
        <v>4060</v>
      </c>
      <c r="C8856" s="196">
        <v>3.44</v>
      </c>
      <c r="D8856" s="196">
        <v>3.48</v>
      </c>
      <c r="E8856" s="195" t="s">
        <v>598</v>
      </c>
      <c r="F8856" s="195" t="s">
        <v>19</v>
      </c>
    </row>
    <row r="8857" spans="1:6" x14ac:dyDescent="0.25">
      <c r="A8857" s="189" t="str">
        <f t="shared" si="138"/>
        <v>SO-MD 3633.483.6W</v>
      </c>
      <c r="B8857" s="195" t="s">
        <v>4060</v>
      </c>
      <c r="C8857" s="196">
        <v>3.48</v>
      </c>
      <c r="D8857" s="196">
        <v>3.6</v>
      </c>
      <c r="E8857" s="195" t="s">
        <v>593</v>
      </c>
      <c r="F8857" s="195" t="s">
        <v>432</v>
      </c>
    </row>
    <row r="8858" spans="1:6" x14ac:dyDescent="0.25">
      <c r="A8858" s="189" t="str">
        <f t="shared" si="138"/>
        <v>SO-MD 3633.483.73E</v>
      </c>
      <c r="B8858" s="195" t="s">
        <v>4060</v>
      </c>
      <c r="C8858" s="196">
        <v>3.48</v>
      </c>
      <c r="D8858" s="196">
        <v>3.73</v>
      </c>
      <c r="E8858" s="195" t="s">
        <v>598</v>
      </c>
      <c r="F8858" s="195" t="s">
        <v>19</v>
      </c>
    </row>
    <row r="8859" spans="1:6" x14ac:dyDescent="0.25">
      <c r="A8859" s="189" t="str">
        <f t="shared" si="138"/>
        <v>SO-MD 3633.63.76W</v>
      </c>
      <c r="B8859" s="195" t="s">
        <v>4060</v>
      </c>
      <c r="C8859" s="196">
        <v>3.6</v>
      </c>
      <c r="D8859" s="196">
        <v>3.76</v>
      </c>
      <c r="E8859" s="195" t="s">
        <v>593</v>
      </c>
      <c r="F8859" s="195" t="s">
        <v>432</v>
      </c>
    </row>
    <row r="8860" spans="1:6" x14ac:dyDescent="0.25">
      <c r="A8860" s="189" t="str">
        <f t="shared" si="138"/>
        <v>SO-MD 3633.733.76E</v>
      </c>
      <c r="B8860" s="195" t="s">
        <v>4060</v>
      </c>
      <c r="C8860" s="196">
        <v>3.73</v>
      </c>
      <c r="D8860" s="196">
        <v>3.76</v>
      </c>
      <c r="E8860" s="195" t="s">
        <v>598</v>
      </c>
      <c r="F8860" s="195" t="s">
        <v>19</v>
      </c>
    </row>
    <row r="8861" spans="1:6" x14ac:dyDescent="0.25">
      <c r="A8861" s="189" t="str">
        <f t="shared" si="138"/>
        <v>SO-MD 3633.763.88W</v>
      </c>
      <c r="B8861" s="195" t="s">
        <v>4060</v>
      </c>
      <c r="C8861" s="196">
        <v>3.76</v>
      </c>
      <c r="D8861" s="196">
        <v>3.88</v>
      </c>
      <c r="E8861" s="195" t="s">
        <v>593</v>
      </c>
      <c r="F8861" s="195" t="s">
        <v>432</v>
      </c>
    </row>
    <row r="8862" spans="1:6" x14ac:dyDescent="0.25">
      <c r="A8862" s="189" t="str">
        <f t="shared" si="138"/>
        <v>SO-MD 3633.764E</v>
      </c>
      <c r="B8862" s="195" t="s">
        <v>4060</v>
      </c>
      <c r="C8862" s="196">
        <v>3.76</v>
      </c>
      <c r="D8862" s="196">
        <v>4</v>
      </c>
      <c r="E8862" s="195" t="s">
        <v>598</v>
      </c>
      <c r="F8862" s="195" t="s">
        <v>19</v>
      </c>
    </row>
    <row r="8863" spans="1:6" x14ac:dyDescent="0.25">
      <c r="A8863" s="189" t="str">
        <f t="shared" si="138"/>
        <v>SO-MD 3633.884W</v>
      </c>
      <c r="B8863" s="195" t="s">
        <v>4060</v>
      </c>
      <c r="C8863" s="196">
        <v>3.88</v>
      </c>
      <c r="D8863" s="196">
        <v>4</v>
      </c>
      <c r="E8863" s="195" t="s">
        <v>593</v>
      </c>
      <c r="F8863" s="195" t="s">
        <v>432</v>
      </c>
    </row>
    <row r="8864" spans="1:6" x14ac:dyDescent="0.25">
      <c r="A8864" s="189" t="str">
        <f t="shared" si="138"/>
        <v>SO-MD 36346.16E</v>
      </c>
      <c r="B8864" s="195" t="s">
        <v>4060</v>
      </c>
      <c r="C8864" s="196">
        <v>4</v>
      </c>
      <c r="D8864" s="196">
        <v>6.16</v>
      </c>
      <c r="E8864" s="195" t="s">
        <v>583</v>
      </c>
      <c r="F8864" s="195" t="s">
        <v>19</v>
      </c>
    </row>
    <row r="8865" spans="1:6" x14ac:dyDescent="0.25">
      <c r="A8865" s="189" t="str">
        <f t="shared" si="138"/>
        <v>SO-MD 36346.16W</v>
      </c>
      <c r="B8865" s="195" t="s">
        <v>4060</v>
      </c>
      <c r="C8865" s="196">
        <v>4</v>
      </c>
      <c r="D8865" s="196">
        <v>6.16</v>
      </c>
      <c r="E8865" s="195" t="s">
        <v>583</v>
      </c>
      <c r="F8865" s="195" t="s">
        <v>432</v>
      </c>
    </row>
    <row r="8866" spans="1:6" x14ac:dyDescent="0.25">
      <c r="A8866" s="189" t="str">
        <f t="shared" si="138"/>
        <v>SO-MD 3636.166.7E</v>
      </c>
      <c r="B8866" s="195" t="s">
        <v>4060</v>
      </c>
      <c r="C8866" s="196">
        <v>6.16</v>
      </c>
      <c r="D8866" s="196">
        <v>6.7</v>
      </c>
      <c r="E8866" s="195" t="s">
        <v>583</v>
      </c>
      <c r="F8866" s="195" t="s">
        <v>19</v>
      </c>
    </row>
    <row r="8867" spans="1:6" x14ac:dyDescent="0.25">
      <c r="A8867" s="189" t="str">
        <f t="shared" si="138"/>
        <v>SO-MD 3636.166.7W</v>
      </c>
      <c r="B8867" s="195" t="s">
        <v>4060</v>
      </c>
      <c r="C8867" s="196">
        <v>6.16</v>
      </c>
      <c r="D8867" s="196">
        <v>6.7</v>
      </c>
      <c r="E8867" s="195" t="s">
        <v>583</v>
      </c>
      <c r="F8867" s="195" t="s">
        <v>432</v>
      </c>
    </row>
    <row r="8868" spans="1:6" x14ac:dyDescent="0.25">
      <c r="A8868" s="189" t="str">
        <f t="shared" si="138"/>
        <v>SO-MD 3636.77.28E</v>
      </c>
      <c r="B8868" s="195" t="s">
        <v>4060</v>
      </c>
      <c r="C8868" s="196">
        <v>6.7</v>
      </c>
      <c r="D8868" s="196">
        <v>7.28</v>
      </c>
      <c r="E8868" s="195" t="s">
        <v>583</v>
      </c>
      <c r="F8868" s="195" t="s">
        <v>19</v>
      </c>
    </row>
    <row r="8869" spans="1:6" x14ac:dyDescent="0.25">
      <c r="A8869" s="189" t="str">
        <f t="shared" si="138"/>
        <v>SO-MD 3636.77.28W</v>
      </c>
      <c r="B8869" s="195" t="s">
        <v>4060</v>
      </c>
      <c r="C8869" s="196">
        <v>6.7</v>
      </c>
      <c r="D8869" s="196">
        <v>7.28</v>
      </c>
      <c r="E8869" s="195" t="s">
        <v>583</v>
      </c>
      <c r="F8869" s="195" t="s">
        <v>432</v>
      </c>
    </row>
    <row r="8870" spans="1:6" x14ac:dyDescent="0.25">
      <c r="A8870" s="189" t="str">
        <f t="shared" si="138"/>
        <v>SO-MD 3637.289.82E</v>
      </c>
      <c r="B8870" s="195" t="s">
        <v>4060</v>
      </c>
      <c r="C8870" s="196">
        <v>7.28</v>
      </c>
      <c r="D8870" s="196">
        <v>9.82</v>
      </c>
      <c r="E8870" s="195" t="s">
        <v>583</v>
      </c>
      <c r="F8870" s="195" t="s">
        <v>19</v>
      </c>
    </row>
    <row r="8871" spans="1:6" x14ac:dyDescent="0.25">
      <c r="A8871" s="189" t="str">
        <f t="shared" si="138"/>
        <v>SO-MD 3637.289.82W</v>
      </c>
      <c r="B8871" s="195" t="s">
        <v>4060</v>
      </c>
      <c r="C8871" s="196">
        <v>7.28</v>
      </c>
      <c r="D8871" s="196">
        <v>9.82</v>
      </c>
      <c r="E8871" s="195" t="s">
        <v>583</v>
      </c>
      <c r="F8871" s="195" t="s">
        <v>432</v>
      </c>
    </row>
    <row r="8872" spans="1:6" x14ac:dyDescent="0.25">
      <c r="A8872" s="189" t="str">
        <f t="shared" si="138"/>
        <v>SO-MD 3639.8215.8E</v>
      </c>
      <c r="B8872" s="195" t="s">
        <v>4060</v>
      </c>
      <c r="C8872" s="196">
        <v>9.82</v>
      </c>
      <c r="D8872" s="196">
        <v>15.8</v>
      </c>
      <c r="E8872" s="195" t="s">
        <v>583</v>
      </c>
      <c r="F8872" s="195" t="s">
        <v>19</v>
      </c>
    </row>
    <row r="8873" spans="1:6" x14ac:dyDescent="0.25">
      <c r="A8873" s="189" t="str">
        <f t="shared" si="138"/>
        <v>SO-MD 3639.8215.8W</v>
      </c>
      <c r="B8873" s="195" t="s">
        <v>4060</v>
      </c>
      <c r="C8873" s="196">
        <v>9.82</v>
      </c>
      <c r="D8873" s="196">
        <v>15.8</v>
      </c>
      <c r="E8873" s="195" t="s">
        <v>583</v>
      </c>
      <c r="F8873" s="195" t="s">
        <v>432</v>
      </c>
    </row>
    <row r="8874" spans="1:6" x14ac:dyDescent="0.25">
      <c r="A8874" s="189" t="str">
        <f t="shared" si="138"/>
        <v>SO-MD 36315.816.1E</v>
      </c>
      <c r="B8874" s="195" t="s">
        <v>4060</v>
      </c>
      <c r="C8874" s="196">
        <v>15.8</v>
      </c>
      <c r="D8874" s="196">
        <v>16.100000000000001</v>
      </c>
      <c r="E8874" s="195" t="s">
        <v>583</v>
      </c>
      <c r="F8874" s="195" t="s">
        <v>19</v>
      </c>
    </row>
    <row r="8875" spans="1:6" x14ac:dyDescent="0.25">
      <c r="A8875" s="189" t="str">
        <f t="shared" si="138"/>
        <v>SO-MD 36315.816.1W</v>
      </c>
      <c r="B8875" s="195" t="s">
        <v>4060</v>
      </c>
      <c r="C8875" s="196">
        <v>15.8</v>
      </c>
      <c r="D8875" s="196">
        <v>16.100000000000001</v>
      </c>
      <c r="E8875" s="195" t="s">
        <v>583</v>
      </c>
      <c r="F8875" s="195" t="s">
        <v>432</v>
      </c>
    </row>
    <row r="8876" spans="1:6" x14ac:dyDescent="0.25">
      <c r="A8876" s="189" t="str">
        <f t="shared" si="138"/>
        <v>SO-MD 36316.117.83E</v>
      </c>
      <c r="B8876" s="195" t="s">
        <v>4060</v>
      </c>
      <c r="C8876" s="196">
        <v>16.100000000000001</v>
      </c>
      <c r="D8876" s="196">
        <v>17.829999999999998</v>
      </c>
      <c r="E8876" s="195" t="s">
        <v>583</v>
      </c>
      <c r="F8876" s="195" t="s">
        <v>19</v>
      </c>
    </row>
    <row r="8877" spans="1:6" x14ac:dyDescent="0.25">
      <c r="A8877" s="189" t="str">
        <f t="shared" si="138"/>
        <v>SO-MD 36316.117.83W</v>
      </c>
      <c r="B8877" s="195" t="s">
        <v>4060</v>
      </c>
      <c r="C8877" s="196">
        <v>16.100000000000001</v>
      </c>
      <c r="D8877" s="196">
        <v>17.829999999999998</v>
      </c>
      <c r="E8877" s="195" t="s">
        <v>583</v>
      </c>
      <c r="F8877" s="195" t="s">
        <v>432</v>
      </c>
    </row>
    <row r="8878" spans="1:6" x14ac:dyDescent="0.25">
      <c r="A8878" s="189" t="str">
        <f t="shared" si="138"/>
        <v>SO-MD 36317.8317.97E</v>
      </c>
      <c r="B8878" s="195" t="s">
        <v>4060</v>
      </c>
      <c r="C8878" s="196">
        <v>17.829999999999998</v>
      </c>
      <c r="D8878" s="196">
        <v>17.97</v>
      </c>
      <c r="E8878" s="195" t="s">
        <v>598</v>
      </c>
      <c r="F8878" s="195" t="s">
        <v>19</v>
      </c>
    </row>
    <row r="8879" spans="1:6" x14ac:dyDescent="0.25">
      <c r="A8879" s="189" t="str">
        <f t="shared" si="138"/>
        <v>SO-MD 36317.8318.19W</v>
      </c>
      <c r="B8879" s="195" t="s">
        <v>4060</v>
      </c>
      <c r="C8879" s="196">
        <v>17.829999999999998</v>
      </c>
      <c r="D8879" s="196">
        <v>18.190000000000001</v>
      </c>
      <c r="E8879" s="195" t="s">
        <v>593</v>
      </c>
      <c r="F8879" s="195" t="s">
        <v>432</v>
      </c>
    </row>
    <row r="8880" spans="1:6" x14ac:dyDescent="0.25">
      <c r="A8880" s="189" t="str">
        <f t="shared" si="138"/>
        <v>SO-MD 36317.9718.15E</v>
      </c>
      <c r="B8880" s="195" t="s">
        <v>4060</v>
      </c>
      <c r="C8880" s="196">
        <v>17.97</v>
      </c>
      <c r="D8880" s="196">
        <v>18.149999999999999</v>
      </c>
      <c r="E8880" s="195" t="s">
        <v>598</v>
      </c>
      <c r="F8880" s="195" t="s">
        <v>19</v>
      </c>
    </row>
    <row r="8881" spans="1:6" x14ac:dyDescent="0.25">
      <c r="A8881" s="189" t="str">
        <f t="shared" si="138"/>
        <v>SO-MD 36318.1518.19E</v>
      </c>
      <c r="B8881" s="195" t="s">
        <v>4060</v>
      </c>
      <c r="C8881" s="196">
        <v>18.149999999999999</v>
      </c>
      <c r="D8881" s="196">
        <v>18.190000000000001</v>
      </c>
      <c r="E8881" s="195" t="s">
        <v>598</v>
      </c>
      <c r="F8881" s="195" t="s">
        <v>19</v>
      </c>
    </row>
    <row r="8882" spans="1:6" x14ac:dyDescent="0.25">
      <c r="A8882" s="189" t="str">
        <f t="shared" si="138"/>
        <v>SO-MD 36318.1918.3E</v>
      </c>
      <c r="B8882" s="195" t="s">
        <v>4060</v>
      </c>
      <c r="C8882" s="196">
        <v>18.190000000000001</v>
      </c>
      <c r="D8882" s="196">
        <v>18.3</v>
      </c>
      <c r="E8882" s="195" t="s">
        <v>583</v>
      </c>
      <c r="F8882" s="195" t="s">
        <v>19</v>
      </c>
    </row>
    <row r="8883" spans="1:6" x14ac:dyDescent="0.25">
      <c r="A8883" s="189" t="str">
        <f t="shared" si="138"/>
        <v>SO-MD 36318.1918.3W</v>
      </c>
      <c r="B8883" s="195" t="s">
        <v>4060</v>
      </c>
      <c r="C8883" s="196">
        <v>18.190000000000001</v>
      </c>
      <c r="D8883" s="196">
        <v>18.3</v>
      </c>
      <c r="E8883" s="195" t="s">
        <v>583</v>
      </c>
      <c r="F8883" s="195" t="s">
        <v>432</v>
      </c>
    </row>
    <row r="8884" spans="1:6" x14ac:dyDescent="0.25">
      <c r="A8884" s="189" t="str">
        <f t="shared" si="138"/>
        <v>SO-MD 363A00.06E</v>
      </c>
      <c r="B8884" s="195" t="s">
        <v>4061</v>
      </c>
      <c r="C8884" s="196">
        <v>0</v>
      </c>
      <c r="D8884" s="196">
        <v>0.06</v>
      </c>
      <c r="E8884" s="195" t="s">
        <v>598</v>
      </c>
      <c r="F8884" s="195" t="s">
        <v>19</v>
      </c>
    </row>
    <row r="8885" spans="1:6" x14ac:dyDescent="0.25">
      <c r="A8885" s="189" t="str">
        <f t="shared" si="138"/>
        <v>SO-MD 363A00.06W</v>
      </c>
      <c r="B8885" s="195" t="s">
        <v>4061</v>
      </c>
      <c r="C8885" s="196">
        <v>0</v>
      </c>
      <c r="D8885" s="196">
        <v>0.06</v>
      </c>
      <c r="E8885" s="195" t="s">
        <v>593</v>
      </c>
      <c r="F8885" s="195" t="s">
        <v>432</v>
      </c>
    </row>
    <row r="8886" spans="1:6" x14ac:dyDescent="0.25">
      <c r="A8886" s="189" t="str">
        <f t="shared" si="138"/>
        <v>SO-MD 36402.71N</v>
      </c>
      <c r="B8886" s="195" t="s">
        <v>4062</v>
      </c>
      <c r="C8886" s="196">
        <v>0</v>
      </c>
      <c r="D8886" s="196">
        <v>2.71</v>
      </c>
      <c r="E8886" s="195" t="s">
        <v>583</v>
      </c>
      <c r="F8886" s="195" t="s">
        <v>430</v>
      </c>
    </row>
    <row r="8887" spans="1:6" x14ac:dyDescent="0.25">
      <c r="A8887" s="189" t="str">
        <f t="shared" si="138"/>
        <v>SO-MD 36402.71S</v>
      </c>
      <c r="B8887" s="195" t="s">
        <v>4062</v>
      </c>
      <c r="C8887" s="196">
        <v>0</v>
      </c>
      <c r="D8887" s="196">
        <v>2.71</v>
      </c>
      <c r="E8887" s="195" t="s">
        <v>583</v>
      </c>
      <c r="F8887" s="195" t="s">
        <v>438</v>
      </c>
    </row>
    <row r="8888" spans="1:6" x14ac:dyDescent="0.25">
      <c r="A8888" s="189" t="str">
        <f t="shared" si="138"/>
        <v>SO-MD 38000.82N</v>
      </c>
      <c r="B8888" s="195" t="s">
        <v>4063</v>
      </c>
      <c r="C8888" s="196">
        <v>0</v>
      </c>
      <c r="D8888" s="196">
        <v>0.82</v>
      </c>
      <c r="E8888" s="195" t="s">
        <v>583</v>
      </c>
      <c r="F8888" s="195" t="s">
        <v>430</v>
      </c>
    </row>
    <row r="8889" spans="1:6" x14ac:dyDescent="0.25">
      <c r="A8889" s="189" t="str">
        <f t="shared" si="138"/>
        <v>SO-MD 38000.82S</v>
      </c>
      <c r="B8889" s="195" t="s">
        <v>4063</v>
      </c>
      <c r="C8889" s="196">
        <v>0</v>
      </c>
      <c r="D8889" s="196">
        <v>0.82</v>
      </c>
      <c r="E8889" s="195" t="s">
        <v>583</v>
      </c>
      <c r="F8889" s="195" t="s">
        <v>438</v>
      </c>
    </row>
    <row r="8890" spans="1:6" x14ac:dyDescent="0.25">
      <c r="A8890" s="189" t="str">
        <f t="shared" si="138"/>
        <v>SO-MD 3800.821.56N</v>
      </c>
      <c r="B8890" s="195" t="s">
        <v>4063</v>
      </c>
      <c r="C8890" s="196">
        <v>0.82</v>
      </c>
      <c r="D8890" s="196">
        <v>1.56</v>
      </c>
      <c r="E8890" s="195" t="s">
        <v>583</v>
      </c>
      <c r="F8890" s="195" t="s">
        <v>430</v>
      </c>
    </row>
    <row r="8891" spans="1:6" x14ac:dyDescent="0.25">
      <c r="A8891" s="189" t="str">
        <f t="shared" si="138"/>
        <v>SO-MD 3800.821.56S</v>
      </c>
      <c r="B8891" s="195" t="s">
        <v>4063</v>
      </c>
      <c r="C8891" s="196">
        <v>0.82</v>
      </c>
      <c r="D8891" s="196">
        <v>1.56</v>
      </c>
      <c r="E8891" s="195" t="s">
        <v>583</v>
      </c>
      <c r="F8891" s="195" t="s">
        <v>438</v>
      </c>
    </row>
    <row r="8892" spans="1:6" x14ac:dyDescent="0.25">
      <c r="A8892" s="189" t="str">
        <f t="shared" si="138"/>
        <v>SO-MD 38800.18E</v>
      </c>
      <c r="B8892" s="195" t="s">
        <v>4064</v>
      </c>
      <c r="C8892" s="196">
        <v>0</v>
      </c>
      <c r="D8892" s="196">
        <v>0.18</v>
      </c>
      <c r="E8892" s="195" t="s">
        <v>583</v>
      </c>
      <c r="F8892" s="195" t="s">
        <v>19</v>
      </c>
    </row>
    <row r="8893" spans="1:6" x14ac:dyDescent="0.25">
      <c r="A8893" s="189" t="str">
        <f t="shared" si="138"/>
        <v>SO-MD 38800.18W</v>
      </c>
      <c r="B8893" s="195" t="s">
        <v>4064</v>
      </c>
      <c r="C8893" s="196">
        <v>0</v>
      </c>
      <c r="D8893" s="196">
        <v>0.18</v>
      </c>
      <c r="E8893" s="195" t="s">
        <v>583</v>
      </c>
      <c r="F8893" s="195" t="s">
        <v>432</v>
      </c>
    </row>
    <row r="8894" spans="1:6" x14ac:dyDescent="0.25">
      <c r="A8894" s="189" t="str">
        <f t="shared" si="138"/>
        <v>SO-MD 3880.182.38E</v>
      </c>
      <c r="B8894" s="195" t="s">
        <v>4064</v>
      </c>
      <c r="C8894" s="196">
        <v>0.18</v>
      </c>
      <c r="D8894" s="196">
        <v>2.38</v>
      </c>
      <c r="E8894" s="195" t="s">
        <v>583</v>
      </c>
      <c r="F8894" s="195" t="s">
        <v>19</v>
      </c>
    </row>
    <row r="8895" spans="1:6" x14ac:dyDescent="0.25">
      <c r="A8895" s="189" t="str">
        <f t="shared" si="138"/>
        <v>SO-MD 3880.182.38W</v>
      </c>
      <c r="B8895" s="195" t="s">
        <v>4064</v>
      </c>
      <c r="C8895" s="196">
        <v>0.18</v>
      </c>
      <c r="D8895" s="196">
        <v>2.38</v>
      </c>
      <c r="E8895" s="195" t="s">
        <v>583</v>
      </c>
      <c r="F8895" s="195" t="s">
        <v>432</v>
      </c>
    </row>
    <row r="8896" spans="1:6" x14ac:dyDescent="0.25">
      <c r="A8896" s="189" t="str">
        <f t="shared" si="138"/>
        <v>SO-MD 41301.4N</v>
      </c>
      <c r="B8896" s="195" t="s">
        <v>433</v>
      </c>
      <c r="C8896" s="196">
        <v>0</v>
      </c>
      <c r="D8896" s="196">
        <v>1.4</v>
      </c>
      <c r="E8896" s="195" t="s">
        <v>589</v>
      </c>
      <c r="F8896" s="195" t="s">
        <v>430</v>
      </c>
    </row>
    <row r="8897" spans="1:6" x14ac:dyDescent="0.25">
      <c r="A8897" s="189" t="str">
        <f t="shared" si="138"/>
        <v>SO-MD 4130.420.51S</v>
      </c>
      <c r="B8897" s="195" t="s">
        <v>433</v>
      </c>
      <c r="C8897" s="196">
        <v>0.42</v>
      </c>
      <c r="D8897" s="196">
        <v>0.51</v>
      </c>
      <c r="E8897" s="195" t="s">
        <v>595</v>
      </c>
      <c r="F8897" s="195" t="s">
        <v>438</v>
      </c>
    </row>
    <row r="8898" spans="1:6" x14ac:dyDescent="0.25">
      <c r="A8898" s="189" t="str">
        <f t="shared" si="138"/>
        <v>SO-MD 4130.511.53S</v>
      </c>
      <c r="B8898" s="195" t="s">
        <v>433</v>
      </c>
      <c r="C8898" s="196">
        <v>0.51</v>
      </c>
      <c r="D8898" s="196">
        <v>1.53</v>
      </c>
      <c r="E8898" s="195" t="s">
        <v>595</v>
      </c>
      <c r="F8898" s="195" t="s">
        <v>438</v>
      </c>
    </row>
    <row r="8899" spans="1:6" x14ac:dyDescent="0.25">
      <c r="A8899" s="189" t="str">
        <f t="shared" si="138"/>
        <v>SO-MD 4131.410.65N</v>
      </c>
      <c r="B8899" s="195" t="s">
        <v>433</v>
      </c>
      <c r="C8899" s="196">
        <v>1.4</v>
      </c>
      <c r="D8899" s="196">
        <v>10.65</v>
      </c>
      <c r="E8899" s="195" t="s">
        <v>589</v>
      </c>
      <c r="F8899" s="195" t="s">
        <v>430</v>
      </c>
    </row>
    <row r="8900" spans="1:6" x14ac:dyDescent="0.25">
      <c r="A8900" s="189" t="str">
        <f t="shared" si="138"/>
        <v>SO-MD 4131.531.6S</v>
      </c>
      <c r="B8900" s="195" t="s">
        <v>433</v>
      </c>
      <c r="C8900" s="196">
        <v>1.53</v>
      </c>
      <c r="D8900" s="196">
        <v>1.6</v>
      </c>
      <c r="E8900" s="195" t="s">
        <v>595</v>
      </c>
      <c r="F8900" s="195" t="s">
        <v>438</v>
      </c>
    </row>
    <row r="8901" spans="1:6" x14ac:dyDescent="0.25">
      <c r="A8901" s="189" t="str">
        <f t="shared" si="138"/>
        <v>SO-MD 4131.610.65S</v>
      </c>
      <c r="B8901" s="195" t="s">
        <v>433</v>
      </c>
      <c r="C8901" s="196">
        <v>1.6</v>
      </c>
      <c r="D8901" s="196">
        <v>10.65</v>
      </c>
      <c r="E8901" s="195" t="s">
        <v>595</v>
      </c>
      <c r="F8901" s="195" t="s">
        <v>438</v>
      </c>
    </row>
    <row r="8902" spans="1:6" x14ac:dyDescent="0.25">
      <c r="A8902" s="189" t="str">
        <f t="shared" si="138"/>
        <v>SO-MD 41310.6510.85N</v>
      </c>
      <c r="B8902" s="195" t="s">
        <v>433</v>
      </c>
      <c r="C8902" s="196">
        <v>10.65</v>
      </c>
      <c r="D8902" s="196">
        <v>10.85</v>
      </c>
      <c r="E8902" s="195" t="s">
        <v>583</v>
      </c>
      <c r="F8902" s="195" t="s">
        <v>430</v>
      </c>
    </row>
    <row r="8903" spans="1:6" x14ac:dyDescent="0.25">
      <c r="A8903" s="189" t="str">
        <f t="shared" si="138"/>
        <v>SO-MD 41310.6510.85S</v>
      </c>
      <c r="B8903" s="195" t="s">
        <v>433</v>
      </c>
      <c r="C8903" s="196">
        <v>10.65</v>
      </c>
      <c r="D8903" s="196">
        <v>10.85</v>
      </c>
      <c r="E8903" s="195" t="s">
        <v>583</v>
      </c>
      <c r="F8903" s="195" t="s">
        <v>438</v>
      </c>
    </row>
    <row r="8904" spans="1:6" x14ac:dyDescent="0.25">
      <c r="A8904" s="189" t="str">
        <f t="shared" ref="A8904:A8967" si="139">B8904&amp;C8904&amp;D8904&amp;F8904</f>
        <v>SO-MD 41310.8514.61N</v>
      </c>
      <c r="B8904" s="195" t="s">
        <v>433</v>
      </c>
      <c r="C8904" s="196">
        <v>10.85</v>
      </c>
      <c r="D8904" s="196">
        <v>14.61</v>
      </c>
      <c r="E8904" s="195" t="s">
        <v>583</v>
      </c>
      <c r="F8904" s="195" t="s">
        <v>430</v>
      </c>
    </row>
    <row r="8905" spans="1:6" x14ac:dyDescent="0.25">
      <c r="A8905" s="189" t="str">
        <f t="shared" si="139"/>
        <v>SO-MD 41310.8514.61S</v>
      </c>
      <c r="B8905" s="195" t="s">
        <v>433</v>
      </c>
      <c r="C8905" s="196">
        <v>10.85</v>
      </c>
      <c r="D8905" s="196">
        <v>14.61</v>
      </c>
      <c r="E8905" s="195" t="s">
        <v>583</v>
      </c>
      <c r="F8905" s="195" t="s">
        <v>438</v>
      </c>
    </row>
    <row r="8906" spans="1:6" x14ac:dyDescent="0.25">
      <c r="A8906" s="189" t="str">
        <f t="shared" si="139"/>
        <v>SO-MD 46000.25E</v>
      </c>
      <c r="B8906" s="195" t="s">
        <v>4065</v>
      </c>
      <c r="C8906" s="196">
        <v>0</v>
      </c>
      <c r="D8906" s="196">
        <v>0.25</v>
      </c>
      <c r="E8906" s="195" t="s">
        <v>598</v>
      </c>
      <c r="F8906" s="195" t="s">
        <v>19</v>
      </c>
    </row>
    <row r="8907" spans="1:6" x14ac:dyDescent="0.25">
      <c r="A8907" s="189" t="str">
        <f t="shared" si="139"/>
        <v>SO-MD 46000.25W</v>
      </c>
      <c r="B8907" s="195" t="s">
        <v>4065</v>
      </c>
      <c r="C8907" s="196">
        <v>0</v>
      </c>
      <c r="D8907" s="196">
        <v>0.25</v>
      </c>
      <c r="E8907" s="195" t="s">
        <v>593</v>
      </c>
      <c r="F8907" s="195" t="s">
        <v>432</v>
      </c>
    </row>
    <row r="8908" spans="1:6" x14ac:dyDescent="0.25">
      <c r="A8908" s="189" t="str">
        <f t="shared" si="139"/>
        <v>SO-MD 4600.250.78E</v>
      </c>
      <c r="B8908" s="195" t="s">
        <v>4065</v>
      </c>
      <c r="C8908" s="196">
        <v>0.25</v>
      </c>
      <c r="D8908" s="196">
        <v>0.78</v>
      </c>
      <c r="E8908" s="195" t="s">
        <v>598</v>
      </c>
      <c r="F8908" s="195" t="s">
        <v>19</v>
      </c>
    </row>
    <row r="8909" spans="1:6" x14ac:dyDescent="0.25">
      <c r="A8909" s="189" t="str">
        <f t="shared" si="139"/>
        <v>SO-MD 4600.250.78W</v>
      </c>
      <c r="B8909" s="195" t="s">
        <v>4065</v>
      </c>
      <c r="C8909" s="196">
        <v>0.25</v>
      </c>
      <c r="D8909" s="196">
        <v>0.78</v>
      </c>
      <c r="E8909" s="195" t="s">
        <v>593</v>
      </c>
      <c r="F8909" s="195" t="s">
        <v>432</v>
      </c>
    </row>
    <row r="8910" spans="1:6" x14ac:dyDescent="0.25">
      <c r="A8910" s="189" t="str">
        <f t="shared" si="139"/>
        <v>SO-MD 52900.21N</v>
      </c>
      <c r="B8910" s="195" t="s">
        <v>4066</v>
      </c>
      <c r="C8910" s="196">
        <v>0</v>
      </c>
      <c r="D8910" s="196">
        <v>0.21</v>
      </c>
      <c r="E8910" s="195" t="s">
        <v>583</v>
      </c>
      <c r="F8910" s="195" t="s">
        <v>430</v>
      </c>
    </row>
    <row r="8911" spans="1:6" x14ac:dyDescent="0.25">
      <c r="A8911" s="189" t="str">
        <f t="shared" si="139"/>
        <v>SO-MD 52900.21S</v>
      </c>
      <c r="B8911" s="195" t="s">
        <v>4066</v>
      </c>
      <c r="C8911" s="196">
        <v>0</v>
      </c>
      <c r="D8911" s="196">
        <v>0.21</v>
      </c>
      <c r="E8911" s="195" t="s">
        <v>583</v>
      </c>
      <c r="F8911" s="195" t="s">
        <v>438</v>
      </c>
    </row>
    <row r="8912" spans="1:6" x14ac:dyDescent="0.25">
      <c r="A8912" s="189" t="str">
        <f t="shared" si="139"/>
        <v>SO-MD 5290.212.57N</v>
      </c>
      <c r="B8912" s="195" t="s">
        <v>4066</v>
      </c>
      <c r="C8912" s="196">
        <v>0.21</v>
      </c>
      <c r="D8912" s="196">
        <v>2.57</v>
      </c>
      <c r="E8912" s="195" t="s">
        <v>583</v>
      </c>
      <c r="F8912" s="195" t="s">
        <v>430</v>
      </c>
    </row>
    <row r="8913" spans="1:6" x14ac:dyDescent="0.25">
      <c r="A8913" s="189" t="str">
        <f t="shared" si="139"/>
        <v>SO-MD 5290.212.57S</v>
      </c>
      <c r="B8913" s="195" t="s">
        <v>4066</v>
      </c>
      <c r="C8913" s="196">
        <v>0.21</v>
      </c>
      <c r="D8913" s="196">
        <v>2.57</v>
      </c>
      <c r="E8913" s="195" t="s">
        <v>583</v>
      </c>
      <c r="F8913" s="195" t="s">
        <v>438</v>
      </c>
    </row>
    <row r="8914" spans="1:6" x14ac:dyDescent="0.25">
      <c r="A8914" s="189" t="str">
        <f t="shared" si="139"/>
        <v>SO-MD 62700.52E</v>
      </c>
      <c r="B8914" s="195" t="s">
        <v>4067</v>
      </c>
      <c r="C8914" s="196">
        <v>0</v>
      </c>
      <c r="D8914" s="196">
        <v>0.52</v>
      </c>
      <c r="E8914" s="195" t="s">
        <v>583</v>
      </c>
      <c r="F8914" s="195" t="s">
        <v>19</v>
      </c>
    </row>
    <row r="8915" spans="1:6" x14ac:dyDescent="0.25">
      <c r="A8915" s="189" t="str">
        <f t="shared" si="139"/>
        <v>SO-MD 62700.52W</v>
      </c>
      <c r="B8915" s="195" t="s">
        <v>4067</v>
      </c>
      <c r="C8915" s="196">
        <v>0</v>
      </c>
      <c r="D8915" s="196">
        <v>0.52</v>
      </c>
      <c r="E8915" s="195" t="s">
        <v>583</v>
      </c>
      <c r="F8915" s="195" t="s">
        <v>432</v>
      </c>
    </row>
    <row r="8916" spans="1:6" x14ac:dyDescent="0.25">
      <c r="A8916" s="189" t="str">
        <f t="shared" si="139"/>
        <v>SO-MD 6270.522.48E</v>
      </c>
      <c r="B8916" s="195" t="s">
        <v>4067</v>
      </c>
      <c r="C8916" s="196">
        <v>0.52</v>
      </c>
      <c r="D8916" s="196">
        <v>2.48</v>
      </c>
      <c r="E8916" s="195" t="s">
        <v>583</v>
      </c>
      <c r="F8916" s="195" t="s">
        <v>19</v>
      </c>
    </row>
    <row r="8917" spans="1:6" x14ac:dyDescent="0.25">
      <c r="A8917" s="189" t="str">
        <f t="shared" si="139"/>
        <v>SO-MD 6270.522.48W</v>
      </c>
      <c r="B8917" s="195" t="s">
        <v>4067</v>
      </c>
      <c r="C8917" s="196">
        <v>0.52</v>
      </c>
      <c r="D8917" s="196">
        <v>2.48</v>
      </c>
      <c r="E8917" s="195" t="s">
        <v>583</v>
      </c>
      <c r="F8917" s="195" t="s">
        <v>432</v>
      </c>
    </row>
    <row r="8918" spans="1:6" x14ac:dyDescent="0.25">
      <c r="A8918" s="189" t="str">
        <f t="shared" si="139"/>
        <v>SO-MD 6404.965.54E</v>
      </c>
      <c r="B8918" s="195" t="s">
        <v>4068</v>
      </c>
      <c r="C8918" s="196">
        <v>4.96</v>
      </c>
      <c r="D8918" s="196">
        <v>5.54</v>
      </c>
      <c r="E8918" s="195" t="s">
        <v>598</v>
      </c>
      <c r="F8918" s="195" t="s">
        <v>19</v>
      </c>
    </row>
    <row r="8919" spans="1:6" x14ac:dyDescent="0.25">
      <c r="A8919" s="189" t="str">
        <f t="shared" si="139"/>
        <v>SO-MD 6404.965.54W</v>
      </c>
      <c r="B8919" s="195" t="s">
        <v>4068</v>
      </c>
      <c r="C8919" s="196">
        <v>4.96</v>
      </c>
      <c r="D8919" s="196">
        <v>5.54</v>
      </c>
      <c r="E8919" s="195" t="s">
        <v>593</v>
      </c>
      <c r="F8919" s="195" t="s">
        <v>432</v>
      </c>
    </row>
    <row r="8920" spans="1:6" x14ac:dyDescent="0.25">
      <c r="A8920" s="189" t="str">
        <f t="shared" si="139"/>
        <v>SO-MD 66702.77E</v>
      </c>
      <c r="B8920" s="195" t="s">
        <v>4069</v>
      </c>
      <c r="C8920" s="196">
        <v>0</v>
      </c>
      <c r="D8920" s="196">
        <v>2.77</v>
      </c>
      <c r="E8920" s="195" t="s">
        <v>583</v>
      </c>
      <c r="F8920" s="195" t="s">
        <v>19</v>
      </c>
    </row>
    <row r="8921" spans="1:6" x14ac:dyDescent="0.25">
      <c r="A8921" s="189" t="str">
        <f t="shared" si="139"/>
        <v>SO-MD 66702.77W</v>
      </c>
      <c r="B8921" s="195" t="s">
        <v>4069</v>
      </c>
      <c r="C8921" s="196">
        <v>0</v>
      </c>
      <c r="D8921" s="196">
        <v>2.77</v>
      </c>
      <c r="E8921" s="195" t="s">
        <v>583</v>
      </c>
      <c r="F8921" s="195" t="s">
        <v>432</v>
      </c>
    </row>
    <row r="8922" spans="1:6" x14ac:dyDescent="0.25">
      <c r="A8922" s="189" t="str">
        <f t="shared" si="139"/>
        <v>SO-MD 6672.776.55E</v>
      </c>
      <c r="B8922" s="195" t="s">
        <v>4069</v>
      </c>
      <c r="C8922" s="196">
        <v>2.77</v>
      </c>
      <c r="D8922" s="196">
        <v>6.55</v>
      </c>
      <c r="E8922" s="195" t="s">
        <v>583</v>
      </c>
      <c r="F8922" s="195" t="s">
        <v>19</v>
      </c>
    </row>
    <row r="8923" spans="1:6" x14ac:dyDescent="0.25">
      <c r="A8923" s="189" t="str">
        <f t="shared" si="139"/>
        <v>SO-MD 6672.776.55W</v>
      </c>
      <c r="B8923" s="195" t="s">
        <v>4069</v>
      </c>
      <c r="C8923" s="196">
        <v>2.77</v>
      </c>
      <c r="D8923" s="196">
        <v>6.55</v>
      </c>
      <c r="E8923" s="195" t="s">
        <v>583</v>
      </c>
      <c r="F8923" s="195" t="s">
        <v>432</v>
      </c>
    </row>
    <row r="8924" spans="1:6" x14ac:dyDescent="0.25">
      <c r="A8924" s="189" t="str">
        <f t="shared" si="139"/>
        <v>SO-MD 6676.559.04E</v>
      </c>
      <c r="B8924" s="195" t="s">
        <v>4069</v>
      </c>
      <c r="C8924" s="196">
        <v>6.55</v>
      </c>
      <c r="D8924" s="196">
        <v>9.0399999999999991</v>
      </c>
      <c r="E8924" s="195" t="s">
        <v>583</v>
      </c>
      <c r="F8924" s="195" t="s">
        <v>19</v>
      </c>
    </row>
    <row r="8925" spans="1:6" x14ac:dyDescent="0.25">
      <c r="A8925" s="189" t="str">
        <f t="shared" si="139"/>
        <v>SO-MD 6676.559.04W</v>
      </c>
      <c r="B8925" s="195" t="s">
        <v>4069</v>
      </c>
      <c r="C8925" s="196">
        <v>6.55</v>
      </c>
      <c r="D8925" s="196">
        <v>9.0399999999999991</v>
      </c>
      <c r="E8925" s="195" t="s">
        <v>583</v>
      </c>
      <c r="F8925" s="195" t="s">
        <v>432</v>
      </c>
    </row>
    <row r="8926" spans="1:6" x14ac:dyDescent="0.25">
      <c r="A8926" s="189" t="str">
        <f t="shared" si="139"/>
        <v>SO-MD 6679.0410.4E</v>
      </c>
      <c r="B8926" s="195" t="s">
        <v>4069</v>
      </c>
      <c r="C8926" s="196">
        <v>9.0399999999999991</v>
      </c>
      <c r="D8926" s="196">
        <v>10.4</v>
      </c>
      <c r="E8926" s="195" t="s">
        <v>583</v>
      </c>
      <c r="F8926" s="195" t="s">
        <v>19</v>
      </c>
    </row>
    <row r="8927" spans="1:6" x14ac:dyDescent="0.25">
      <c r="A8927" s="189" t="str">
        <f t="shared" si="139"/>
        <v>SO-MD 6679.0410.4W</v>
      </c>
      <c r="B8927" s="195" t="s">
        <v>4069</v>
      </c>
      <c r="C8927" s="196">
        <v>9.0399999999999991</v>
      </c>
      <c r="D8927" s="196">
        <v>10.4</v>
      </c>
      <c r="E8927" s="195" t="s">
        <v>583</v>
      </c>
      <c r="F8927" s="195" t="s">
        <v>432</v>
      </c>
    </row>
    <row r="8928" spans="1:6" x14ac:dyDescent="0.25">
      <c r="A8928" s="189" t="str">
        <f t="shared" si="139"/>
        <v>SO-MD 66710.411.35E</v>
      </c>
      <c r="B8928" s="195" t="s">
        <v>4069</v>
      </c>
      <c r="C8928" s="196">
        <v>10.4</v>
      </c>
      <c r="D8928" s="196">
        <v>11.35</v>
      </c>
      <c r="E8928" s="195" t="s">
        <v>583</v>
      </c>
      <c r="F8928" s="195" t="s">
        <v>19</v>
      </c>
    </row>
    <row r="8929" spans="1:6" x14ac:dyDescent="0.25">
      <c r="A8929" s="189" t="str">
        <f t="shared" si="139"/>
        <v>SO-MD 66710.411.35W</v>
      </c>
      <c r="B8929" s="195" t="s">
        <v>4069</v>
      </c>
      <c r="C8929" s="196">
        <v>10.4</v>
      </c>
      <c r="D8929" s="196">
        <v>11.35</v>
      </c>
      <c r="E8929" s="195" t="s">
        <v>583</v>
      </c>
      <c r="F8929" s="195" t="s">
        <v>432</v>
      </c>
    </row>
    <row r="8930" spans="1:6" x14ac:dyDescent="0.25">
      <c r="A8930" s="189" t="str">
        <f t="shared" si="139"/>
        <v>SO-MD 66711.3517.61E</v>
      </c>
      <c r="B8930" s="195" t="s">
        <v>4069</v>
      </c>
      <c r="C8930" s="196">
        <v>11.35</v>
      </c>
      <c r="D8930" s="196">
        <v>17.61</v>
      </c>
      <c r="E8930" s="195" t="s">
        <v>583</v>
      </c>
      <c r="F8930" s="195" t="s">
        <v>19</v>
      </c>
    </row>
    <row r="8931" spans="1:6" x14ac:dyDescent="0.25">
      <c r="A8931" s="189" t="str">
        <f t="shared" si="139"/>
        <v>SO-MD 66711.3517.61W</v>
      </c>
      <c r="B8931" s="195" t="s">
        <v>4069</v>
      </c>
      <c r="C8931" s="196">
        <v>11.35</v>
      </c>
      <c r="D8931" s="196">
        <v>17.61</v>
      </c>
      <c r="E8931" s="195" t="s">
        <v>583</v>
      </c>
      <c r="F8931" s="195" t="s">
        <v>432</v>
      </c>
    </row>
    <row r="8932" spans="1:6" x14ac:dyDescent="0.25">
      <c r="A8932" s="189" t="str">
        <f t="shared" si="139"/>
        <v>SO-MD 673A00.53E</v>
      </c>
      <c r="B8932" s="195" t="s">
        <v>4070</v>
      </c>
      <c r="C8932" s="196">
        <v>0</v>
      </c>
      <c r="D8932" s="196">
        <v>0.53</v>
      </c>
      <c r="E8932" s="195" t="s">
        <v>598</v>
      </c>
      <c r="F8932" s="195" t="s">
        <v>19</v>
      </c>
    </row>
    <row r="8933" spans="1:6" x14ac:dyDescent="0.25">
      <c r="A8933" s="189" t="str">
        <f t="shared" si="139"/>
        <v>SO-MD 673A00.53W</v>
      </c>
      <c r="B8933" s="195" t="s">
        <v>4070</v>
      </c>
      <c r="C8933" s="196">
        <v>0</v>
      </c>
      <c r="D8933" s="196">
        <v>0.53</v>
      </c>
      <c r="E8933" s="195" t="s">
        <v>593</v>
      </c>
      <c r="F8933" s="195" t="s">
        <v>432</v>
      </c>
    </row>
    <row r="8934" spans="1:6" x14ac:dyDescent="0.25">
      <c r="A8934" s="189" t="str">
        <f t="shared" si="139"/>
        <v>SO-MD 67500.2N</v>
      </c>
      <c r="B8934" s="195" t="s">
        <v>434</v>
      </c>
      <c r="C8934" s="196">
        <v>0</v>
      </c>
      <c r="D8934" s="196">
        <v>0.2</v>
      </c>
      <c r="E8934" s="195" t="s">
        <v>589</v>
      </c>
      <c r="F8934" s="195" t="s">
        <v>430</v>
      </c>
    </row>
    <row r="8935" spans="1:6" x14ac:dyDescent="0.25">
      <c r="A8935" s="189" t="str">
        <f t="shared" si="139"/>
        <v>SO-MD 6750.180.2S</v>
      </c>
      <c r="B8935" s="195" t="s">
        <v>434</v>
      </c>
      <c r="C8935" s="196">
        <v>0.18</v>
      </c>
      <c r="D8935" s="196">
        <v>0.2</v>
      </c>
      <c r="E8935" s="195" t="s">
        <v>595</v>
      </c>
      <c r="F8935" s="195" t="s">
        <v>438</v>
      </c>
    </row>
    <row r="8936" spans="1:6" x14ac:dyDescent="0.25">
      <c r="A8936" s="189" t="str">
        <f t="shared" si="139"/>
        <v>SO-MD 6750.21.21N</v>
      </c>
      <c r="B8936" s="195" t="s">
        <v>434</v>
      </c>
      <c r="C8936" s="196">
        <v>0.2</v>
      </c>
      <c r="D8936" s="196">
        <v>1.21</v>
      </c>
      <c r="E8936" s="195" t="s">
        <v>583</v>
      </c>
      <c r="F8936" s="195" t="s">
        <v>430</v>
      </c>
    </row>
    <row r="8937" spans="1:6" x14ac:dyDescent="0.25">
      <c r="A8937" s="189" t="str">
        <f t="shared" si="139"/>
        <v>SO-MD 6750.21.21S</v>
      </c>
      <c r="B8937" s="195" t="s">
        <v>434</v>
      </c>
      <c r="C8937" s="196">
        <v>0.2</v>
      </c>
      <c r="D8937" s="196">
        <v>1.21</v>
      </c>
      <c r="E8937" s="195" t="s">
        <v>583</v>
      </c>
      <c r="F8937" s="195" t="s">
        <v>438</v>
      </c>
    </row>
    <row r="8938" spans="1:6" x14ac:dyDescent="0.25">
      <c r="A8938" s="189" t="str">
        <f t="shared" si="139"/>
        <v>SO-MD 6751.211.61N</v>
      </c>
      <c r="B8938" s="195" t="s">
        <v>434</v>
      </c>
      <c r="C8938" s="196">
        <v>1.21</v>
      </c>
      <c r="D8938" s="196">
        <v>1.61</v>
      </c>
      <c r="E8938" s="195" t="s">
        <v>583</v>
      </c>
      <c r="F8938" s="195" t="s">
        <v>430</v>
      </c>
    </row>
    <row r="8939" spans="1:6" x14ac:dyDescent="0.25">
      <c r="A8939" s="189" t="str">
        <f t="shared" si="139"/>
        <v>SO-MD 6751.211.61S</v>
      </c>
      <c r="B8939" s="195" t="s">
        <v>434</v>
      </c>
      <c r="C8939" s="196">
        <v>1.21</v>
      </c>
      <c r="D8939" s="196">
        <v>1.61</v>
      </c>
      <c r="E8939" s="195" t="s">
        <v>583</v>
      </c>
      <c r="F8939" s="195" t="s">
        <v>438</v>
      </c>
    </row>
    <row r="8940" spans="1:6" x14ac:dyDescent="0.25">
      <c r="A8940" s="189" t="str">
        <f t="shared" si="139"/>
        <v>SO-MD 6751.612.18N</v>
      </c>
      <c r="B8940" s="195" t="s">
        <v>434</v>
      </c>
      <c r="C8940" s="196">
        <v>1.61</v>
      </c>
      <c r="D8940" s="196">
        <v>2.1800000000000002</v>
      </c>
      <c r="E8940" s="195" t="s">
        <v>583</v>
      </c>
      <c r="F8940" s="195" t="s">
        <v>430</v>
      </c>
    </row>
    <row r="8941" spans="1:6" x14ac:dyDescent="0.25">
      <c r="A8941" s="189" t="str">
        <f t="shared" si="139"/>
        <v>SO-MD 6751.612.18S</v>
      </c>
      <c r="B8941" s="195" t="s">
        <v>434</v>
      </c>
      <c r="C8941" s="196">
        <v>1.61</v>
      </c>
      <c r="D8941" s="196">
        <v>2.1800000000000002</v>
      </c>
      <c r="E8941" s="195" t="s">
        <v>583</v>
      </c>
      <c r="F8941" s="195" t="s">
        <v>438</v>
      </c>
    </row>
    <row r="8942" spans="1:6" x14ac:dyDescent="0.25">
      <c r="A8942" s="189" t="str">
        <f t="shared" si="139"/>
        <v>SO-MD 6752.182.22N</v>
      </c>
      <c r="B8942" s="195" t="s">
        <v>434</v>
      </c>
      <c r="C8942" s="196">
        <v>2.1800000000000002</v>
      </c>
      <c r="D8942" s="196">
        <v>2.2200000000000002</v>
      </c>
      <c r="E8942" s="195" t="s">
        <v>583</v>
      </c>
      <c r="F8942" s="195" t="s">
        <v>430</v>
      </c>
    </row>
    <row r="8943" spans="1:6" x14ac:dyDescent="0.25">
      <c r="A8943" s="189" t="str">
        <f t="shared" si="139"/>
        <v>SO-MD 6752.182.22S</v>
      </c>
      <c r="B8943" s="195" t="s">
        <v>434</v>
      </c>
      <c r="C8943" s="196">
        <v>2.1800000000000002</v>
      </c>
      <c r="D8943" s="196">
        <v>2.2200000000000002</v>
      </c>
      <c r="E8943" s="195" t="s">
        <v>583</v>
      </c>
      <c r="F8943" s="195" t="s">
        <v>438</v>
      </c>
    </row>
    <row r="8944" spans="1:6" x14ac:dyDescent="0.25">
      <c r="A8944" s="189" t="str">
        <f t="shared" si="139"/>
        <v>SO-MD 6752.222.59N</v>
      </c>
      <c r="B8944" s="195" t="s">
        <v>434</v>
      </c>
      <c r="C8944" s="196">
        <v>2.2200000000000002</v>
      </c>
      <c r="D8944" s="196">
        <v>2.59</v>
      </c>
      <c r="E8944" s="195" t="s">
        <v>583</v>
      </c>
      <c r="F8944" s="195" t="s">
        <v>430</v>
      </c>
    </row>
    <row r="8945" spans="1:6" x14ac:dyDescent="0.25">
      <c r="A8945" s="189" t="str">
        <f t="shared" si="139"/>
        <v>SO-MD 6752.222.59S</v>
      </c>
      <c r="B8945" s="195" t="s">
        <v>434</v>
      </c>
      <c r="C8945" s="196">
        <v>2.2200000000000002</v>
      </c>
      <c r="D8945" s="196">
        <v>2.59</v>
      </c>
      <c r="E8945" s="195" t="s">
        <v>583</v>
      </c>
      <c r="F8945" s="195" t="s">
        <v>438</v>
      </c>
    </row>
    <row r="8946" spans="1:6" x14ac:dyDescent="0.25">
      <c r="A8946" s="189" t="str">
        <f t="shared" si="139"/>
        <v>SO-MD 6752.593.26S</v>
      </c>
      <c r="B8946" s="195" t="s">
        <v>434</v>
      </c>
      <c r="C8946" s="196">
        <v>2.59</v>
      </c>
      <c r="D8946" s="196">
        <v>3.26</v>
      </c>
      <c r="E8946" s="195" t="s">
        <v>595</v>
      </c>
      <c r="F8946" s="195" t="s">
        <v>438</v>
      </c>
    </row>
    <row r="8947" spans="1:6" x14ac:dyDescent="0.25">
      <c r="A8947" s="189" t="str">
        <f t="shared" si="139"/>
        <v>SO-MD 6752.593.39N</v>
      </c>
      <c r="B8947" s="195" t="s">
        <v>434</v>
      </c>
      <c r="C8947" s="196">
        <v>2.59</v>
      </c>
      <c r="D8947" s="196">
        <v>3.39</v>
      </c>
      <c r="E8947" s="195" t="s">
        <v>589</v>
      </c>
      <c r="F8947" s="195" t="s">
        <v>430</v>
      </c>
    </row>
    <row r="8948" spans="1:6" x14ac:dyDescent="0.25">
      <c r="A8948" s="189" t="str">
        <f t="shared" si="139"/>
        <v>SO-MD 675D00.07S</v>
      </c>
      <c r="B8948" s="195" t="s">
        <v>4071</v>
      </c>
      <c r="C8948" s="196">
        <v>0</v>
      </c>
      <c r="D8948" s="196">
        <v>7.0000000000000007E-2</v>
      </c>
      <c r="E8948" s="195" t="s">
        <v>595</v>
      </c>
      <c r="F8948" s="195" t="s">
        <v>438</v>
      </c>
    </row>
    <row r="8949" spans="1:6" x14ac:dyDescent="0.25">
      <c r="A8949" s="189" t="str">
        <f t="shared" si="139"/>
        <v>SO-MD 91800.22E</v>
      </c>
      <c r="B8949" s="195" t="s">
        <v>4072</v>
      </c>
      <c r="C8949" s="196">
        <v>0</v>
      </c>
      <c r="D8949" s="196">
        <v>0.22</v>
      </c>
      <c r="E8949" s="195" t="s">
        <v>598</v>
      </c>
      <c r="F8949" s="195" t="s">
        <v>19</v>
      </c>
    </row>
    <row r="8950" spans="1:6" x14ac:dyDescent="0.25">
      <c r="A8950" s="189" t="str">
        <f t="shared" si="139"/>
        <v>SO-MD 91800.22W</v>
      </c>
      <c r="B8950" s="195" t="s">
        <v>4072</v>
      </c>
      <c r="C8950" s="196">
        <v>0</v>
      </c>
      <c r="D8950" s="196">
        <v>0.22</v>
      </c>
      <c r="E8950" s="195" t="s">
        <v>593</v>
      </c>
      <c r="F8950" s="195" t="s">
        <v>432</v>
      </c>
    </row>
    <row r="8951" spans="1:6" x14ac:dyDescent="0.25">
      <c r="A8951" s="189" t="str">
        <f t="shared" si="139"/>
        <v>SO-MD 92000.97N</v>
      </c>
      <c r="B8951" s="195" t="s">
        <v>4073</v>
      </c>
      <c r="C8951" s="196">
        <v>0</v>
      </c>
      <c r="D8951" s="196">
        <v>0.97</v>
      </c>
      <c r="E8951" s="195" t="s">
        <v>589</v>
      </c>
      <c r="F8951" s="195" t="s">
        <v>430</v>
      </c>
    </row>
    <row r="8952" spans="1:6" x14ac:dyDescent="0.25">
      <c r="A8952" s="189" t="str">
        <f t="shared" si="139"/>
        <v>SO-MD 92000.97S</v>
      </c>
      <c r="B8952" s="195" t="s">
        <v>4073</v>
      </c>
      <c r="C8952" s="196">
        <v>0</v>
      </c>
      <c r="D8952" s="196">
        <v>0.97</v>
      </c>
      <c r="E8952" s="195" t="s">
        <v>595</v>
      </c>
      <c r="F8952" s="195" t="s">
        <v>438</v>
      </c>
    </row>
    <row r="8953" spans="1:6" x14ac:dyDescent="0.25">
      <c r="A8953" s="189" t="str">
        <f t="shared" si="139"/>
        <v>SO-MD 920A00.07N</v>
      </c>
      <c r="B8953" s="195" t="s">
        <v>4074</v>
      </c>
      <c r="C8953" s="196">
        <v>0</v>
      </c>
      <c r="D8953" s="196">
        <v>7.0000000000000007E-2</v>
      </c>
      <c r="E8953" s="195" t="s">
        <v>589</v>
      </c>
      <c r="F8953" s="195" t="s">
        <v>430</v>
      </c>
    </row>
    <row r="8954" spans="1:6" x14ac:dyDescent="0.25">
      <c r="A8954" s="189" t="str">
        <f t="shared" si="139"/>
        <v>SO-MD 920A00.07S</v>
      </c>
      <c r="B8954" s="195" t="s">
        <v>4074</v>
      </c>
      <c r="C8954" s="196">
        <v>0</v>
      </c>
      <c r="D8954" s="196">
        <v>7.0000000000000007E-2</v>
      </c>
      <c r="E8954" s="195" t="s">
        <v>595</v>
      </c>
      <c r="F8954" s="195" t="s">
        <v>438</v>
      </c>
    </row>
    <row r="8955" spans="1:6" x14ac:dyDescent="0.25">
      <c r="A8955" s="189" t="str">
        <f t="shared" si="139"/>
        <v>SO-MD 920A0.070.42N</v>
      </c>
      <c r="B8955" s="195" t="s">
        <v>4074</v>
      </c>
      <c r="C8955" s="196">
        <v>7.0000000000000007E-2</v>
      </c>
      <c r="D8955" s="196">
        <v>0.42</v>
      </c>
      <c r="E8955" s="195" t="s">
        <v>589</v>
      </c>
      <c r="F8955" s="195" t="s">
        <v>430</v>
      </c>
    </row>
    <row r="8956" spans="1:6" x14ac:dyDescent="0.25">
      <c r="A8956" s="189" t="str">
        <f t="shared" si="139"/>
        <v>SO-MD 920A0.070.42S</v>
      </c>
      <c r="B8956" s="195" t="s">
        <v>4074</v>
      </c>
      <c r="C8956" s="196">
        <v>7.0000000000000007E-2</v>
      </c>
      <c r="D8956" s="196">
        <v>0.42</v>
      </c>
      <c r="E8956" s="195" t="s">
        <v>595</v>
      </c>
      <c r="F8956" s="195" t="s">
        <v>438</v>
      </c>
    </row>
    <row r="8957" spans="1:6" x14ac:dyDescent="0.25">
      <c r="A8957" s="189" t="str">
        <f t="shared" si="139"/>
        <v>SO-MD 920B00.07N</v>
      </c>
      <c r="B8957" s="195" t="s">
        <v>4075</v>
      </c>
      <c r="C8957" s="196">
        <v>0</v>
      </c>
      <c r="D8957" s="196">
        <v>7.0000000000000007E-2</v>
      </c>
      <c r="E8957" s="195" t="s">
        <v>589</v>
      </c>
      <c r="F8957" s="195" t="s">
        <v>430</v>
      </c>
    </row>
    <row r="8958" spans="1:6" x14ac:dyDescent="0.25">
      <c r="A8958" s="189" t="str">
        <f t="shared" si="139"/>
        <v>SO-MD 920B00.07S</v>
      </c>
      <c r="B8958" s="195" t="s">
        <v>4075</v>
      </c>
      <c r="C8958" s="196">
        <v>0</v>
      </c>
      <c r="D8958" s="196">
        <v>7.0000000000000007E-2</v>
      </c>
      <c r="E8958" s="195" t="s">
        <v>595</v>
      </c>
      <c r="F8958" s="195" t="s">
        <v>438</v>
      </c>
    </row>
    <row r="8959" spans="1:6" x14ac:dyDescent="0.25">
      <c r="A8959" s="189" t="str">
        <f t="shared" si="139"/>
        <v>SO-MD 920B0.070.32N</v>
      </c>
      <c r="B8959" s="195" t="s">
        <v>4075</v>
      </c>
      <c r="C8959" s="196">
        <v>7.0000000000000007E-2</v>
      </c>
      <c r="D8959" s="196">
        <v>0.32</v>
      </c>
      <c r="E8959" s="195" t="s">
        <v>589</v>
      </c>
      <c r="F8959" s="195" t="s">
        <v>430</v>
      </c>
    </row>
    <row r="8960" spans="1:6" x14ac:dyDescent="0.25">
      <c r="A8960" s="189" t="str">
        <f t="shared" si="139"/>
        <v>SO-MD 920B0.070.32S</v>
      </c>
      <c r="B8960" s="195" t="s">
        <v>4075</v>
      </c>
      <c r="C8960" s="196">
        <v>7.0000000000000007E-2</v>
      </c>
      <c r="D8960" s="196">
        <v>0.32</v>
      </c>
      <c r="E8960" s="195" t="s">
        <v>595</v>
      </c>
      <c r="F8960" s="195" t="s">
        <v>438</v>
      </c>
    </row>
    <row r="8961" spans="1:6" x14ac:dyDescent="0.25">
      <c r="A8961" s="189" t="str">
        <f t="shared" si="139"/>
        <v>SO-MD 920C00.17N</v>
      </c>
      <c r="B8961" s="195" t="s">
        <v>4076</v>
      </c>
      <c r="C8961" s="196">
        <v>0</v>
      </c>
      <c r="D8961" s="196">
        <v>0.17</v>
      </c>
      <c r="E8961" s="195" t="s">
        <v>589</v>
      </c>
      <c r="F8961" s="195" t="s">
        <v>430</v>
      </c>
    </row>
    <row r="8962" spans="1:6" x14ac:dyDescent="0.25">
      <c r="A8962" s="189" t="str">
        <f t="shared" si="139"/>
        <v>SO-MD 920C00.17S</v>
      </c>
      <c r="B8962" s="195" t="s">
        <v>4076</v>
      </c>
      <c r="C8962" s="196">
        <v>0</v>
      </c>
      <c r="D8962" s="196">
        <v>0.17</v>
      </c>
      <c r="E8962" s="195" t="s">
        <v>595</v>
      </c>
      <c r="F8962" s="195" t="s">
        <v>438</v>
      </c>
    </row>
    <row r="8963" spans="1:6" x14ac:dyDescent="0.25">
      <c r="A8963" s="189" t="str">
        <f t="shared" si="139"/>
        <v>SO-MD 920D00.42E</v>
      </c>
      <c r="B8963" s="195" t="s">
        <v>4077</v>
      </c>
      <c r="C8963" s="196">
        <v>0</v>
      </c>
      <c r="D8963" s="196">
        <v>0.42</v>
      </c>
      <c r="E8963" s="195" t="s">
        <v>598</v>
      </c>
      <c r="F8963" s="195" t="s">
        <v>19</v>
      </c>
    </row>
    <row r="8964" spans="1:6" x14ac:dyDescent="0.25">
      <c r="A8964" s="189" t="str">
        <f t="shared" si="139"/>
        <v>SO-MD 920D00.42W</v>
      </c>
      <c r="B8964" s="195" t="s">
        <v>4077</v>
      </c>
      <c r="C8964" s="196">
        <v>0</v>
      </c>
      <c r="D8964" s="196">
        <v>0.42</v>
      </c>
      <c r="E8964" s="195" t="s">
        <v>593</v>
      </c>
      <c r="F8964" s="195" t="s">
        <v>432</v>
      </c>
    </row>
    <row r="8965" spans="1:6" x14ac:dyDescent="0.25">
      <c r="A8965" s="189" t="str">
        <f t="shared" si="139"/>
        <v>SO-MD 920F00.08N</v>
      </c>
      <c r="B8965" s="195" t="s">
        <v>4078</v>
      </c>
      <c r="C8965" s="196">
        <v>0</v>
      </c>
      <c r="D8965" s="196">
        <v>0.08</v>
      </c>
      <c r="E8965" s="195" t="s">
        <v>589</v>
      </c>
      <c r="F8965" s="195" t="s">
        <v>430</v>
      </c>
    </row>
    <row r="8966" spans="1:6" x14ac:dyDescent="0.25">
      <c r="A8966" s="189" t="str">
        <f t="shared" si="139"/>
        <v>SO-MD 920F00.08S</v>
      </c>
      <c r="B8966" s="195" t="s">
        <v>4078</v>
      </c>
      <c r="C8966" s="196">
        <v>0</v>
      </c>
      <c r="D8966" s="196">
        <v>0.08</v>
      </c>
      <c r="E8966" s="195" t="s">
        <v>595</v>
      </c>
      <c r="F8966" s="195" t="s">
        <v>438</v>
      </c>
    </row>
    <row r="8967" spans="1:6" x14ac:dyDescent="0.25">
      <c r="A8967" s="189" t="str">
        <f t="shared" si="139"/>
        <v>SO-MD 920G00.09E</v>
      </c>
      <c r="B8967" s="195" t="s">
        <v>4079</v>
      </c>
      <c r="C8967" s="196">
        <v>0</v>
      </c>
      <c r="D8967" s="196">
        <v>0.09</v>
      </c>
      <c r="E8967" s="195" t="s">
        <v>598</v>
      </c>
      <c r="F8967" s="195" t="s">
        <v>19</v>
      </c>
    </row>
    <row r="8968" spans="1:6" x14ac:dyDescent="0.25">
      <c r="A8968" s="189" t="str">
        <f t="shared" ref="A8968:A9031" si="140">B8968&amp;C8968&amp;D8968&amp;F8968</f>
        <v>SO-MD 920G00.09W</v>
      </c>
      <c r="B8968" s="195" t="s">
        <v>4079</v>
      </c>
      <c r="C8968" s="196">
        <v>0</v>
      </c>
      <c r="D8968" s="196">
        <v>0.09</v>
      </c>
      <c r="E8968" s="195" t="s">
        <v>593</v>
      </c>
      <c r="F8968" s="195" t="s">
        <v>432</v>
      </c>
    </row>
    <row r="8969" spans="1:6" x14ac:dyDescent="0.25">
      <c r="A8969" s="189" t="str">
        <f t="shared" si="140"/>
        <v>SO-MD 920H00.09N</v>
      </c>
      <c r="B8969" s="195" t="s">
        <v>4080</v>
      </c>
      <c r="C8969" s="196">
        <v>0</v>
      </c>
      <c r="D8969" s="196">
        <v>0.09</v>
      </c>
      <c r="E8969" s="195" t="s">
        <v>589</v>
      </c>
      <c r="F8969" s="195" t="s">
        <v>430</v>
      </c>
    </row>
    <row r="8970" spans="1:6" x14ac:dyDescent="0.25">
      <c r="A8970" s="189" t="str">
        <f t="shared" si="140"/>
        <v>SO-MD 920H00.09S</v>
      </c>
      <c r="B8970" s="195" t="s">
        <v>4080</v>
      </c>
      <c r="C8970" s="196">
        <v>0</v>
      </c>
      <c r="D8970" s="196">
        <v>0.09</v>
      </c>
      <c r="E8970" s="195" t="s">
        <v>595</v>
      </c>
      <c r="F8970" s="195" t="s">
        <v>438</v>
      </c>
    </row>
    <row r="8971" spans="1:6" x14ac:dyDescent="0.25">
      <c r="A8971" s="189" t="str">
        <f t="shared" si="140"/>
        <v>SO-MD 920J00.23E</v>
      </c>
      <c r="B8971" s="195" t="s">
        <v>4081</v>
      </c>
      <c r="C8971" s="196">
        <v>0</v>
      </c>
      <c r="D8971" s="196">
        <v>0.23</v>
      </c>
      <c r="E8971" s="195" t="s">
        <v>598</v>
      </c>
      <c r="F8971" s="195" t="s">
        <v>19</v>
      </c>
    </row>
    <row r="8972" spans="1:6" x14ac:dyDescent="0.25">
      <c r="A8972" s="189" t="str">
        <f t="shared" si="140"/>
        <v>SO-MD 920J00.23W</v>
      </c>
      <c r="B8972" s="195" t="s">
        <v>4081</v>
      </c>
      <c r="C8972" s="196">
        <v>0</v>
      </c>
      <c r="D8972" s="196">
        <v>0.23</v>
      </c>
      <c r="E8972" s="195" t="s">
        <v>593</v>
      </c>
      <c r="F8972" s="195" t="s">
        <v>432</v>
      </c>
    </row>
    <row r="8973" spans="1:6" x14ac:dyDescent="0.25">
      <c r="A8973" s="189" t="str">
        <f t="shared" si="140"/>
        <v>SO-MD 920K00.16N</v>
      </c>
      <c r="B8973" s="195" t="s">
        <v>4082</v>
      </c>
      <c r="C8973" s="196">
        <v>0</v>
      </c>
      <c r="D8973" s="196">
        <v>0.16</v>
      </c>
      <c r="E8973" s="195" t="s">
        <v>589</v>
      </c>
      <c r="F8973" s="195" t="s">
        <v>430</v>
      </c>
    </row>
    <row r="8974" spans="1:6" x14ac:dyDescent="0.25">
      <c r="A8974" s="189" t="str">
        <f t="shared" si="140"/>
        <v>SO-MD 920K00.16S</v>
      </c>
      <c r="B8974" s="195" t="s">
        <v>4082</v>
      </c>
      <c r="C8974" s="196">
        <v>0</v>
      </c>
      <c r="D8974" s="196">
        <v>0.16</v>
      </c>
      <c r="E8974" s="195" t="s">
        <v>595</v>
      </c>
      <c r="F8974" s="195" t="s">
        <v>438</v>
      </c>
    </row>
    <row r="8975" spans="1:6" x14ac:dyDescent="0.25">
      <c r="A8975" s="189" t="str">
        <f t="shared" si="140"/>
        <v>SO-MD 920L00.83E</v>
      </c>
      <c r="B8975" s="195" t="s">
        <v>4083</v>
      </c>
      <c r="C8975" s="196">
        <v>0</v>
      </c>
      <c r="D8975" s="196">
        <v>0.83</v>
      </c>
      <c r="E8975" s="195" t="s">
        <v>598</v>
      </c>
      <c r="F8975" s="195" t="s">
        <v>19</v>
      </c>
    </row>
    <row r="8976" spans="1:6" x14ac:dyDescent="0.25">
      <c r="A8976" s="189" t="str">
        <f t="shared" si="140"/>
        <v>SO-MD 920L00.83W</v>
      </c>
      <c r="B8976" s="195" t="s">
        <v>4083</v>
      </c>
      <c r="C8976" s="196">
        <v>0</v>
      </c>
      <c r="D8976" s="196">
        <v>0.83</v>
      </c>
      <c r="E8976" s="195" t="s">
        <v>593</v>
      </c>
      <c r="F8976" s="195" t="s">
        <v>432</v>
      </c>
    </row>
    <row r="8977" spans="1:6" x14ac:dyDescent="0.25">
      <c r="A8977" s="189" t="str">
        <f t="shared" si="140"/>
        <v>SO-MD 920M00.04N</v>
      </c>
      <c r="B8977" s="195" t="s">
        <v>4084</v>
      </c>
      <c r="C8977" s="196">
        <v>0</v>
      </c>
      <c r="D8977" s="196">
        <v>0.04</v>
      </c>
      <c r="E8977" s="195" t="s">
        <v>589</v>
      </c>
      <c r="F8977" s="195" t="s">
        <v>430</v>
      </c>
    </row>
    <row r="8978" spans="1:6" x14ac:dyDescent="0.25">
      <c r="A8978" s="189" t="str">
        <f t="shared" si="140"/>
        <v>SO-MD 920M00.04S</v>
      </c>
      <c r="B8978" s="195" t="s">
        <v>4084</v>
      </c>
      <c r="C8978" s="196">
        <v>0</v>
      </c>
      <c r="D8978" s="196">
        <v>0.04</v>
      </c>
      <c r="E8978" s="195" t="s">
        <v>595</v>
      </c>
      <c r="F8978" s="195" t="s">
        <v>438</v>
      </c>
    </row>
    <row r="8979" spans="1:6" x14ac:dyDescent="0.25">
      <c r="A8979" s="189" t="str">
        <f t="shared" si="140"/>
        <v>SO-MD 920N00.1N</v>
      </c>
      <c r="B8979" s="195" t="s">
        <v>4085</v>
      </c>
      <c r="C8979" s="196">
        <v>0</v>
      </c>
      <c r="D8979" s="196">
        <v>0.1</v>
      </c>
      <c r="E8979" s="195" t="s">
        <v>589</v>
      </c>
      <c r="F8979" s="195" t="s">
        <v>430</v>
      </c>
    </row>
    <row r="8980" spans="1:6" x14ac:dyDescent="0.25">
      <c r="A8980" s="189" t="str">
        <f t="shared" si="140"/>
        <v>SO-MD 920N00.1S</v>
      </c>
      <c r="B8980" s="195" t="s">
        <v>4085</v>
      </c>
      <c r="C8980" s="196">
        <v>0</v>
      </c>
      <c r="D8980" s="196">
        <v>0.1</v>
      </c>
      <c r="E8980" s="195" t="s">
        <v>595</v>
      </c>
      <c r="F8980" s="195" t="s">
        <v>438</v>
      </c>
    </row>
    <row r="8981" spans="1:6" x14ac:dyDescent="0.25">
      <c r="A8981" s="189" t="str">
        <f t="shared" si="140"/>
        <v>SO-MD 920O00.11N</v>
      </c>
      <c r="B8981" s="195" t="s">
        <v>4086</v>
      </c>
      <c r="C8981" s="196">
        <v>0</v>
      </c>
      <c r="D8981" s="196">
        <v>0.11</v>
      </c>
      <c r="E8981" s="195" t="s">
        <v>589</v>
      </c>
      <c r="F8981" s="195" t="s">
        <v>430</v>
      </c>
    </row>
    <row r="8982" spans="1:6" x14ac:dyDescent="0.25">
      <c r="A8982" s="189" t="str">
        <f t="shared" si="140"/>
        <v>SO-MD 920O00.11S</v>
      </c>
      <c r="B8982" s="195" t="s">
        <v>4086</v>
      </c>
      <c r="C8982" s="196">
        <v>0</v>
      </c>
      <c r="D8982" s="196">
        <v>0.11</v>
      </c>
      <c r="E8982" s="195" t="s">
        <v>595</v>
      </c>
      <c r="F8982" s="195" t="s">
        <v>438</v>
      </c>
    </row>
    <row r="8983" spans="1:6" x14ac:dyDescent="0.25">
      <c r="A8983" s="189" t="str">
        <f t="shared" si="140"/>
        <v>SO-MD 920P00.28N</v>
      </c>
      <c r="B8983" s="195" t="s">
        <v>4087</v>
      </c>
      <c r="C8983" s="196">
        <v>0</v>
      </c>
      <c r="D8983" s="196">
        <v>0.28000000000000003</v>
      </c>
      <c r="E8983" s="195" t="s">
        <v>589</v>
      </c>
      <c r="F8983" s="195" t="s">
        <v>430</v>
      </c>
    </row>
    <row r="8984" spans="1:6" x14ac:dyDescent="0.25">
      <c r="A8984" s="189" t="str">
        <f t="shared" si="140"/>
        <v>SO-MD 920P00.28S</v>
      </c>
      <c r="B8984" s="195" t="s">
        <v>4087</v>
      </c>
      <c r="C8984" s="196">
        <v>0</v>
      </c>
      <c r="D8984" s="196">
        <v>0.28000000000000003</v>
      </c>
      <c r="E8984" s="195" t="s">
        <v>595</v>
      </c>
      <c r="F8984" s="195" t="s">
        <v>438</v>
      </c>
    </row>
    <row r="8985" spans="1:6" x14ac:dyDescent="0.25">
      <c r="A8985" s="189" t="str">
        <f t="shared" si="140"/>
        <v>SO-MD 920Q00.2N</v>
      </c>
      <c r="B8985" s="195" t="s">
        <v>4088</v>
      </c>
      <c r="C8985" s="196">
        <v>0</v>
      </c>
      <c r="D8985" s="196">
        <v>0.2</v>
      </c>
      <c r="E8985" s="195" t="s">
        <v>589</v>
      </c>
      <c r="F8985" s="195" t="s">
        <v>430</v>
      </c>
    </row>
    <row r="8986" spans="1:6" x14ac:dyDescent="0.25">
      <c r="A8986" s="189" t="str">
        <f t="shared" si="140"/>
        <v>SO-MD 920Q00.2S</v>
      </c>
      <c r="B8986" s="195" t="s">
        <v>4088</v>
      </c>
      <c r="C8986" s="196">
        <v>0</v>
      </c>
      <c r="D8986" s="196">
        <v>0.2</v>
      </c>
      <c r="E8986" s="195" t="s">
        <v>595</v>
      </c>
      <c r="F8986" s="195" t="s">
        <v>438</v>
      </c>
    </row>
    <row r="8987" spans="1:6" x14ac:dyDescent="0.25">
      <c r="A8987" s="189" t="str">
        <f t="shared" si="140"/>
        <v>SO-MD 920R00.06N</v>
      </c>
      <c r="B8987" s="195" t="s">
        <v>4089</v>
      </c>
      <c r="C8987" s="196">
        <v>0</v>
      </c>
      <c r="D8987" s="196">
        <v>0.06</v>
      </c>
      <c r="E8987" s="195" t="s">
        <v>589</v>
      </c>
      <c r="F8987" s="195" t="s">
        <v>430</v>
      </c>
    </row>
    <row r="8988" spans="1:6" x14ac:dyDescent="0.25">
      <c r="A8988" s="189" t="str">
        <f t="shared" si="140"/>
        <v>SO-MD 920R00.06S</v>
      </c>
      <c r="B8988" s="195" t="s">
        <v>4089</v>
      </c>
      <c r="C8988" s="196">
        <v>0</v>
      </c>
      <c r="D8988" s="196">
        <v>0.06</v>
      </c>
      <c r="E8988" s="195" t="s">
        <v>595</v>
      </c>
      <c r="F8988" s="195" t="s">
        <v>438</v>
      </c>
    </row>
    <row r="8989" spans="1:6" x14ac:dyDescent="0.25">
      <c r="A8989" s="189" t="str">
        <f t="shared" si="140"/>
        <v>SO-MD 920S00.1N</v>
      </c>
      <c r="B8989" s="195" t="s">
        <v>4090</v>
      </c>
      <c r="C8989" s="196">
        <v>0</v>
      </c>
      <c r="D8989" s="196">
        <v>0.1</v>
      </c>
      <c r="E8989" s="195" t="s">
        <v>589</v>
      </c>
      <c r="F8989" s="195" t="s">
        <v>430</v>
      </c>
    </row>
    <row r="8990" spans="1:6" x14ac:dyDescent="0.25">
      <c r="A8990" s="189" t="str">
        <f t="shared" si="140"/>
        <v>SO-MD 920S00.1S</v>
      </c>
      <c r="B8990" s="195" t="s">
        <v>4090</v>
      </c>
      <c r="C8990" s="196">
        <v>0</v>
      </c>
      <c r="D8990" s="196">
        <v>0.1</v>
      </c>
      <c r="E8990" s="195" t="s">
        <v>595</v>
      </c>
      <c r="F8990" s="195" t="s">
        <v>438</v>
      </c>
    </row>
    <row r="8991" spans="1:6" x14ac:dyDescent="0.25">
      <c r="A8991" s="189" t="str">
        <f t="shared" si="140"/>
        <v>SO-MD 920T00.04N</v>
      </c>
      <c r="B8991" s="195" t="s">
        <v>4091</v>
      </c>
      <c r="C8991" s="196">
        <v>0</v>
      </c>
      <c r="D8991" s="196">
        <v>0.04</v>
      </c>
      <c r="E8991" s="195" t="s">
        <v>589</v>
      </c>
      <c r="F8991" s="195" t="s">
        <v>430</v>
      </c>
    </row>
    <row r="8992" spans="1:6" x14ac:dyDescent="0.25">
      <c r="A8992" s="189" t="str">
        <f t="shared" si="140"/>
        <v>SO-MD 920T00.04S</v>
      </c>
      <c r="B8992" s="195" t="s">
        <v>4091</v>
      </c>
      <c r="C8992" s="196">
        <v>0</v>
      </c>
      <c r="D8992" s="196">
        <v>0.04</v>
      </c>
      <c r="E8992" s="195" t="s">
        <v>595</v>
      </c>
      <c r="F8992" s="195" t="s">
        <v>438</v>
      </c>
    </row>
    <row r="8993" spans="1:6" x14ac:dyDescent="0.25">
      <c r="A8993" s="189" t="str">
        <f t="shared" si="140"/>
        <v>SO-US 13BU00.42N</v>
      </c>
      <c r="B8993" s="195" t="s">
        <v>4092</v>
      </c>
      <c r="C8993" s="196">
        <v>0</v>
      </c>
      <c r="D8993" s="196">
        <v>0.42</v>
      </c>
      <c r="E8993" s="195" t="s">
        <v>589</v>
      </c>
      <c r="F8993" s="195" t="s">
        <v>430</v>
      </c>
    </row>
    <row r="8994" spans="1:6" x14ac:dyDescent="0.25">
      <c r="A8994" s="189" t="str">
        <f t="shared" si="140"/>
        <v>SO-US 13BU00.42S</v>
      </c>
      <c r="B8994" s="195" t="s">
        <v>4092</v>
      </c>
      <c r="C8994" s="196">
        <v>0</v>
      </c>
      <c r="D8994" s="196">
        <v>0.42</v>
      </c>
      <c r="E8994" s="195" t="s">
        <v>595</v>
      </c>
      <c r="F8994" s="195" t="s">
        <v>438</v>
      </c>
    </row>
    <row r="8995" spans="1:6" x14ac:dyDescent="0.25">
      <c r="A8995" s="189" t="str">
        <f t="shared" si="140"/>
        <v>TA-MD 30301.76N</v>
      </c>
      <c r="B8995" s="195" t="s">
        <v>4093</v>
      </c>
      <c r="C8995" s="196">
        <v>0</v>
      </c>
      <c r="D8995" s="196">
        <v>1.76</v>
      </c>
      <c r="E8995" s="195" t="s">
        <v>583</v>
      </c>
      <c r="F8995" s="195" t="s">
        <v>430</v>
      </c>
    </row>
    <row r="8996" spans="1:6" x14ac:dyDescent="0.25">
      <c r="A8996" s="189" t="str">
        <f t="shared" si="140"/>
        <v>TA-MD 30301.76S</v>
      </c>
      <c r="B8996" s="195" t="s">
        <v>4093</v>
      </c>
      <c r="C8996" s="196">
        <v>0</v>
      </c>
      <c r="D8996" s="196">
        <v>1.76</v>
      </c>
      <c r="E8996" s="195" t="s">
        <v>583</v>
      </c>
      <c r="F8996" s="195" t="s">
        <v>438</v>
      </c>
    </row>
    <row r="8997" spans="1:6" x14ac:dyDescent="0.25">
      <c r="A8997" s="189" t="str">
        <f t="shared" si="140"/>
        <v>TA-MD 3031.761.78N</v>
      </c>
      <c r="B8997" s="195" t="s">
        <v>4093</v>
      </c>
      <c r="C8997" s="196">
        <v>1.76</v>
      </c>
      <c r="D8997" s="196">
        <v>1.78</v>
      </c>
      <c r="E8997" s="195" t="s">
        <v>583</v>
      </c>
      <c r="F8997" s="195" t="s">
        <v>430</v>
      </c>
    </row>
    <row r="8998" spans="1:6" x14ac:dyDescent="0.25">
      <c r="A8998" s="189" t="str">
        <f t="shared" si="140"/>
        <v>TA-MD 3031.761.78S</v>
      </c>
      <c r="B8998" s="195" t="s">
        <v>4093</v>
      </c>
      <c r="C8998" s="196">
        <v>1.76</v>
      </c>
      <c r="D8998" s="196">
        <v>1.78</v>
      </c>
      <c r="E8998" s="195" t="s">
        <v>583</v>
      </c>
      <c r="F8998" s="195" t="s">
        <v>438</v>
      </c>
    </row>
    <row r="8999" spans="1:6" x14ac:dyDescent="0.25">
      <c r="A8999" s="189" t="str">
        <f t="shared" si="140"/>
        <v>TA-MD 3031.783.58N</v>
      </c>
      <c r="B8999" s="195" t="s">
        <v>4093</v>
      </c>
      <c r="C8999" s="196">
        <v>1.78</v>
      </c>
      <c r="D8999" s="196">
        <v>3.58</v>
      </c>
      <c r="E8999" s="195" t="s">
        <v>583</v>
      </c>
      <c r="F8999" s="195" t="s">
        <v>430</v>
      </c>
    </row>
    <row r="9000" spans="1:6" x14ac:dyDescent="0.25">
      <c r="A9000" s="189" t="str">
        <f t="shared" si="140"/>
        <v>TA-MD 3031.783.58S</v>
      </c>
      <c r="B9000" s="195" t="s">
        <v>4093</v>
      </c>
      <c r="C9000" s="196">
        <v>1.78</v>
      </c>
      <c r="D9000" s="196">
        <v>3.58</v>
      </c>
      <c r="E9000" s="195" t="s">
        <v>583</v>
      </c>
      <c r="F9000" s="195" t="s">
        <v>438</v>
      </c>
    </row>
    <row r="9001" spans="1:6" x14ac:dyDescent="0.25">
      <c r="A9001" s="189" t="str">
        <f t="shared" si="140"/>
        <v>TA-MD 3033.583.66N</v>
      </c>
      <c r="B9001" s="195" t="s">
        <v>4093</v>
      </c>
      <c r="C9001" s="196">
        <v>3.58</v>
      </c>
      <c r="D9001" s="196">
        <v>3.66</v>
      </c>
      <c r="E9001" s="195" t="s">
        <v>583</v>
      </c>
      <c r="F9001" s="195" t="s">
        <v>430</v>
      </c>
    </row>
    <row r="9002" spans="1:6" x14ac:dyDescent="0.25">
      <c r="A9002" s="189" t="str">
        <f t="shared" si="140"/>
        <v>TA-MD 3033.583.66S</v>
      </c>
      <c r="B9002" s="195" t="s">
        <v>4093</v>
      </c>
      <c r="C9002" s="196">
        <v>3.58</v>
      </c>
      <c r="D9002" s="196">
        <v>3.66</v>
      </c>
      <c r="E9002" s="195" t="s">
        <v>583</v>
      </c>
      <c r="F9002" s="195" t="s">
        <v>438</v>
      </c>
    </row>
    <row r="9003" spans="1:6" x14ac:dyDescent="0.25">
      <c r="A9003" s="189" t="str">
        <f t="shared" si="140"/>
        <v>TA-MD 3033.663.78N</v>
      </c>
      <c r="B9003" s="195" t="s">
        <v>4093</v>
      </c>
      <c r="C9003" s="196">
        <v>3.66</v>
      </c>
      <c r="D9003" s="196">
        <v>3.78</v>
      </c>
      <c r="E9003" s="195" t="s">
        <v>583</v>
      </c>
      <c r="F9003" s="195" t="s">
        <v>430</v>
      </c>
    </row>
    <row r="9004" spans="1:6" x14ac:dyDescent="0.25">
      <c r="A9004" s="189" t="str">
        <f t="shared" si="140"/>
        <v>TA-MD 3033.663.78S</v>
      </c>
      <c r="B9004" s="195" t="s">
        <v>4093</v>
      </c>
      <c r="C9004" s="196">
        <v>3.66</v>
      </c>
      <c r="D9004" s="196">
        <v>3.78</v>
      </c>
      <c r="E9004" s="195" t="s">
        <v>583</v>
      </c>
      <c r="F9004" s="195" t="s">
        <v>438</v>
      </c>
    </row>
    <row r="9005" spans="1:6" x14ac:dyDescent="0.25">
      <c r="A9005" s="189" t="str">
        <f t="shared" si="140"/>
        <v>TA-MD 30900.13N</v>
      </c>
      <c r="B9005" s="195" t="s">
        <v>4094</v>
      </c>
      <c r="C9005" s="196">
        <v>0</v>
      </c>
      <c r="D9005" s="196">
        <v>0.13</v>
      </c>
      <c r="E9005" s="195" t="s">
        <v>583</v>
      </c>
      <c r="F9005" s="195" t="s">
        <v>430</v>
      </c>
    </row>
    <row r="9006" spans="1:6" x14ac:dyDescent="0.25">
      <c r="A9006" s="189" t="str">
        <f t="shared" si="140"/>
        <v>TA-MD 30900.13S</v>
      </c>
      <c r="B9006" s="195" t="s">
        <v>4094</v>
      </c>
      <c r="C9006" s="196">
        <v>0</v>
      </c>
      <c r="D9006" s="196">
        <v>0.13</v>
      </c>
      <c r="E9006" s="195" t="s">
        <v>583</v>
      </c>
      <c r="F9006" s="195" t="s">
        <v>438</v>
      </c>
    </row>
    <row r="9007" spans="1:6" x14ac:dyDescent="0.25">
      <c r="A9007" s="189" t="str">
        <f t="shared" si="140"/>
        <v>TA-MD 3090.130.15N</v>
      </c>
      <c r="B9007" s="195" t="s">
        <v>4094</v>
      </c>
      <c r="C9007" s="196">
        <v>0.13</v>
      </c>
      <c r="D9007" s="196">
        <v>0.15</v>
      </c>
      <c r="E9007" s="195" t="s">
        <v>583</v>
      </c>
      <c r="F9007" s="195" t="s">
        <v>430</v>
      </c>
    </row>
    <row r="9008" spans="1:6" x14ac:dyDescent="0.25">
      <c r="A9008" s="189" t="str">
        <f t="shared" si="140"/>
        <v>TA-MD 3090.130.15S</v>
      </c>
      <c r="B9008" s="195" t="s">
        <v>4094</v>
      </c>
      <c r="C9008" s="196">
        <v>0.13</v>
      </c>
      <c r="D9008" s="196">
        <v>0.15</v>
      </c>
      <c r="E9008" s="195" t="s">
        <v>583</v>
      </c>
      <c r="F9008" s="195" t="s">
        <v>438</v>
      </c>
    </row>
    <row r="9009" spans="1:6" x14ac:dyDescent="0.25">
      <c r="A9009" s="189" t="str">
        <f t="shared" si="140"/>
        <v>TA-MD 3090.152.73N</v>
      </c>
      <c r="B9009" s="195" t="s">
        <v>4094</v>
      </c>
      <c r="C9009" s="196">
        <v>0.15</v>
      </c>
      <c r="D9009" s="196">
        <v>2.73</v>
      </c>
      <c r="E9009" s="195" t="s">
        <v>583</v>
      </c>
      <c r="F9009" s="195" t="s">
        <v>430</v>
      </c>
    </row>
    <row r="9010" spans="1:6" x14ac:dyDescent="0.25">
      <c r="A9010" s="189" t="str">
        <f t="shared" si="140"/>
        <v>TA-MD 3090.152.73S</v>
      </c>
      <c r="B9010" s="195" t="s">
        <v>4094</v>
      </c>
      <c r="C9010" s="196">
        <v>0.15</v>
      </c>
      <c r="D9010" s="196">
        <v>2.73</v>
      </c>
      <c r="E9010" s="195" t="s">
        <v>583</v>
      </c>
      <c r="F9010" s="195" t="s">
        <v>438</v>
      </c>
    </row>
    <row r="9011" spans="1:6" x14ac:dyDescent="0.25">
      <c r="A9011" s="189" t="str">
        <f t="shared" si="140"/>
        <v>TA-MD 3092.736.4N</v>
      </c>
      <c r="B9011" s="195" t="s">
        <v>4094</v>
      </c>
      <c r="C9011" s="196">
        <v>2.73</v>
      </c>
      <c r="D9011" s="196">
        <v>6.4</v>
      </c>
      <c r="E9011" s="195" t="s">
        <v>583</v>
      </c>
      <c r="F9011" s="195" t="s">
        <v>430</v>
      </c>
    </row>
    <row r="9012" spans="1:6" x14ac:dyDescent="0.25">
      <c r="A9012" s="189" t="str">
        <f t="shared" si="140"/>
        <v>TA-MD 3092.736.4S</v>
      </c>
      <c r="B9012" s="195" t="s">
        <v>4094</v>
      </c>
      <c r="C9012" s="196">
        <v>2.73</v>
      </c>
      <c r="D9012" s="196">
        <v>6.4</v>
      </c>
      <c r="E9012" s="195" t="s">
        <v>583</v>
      </c>
      <c r="F9012" s="195" t="s">
        <v>438</v>
      </c>
    </row>
    <row r="9013" spans="1:6" x14ac:dyDescent="0.25">
      <c r="A9013" s="189" t="str">
        <f t="shared" si="140"/>
        <v>TA-MD 3096.49.39N</v>
      </c>
      <c r="B9013" s="195" t="s">
        <v>4094</v>
      </c>
      <c r="C9013" s="196">
        <v>6.4</v>
      </c>
      <c r="D9013" s="196">
        <v>9.39</v>
      </c>
      <c r="E9013" s="195" t="s">
        <v>583</v>
      </c>
      <c r="F9013" s="195" t="s">
        <v>430</v>
      </c>
    </row>
    <row r="9014" spans="1:6" x14ac:dyDescent="0.25">
      <c r="A9014" s="189" t="str">
        <f t="shared" si="140"/>
        <v>TA-MD 3096.49.39S</v>
      </c>
      <c r="B9014" s="195" t="s">
        <v>4094</v>
      </c>
      <c r="C9014" s="196">
        <v>6.4</v>
      </c>
      <c r="D9014" s="196">
        <v>9.39</v>
      </c>
      <c r="E9014" s="195" t="s">
        <v>583</v>
      </c>
      <c r="F9014" s="195" t="s">
        <v>438</v>
      </c>
    </row>
    <row r="9015" spans="1:6" x14ac:dyDescent="0.25">
      <c r="A9015" s="189" t="str">
        <f t="shared" si="140"/>
        <v>TA-MD 32205.12N</v>
      </c>
      <c r="B9015" s="195" t="s">
        <v>4095</v>
      </c>
      <c r="C9015" s="196">
        <v>0</v>
      </c>
      <c r="D9015" s="196">
        <v>5.12</v>
      </c>
      <c r="E9015" s="195" t="s">
        <v>583</v>
      </c>
      <c r="F9015" s="195" t="s">
        <v>430</v>
      </c>
    </row>
    <row r="9016" spans="1:6" x14ac:dyDescent="0.25">
      <c r="A9016" s="189" t="str">
        <f t="shared" si="140"/>
        <v>TA-MD 32205.12S</v>
      </c>
      <c r="B9016" s="195" t="s">
        <v>4095</v>
      </c>
      <c r="C9016" s="196">
        <v>0</v>
      </c>
      <c r="D9016" s="196">
        <v>5.12</v>
      </c>
      <c r="E9016" s="195" t="s">
        <v>583</v>
      </c>
      <c r="F9016" s="195" t="s">
        <v>438</v>
      </c>
    </row>
    <row r="9017" spans="1:6" x14ac:dyDescent="0.25">
      <c r="A9017" s="189" t="str">
        <f t="shared" si="140"/>
        <v>TA-MD 322A00.07S</v>
      </c>
      <c r="B9017" s="195" t="s">
        <v>4096</v>
      </c>
      <c r="C9017" s="196">
        <v>0</v>
      </c>
      <c r="D9017" s="196">
        <v>7.0000000000000007E-2</v>
      </c>
      <c r="E9017" s="195" t="s">
        <v>595</v>
      </c>
      <c r="F9017" s="195" t="s">
        <v>438</v>
      </c>
    </row>
    <row r="9018" spans="1:6" x14ac:dyDescent="0.25">
      <c r="A9018" s="189" t="str">
        <f t="shared" si="140"/>
        <v>TA-MD 322B00.03E</v>
      </c>
      <c r="B9018" s="195" t="s">
        <v>4097</v>
      </c>
      <c r="C9018" s="196">
        <v>0</v>
      </c>
      <c r="D9018" s="196">
        <v>0.03</v>
      </c>
      <c r="E9018" s="195" t="s">
        <v>598</v>
      </c>
      <c r="F9018" s="195" t="s">
        <v>19</v>
      </c>
    </row>
    <row r="9019" spans="1:6" x14ac:dyDescent="0.25">
      <c r="A9019" s="189" t="str">
        <f t="shared" si="140"/>
        <v>TA-MD 322B00.03W</v>
      </c>
      <c r="B9019" s="195" t="s">
        <v>4097</v>
      </c>
      <c r="C9019" s="196">
        <v>0</v>
      </c>
      <c r="D9019" s="196">
        <v>0.03</v>
      </c>
      <c r="E9019" s="195" t="s">
        <v>593</v>
      </c>
      <c r="F9019" s="195" t="s">
        <v>432</v>
      </c>
    </row>
    <row r="9020" spans="1:6" x14ac:dyDescent="0.25">
      <c r="A9020" s="189" t="str">
        <f t="shared" si="140"/>
        <v>TA-MD 32800.68E</v>
      </c>
      <c r="B9020" s="195" t="s">
        <v>454</v>
      </c>
      <c r="C9020" s="196">
        <v>0</v>
      </c>
      <c r="D9020" s="196">
        <v>0.68</v>
      </c>
      <c r="E9020" s="195" t="s">
        <v>583</v>
      </c>
      <c r="F9020" s="195" t="s">
        <v>19</v>
      </c>
    </row>
    <row r="9021" spans="1:6" x14ac:dyDescent="0.25">
      <c r="A9021" s="189" t="str">
        <f t="shared" si="140"/>
        <v>TA-MD 32800.68W</v>
      </c>
      <c r="B9021" s="195" t="s">
        <v>454</v>
      </c>
      <c r="C9021" s="196">
        <v>0</v>
      </c>
      <c r="D9021" s="196">
        <v>0.68</v>
      </c>
      <c r="E9021" s="195" t="s">
        <v>583</v>
      </c>
      <c r="F9021" s="195" t="s">
        <v>432</v>
      </c>
    </row>
    <row r="9022" spans="1:6" x14ac:dyDescent="0.25">
      <c r="A9022" s="189" t="str">
        <f t="shared" si="140"/>
        <v>TA-MD 3280.680.72E</v>
      </c>
      <c r="B9022" s="195" t="s">
        <v>454</v>
      </c>
      <c r="C9022" s="196">
        <v>0.68</v>
      </c>
      <c r="D9022" s="196">
        <v>0.72</v>
      </c>
      <c r="E9022" s="195" t="s">
        <v>583</v>
      </c>
      <c r="F9022" s="195" t="s">
        <v>19</v>
      </c>
    </row>
    <row r="9023" spans="1:6" x14ac:dyDescent="0.25">
      <c r="A9023" s="189" t="str">
        <f t="shared" si="140"/>
        <v>TA-MD 3280.680.72W</v>
      </c>
      <c r="B9023" s="195" t="s">
        <v>454</v>
      </c>
      <c r="C9023" s="196">
        <v>0.68</v>
      </c>
      <c r="D9023" s="196">
        <v>0.72</v>
      </c>
      <c r="E9023" s="195" t="s">
        <v>583</v>
      </c>
      <c r="F9023" s="195" t="s">
        <v>432</v>
      </c>
    </row>
    <row r="9024" spans="1:6" x14ac:dyDescent="0.25">
      <c r="A9024" s="189" t="str">
        <f t="shared" si="140"/>
        <v>TA-MD 3280.720.96E</v>
      </c>
      <c r="B9024" s="195" t="s">
        <v>454</v>
      </c>
      <c r="C9024" s="196">
        <v>0.72</v>
      </c>
      <c r="D9024" s="196">
        <v>0.96</v>
      </c>
      <c r="E9024" s="195" t="s">
        <v>583</v>
      </c>
      <c r="F9024" s="195" t="s">
        <v>19</v>
      </c>
    </row>
    <row r="9025" spans="1:6" x14ac:dyDescent="0.25">
      <c r="A9025" s="189" t="str">
        <f t="shared" si="140"/>
        <v>TA-MD 3280.720.96W</v>
      </c>
      <c r="B9025" s="195" t="s">
        <v>454</v>
      </c>
      <c r="C9025" s="196">
        <v>0.72</v>
      </c>
      <c r="D9025" s="196">
        <v>0.96</v>
      </c>
      <c r="E9025" s="195" t="s">
        <v>583</v>
      </c>
      <c r="F9025" s="195" t="s">
        <v>432</v>
      </c>
    </row>
    <row r="9026" spans="1:6" x14ac:dyDescent="0.25">
      <c r="A9026" s="189" t="str">
        <f t="shared" si="140"/>
        <v>TA-MD 3280.961E</v>
      </c>
      <c r="B9026" s="195" t="s">
        <v>454</v>
      </c>
      <c r="C9026" s="196">
        <v>0.96</v>
      </c>
      <c r="D9026" s="196">
        <v>1</v>
      </c>
      <c r="E9026" s="195" t="s">
        <v>583</v>
      </c>
      <c r="F9026" s="195" t="s">
        <v>19</v>
      </c>
    </row>
    <row r="9027" spans="1:6" x14ac:dyDescent="0.25">
      <c r="A9027" s="189" t="str">
        <f t="shared" si="140"/>
        <v>TA-MD 3280.961W</v>
      </c>
      <c r="B9027" s="195" t="s">
        <v>454</v>
      </c>
      <c r="C9027" s="196">
        <v>0.96</v>
      </c>
      <c r="D9027" s="196">
        <v>1</v>
      </c>
      <c r="E9027" s="195" t="s">
        <v>583</v>
      </c>
      <c r="F9027" s="195" t="s">
        <v>432</v>
      </c>
    </row>
    <row r="9028" spans="1:6" x14ac:dyDescent="0.25">
      <c r="A9028" s="189" t="str">
        <f t="shared" si="140"/>
        <v>TA-MD 32811.64E</v>
      </c>
      <c r="B9028" s="195" t="s">
        <v>454</v>
      </c>
      <c r="C9028" s="196">
        <v>1</v>
      </c>
      <c r="D9028" s="196">
        <v>1.64</v>
      </c>
      <c r="E9028" s="195" t="s">
        <v>583</v>
      </c>
      <c r="F9028" s="195" t="s">
        <v>19</v>
      </c>
    </row>
    <row r="9029" spans="1:6" x14ac:dyDescent="0.25">
      <c r="A9029" s="189" t="str">
        <f t="shared" si="140"/>
        <v>TA-MD 32811.64W</v>
      </c>
      <c r="B9029" s="195" t="s">
        <v>454</v>
      </c>
      <c r="C9029" s="196">
        <v>1</v>
      </c>
      <c r="D9029" s="196">
        <v>1.64</v>
      </c>
      <c r="E9029" s="195" t="s">
        <v>583</v>
      </c>
      <c r="F9029" s="195" t="s">
        <v>432</v>
      </c>
    </row>
    <row r="9030" spans="1:6" x14ac:dyDescent="0.25">
      <c r="A9030" s="189" t="str">
        <f t="shared" si="140"/>
        <v>TA-MD 3281.642.94E</v>
      </c>
      <c r="B9030" s="195" t="s">
        <v>454</v>
      </c>
      <c r="C9030" s="196">
        <v>1.64</v>
      </c>
      <c r="D9030" s="196">
        <v>2.94</v>
      </c>
      <c r="E9030" s="195" t="s">
        <v>583</v>
      </c>
      <c r="F9030" s="195" t="s">
        <v>19</v>
      </c>
    </row>
    <row r="9031" spans="1:6" x14ac:dyDescent="0.25">
      <c r="A9031" s="189" t="str">
        <f t="shared" si="140"/>
        <v>TA-MD 3281.642.94W</v>
      </c>
      <c r="B9031" s="195" t="s">
        <v>454</v>
      </c>
      <c r="C9031" s="196">
        <v>1.64</v>
      </c>
      <c r="D9031" s="196">
        <v>2.94</v>
      </c>
      <c r="E9031" s="195" t="s">
        <v>583</v>
      </c>
      <c r="F9031" s="195" t="s">
        <v>432</v>
      </c>
    </row>
    <row r="9032" spans="1:6" x14ac:dyDescent="0.25">
      <c r="A9032" s="189" t="str">
        <f t="shared" ref="A9032:A9095" si="141">B9032&amp;C9032&amp;D9032&amp;F9032</f>
        <v>TA-MD 3282.943E</v>
      </c>
      <c r="B9032" s="195" t="s">
        <v>454</v>
      </c>
      <c r="C9032" s="196">
        <v>2.94</v>
      </c>
      <c r="D9032" s="196">
        <v>3</v>
      </c>
      <c r="E9032" s="195" t="s">
        <v>583</v>
      </c>
      <c r="F9032" s="195" t="s">
        <v>19</v>
      </c>
    </row>
    <row r="9033" spans="1:6" x14ac:dyDescent="0.25">
      <c r="A9033" s="189" t="str">
        <f t="shared" si="141"/>
        <v>TA-MD 3282.943W</v>
      </c>
      <c r="B9033" s="195" t="s">
        <v>454</v>
      </c>
      <c r="C9033" s="196">
        <v>2.94</v>
      </c>
      <c r="D9033" s="196">
        <v>3</v>
      </c>
      <c r="E9033" s="195" t="s">
        <v>583</v>
      </c>
      <c r="F9033" s="195" t="s">
        <v>432</v>
      </c>
    </row>
    <row r="9034" spans="1:6" x14ac:dyDescent="0.25">
      <c r="A9034" s="189" t="str">
        <f t="shared" si="141"/>
        <v>TA-MD 32834.2E</v>
      </c>
      <c r="B9034" s="195" t="s">
        <v>454</v>
      </c>
      <c r="C9034" s="196">
        <v>3</v>
      </c>
      <c r="D9034" s="196">
        <v>4.2</v>
      </c>
      <c r="E9034" s="195" t="s">
        <v>583</v>
      </c>
      <c r="F9034" s="195" t="s">
        <v>19</v>
      </c>
    </row>
    <row r="9035" spans="1:6" x14ac:dyDescent="0.25">
      <c r="A9035" s="189" t="str">
        <f t="shared" si="141"/>
        <v>TA-MD 32834.2W</v>
      </c>
      <c r="B9035" s="195" t="s">
        <v>454</v>
      </c>
      <c r="C9035" s="196">
        <v>3</v>
      </c>
      <c r="D9035" s="196">
        <v>4.2</v>
      </c>
      <c r="E9035" s="195" t="s">
        <v>583</v>
      </c>
      <c r="F9035" s="195" t="s">
        <v>432</v>
      </c>
    </row>
    <row r="9036" spans="1:6" x14ac:dyDescent="0.25">
      <c r="A9036" s="189" t="str">
        <f t="shared" si="141"/>
        <v>TA-MD 3284.28.75W</v>
      </c>
      <c r="B9036" s="195" t="s">
        <v>454</v>
      </c>
      <c r="C9036" s="196">
        <v>4.2</v>
      </c>
      <c r="D9036" s="196">
        <v>8.75</v>
      </c>
      <c r="E9036" s="195" t="s">
        <v>593</v>
      </c>
      <c r="F9036" s="195" t="s">
        <v>432</v>
      </c>
    </row>
    <row r="9037" spans="1:6" x14ac:dyDescent="0.25">
      <c r="A9037" s="189" t="str">
        <f t="shared" si="141"/>
        <v>TA-MD 3284.28.78E</v>
      </c>
      <c r="B9037" s="195" t="s">
        <v>454</v>
      </c>
      <c r="C9037" s="196">
        <v>4.2</v>
      </c>
      <c r="D9037" s="196">
        <v>8.7799999999999994</v>
      </c>
      <c r="E9037" s="195" t="s">
        <v>598</v>
      </c>
      <c r="F9037" s="195" t="s">
        <v>19</v>
      </c>
    </row>
    <row r="9038" spans="1:6" x14ac:dyDescent="0.25">
      <c r="A9038" s="189" t="str">
        <f t="shared" si="141"/>
        <v>TA-MD 3288.758.89W</v>
      </c>
      <c r="B9038" s="195" t="s">
        <v>454</v>
      </c>
      <c r="C9038" s="196">
        <v>8.75</v>
      </c>
      <c r="D9038" s="196">
        <v>8.89</v>
      </c>
      <c r="E9038" s="195" t="s">
        <v>593</v>
      </c>
      <c r="F9038" s="195" t="s">
        <v>432</v>
      </c>
    </row>
    <row r="9039" spans="1:6" x14ac:dyDescent="0.25">
      <c r="A9039" s="189" t="str">
        <f t="shared" si="141"/>
        <v>TA-MD 3288.788.89E</v>
      </c>
      <c r="B9039" s="195" t="s">
        <v>454</v>
      </c>
      <c r="C9039" s="196">
        <v>8.7799999999999994</v>
      </c>
      <c r="D9039" s="196">
        <v>8.89</v>
      </c>
      <c r="E9039" s="195" t="s">
        <v>598</v>
      </c>
      <c r="F9039" s="195" t="s">
        <v>19</v>
      </c>
    </row>
    <row r="9040" spans="1:6" x14ac:dyDescent="0.25">
      <c r="A9040" s="189" t="str">
        <f t="shared" si="141"/>
        <v>TA-MD 32903.29E</v>
      </c>
      <c r="B9040" s="195" t="s">
        <v>4098</v>
      </c>
      <c r="C9040" s="196">
        <v>0</v>
      </c>
      <c r="D9040" s="196">
        <v>3.29</v>
      </c>
      <c r="E9040" s="195" t="s">
        <v>583</v>
      </c>
      <c r="F9040" s="195" t="s">
        <v>19</v>
      </c>
    </row>
    <row r="9041" spans="1:6" x14ac:dyDescent="0.25">
      <c r="A9041" s="189" t="str">
        <f t="shared" si="141"/>
        <v>TA-MD 32903.29W</v>
      </c>
      <c r="B9041" s="195" t="s">
        <v>4098</v>
      </c>
      <c r="C9041" s="196">
        <v>0</v>
      </c>
      <c r="D9041" s="196">
        <v>3.29</v>
      </c>
      <c r="E9041" s="195" t="s">
        <v>583</v>
      </c>
      <c r="F9041" s="195" t="s">
        <v>432</v>
      </c>
    </row>
    <row r="9042" spans="1:6" x14ac:dyDescent="0.25">
      <c r="A9042" s="189" t="str">
        <f t="shared" si="141"/>
        <v>TA-MD 3300.1E</v>
      </c>
      <c r="B9042" s="195" t="s">
        <v>455</v>
      </c>
      <c r="C9042" s="196">
        <v>0</v>
      </c>
      <c r="D9042" s="196">
        <v>0.1</v>
      </c>
      <c r="E9042" s="195" t="s">
        <v>583</v>
      </c>
      <c r="F9042" s="195" t="s">
        <v>19</v>
      </c>
    </row>
    <row r="9043" spans="1:6" x14ac:dyDescent="0.25">
      <c r="A9043" s="189" t="str">
        <f t="shared" si="141"/>
        <v>TA-MD 3300.1W</v>
      </c>
      <c r="B9043" s="195" t="s">
        <v>455</v>
      </c>
      <c r="C9043" s="196">
        <v>0</v>
      </c>
      <c r="D9043" s="196">
        <v>0.1</v>
      </c>
      <c r="E9043" s="195" t="s">
        <v>583</v>
      </c>
      <c r="F9043" s="195" t="s">
        <v>432</v>
      </c>
    </row>
    <row r="9044" spans="1:6" x14ac:dyDescent="0.25">
      <c r="A9044" s="189" t="str">
        <f t="shared" si="141"/>
        <v>TA-MD 330.10.85E</v>
      </c>
      <c r="B9044" s="195" t="s">
        <v>455</v>
      </c>
      <c r="C9044" s="196">
        <v>0.1</v>
      </c>
      <c r="D9044" s="196">
        <v>0.85</v>
      </c>
      <c r="E9044" s="195" t="s">
        <v>583</v>
      </c>
      <c r="F9044" s="195" t="s">
        <v>19</v>
      </c>
    </row>
    <row r="9045" spans="1:6" x14ac:dyDescent="0.25">
      <c r="A9045" s="189" t="str">
        <f t="shared" si="141"/>
        <v>TA-MD 330.10.85W</v>
      </c>
      <c r="B9045" s="195" t="s">
        <v>455</v>
      </c>
      <c r="C9045" s="196">
        <v>0.1</v>
      </c>
      <c r="D9045" s="196">
        <v>0.85</v>
      </c>
      <c r="E9045" s="195" t="s">
        <v>583</v>
      </c>
      <c r="F9045" s="195" t="s">
        <v>432</v>
      </c>
    </row>
    <row r="9046" spans="1:6" x14ac:dyDescent="0.25">
      <c r="A9046" s="189" t="str">
        <f t="shared" si="141"/>
        <v>TA-MD 330.859.07E</v>
      </c>
      <c r="B9046" s="195" t="s">
        <v>455</v>
      </c>
      <c r="C9046" s="196">
        <v>0.85</v>
      </c>
      <c r="D9046" s="196">
        <v>9.07</v>
      </c>
      <c r="E9046" s="195" t="s">
        <v>583</v>
      </c>
      <c r="F9046" s="195" t="s">
        <v>19</v>
      </c>
    </row>
    <row r="9047" spans="1:6" x14ac:dyDescent="0.25">
      <c r="A9047" s="189" t="str">
        <f t="shared" si="141"/>
        <v>TA-MD 330.859.07W</v>
      </c>
      <c r="B9047" s="195" t="s">
        <v>455</v>
      </c>
      <c r="C9047" s="196">
        <v>0.85</v>
      </c>
      <c r="D9047" s="196">
        <v>9.07</v>
      </c>
      <c r="E9047" s="195" t="s">
        <v>583</v>
      </c>
      <c r="F9047" s="195" t="s">
        <v>432</v>
      </c>
    </row>
    <row r="9048" spans="1:6" x14ac:dyDescent="0.25">
      <c r="A9048" s="189" t="str">
        <f t="shared" si="141"/>
        <v>TA-MD 339.0710E</v>
      </c>
      <c r="B9048" s="195" t="s">
        <v>455</v>
      </c>
      <c r="C9048" s="196">
        <v>9.07</v>
      </c>
      <c r="D9048" s="196">
        <v>10</v>
      </c>
      <c r="E9048" s="195" t="s">
        <v>583</v>
      </c>
      <c r="F9048" s="195" t="s">
        <v>19</v>
      </c>
    </row>
    <row r="9049" spans="1:6" x14ac:dyDescent="0.25">
      <c r="A9049" s="189" t="str">
        <f t="shared" si="141"/>
        <v>TA-MD 339.0710W</v>
      </c>
      <c r="B9049" s="195" t="s">
        <v>455</v>
      </c>
      <c r="C9049" s="196">
        <v>9.07</v>
      </c>
      <c r="D9049" s="196">
        <v>10</v>
      </c>
      <c r="E9049" s="195" t="s">
        <v>583</v>
      </c>
      <c r="F9049" s="195" t="s">
        <v>432</v>
      </c>
    </row>
    <row r="9050" spans="1:6" x14ac:dyDescent="0.25">
      <c r="A9050" s="189" t="str">
        <f t="shared" si="141"/>
        <v>TA-MD 331010.81E</v>
      </c>
      <c r="B9050" s="195" t="s">
        <v>455</v>
      </c>
      <c r="C9050" s="196">
        <v>10</v>
      </c>
      <c r="D9050" s="196">
        <v>10.81</v>
      </c>
      <c r="E9050" s="195" t="s">
        <v>583</v>
      </c>
      <c r="F9050" s="195" t="s">
        <v>19</v>
      </c>
    </row>
    <row r="9051" spans="1:6" x14ac:dyDescent="0.25">
      <c r="A9051" s="189" t="str">
        <f t="shared" si="141"/>
        <v>TA-MD 331010.81W</v>
      </c>
      <c r="B9051" s="195" t="s">
        <v>455</v>
      </c>
      <c r="C9051" s="196">
        <v>10</v>
      </c>
      <c r="D9051" s="196">
        <v>10.81</v>
      </c>
      <c r="E9051" s="195" t="s">
        <v>583</v>
      </c>
      <c r="F9051" s="195" t="s">
        <v>432</v>
      </c>
    </row>
    <row r="9052" spans="1:6" x14ac:dyDescent="0.25">
      <c r="A9052" s="189" t="str">
        <f t="shared" si="141"/>
        <v>TA-MD 3310.8112.82E</v>
      </c>
      <c r="B9052" s="195" t="s">
        <v>455</v>
      </c>
      <c r="C9052" s="196">
        <v>10.81</v>
      </c>
      <c r="D9052" s="196">
        <v>12.82</v>
      </c>
      <c r="E9052" s="195" t="s">
        <v>583</v>
      </c>
      <c r="F9052" s="195" t="s">
        <v>19</v>
      </c>
    </row>
    <row r="9053" spans="1:6" x14ac:dyDescent="0.25">
      <c r="A9053" s="189" t="str">
        <f t="shared" si="141"/>
        <v>TA-MD 3310.8112.82W</v>
      </c>
      <c r="B9053" s="195" t="s">
        <v>455</v>
      </c>
      <c r="C9053" s="196">
        <v>10.81</v>
      </c>
      <c r="D9053" s="196">
        <v>12.82</v>
      </c>
      <c r="E9053" s="195" t="s">
        <v>583</v>
      </c>
      <c r="F9053" s="195" t="s">
        <v>432</v>
      </c>
    </row>
    <row r="9054" spans="1:6" x14ac:dyDescent="0.25">
      <c r="A9054" s="189" t="str">
        <f t="shared" si="141"/>
        <v>TA-MD 3312.8216.7E</v>
      </c>
      <c r="B9054" s="195" t="s">
        <v>455</v>
      </c>
      <c r="C9054" s="196">
        <v>12.82</v>
      </c>
      <c r="D9054" s="196">
        <v>16.7</v>
      </c>
      <c r="E9054" s="195" t="s">
        <v>583</v>
      </c>
      <c r="F9054" s="195" t="s">
        <v>19</v>
      </c>
    </row>
    <row r="9055" spans="1:6" x14ac:dyDescent="0.25">
      <c r="A9055" s="189" t="str">
        <f t="shared" si="141"/>
        <v>TA-MD 3312.8216.7W</v>
      </c>
      <c r="B9055" s="195" t="s">
        <v>455</v>
      </c>
      <c r="C9055" s="196">
        <v>12.82</v>
      </c>
      <c r="D9055" s="196">
        <v>16.7</v>
      </c>
      <c r="E9055" s="195" t="s">
        <v>583</v>
      </c>
      <c r="F9055" s="195" t="s">
        <v>432</v>
      </c>
    </row>
    <row r="9056" spans="1:6" x14ac:dyDescent="0.25">
      <c r="A9056" s="189" t="str">
        <f t="shared" si="141"/>
        <v>TA-MD 3316.716.97E</v>
      </c>
      <c r="B9056" s="195" t="s">
        <v>455</v>
      </c>
      <c r="C9056" s="196">
        <v>16.7</v>
      </c>
      <c r="D9056" s="196">
        <v>16.97</v>
      </c>
      <c r="E9056" s="195" t="s">
        <v>598</v>
      </c>
      <c r="F9056" s="195" t="s">
        <v>19</v>
      </c>
    </row>
    <row r="9057" spans="1:6" x14ac:dyDescent="0.25">
      <c r="A9057" s="189" t="str">
        <f t="shared" si="141"/>
        <v>TA-MD 3316.717.35W</v>
      </c>
      <c r="B9057" s="195" t="s">
        <v>455</v>
      </c>
      <c r="C9057" s="196">
        <v>16.7</v>
      </c>
      <c r="D9057" s="196">
        <v>17.350000000000001</v>
      </c>
      <c r="E9057" s="195" t="s">
        <v>593</v>
      </c>
      <c r="F9057" s="195" t="s">
        <v>432</v>
      </c>
    </row>
    <row r="9058" spans="1:6" x14ac:dyDescent="0.25">
      <c r="A9058" s="189" t="str">
        <f t="shared" si="141"/>
        <v>TA-MD 3316.9717.35E</v>
      </c>
      <c r="B9058" s="195" t="s">
        <v>455</v>
      </c>
      <c r="C9058" s="196">
        <v>16.97</v>
      </c>
      <c r="D9058" s="196">
        <v>17.350000000000001</v>
      </c>
      <c r="E9058" s="195" t="s">
        <v>598</v>
      </c>
      <c r="F9058" s="195" t="s">
        <v>19</v>
      </c>
    </row>
    <row r="9059" spans="1:6" x14ac:dyDescent="0.25">
      <c r="A9059" s="189" t="str">
        <f t="shared" si="141"/>
        <v>TA-MD 3317.3518.3E</v>
      </c>
      <c r="B9059" s="195" t="s">
        <v>455</v>
      </c>
      <c r="C9059" s="196">
        <v>17.350000000000001</v>
      </c>
      <c r="D9059" s="196">
        <v>18.3</v>
      </c>
      <c r="E9059" s="195" t="s">
        <v>583</v>
      </c>
      <c r="F9059" s="195" t="s">
        <v>19</v>
      </c>
    </row>
    <row r="9060" spans="1:6" x14ac:dyDescent="0.25">
      <c r="A9060" s="189" t="str">
        <f t="shared" si="141"/>
        <v>TA-MD 3317.3518.3W</v>
      </c>
      <c r="B9060" s="195" t="s">
        <v>455</v>
      </c>
      <c r="C9060" s="196">
        <v>17.350000000000001</v>
      </c>
      <c r="D9060" s="196">
        <v>18.3</v>
      </c>
      <c r="E9060" s="195" t="s">
        <v>583</v>
      </c>
      <c r="F9060" s="195" t="s">
        <v>432</v>
      </c>
    </row>
    <row r="9061" spans="1:6" x14ac:dyDescent="0.25">
      <c r="A9061" s="189" t="str">
        <f t="shared" si="141"/>
        <v>TA-MD 3318.322.16E</v>
      </c>
      <c r="B9061" s="195" t="s">
        <v>455</v>
      </c>
      <c r="C9061" s="196">
        <v>18.3</v>
      </c>
      <c r="D9061" s="196">
        <v>22.16</v>
      </c>
      <c r="E9061" s="195" t="s">
        <v>583</v>
      </c>
      <c r="F9061" s="195" t="s">
        <v>19</v>
      </c>
    </row>
    <row r="9062" spans="1:6" x14ac:dyDescent="0.25">
      <c r="A9062" s="189" t="str">
        <f t="shared" si="141"/>
        <v>TA-MD 3318.322.16W</v>
      </c>
      <c r="B9062" s="195" t="s">
        <v>455</v>
      </c>
      <c r="C9062" s="196">
        <v>18.3</v>
      </c>
      <c r="D9062" s="196">
        <v>22.16</v>
      </c>
      <c r="E9062" s="195" t="s">
        <v>583</v>
      </c>
      <c r="F9062" s="195" t="s">
        <v>432</v>
      </c>
    </row>
    <row r="9063" spans="1:6" x14ac:dyDescent="0.25">
      <c r="A9063" s="189" t="str">
        <f t="shared" si="141"/>
        <v>TA-MD 3322.1622.65E</v>
      </c>
      <c r="B9063" s="195" t="s">
        <v>455</v>
      </c>
      <c r="C9063" s="196">
        <v>22.16</v>
      </c>
      <c r="D9063" s="196">
        <v>22.65</v>
      </c>
      <c r="E9063" s="195" t="s">
        <v>583</v>
      </c>
      <c r="F9063" s="195" t="s">
        <v>19</v>
      </c>
    </row>
    <row r="9064" spans="1:6" x14ac:dyDescent="0.25">
      <c r="A9064" s="189" t="str">
        <f t="shared" si="141"/>
        <v>TA-MD 3322.1622.65W</v>
      </c>
      <c r="B9064" s="195" t="s">
        <v>455</v>
      </c>
      <c r="C9064" s="196">
        <v>22.16</v>
      </c>
      <c r="D9064" s="196">
        <v>22.65</v>
      </c>
      <c r="E9064" s="195" t="s">
        <v>583</v>
      </c>
      <c r="F9064" s="195" t="s">
        <v>432</v>
      </c>
    </row>
    <row r="9065" spans="1:6" x14ac:dyDescent="0.25">
      <c r="A9065" s="189" t="str">
        <f t="shared" si="141"/>
        <v>TA-MD 3322.6522.66W</v>
      </c>
      <c r="B9065" s="195" t="s">
        <v>455</v>
      </c>
      <c r="C9065" s="196">
        <v>22.65</v>
      </c>
      <c r="D9065" s="196">
        <v>22.66</v>
      </c>
      <c r="E9065" s="195" t="s">
        <v>593</v>
      </c>
      <c r="F9065" s="195" t="s">
        <v>432</v>
      </c>
    </row>
    <row r="9066" spans="1:6" x14ac:dyDescent="0.25">
      <c r="A9066" s="189" t="str">
        <f t="shared" si="141"/>
        <v>TA-MD 3322.6523.17E</v>
      </c>
      <c r="B9066" s="195" t="s">
        <v>455</v>
      </c>
      <c r="C9066" s="196">
        <v>22.65</v>
      </c>
      <c r="D9066" s="196">
        <v>23.17</v>
      </c>
      <c r="E9066" s="195" t="s">
        <v>598</v>
      </c>
      <c r="F9066" s="195" t="s">
        <v>19</v>
      </c>
    </row>
    <row r="9067" spans="1:6" x14ac:dyDescent="0.25">
      <c r="A9067" s="189" t="str">
        <f t="shared" si="141"/>
        <v>TA-MD 3322.723.17W</v>
      </c>
      <c r="B9067" s="195" t="s">
        <v>455</v>
      </c>
      <c r="C9067" s="196">
        <v>22.7</v>
      </c>
      <c r="D9067" s="196">
        <v>23.17</v>
      </c>
      <c r="E9067" s="195" t="s">
        <v>593</v>
      </c>
      <c r="F9067" s="195" t="s">
        <v>432</v>
      </c>
    </row>
    <row r="9068" spans="1:6" x14ac:dyDescent="0.25">
      <c r="A9068" s="189" t="str">
        <f t="shared" si="141"/>
        <v>TA-MD 33100.13S</v>
      </c>
      <c r="B9068" s="195" t="s">
        <v>456</v>
      </c>
      <c r="C9068" s="196">
        <v>0</v>
      </c>
      <c r="D9068" s="196">
        <v>0.13</v>
      </c>
      <c r="E9068" s="195" t="s">
        <v>595</v>
      </c>
      <c r="F9068" s="195" t="s">
        <v>438</v>
      </c>
    </row>
    <row r="9069" spans="1:6" x14ac:dyDescent="0.25">
      <c r="A9069" s="189" t="str">
        <f t="shared" si="141"/>
        <v>TA-MD 33100.35N</v>
      </c>
      <c r="B9069" s="195" t="s">
        <v>456</v>
      </c>
      <c r="C9069" s="196">
        <v>0</v>
      </c>
      <c r="D9069" s="196">
        <v>0.35</v>
      </c>
      <c r="E9069" s="195" t="s">
        <v>589</v>
      </c>
      <c r="F9069" s="195" t="s">
        <v>430</v>
      </c>
    </row>
    <row r="9070" spans="1:6" x14ac:dyDescent="0.25">
      <c r="A9070" s="189" t="str">
        <f t="shared" si="141"/>
        <v>TA-MD 3310.130.35S</v>
      </c>
      <c r="B9070" s="195" t="s">
        <v>456</v>
      </c>
      <c r="C9070" s="196">
        <v>0.13</v>
      </c>
      <c r="D9070" s="196">
        <v>0.35</v>
      </c>
      <c r="E9070" s="195" t="s">
        <v>595</v>
      </c>
      <c r="F9070" s="195" t="s">
        <v>438</v>
      </c>
    </row>
    <row r="9071" spans="1:6" x14ac:dyDescent="0.25">
      <c r="A9071" s="189" t="str">
        <f t="shared" si="141"/>
        <v>TA-MD 3310.350.42N</v>
      </c>
      <c r="B9071" s="195" t="s">
        <v>456</v>
      </c>
      <c r="C9071" s="196">
        <v>0.35</v>
      </c>
      <c r="D9071" s="196">
        <v>0.42</v>
      </c>
      <c r="E9071" s="195" t="s">
        <v>583</v>
      </c>
      <c r="F9071" s="195" t="s">
        <v>430</v>
      </c>
    </row>
    <row r="9072" spans="1:6" x14ac:dyDescent="0.25">
      <c r="A9072" s="189" t="str">
        <f t="shared" si="141"/>
        <v>TA-MD 3310.350.42S</v>
      </c>
      <c r="B9072" s="195" t="s">
        <v>456</v>
      </c>
      <c r="C9072" s="196">
        <v>0.35</v>
      </c>
      <c r="D9072" s="196">
        <v>0.42</v>
      </c>
      <c r="E9072" s="195" t="s">
        <v>583</v>
      </c>
      <c r="F9072" s="195" t="s">
        <v>438</v>
      </c>
    </row>
    <row r="9073" spans="1:6" x14ac:dyDescent="0.25">
      <c r="A9073" s="189" t="str">
        <f t="shared" si="141"/>
        <v>TA-MD 3310.423.2N</v>
      </c>
      <c r="B9073" s="195" t="s">
        <v>456</v>
      </c>
      <c r="C9073" s="196">
        <v>0.42</v>
      </c>
      <c r="D9073" s="196">
        <v>3.2</v>
      </c>
      <c r="E9073" s="195" t="s">
        <v>583</v>
      </c>
      <c r="F9073" s="195" t="s">
        <v>430</v>
      </c>
    </row>
    <row r="9074" spans="1:6" x14ac:dyDescent="0.25">
      <c r="A9074" s="189" t="str">
        <f t="shared" si="141"/>
        <v>TA-MD 3310.423.2S</v>
      </c>
      <c r="B9074" s="195" t="s">
        <v>456</v>
      </c>
      <c r="C9074" s="196">
        <v>0.42</v>
      </c>
      <c r="D9074" s="196">
        <v>3.2</v>
      </c>
      <c r="E9074" s="195" t="s">
        <v>583</v>
      </c>
      <c r="F9074" s="195" t="s">
        <v>438</v>
      </c>
    </row>
    <row r="9075" spans="1:6" x14ac:dyDescent="0.25">
      <c r="A9075" s="189" t="str">
        <f t="shared" si="141"/>
        <v>TA-MD 3313.23.96N</v>
      </c>
      <c r="B9075" s="195" t="s">
        <v>456</v>
      </c>
      <c r="C9075" s="196">
        <v>3.2</v>
      </c>
      <c r="D9075" s="196">
        <v>3.96</v>
      </c>
      <c r="E9075" s="195" t="s">
        <v>583</v>
      </c>
      <c r="F9075" s="195" t="s">
        <v>430</v>
      </c>
    </row>
    <row r="9076" spans="1:6" x14ac:dyDescent="0.25">
      <c r="A9076" s="189" t="str">
        <f t="shared" si="141"/>
        <v>TA-MD 3313.23.96S</v>
      </c>
      <c r="B9076" s="195" t="s">
        <v>456</v>
      </c>
      <c r="C9076" s="196">
        <v>3.2</v>
      </c>
      <c r="D9076" s="196">
        <v>3.96</v>
      </c>
      <c r="E9076" s="195" t="s">
        <v>583</v>
      </c>
      <c r="F9076" s="195" t="s">
        <v>438</v>
      </c>
    </row>
    <row r="9077" spans="1:6" x14ac:dyDescent="0.25">
      <c r="A9077" s="189" t="str">
        <f t="shared" si="141"/>
        <v>TA-MD 33300.9N</v>
      </c>
      <c r="B9077" s="195" t="s">
        <v>4099</v>
      </c>
      <c r="C9077" s="196">
        <v>0</v>
      </c>
      <c r="D9077" s="196">
        <v>0.9</v>
      </c>
      <c r="E9077" s="195" t="s">
        <v>583</v>
      </c>
      <c r="F9077" s="195" t="s">
        <v>430</v>
      </c>
    </row>
    <row r="9078" spans="1:6" x14ac:dyDescent="0.25">
      <c r="A9078" s="189" t="str">
        <f t="shared" si="141"/>
        <v>TA-MD 33300.9S</v>
      </c>
      <c r="B9078" s="195" t="s">
        <v>4099</v>
      </c>
      <c r="C9078" s="196">
        <v>0</v>
      </c>
      <c r="D9078" s="196">
        <v>0.9</v>
      </c>
      <c r="E9078" s="195" t="s">
        <v>583</v>
      </c>
      <c r="F9078" s="195" t="s">
        <v>438</v>
      </c>
    </row>
    <row r="9079" spans="1:6" x14ac:dyDescent="0.25">
      <c r="A9079" s="189" t="str">
        <f t="shared" si="141"/>
        <v>TA-MD 3330.90.95N</v>
      </c>
      <c r="B9079" s="195" t="s">
        <v>4099</v>
      </c>
      <c r="C9079" s="196">
        <v>0.9</v>
      </c>
      <c r="D9079" s="196">
        <v>0.95</v>
      </c>
      <c r="E9079" s="195" t="s">
        <v>583</v>
      </c>
      <c r="F9079" s="195" t="s">
        <v>430</v>
      </c>
    </row>
    <row r="9080" spans="1:6" x14ac:dyDescent="0.25">
      <c r="A9080" s="189" t="str">
        <f t="shared" si="141"/>
        <v>TA-MD 3330.90.95S</v>
      </c>
      <c r="B9080" s="195" t="s">
        <v>4099</v>
      </c>
      <c r="C9080" s="196">
        <v>0.9</v>
      </c>
      <c r="D9080" s="196">
        <v>0.95</v>
      </c>
      <c r="E9080" s="195" t="s">
        <v>583</v>
      </c>
      <c r="F9080" s="195" t="s">
        <v>438</v>
      </c>
    </row>
    <row r="9081" spans="1:6" x14ac:dyDescent="0.25">
      <c r="A9081" s="189" t="str">
        <f t="shared" si="141"/>
        <v>TA-MD 3330.955.7N</v>
      </c>
      <c r="B9081" s="195" t="s">
        <v>4099</v>
      </c>
      <c r="C9081" s="196">
        <v>0.95</v>
      </c>
      <c r="D9081" s="196">
        <v>5.7</v>
      </c>
      <c r="E9081" s="195" t="s">
        <v>583</v>
      </c>
      <c r="F9081" s="195" t="s">
        <v>430</v>
      </c>
    </row>
    <row r="9082" spans="1:6" x14ac:dyDescent="0.25">
      <c r="A9082" s="189" t="str">
        <f t="shared" si="141"/>
        <v>TA-MD 3330.955.7S</v>
      </c>
      <c r="B9082" s="195" t="s">
        <v>4099</v>
      </c>
      <c r="C9082" s="196">
        <v>0.95</v>
      </c>
      <c r="D9082" s="196">
        <v>5.7</v>
      </c>
      <c r="E9082" s="195" t="s">
        <v>583</v>
      </c>
      <c r="F9082" s="195" t="s">
        <v>438</v>
      </c>
    </row>
    <row r="9083" spans="1:6" x14ac:dyDescent="0.25">
      <c r="A9083" s="189" t="str">
        <f t="shared" si="141"/>
        <v>TA-MD 3335.76.2N</v>
      </c>
      <c r="B9083" s="195" t="s">
        <v>4099</v>
      </c>
      <c r="C9083" s="196">
        <v>5.7</v>
      </c>
      <c r="D9083" s="196">
        <v>6.2</v>
      </c>
      <c r="E9083" s="195" t="s">
        <v>583</v>
      </c>
      <c r="F9083" s="195" t="s">
        <v>430</v>
      </c>
    </row>
    <row r="9084" spans="1:6" x14ac:dyDescent="0.25">
      <c r="A9084" s="189" t="str">
        <f t="shared" si="141"/>
        <v>TA-MD 3335.76.2S</v>
      </c>
      <c r="B9084" s="195" t="s">
        <v>4099</v>
      </c>
      <c r="C9084" s="196">
        <v>5.7</v>
      </c>
      <c r="D9084" s="196">
        <v>6.2</v>
      </c>
      <c r="E9084" s="195" t="s">
        <v>583</v>
      </c>
      <c r="F9084" s="195" t="s">
        <v>438</v>
      </c>
    </row>
    <row r="9085" spans="1:6" x14ac:dyDescent="0.25">
      <c r="A9085" s="189" t="str">
        <f t="shared" si="141"/>
        <v>TA-MD 3336.27.25N</v>
      </c>
      <c r="B9085" s="195" t="s">
        <v>4099</v>
      </c>
      <c r="C9085" s="196">
        <v>6.2</v>
      </c>
      <c r="D9085" s="196">
        <v>7.25</v>
      </c>
      <c r="E9085" s="195" t="s">
        <v>583</v>
      </c>
      <c r="F9085" s="195" t="s">
        <v>430</v>
      </c>
    </row>
    <row r="9086" spans="1:6" x14ac:dyDescent="0.25">
      <c r="A9086" s="189" t="str">
        <f t="shared" si="141"/>
        <v>TA-MD 3336.27.25S</v>
      </c>
      <c r="B9086" s="195" t="s">
        <v>4099</v>
      </c>
      <c r="C9086" s="196">
        <v>6.2</v>
      </c>
      <c r="D9086" s="196">
        <v>7.25</v>
      </c>
      <c r="E9086" s="195" t="s">
        <v>583</v>
      </c>
      <c r="F9086" s="195" t="s">
        <v>438</v>
      </c>
    </row>
    <row r="9087" spans="1:6" x14ac:dyDescent="0.25">
      <c r="A9087" s="189" t="str">
        <f t="shared" si="141"/>
        <v>TA-MD 3337.257.39S</v>
      </c>
      <c r="B9087" s="195" t="s">
        <v>4099</v>
      </c>
      <c r="C9087" s="196">
        <v>7.25</v>
      </c>
      <c r="D9087" s="196">
        <v>7.39</v>
      </c>
      <c r="E9087" s="195" t="s">
        <v>595</v>
      </c>
      <c r="F9087" s="195" t="s">
        <v>438</v>
      </c>
    </row>
    <row r="9088" spans="1:6" x14ac:dyDescent="0.25">
      <c r="A9088" s="189" t="str">
        <f t="shared" si="141"/>
        <v>TA-MD 3337.257.4N</v>
      </c>
      <c r="B9088" s="195" t="s">
        <v>4099</v>
      </c>
      <c r="C9088" s="196">
        <v>7.25</v>
      </c>
      <c r="D9088" s="196">
        <v>7.4</v>
      </c>
      <c r="E9088" s="195" t="s">
        <v>589</v>
      </c>
      <c r="F9088" s="195" t="s">
        <v>430</v>
      </c>
    </row>
    <row r="9089" spans="1:6" x14ac:dyDescent="0.25">
      <c r="A9089" s="189" t="str">
        <f t="shared" si="141"/>
        <v>TA-MD 3337.397.4S</v>
      </c>
      <c r="B9089" s="195" t="s">
        <v>4099</v>
      </c>
      <c r="C9089" s="196">
        <v>7.39</v>
      </c>
      <c r="D9089" s="196">
        <v>7.4</v>
      </c>
      <c r="E9089" s="195" t="s">
        <v>595</v>
      </c>
      <c r="F9089" s="195" t="s">
        <v>438</v>
      </c>
    </row>
    <row r="9090" spans="1:6" x14ac:dyDescent="0.25">
      <c r="A9090" s="189" t="str">
        <f t="shared" si="141"/>
        <v>TA-MD 3337.47.43N</v>
      </c>
      <c r="B9090" s="195" t="s">
        <v>4099</v>
      </c>
      <c r="C9090" s="196">
        <v>7.4</v>
      </c>
      <c r="D9090" s="196">
        <v>7.43</v>
      </c>
      <c r="E9090" s="195" t="s">
        <v>589</v>
      </c>
      <c r="F9090" s="195" t="s">
        <v>430</v>
      </c>
    </row>
    <row r="9091" spans="1:6" x14ac:dyDescent="0.25">
      <c r="A9091" s="189" t="str">
        <f t="shared" si="141"/>
        <v>TA-MD 3337.47.5S</v>
      </c>
      <c r="B9091" s="195" t="s">
        <v>4099</v>
      </c>
      <c r="C9091" s="196">
        <v>7.4</v>
      </c>
      <c r="D9091" s="196">
        <v>7.5</v>
      </c>
      <c r="E9091" s="195" t="s">
        <v>595</v>
      </c>
      <c r="F9091" s="195" t="s">
        <v>438</v>
      </c>
    </row>
    <row r="9092" spans="1:6" x14ac:dyDescent="0.25">
      <c r="A9092" s="189" t="str">
        <f t="shared" si="141"/>
        <v>TA-MD 3337.437.54N</v>
      </c>
      <c r="B9092" s="195" t="s">
        <v>4099</v>
      </c>
      <c r="C9092" s="196">
        <v>7.43</v>
      </c>
      <c r="D9092" s="196">
        <v>7.54</v>
      </c>
      <c r="E9092" s="195" t="s">
        <v>589</v>
      </c>
      <c r="F9092" s="195" t="s">
        <v>430</v>
      </c>
    </row>
    <row r="9093" spans="1:6" x14ac:dyDescent="0.25">
      <c r="A9093" s="189" t="str">
        <f t="shared" si="141"/>
        <v>TA-MD 3337.57.58S</v>
      </c>
      <c r="B9093" s="195" t="s">
        <v>4099</v>
      </c>
      <c r="C9093" s="196">
        <v>7.5</v>
      </c>
      <c r="D9093" s="196">
        <v>7.58</v>
      </c>
      <c r="E9093" s="195" t="s">
        <v>595</v>
      </c>
      <c r="F9093" s="195" t="s">
        <v>438</v>
      </c>
    </row>
    <row r="9094" spans="1:6" x14ac:dyDescent="0.25">
      <c r="A9094" s="189" t="str">
        <f t="shared" si="141"/>
        <v>TA-MD 3337.547.58N</v>
      </c>
      <c r="B9094" s="195" t="s">
        <v>4099</v>
      </c>
      <c r="C9094" s="196">
        <v>7.54</v>
      </c>
      <c r="D9094" s="196">
        <v>7.58</v>
      </c>
      <c r="E9094" s="195" t="s">
        <v>589</v>
      </c>
      <c r="F9094" s="195" t="s">
        <v>430</v>
      </c>
    </row>
    <row r="9095" spans="1:6" x14ac:dyDescent="0.25">
      <c r="A9095" s="189" t="str">
        <f t="shared" si="141"/>
        <v>TA-MD 3337.587.7N</v>
      </c>
      <c r="B9095" s="195" t="s">
        <v>4099</v>
      </c>
      <c r="C9095" s="196">
        <v>7.58</v>
      </c>
      <c r="D9095" s="196">
        <v>7.7</v>
      </c>
      <c r="E9095" s="195" t="s">
        <v>583</v>
      </c>
      <c r="F9095" s="195" t="s">
        <v>430</v>
      </c>
    </row>
    <row r="9096" spans="1:6" x14ac:dyDescent="0.25">
      <c r="A9096" s="189" t="str">
        <f t="shared" ref="A9096:A9159" si="142">B9096&amp;C9096&amp;D9096&amp;F9096</f>
        <v>TA-MD 3337.587.7S</v>
      </c>
      <c r="B9096" s="195" t="s">
        <v>4099</v>
      </c>
      <c r="C9096" s="196">
        <v>7.58</v>
      </c>
      <c r="D9096" s="196">
        <v>7.7</v>
      </c>
      <c r="E9096" s="195" t="s">
        <v>583</v>
      </c>
      <c r="F9096" s="195" t="s">
        <v>438</v>
      </c>
    </row>
    <row r="9097" spans="1:6" x14ac:dyDescent="0.25">
      <c r="A9097" s="189" t="str">
        <f t="shared" si="142"/>
        <v>TA-MD 3337.79.41N</v>
      </c>
      <c r="B9097" s="195" t="s">
        <v>4099</v>
      </c>
      <c r="C9097" s="196">
        <v>7.7</v>
      </c>
      <c r="D9097" s="196">
        <v>9.41</v>
      </c>
      <c r="E9097" s="195" t="s">
        <v>583</v>
      </c>
      <c r="F9097" s="195" t="s">
        <v>430</v>
      </c>
    </row>
    <row r="9098" spans="1:6" x14ac:dyDescent="0.25">
      <c r="A9098" s="189" t="str">
        <f t="shared" si="142"/>
        <v>TA-MD 3337.79.41S</v>
      </c>
      <c r="B9098" s="195" t="s">
        <v>4099</v>
      </c>
      <c r="C9098" s="196">
        <v>7.7</v>
      </c>
      <c r="D9098" s="196">
        <v>9.41</v>
      </c>
      <c r="E9098" s="195" t="s">
        <v>583</v>
      </c>
      <c r="F9098" s="195" t="s">
        <v>438</v>
      </c>
    </row>
    <row r="9099" spans="1:6" x14ac:dyDescent="0.25">
      <c r="A9099" s="189" t="str">
        <f t="shared" si="142"/>
        <v>TA-MD 3339.419.79N</v>
      </c>
      <c r="B9099" s="195" t="s">
        <v>4099</v>
      </c>
      <c r="C9099" s="196">
        <v>9.41</v>
      </c>
      <c r="D9099" s="196">
        <v>9.7899999999999991</v>
      </c>
      <c r="E9099" s="195" t="s">
        <v>583</v>
      </c>
      <c r="F9099" s="195" t="s">
        <v>430</v>
      </c>
    </row>
    <row r="9100" spans="1:6" x14ac:dyDescent="0.25">
      <c r="A9100" s="189" t="str">
        <f t="shared" si="142"/>
        <v>TA-MD 3339.419.79S</v>
      </c>
      <c r="B9100" s="195" t="s">
        <v>4099</v>
      </c>
      <c r="C9100" s="196">
        <v>9.41</v>
      </c>
      <c r="D9100" s="196">
        <v>9.7899999999999991</v>
      </c>
      <c r="E9100" s="195" t="s">
        <v>583</v>
      </c>
      <c r="F9100" s="195" t="s">
        <v>438</v>
      </c>
    </row>
    <row r="9101" spans="1:6" x14ac:dyDescent="0.25">
      <c r="A9101" s="189" t="str">
        <f t="shared" si="142"/>
        <v>TA-MD 3340.420.77E</v>
      </c>
      <c r="B9101" s="195" t="s">
        <v>4100</v>
      </c>
      <c r="C9101" s="196">
        <v>0.42</v>
      </c>
      <c r="D9101" s="196">
        <v>0.77</v>
      </c>
      <c r="E9101" s="195" t="s">
        <v>598</v>
      </c>
      <c r="F9101" s="195" t="s">
        <v>19</v>
      </c>
    </row>
    <row r="9102" spans="1:6" x14ac:dyDescent="0.25">
      <c r="A9102" s="189" t="str">
        <f t="shared" si="142"/>
        <v>TA-MD 3340.420.77W</v>
      </c>
      <c r="B9102" s="195" t="s">
        <v>4100</v>
      </c>
      <c r="C9102" s="196">
        <v>0.42</v>
      </c>
      <c r="D9102" s="196">
        <v>0.77</v>
      </c>
      <c r="E9102" s="195" t="s">
        <v>593</v>
      </c>
      <c r="F9102" s="195" t="s">
        <v>432</v>
      </c>
    </row>
    <row r="9103" spans="1:6" x14ac:dyDescent="0.25">
      <c r="A9103" s="189" t="str">
        <f t="shared" si="142"/>
        <v>TA-MD 37000.83N</v>
      </c>
      <c r="B9103" s="195" t="s">
        <v>4101</v>
      </c>
      <c r="C9103" s="196">
        <v>0</v>
      </c>
      <c r="D9103" s="196">
        <v>0.83</v>
      </c>
      <c r="E9103" s="195" t="s">
        <v>589</v>
      </c>
      <c r="F9103" s="195" t="s">
        <v>430</v>
      </c>
    </row>
    <row r="9104" spans="1:6" x14ac:dyDescent="0.25">
      <c r="A9104" s="189" t="str">
        <f t="shared" si="142"/>
        <v>TA-MD 37000.84S</v>
      </c>
      <c r="B9104" s="195" t="s">
        <v>4101</v>
      </c>
      <c r="C9104" s="196">
        <v>0</v>
      </c>
      <c r="D9104" s="196">
        <v>0.84</v>
      </c>
      <c r="E9104" s="195" t="s">
        <v>595</v>
      </c>
      <c r="F9104" s="195" t="s">
        <v>438</v>
      </c>
    </row>
    <row r="9105" spans="1:6" x14ac:dyDescent="0.25">
      <c r="A9105" s="189" t="str">
        <f t="shared" si="142"/>
        <v>TA-MD 3700.831.07N</v>
      </c>
      <c r="B9105" s="195" t="s">
        <v>4101</v>
      </c>
      <c r="C9105" s="196">
        <v>0.83</v>
      </c>
      <c r="D9105" s="196">
        <v>1.07</v>
      </c>
      <c r="E9105" s="195" t="s">
        <v>589</v>
      </c>
      <c r="F9105" s="195" t="s">
        <v>430</v>
      </c>
    </row>
    <row r="9106" spans="1:6" x14ac:dyDescent="0.25">
      <c r="A9106" s="189" t="str">
        <f t="shared" si="142"/>
        <v>TA-MD 3700.841.08S</v>
      </c>
      <c r="B9106" s="195" t="s">
        <v>4101</v>
      </c>
      <c r="C9106" s="196">
        <v>0.84</v>
      </c>
      <c r="D9106" s="196">
        <v>1.08</v>
      </c>
      <c r="E9106" s="195" t="s">
        <v>595</v>
      </c>
      <c r="F9106" s="195" t="s">
        <v>438</v>
      </c>
    </row>
    <row r="9107" spans="1:6" x14ac:dyDescent="0.25">
      <c r="A9107" s="189" t="str">
        <f t="shared" si="142"/>
        <v>TA-MD 3701.071.58N</v>
      </c>
      <c r="B9107" s="195" t="s">
        <v>4101</v>
      </c>
      <c r="C9107" s="196">
        <v>1.07</v>
      </c>
      <c r="D9107" s="196">
        <v>1.58</v>
      </c>
      <c r="E9107" s="195" t="s">
        <v>589</v>
      </c>
      <c r="F9107" s="195" t="s">
        <v>430</v>
      </c>
    </row>
    <row r="9108" spans="1:6" x14ac:dyDescent="0.25">
      <c r="A9108" s="189" t="str">
        <f t="shared" si="142"/>
        <v>TA-MD 3701.081.58S</v>
      </c>
      <c r="B9108" s="195" t="s">
        <v>4101</v>
      </c>
      <c r="C9108" s="196">
        <v>1.08</v>
      </c>
      <c r="D9108" s="196">
        <v>1.58</v>
      </c>
      <c r="E9108" s="195" t="s">
        <v>595</v>
      </c>
      <c r="F9108" s="195" t="s">
        <v>438</v>
      </c>
    </row>
    <row r="9109" spans="1:6" x14ac:dyDescent="0.25">
      <c r="A9109" s="189" t="str">
        <f t="shared" si="142"/>
        <v>TA-MD 40401.01E</v>
      </c>
      <c r="B9109" s="195" t="s">
        <v>4102</v>
      </c>
      <c r="C9109" s="196">
        <v>0</v>
      </c>
      <c r="D9109" s="196">
        <v>1.01</v>
      </c>
      <c r="E9109" s="195" t="s">
        <v>583</v>
      </c>
      <c r="F9109" s="195" t="s">
        <v>19</v>
      </c>
    </row>
    <row r="9110" spans="1:6" x14ac:dyDescent="0.25">
      <c r="A9110" s="189" t="str">
        <f t="shared" si="142"/>
        <v>TA-MD 40401.01W</v>
      </c>
      <c r="B9110" s="195" t="s">
        <v>4102</v>
      </c>
      <c r="C9110" s="196">
        <v>0</v>
      </c>
      <c r="D9110" s="196">
        <v>1.01</v>
      </c>
      <c r="E9110" s="195" t="s">
        <v>583</v>
      </c>
      <c r="F9110" s="195" t="s">
        <v>432</v>
      </c>
    </row>
    <row r="9111" spans="1:6" x14ac:dyDescent="0.25">
      <c r="A9111" s="189" t="str">
        <f t="shared" si="142"/>
        <v>TA-MD 4041.012.95E</v>
      </c>
      <c r="B9111" s="195" t="s">
        <v>4102</v>
      </c>
      <c r="C9111" s="196">
        <v>1.01</v>
      </c>
      <c r="D9111" s="196">
        <v>2.95</v>
      </c>
      <c r="E9111" s="195" t="s">
        <v>583</v>
      </c>
      <c r="F9111" s="195" t="s">
        <v>19</v>
      </c>
    </row>
    <row r="9112" spans="1:6" x14ac:dyDescent="0.25">
      <c r="A9112" s="189" t="str">
        <f t="shared" si="142"/>
        <v>TA-MD 4041.012.95W</v>
      </c>
      <c r="B9112" s="195" t="s">
        <v>4102</v>
      </c>
      <c r="C9112" s="196">
        <v>1.01</v>
      </c>
      <c r="D9112" s="196">
        <v>2.95</v>
      </c>
      <c r="E9112" s="195" t="s">
        <v>583</v>
      </c>
      <c r="F9112" s="195" t="s">
        <v>432</v>
      </c>
    </row>
    <row r="9113" spans="1:6" x14ac:dyDescent="0.25">
      <c r="A9113" s="189" t="str">
        <f t="shared" si="142"/>
        <v>TA-MD 4042.953.1E</v>
      </c>
      <c r="B9113" s="195" t="s">
        <v>4102</v>
      </c>
      <c r="C9113" s="196">
        <v>2.95</v>
      </c>
      <c r="D9113" s="196">
        <v>3.1</v>
      </c>
      <c r="E9113" s="195" t="s">
        <v>583</v>
      </c>
      <c r="F9113" s="195" t="s">
        <v>19</v>
      </c>
    </row>
    <row r="9114" spans="1:6" x14ac:dyDescent="0.25">
      <c r="A9114" s="189" t="str">
        <f t="shared" si="142"/>
        <v>TA-MD 4042.953.1W</v>
      </c>
      <c r="B9114" s="195" t="s">
        <v>4102</v>
      </c>
      <c r="C9114" s="196">
        <v>2.95</v>
      </c>
      <c r="D9114" s="196">
        <v>3.1</v>
      </c>
      <c r="E9114" s="195" t="s">
        <v>583</v>
      </c>
      <c r="F9114" s="195" t="s">
        <v>432</v>
      </c>
    </row>
    <row r="9115" spans="1:6" x14ac:dyDescent="0.25">
      <c r="A9115" s="189" t="str">
        <f t="shared" si="142"/>
        <v>TA-MD 4043.15.25E</v>
      </c>
      <c r="B9115" s="195" t="s">
        <v>4102</v>
      </c>
      <c r="C9115" s="196">
        <v>3.1</v>
      </c>
      <c r="D9115" s="196">
        <v>5.25</v>
      </c>
      <c r="E9115" s="195" t="s">
        <v>583</v>
      </c>
      <c r="F9115" s="195" t="s">
        <v>19</v>
      </c>
    </row>
    <row r="9116" spans="1:6" x14ac:dyDescent="0.25">
      <c r="A9116" s="189" t="str">
        <f t="shared" si="142"/>
        <v>TA-MD 4043.15.25W</v>
      </c>
      <c r="B9116" s="195" t="s">
        <v>4102</v>
      </c>
      <c r="C9116" s="196">
        <v>3.1</v>
      </c>
      <c r="D9116" s="196">
        <v>5.25</v>
      </c>
      <c r="E9116" s="195" t="s">
        <v>583</v>
      </c>
      <c r="F9116" s="195" t="s">
        <v>432</v>
      </c>
    </row>
    <row r="9117" spans="1:6" x14ac:dyDescent="0.25">
      <c r="A9117" s="189" t="str">
        <f t="shared" si="142"/>
        <v>TA-MD 4045.255.55E</v>
      </c>
      <c r="B9117" s="195" t="s">
        <v>4102</v>
      </c>
      <c r="C9117" s="196">
        <v>5.25</v>
      </c>
      <c r="D9117" s="196">
        <v>5.55</v>
      </c>
      <c r="E9117" s="195" t="s">
        <v>583</v>
      </c>
      <c r="F9117" s="195" t="s">
        <v>19</v>
      </c>
    </row>
    <row r="9118" spans="1:6" x14ac:dyDescent="0.25">
      <c r="A9118" s="189" t="str">
        <f t="shared" si="142"/>
        <v>TA-MD 4045.255.55W</v>
      </c>
      <c r="B9118" s="195" t="s">
        <v>4102</v>
      </c>
      <c r="C9118" s="196">
        <v>5.25</v>
      </c>
      <c r="D9118" s="196">
        <v>5.55</v>
      </c>
      <c r="E9118" s="195" t="s">
        <v>583</v>
      </c>
      <c r="F9118" s="195" t="s">
        <v>432</v>
      </c>
    </row>
    <row r="9119" spans="1:6" x14ac:dyDescent="0.25">
      <c r="A9119" s="189" t="str">
        <f t="shared" si="142"/>
        <v>TA-MD 4045.555.77E</v>
      </c>
      <c r="B9119" s="195" t="s">
        <v>4102</v>
      </c>
      <c r="C9119" s="196">
        <v>5.55</v>
      </c>
      <c r="D9119" s="196">
        <v>5.77</v>
      </c>
      <c r="E9119" s="195" t="s">
        <v>583</v>
      </c>
      <c r="F9119" s="195" t="s">
        <v>19</v>
      </c>
    </row>
    <row r="9120" spans="1:6" x14ac:dyDescent="0.25">
      <c r="A9120" s="189" t="str">
        <f t="shared" si="142"/>
        <v>TA-MD 4045.555.77W</v>
      </c>
      <c r="B9120" s="195" t="s">
        <v>4102</v>
      </c>
      <c r="C9120" s="196">
        <v>5.55</v>
      </c>
      <c r="D9120" s="196">
        <v>5.77</v>
      </c>
      <c r="E9120" s="195" t="s">
        <v>583</v>
      </c>
      <c r="F9120" s="195" t="s">
        <v>432</v>
      </c>
    </row>
    <row r="9121" spans="1:6" x14ac:dyDescent="0.25">
      <c r="A9121" s="189" t="str">
        <f t="shared" si="142"/>
        <v>TA-MD 404AL00.95E</v>
      </c>
      <c r="B9121" s="195" t="s">
        <v>4103</v>
      </c>
      <c r="C9121" s="196">
        <v>0</v>
      </c>
      <c r="D9121" s="196">
        <v>0.95</v>
      </c>
      <c r="E9121" s="195" t="s">
        <v>598</v>
      </c>
      <c r="F9121" s="195" t="s">
        <v>19</v>
      </c>
    </row>
    <row r="9122" spans="1:6" x14ac:dyDescent="0.25">
      <c r="A9122" s="189" t="str">
        <f t="shared" si="142"/>
        <v>TA-MD 404AL00.95W</v>
      </c>
      <c r="B9122" s="195" t="s">
        <v>4103</v>
      </c>
      <c r="C9122" s="196">
        <v>0</v>
      </c>
      <c r="D9122" s="196">
        <v>0.95</v>
      </c>
      <c r="E9122" s="195" t="s">
        <v>593</v>
      </c>
      <c r="F9122" s="195" t="s">
        <v>432</v>
      </c>
    </row>
    <row r="9123" spans="1:6" x14ac:dyDescent="0.25">
      <c r="A9123" s="189" t="str">
        <f t="shared" si="142"/>
        <v>TA-MD 51800.06N</v>
      </c>
      <c r="B9123" s="195" t="s">
        <v>4104</v>
      </c>
      <c r="C9123" s="196">
        <v>0</v>
      </c>
      <c r="D9123" s="196">
        <v>0.06</v>
      </c>
      <c r="E9123" s="195" t="s">
        <v>589</v>
      </c>
      <c r="F9123" s="195" t="s">
        <v>430</v>
      </c>
    </row>
    <row r="9124" spans="1:6" x14ac:dyDescent="0.25">
      <c r="A9124" s="189" t="str">
        <f t="shared" si="142"/>
        <v>TA-MD 51800.06S</v>
      </c>
      <c r="B9124" s="195" t="s">
        <v>4104</v>
      </c>
      <c r="C9124" s="196">
        <v>0</v>
      </c>
      <c r="D9124" s="196">
        <v>0.06</v>
      </c>
      <c r="E9124" s="195" t="s">
        <v>595</v>
      </c>
      <c r="F9124" s="195" t="s">
        <v>438</v>
      </c>
    </row>
    <row r="9125" spans="1:6" x14ac:dyDescent="0.25">
      <c r="A9125" s="189" t="str">
        <f t="shared" si="142"/>
        <v>TA-MD 5650.595.38N</v>
      </c>
      <c r="B9125" s="195" t="s">
        <v>4105</v>
      </c>
      <c r="C9125" s="196">
        <v>0.59</v>
      </c>
      <c r="D9125" s="196">
        <v>5.38</v>
      </c>
      <c r="E9125" s="195" t="s">
        <v>583</v>
      </c>
      <c r="F9125" s="195" t="s">
        <v>430</v>
      </c>
    </row>
    <row r="9126" spans="1:6" x14ac:dyDescent="0.25">
      <c r="A9126" s="189" t="str">
        <f t="shared" si="142"/>
        <v>TA-MD 5650.595.38S</v>
      </c>
      <c r="B9126" s="195" t="s">
        <v>4105</v>
      </c>
      <c r="C9126" s="196">
        <v>0.59</v>
      </c>
      <c r="D9126" s="196">
        <v>5.38</v>
      </c>
      <c r="E9126" s="195" t="s">
        <v>583</v>
      </c>
      <c r="F9126" s="195" t="s">
        <v>438</v>
      </c>
    </row>
    <row r="9127" spans="1:6" x14ac:dyDescent="0.25">
      <c r="A9127" s="189" t="str">
        <f t="shared" si="142"/>
        <v>TA-MD 5655.385.77N</v>
      </c>
      <c r="B9127" s="195" t="s">
        <v>4105</v>
      </c>
      <c r="C9127" s="196">
        <v>5.38</v>
      </c>
      <c r="D9127" s="196">
        <v>5.77</v>
      </c>
      <c r="E9127" s="195" t="s">
        <v>583</v>
      </c>
      <c r="F9127" s="195" t="s">
        <v>430</v>
      </c>
    </row>
    <row r="9128" spans="1:6" x14ac:dyDescent="0.25">
      <c r="A9128" s="189" t="str">
        <f t="shared" si="142"/>
        <v>TA-MD 5655.385.77S</v>
      </c>
      <c r="B9128" s="195" t="s">
        <v>4105</v>
      </c>
      <c r="C9128" s="196">
        <v>5.38</v>
      </c>
      <c r="D9128" s="196">
        <v>5.77</v>
      </c>
      <c r="E9128" s="195" t="s">
        <v>583</v>
      </c>
      <c r="F9128" s="195" t="s">
        <v>438</v>
      </c>
    </row>
    <row r="9129" spans="1:6" x14ac:dyDescent="0.25">
      <c r="A9129" s="189" t="str">
        <f t="shared" si="142"/>
        <v>TA-MD 565A00.31N</v>
      </c>
      <c r="B9129" s="195" t="s">
        <v>4106</v>
      </c>
      <c r="C9129" s="196">
        <v>0</v>
      </c>
      <c r="D9129" s="196">
        <v>0.31</v>
      </c>
      <c r="E9129" s="195" t="s">
        <v>589</v>
      </c>
      <c r="F9129" s="195" t="s">
        <v>430</v>
      </c>
    </row>
    <row r="9130" spans="1:6" x14ac:dyDescent="0.25">
      <c r="A9130" s="189" t="str">
        <f t="shared" si="142"/>
        <v>TA-MD 565A00.31S</v>
      </c>
      <c r="B9130" s="195" t="s">
        <v>4106</v>
      </c>
      <c r="C9130" s="196">
        <v>0</v>
      </c>
      <c r="D9130" s="196">
        <v>0.31</v>
      </c>
      <c r="E9130" s="195" t="s">
        <v>595</v>
      </c>
      <c r="F9130" s="195" t="s">
        <v>438</v>
      </c>
    </row>
    <row r="9131" spans="1:6" x14ac:dyDescent="0.25">
      <c r="A9131" s="189" t="str">
        <f t="shared" si="142"/>
        <v>TA-MD 565A0.310.58N</v>
      </c>
      <c r="B9131" s="195" t="s">
        <v>4106</v>
      </c>
      <c r="C9131" s="196">
        <v>0.31</v>
      </c>
      <c r="D9131" s="196">
        <v>0.57999999999999996</v>
      </c>
      <c r="E9131" s="195" t="s">
        <v>589</v>
      </c>
      <c r="F9131" s="195" t="s">
        <v>430</v>
      </c>
    </row>
    <row r="9132" spans="1:6" x14ac:dyDescent="0.25">
      <c r="A9132" s="189" t="str">
        <f t="shared" si="142"/>
        <v>TA-MD 565A0.310.58S</v>
      </c>
      <c r="B9132" s="195" t="s">
        <v>4106</v>
      </c>
      <c r="C9132" s="196">
        <v>0.31</v>
      </c>
      <c r="D9132" s="196">
        <v>0.57999999999999996</v>
      </c>
      <c r="E9132" s="195" t="s">
        <v>595</v>
      </c>
      <c r="F9132" s="195" t="s">
        <v>438</v>
      </c>
    </row>
    <row r="9133" spans="1:6" x14ac:dyDescent="0.25">
      <c r="A9133" s="189" t="str">
        <f t="shared" si="142"/>
        <v>TA-MD 565B00.14N</v>
      </c>
      <c r="B9133" s="195" t="s">
        <v>4107</v>
      </c>
      <c r="C9133" s="196">
        <v>0</v>
      </c>
      <c r="D9133" s="196">
        <v>0.14000000000000001</v>
      </c>
      <c r="E9133" s="195" t="s">
        <v>589</v>
      </c>
      <c r="F9133" s="195" t="s">
        <v>430</v>
      </c>
    </row>
    <row r="9134" spans="1:6" x14ac:dyDescent="0.25">
      <c r="A9134" s="189" t="str">
        <f t="shared" si="142"/>
        <v>TA-MD 565B00.14S</v>
      </c>
      <c r="B9134" s="195" t="s">
        <v>4107</v>
      </c>
      <c r="C9134" s="196">
        <v>0</v>
      </c>
      <c r="D9134" s="196">
        <v>0.14000000000000001</v>
      </c>
      <c r="E9134" s="195" t="s">
        <v>595</v>
      </c>
      <c r="F9134" s="195" t="s">
        <v>438</v>
      </c>
    </row>
    <row r="9135" spans="1:6" x14ac:dyDescent="0.25">
      <c r="A9135" s="189" t="str">
        <f t="shared" si="142"/>
        <v>TA-MD 5790.490.97N</v>
      </c>
      <c r="B9135" s="195" t="s">
        <v>4108</v>
      </c>
      <c r="C9135" s="196">
        <v>0.49</v>
      </c>
      <c r="D9135" s="196">
        <v>0.97</v>
      </c>
      <c r="E9135" s="195" t="s">
        <v>583</v>
      </c>
      <c r="F9135" s="195" t="s">
        <v>430</v>
      </c>
    </row>
    <row r="9136" spans="1:6" x14ac:dyDescent="0.25">
      <c r="A9136" s="189" t="str">
        <f t="shared" si="142"/>
        <v>TA-MD 5790.490.97S</v>
      </c>
      <c r="B9136" s="195" t="s">
        <v>4108</v>
      </c>
      <c r="C9136" s="196">
        <v>0.49</v>
      </c>
      <c r="D9136" s="196">
        <v>0.97</v>
      </c>
      <c r="E9136" s="195" t="s">
        <v>583</v>
      </c>
      <c r="F9136" s="195" t="s">
        <v>438</v>
      </c>
    </row>
    <row r="9137" spans="1:6" x14ac:dyDescent="0.25">
      <c r="A9137" s="189" t="str">
        <f t="shared" si="142"/>
        <v>TA-MD 5790.972.94N</v>
      </c>
      <c r="B9137" s="195" t="s">
        <v>4108</v>
      </c>
      <c r="C9137" s="196">
        <v>0.97</v>
      </c>
      <c r="D9137" s="196">
        <v>2.94</v>
      </c>
      <c r="E9137" s="195" t="s">
        <v>583</v>
      </c>
      <c r="F9137" s="195" t="s">
        <v>430</v>
      </c>
    </row>
    <row r="9138" spans="1:6" x14ac:dyDescent="0.25">
      <c r="A9138" s="189" t="str">
        <f t="shared" si="142"/>
        <v>TA-MD 5790.972.94S</v>
      </c>
      <c r="B9138" s="195" t="s">
        <v>4108</v>
      </c>
      <c r="C9138" s="196">
        <v>0.97</v>
      </c>
      <c r="D9138" s="196">
        <v>2.94</v>
      </c>
      <c r="E9138" s="195" t="s">
        <v>583</v>
      </c>
      <c r="F9138" s="195" t="s">
        <v>438</v>
      </c>
    </row>
    <row r="9139" spans="1:6" x14ac:dyDescent="0.25">
      <c r="A9139" s="189" t="str">
        <f t="shared" si="142"/>
        <v>TA-MD 5792.944.55N</v>
      </c>
      <c r="B9139" s="195" t="s">
        <v>4108</v>
      </c>
      <c r="C9139" s="196">
        <v>2.94</v>
      </c>
      <c r="D9139" s="196">
        <v>4.55</v>
      </c>
      <c r="E9139" s="195" t="s">
        <v>583</v>
      </c>
      <c r="F9139" s="195" t="s">
        <v>430</v>
      </c>
    </row>
    <row r="9140" spans="1:6" x14ac:dyDescent="0.25">
      <c r="A9140" s="189" t="str">
        <f t="shared" si="142"/>
        <v>TA-MD 5792.944.55S</v>
      </c>
      <c r="B9140" s="195" t="s">
        <v>4108</v>
      </c>
      <c r="C9140" s="196">
        <v>2.94</v>
      </c>
      <c r="D9140" s="196">
        <v>4.55</v>
      </c>
      <c r="E9140" s="195" t="s">
        <v>583</v>
      </c>
      <c r="F9140" s="195" t="s">
        <v>438</v>
      </c>
    </row>
    <row r="9141" spans="1:6" x14ac:dyDescent="0.25">
      <c r="A9141" s="189" t="str">
        <f t="shared" si="142"/>
        <v>TA-MD 5794.554.65N</v>
      </c>
      <c r="B9141" s="195" t="s">
        <v>4108</v>
      </c>
      <c r="C9141" s="196">
        <v>4.55</v>
      </c>
      <c r="D9141" s="196">
        <v>4.6500000000000004</v>
      </c>
      <c r="E9141" s="195" t="s">
        <v>583</v>
      </c>
      <c r="F9141" s="195" t="s">
        <v>430</v>
      </c>
    </row>
    <row r="9142" spans="1:6" x14ac:dyDescent="0.25">
      <c r="A9142" s="189" t="str">
        <f t="shared" si="142"/>
        <v>TA-MD 5794.554.65S</v>
      </c>
      <c r="B9142" s="195" t="s">
        <v>4108</v>
      </c>
      <c r="C9142" s="196">
        <v>4.55</v>
      </c>
      <c r="D9142" s="196">
        <v>4.6500000000000004</v>
      </c>
      <c r="E9142" s="195" t="s">
        <v>583</v>
      </c>
      <c r="F9142" s="195" t="s">
        <v>438</v>
      </c>
    </row>
    <row r="9143" spans="1:6" x14ac:dyDescent="0.25">
      <c r="A9143" s="189" t="str">
        <f t="shared" si="142"/>
        <v>TA-MD 5794.657.84N</v>
      </c>
      <c r="B9143" s="195" t="s">
        <v>4108</v>
      </c>
      <c r="C9143" s="196">
        <v>4.6500000000000004</v>
      </c>
      <c r="D9143" s="196">
        <v>7.84</v>
      </c>
      <c r="E9143" s="195" t="s">
        <v>583</v>
      </c>
      <c r="F9143" s="195" t="s">
        <v>430</v>
      </c>
    </row>
    <row r="9144" spans="1:6" x14ac:dyDescent="0.25">
      <c r="A9144" s="189" t="str">
        <f t="shared" si="142"/>
        <v>TA-MD 5794.657.84S</v>
      </c>
      <c r="B9144" s="195" t="s">
        <v>4108</v>
      </c>
      <c r="C9144" s="196">
        <v>4.6500000000000004</v>
      </c>
      <c r="D9144" s="196">
        <v>7.84</v>
      </c>
      <c r="E9144" s="195" t="s">
        <v>583</v>
      </c>
      <c r="F9144" s="195" t="s">
        <v>438</v>
      </c>
    </row>
    <row r="9145" spans="1:6" x14ac:dyDescent="0.25">
      <c r="A9145" s="189" t="str">
        <f t="shared" si="142"/>
        <v>TA-MD 66202.98N</v>
      </c>
      <c r="B9145" s="195" t="s">
        <v>4109</v>
      </c>
      <c r="C9145" s="196">
        <v>0</v>
      </c>
      <c r="D9145" s="196">
        <v>2.98</v>
      </c>
      <c r="E9145" s="195" t="s">
        <v>583</v>
      </c>
      <c r="F9145" s="195" t="s">
        <v>430</v>
      </c>
    </row>
    <row r="9146" spans="1:6" x14ac:dyDescent="0.25">
      <c r="A9146" s="189" t="str">
        <f t="shared" si="142"/>
        <v>TA-MD 66202.98S</v>
      </c>
      <c r="B9146" s="195" t="s">
        <v>4109</v>
      </c>
      <c r="C9146" s="196">
        <v>0</v>
      </c>
      <c r="D9146" s="196">
        <v>2.98</v>
      </c>
      <c r="E9146" s="195" t="s">
        <v>583</v>
      </c>
      <c r="F9146" s="195" t="s">
        <v>438</v>
      </c>
    </row>
    <row r="9147" spans="1:6" x14ac:dyDescent="0.25">
      <c r="A9147" s="189" t="str">
        <f t="shared" si="142"/>
        <v>TA-MD 6622.983.03N</v>
      </c>
      <c r="B9147" s="195" t="s">
        <v>4109</v>
      </c>
      <c r="C9147" s="196">
        <v>2.98</v>
      </c>
      <c r="D9147" s="196">
        <v>3.03</v>
      </c>
      <c r="E9147" s="195" t="s">
        <v>583</v>
      </c>
      <c r="F9147" s="195" t="s">
        <v>430</v>
      </c>
    </row>
    <row r="9148" spans="1:6" x14ac:dyDescent="0.25">
      <c r="A9148" s="189" t="str">
        <f t="shared" si="142"/>
        <v>TA-MD 6622.983.03S</v>
      </c>
      <c r="B9148" s="195" t="s">
        <v>4109</v>
      </c>
      <c r="C9148" s="196">
        <v>2.98</v>
      </c>
      <c r="D9148" s="196">
        <v>3.03</v>
      </c>
      <c r="E9148" s="195" t="s">
        <v>583</v>
      </c>
      <c r="F9148" s="195" t="s">
        <v>438</v>
      </c>
    </row>
    <row r="9149" spans="1:6" x14ac:dyDescent="0.25">
      <c r="A9149" s="189" t="str">
        <f t="shared" si="142"/>
        <v>TA-MD 662B00.65N</v>
      </c>
      <c r="B9149" s="195" t="s">
        <v>4110</v>
      </c>
      <c r="C9149" s="196">
        <v>0</v>
      </c>
      <c r="D9149" s="196">
        <v>0.65</v>
      </c>
      <c r="E9149" s="195" t="s">
        <v>583</v>
      </c>
      <c r="F9149" s="195" t="s">
        <v>430</v>
      </c>
    </row>
    <row r="9150" spans="1:6" x14ac:dyDescent="0.25">
      <c r="A9150" s="189" t="str">
        <f t="shared" si="142"/>
        <v>TA-MD 662B00.65S</v>
      </c>
      <c r="B9150" s="195" t="s">
        <v>4110</v>
      </c>
      <c r="C9150" s="196">
        <v>0</v>
      </c>
      <c r="D9150" s="196">
        <v>0.65</v>
      </c>
      <c r="E9150" s="195" t="s">
        <v>583</v>
      </c>
      <c r="F9150" s="195" t="s">
        <v>438</v>
      </c>
    </row>
    <row r="9151" spans="1:6" x14ac:dyDescent="0.25">
      <c r="A9151" s="189" t="str">
        <f t="shared" si="142"/>
        <v>TA-MD 662B0.650.73N</v>
      </c>
      <c r="B9151" s="195" t="s">
        <v>4110</v>
      </c>
      <c r="C9151" s="196">
        <v>0.65</v>
      </c>
      <c r="D9151" s="196">
        <v>0.73</v>
      </c>
      <c r="E9151" s="195" t="s">
        <v>583</v>
      </c>
      <c r="F9151" s="195" t="s">
        <v>430</v>
      </c>
    </row>
    <row r="9152" spans="1:6" x14ac:dyDescent="0.25">
      <c r="A9152" s="189" t="str">
        <f t="shared" si="142"/>
        <v>TA-MD 662B0.650.73S</v>
      </c>
      <c r="B9152" s="195" t="s">
        <v>4110</v>
      </c>
      <c r="C9152" s="196">
        <v>0.65</v>
      </c>
      <c r="D9152" s="196">
        <v>0.73</v>
      </c>
      <c r="E9152" s="195" t="s">
        <v>583</v>
      </c>
      <c r="F9152" s="195" t="s">
        <v>438</v>
      </c>
    </row>
    <row r="9153" spans="1:6" x14ac:dyDescent="0.25">
      <c r="A9153" s="189" t="str">
        <f t="shared" si="142"/>
        <v>TA-MD 662B0.731.77N</v>
      </c>
      <c r="B9153" s="195" t="s">
        <v>4110</v>
      </c>
      <c r="C9153" s="196">
        <v>0.73</v>
      </c>
      <c r="D9153" s="196">
        <v>1.77</v>
      </c>
      <c r="E9153" s="195" t="s">
        <v>583</v>
      </c>
      <c r="F9153" s="195" t="s">
        <v>430</v>
      </c>
    </row>
    <row r="9154" spans="1:6" x14ac:dyDescent="0.25">
      <c r="A9154" s="189" t="str">
        <f t="shared" si="142"/>
        <v>TA-MD 662B0.731.77S</v>
      </c>
      <c r="B9154" s="195" t="s">
        <v>4110</v>
      </c>
      <c r="C9154" s="196">
        <v>0.73</v>
      </c>
      <c r="D9154" s="196">
        <v>1.77</v>
      </c>
      <c r="E9154" s="195" t="s">
        <v>583</v>
      </c>
      <c r="F9154" s="195" t="s">
        <v>438</v>
      </c>
    </row>
    <row r="9155" spans="1:6" x14ac:dyDescent="0.25">
      <c r="A9155" s="189" t="str">
        <f t="shared" si="142"/>
        <v>TA-MD 662B1.771.88N</v>
      </c>
      <c r="B9155" s="195" t="s">
        <v>4110</v>
      </c>
      <c r="C9155" s="196">
        <v>1.77</v>
      </c>
      <c r="D9155" s="196">
        <v>1.88</v>
      </c>
      <c r="E9155" s="195" t="s">
        <v>583</v>
      </c>
      <c r="F9155" s="195" t="s">
        <v>430</v>
      </c>
    </row>
    <row r="9156" spans="1:6" x14ac:dyDescent="0.25">
      <c r="A9156" s="189" t="str">
        <f t="shared" si="142"/>
        <v>TA-MD 662B1.771.88S</v>
      </c>
      <c r="B9156" s="195" t="s">
        <v>4110</v>
      </c>
      <c r="C9156" s="196">
        <v>1.77</v>
      </c>
      <c r="D9156" s="196">
        <v>1.88</v>
      </c>
      <c r="E9156" s="195" t="s">
        <v>583</v>
      </c>
      <c r="F9156" s="195" t="s">
        <v>438</v>
      </c>
    </row>
    <row r="9157" spans="1:6" x14ac:dyDescent="0.25">
      <c r="A9157" s="189" t="str">
        <f t="shared" si="142"/>
        <v>TA-MD 662B1.882.16N</v>
      </c>
      <c r="B9157" s="195" t="s">
        <v>4110</v>
      </c>
      <c r="C9157" s="196">
        <v>1.88</v>
      </c>
      <c r="D9157" s="196">
        <v>2.16</v>
      </c>
      <c r="E9157" s="195" t="s">
        <v>583</v>
      </c>
      <c r="F9157" s="195" t="s">
        <v>430</v>
      </c>
    </row>
    <row r="9158" spans="1:6" x14ac:dyDescent="0.25">
      <c r="A9158" s="189" t="str">
        <f t="shared" si="142"/>
        <v>TA-MD 662B1.882.16S</v>
      </c>
      <c r="B9158" s="195" t="s">
        <v>4110</v>
      </c>
      <c r="C9158" s="196">
        <v>1.88</v>
      </c>
      <c r="D9158" s="196">
        <v>2.16</v>
      </c>
      <c r="E9158" s="195" t="s">
        <v>583</v>
      </c>
      <c r="F9158" s="195" t="s">
        <v>438</v>
      </c>
    </row>
    <row r="9159" spans="1:6" x14ac:dyDescent="0.25">
      <c r="A9159" s="189" t="str">
        <f t="shared" si="142"/>
        <v>TA-MD 662C01.3N</v>
      </c>
      <c r="B9159" s="195" t="s">
        <v>4111</v>
      </c>
      <c r="C9159" s="196">
        <v>0</v>
      </c>
      <c r="D9159" s="196">
        <v>1.3</v>
      </c>
      <c r="E9159" s="195" t="s">
        <v>583</v>
      </c>
      <c r="F9159" s="195" t="s">
        <v>430</v>
      </c>
    </row>
    <row r="9160" spans="1:6" x14ac:dyDescent="0.25">
      <c r="A9160" s="189" t="str">
        <f t="shared" ref="A9160:A9223" si="143">B9160&amp;C9160&amp;D9160&amp;F9160</f>
        <v>TA-MD 662C01.3S</v>
      </c>
      <c r="B9160" s="195" t="s">
        <v>4111</v>
      </c>
      <c r="C9160" s="196">
        <v>0</v>
      </c>
      <c r="D9160" s="196">
        <v>1.3</v>
      </c>
      <c r="E9160" s="195" t="s">
        <v>583</v>
      </c>
      <c r="F9160" s="195" t="s">
        <v>438</v>
      </c>
    </row>
    <row r="9161" spans="1:6" x14ac:dyDescent="0.25">
      <c r="A9161" s="189" t="str">
        <f t="shared" si="143"/>
        <v>TA-MD 662C1.34.24N</v>
      </c>
      <c r="B9161" s="195" t="s">
        <v>4111</v>
      </c>
      <c r="C9161" s="196">
        <v>1.3</v>
      </c>
      <c r="D9161" s="196">
        <v>4.24</v>
      </c>
      <c r="E9161" s="195" t="s">
        <v>583</v>
      </c>
      <c r="F9161" s="195" t="s">
        <v>430</v>
      </c>
    </row>
    <row r="9162" spans="1:6" x14ac:dyDescent="0.25">
      <c r="A9162" s="189" t="str">
        <f t="shared" si="143"/>
        <v>TA-MD 662C1.34.24S</v>
      </c>
      <c r="B9162" s="195" t="s">
        <v>4111</v>
      </c>
      <c r="C9162" s="196">
        <v>1.3</v>
      </c>
      <c r="D9162" s="196">
        <v>4.24</v>
      </c>
      <c r="E9162" s="195" t="s">
        <v>583</v>
      </c>
      <c r="F9162" s="195" t="s">
        <v>438</v>
      </c>
    </row>
    <row r="9163" spans="1:6" x14ac:dyDescent="0.25">
      <c r="A9163" s="189" t="str">
        <f t="shared" si="143"/>
        <v>TA-MD 662C4.244.44N</v>
      </c>
      <c r="B9163" s="195" t="s">
        <v>4111</v>
      </c>
      <c r="C9163" s="196">
        <v>4.24</v>
      </c>
      <c r="D9163" s="196">
        <v>4.4400000000000004</v>
      </c>
      <c r="E9163" s="195" t="s">
        <v>583</v>
      </c>
      <c r="F9163" s="195" t="s">
        <v>430</v>
      </c>
    </row>
    <row r="9164" spans="1:6" x14ac:dyDescent="0.25">
      <c r="A9164" s="189" t="str">
        <f t="shared" si="143"/>
        <v>TA-MD 662C4.244.44S</v>
      </c>
      <c r="B9164" s="195" t="s">
        <v>4111</v>
      </c>
      <c r="C9164" s="196">
        <v>4.24</v>
      </c>
      <c r="D9164" s="196">
        <v>4.4400000000000004</v>
      </c>
      <c r="E9164" s="195" t="s">
        <v>583</v>
      </c>
      <c r="F9164" s="195" t="s">
        <v>438</v>
      </c>
    </row>
    <row r="9165" spans="1:6" x14ac:dyDescent="0.25">
      <c r="A9165" s="189" t="str">
        <f t="shared" si="143"/>
        <v>TA-MD 662C4.446.1N</v>
      </c>
      <c r="B9165" s="195" t="s">
        <v>4111</v>
      </c>
      <c r="C9165" s="196">
        <v>4.4400000000000004</v>
      </c>
      <c r="D9165" s="196">
        <v>6.1</v>
      </c>
      <c r="E9165" s="195" t="s">
        <v>583</v>
      </c>
      <c r="F9165" s="195" t="s">
        <v>430</v>
      </c>
    </row>
    <row r="9166" spans="1:6" x14ac:dyDescent="0.25">
      <c r="A9166" s="189" t="str">
        <f t="shared" si="143"/>
        <v>TA-MD 662C4.446.1S</v>
      </c>
      <c r="B9166" s="195" t="s">
        <v>4111</v>
      </c>
      <c r="C9166" s="196">
        <v>4.4400000000000004</v>
      </c>
      <c r="D9166" s="196">
        <v>6.1</v>
      </c>
      <c r="E9166" s="195" t="s">
        <v>583</v>
      </c>
      <c r="F9166" s="195" t="s">
        <v>438</v>
      </c>
    </row>
    <row r="9167" spans="1:6" x14ac:dyDescent="0.25">
      <c r="A9167" s="189" t="str">
        <f t="shared" si="143"/>
        <v>TA-MD 662D00.04E</v>
      </c>
      <c r="B9167" s="195" t="s">
        <v>4112</v>
      </c>
      <c r="C9167" s="196">
        <v>0</v>
      </c>
      <c r="D9167" s="196">
        <v>0.04</v>
      </c>
      <c r="E9167" s="195" t="s">
        <v>598</v>
      </c>
      <c r="F9167" s="195" t="s">
        <v>19</v>
      </c>
    </row>
    <row r="9168" spans="1:6" x14ac:dyDescent="0.25">
      <c r="A9168" s="189" t="str">
        <f t="shared" si="143"/>
        <v>TA-MD 662D00.04W</v>
      </c>
      <c r="B9168" s="195" t="s">
        <v>4112</v>
      </c>
      <c r="C9168" s="196">
        <v>0</v>
      </c>
      <c r="D9168" s="196">
        <v>0.04</v>
      </c>
      <c r="E9168" s="195" t="s">
        <v>593</v>
      </c>
      <c r="F9168" s="195" t="s">
        <v>432</v>
      </c>
    </row>
    <row r="9169" spans="1:6" x14ac:dyDescent="0.25">
      <c r="A9169" s="189" t="str">
        <f t="shared" si="143"/>
        <v>TA-MD 954A00.2E</v>
      </c>
      <c r="B9169" s="195" t="s">
        <v>4113</v>
      </c>
      <c r="C9169" s="196">
        <v>0</v>
      </c>
      <c r="D9169" s="196">
        <v>0.2</v>
      </c>
      <c r="E9169" s="195" t="s">
        <v>598</v>
      </c>
      <c r="F9169" s="195" t="s">
        <v>19</v>
      </c>
    </row>
    <row r="9170" spans="1:6" x14ac:dyDescent="0.25">
      <c r="A9170" s="189" t="str">
        <f t="shared" si="143"/>
        <v>TA-MD 954A00.2W</v>
      </c>
      <c r="B9170" s="195" t="s">
        <v>4113</v>
      </c>
      <c r="C9170" s="196">
        <v>0</v>
      </c>
      <c r="D9170" s="196">
        <v>0.2</v>
      </c>
      <c r="E9170" s="195" t="s">
        <v>593</v>
      </c>
      <c r="F9170" s="195" t="s">
        <v>432</v>
      </c>
    </row>
    <row r="9171" spans="1:6" x14ac:dyDescent="0.25">
      <c r="A9171" s="189" t="str">
        <f t="shared" si="143"/>
        <v>TA-MD 954B00.05E</v>
      </c>
      <c r="B9171" s="195" t="s">
        <v>4114</v>
      </c>
      <c r="C9171" s="196">
        <v>0</v>
      </c>
      <c r="D9171" s="196">
        <v>0.05</v>
      </c>
      <c r="E9171" s="195" t="s">
        <v>598</v>
      </c>
      <c r="F9171" s="195" t="s">
        <v>19</v>
      </c>
    </row>
    <row r="9172" spans="1:6" x14ac:dyDescent="0.25">
      <c r="A9172" s="189" t="str">
        <f t="shared" si="143"/>
        <v>TA-MD 954B00.05W</v>
      </c>
      <c r="B9172" s="195" t="s">
        <v>4114</v>
      </c>
      <c r="C9172" s="196">
        <v>0</v>
      </c>
      <c r="D9172" s="196">
        <v>0.05</v>
      </c>
      <c r="E9172" s="195" t="s">
        <v>593</v>
      </c>
      <c r="F9172" s="195" t="s">
        <v>432</v>
      </c>
    </row>
    <row r="9173" spans="1:6" x14ac:dyDescent="0.25">
      <c r="A9173" s="189" t="str">
        <f t="shared" si="143"/>
        <v>TA-MD 954C00.02E</v>
      </c>
      <c r="B9173" s="195" t="s">
        <v>4115</v>
      </c>
      <c r="C9173" s="196">
        <v>0</v>
      </c>
      <c r="D9173" s="196">
        <v>0.02</v>
      </c>
      <c r="E9173" s="195" t="s">
        <v>598</v>
      </c>
      <c r="F9173" s="195" t="s">
        <v>19</v>
      </c>
    </row>
    <row r="9174" spans="1:6" x14ac:dyDescent="0.25">
      <c r="A9174" s="189" t="str">
        <f t="shared" si="143"/>
        <v>TA-MD 954C00.02W</v>
      </c>
      <c r="B9174" s="195" t="s">
        <v>4115</v>
      </c>
      <c r="C9174" s="196">
        <v>0</v>
      </c>
      <c r="D9174" s="196">
        <v>0.02</v>
      </c>
      <c r="E9174" s="195" t="s">
        <v>593</v>
      </c>
      <c r="F9174" s="195" t="s">
        <v>432</v>
      </c>
    </row>
    <row r="9175" spans="1:6" x14ac:dyDescent="0.25">
      <c r="A9175" s="189" t="str">
        <f t="shared" si="143"/>
        <v>TA-MU 10901.411.46N</v>
      </c>
      <c r="B9175" s="195" t="s">
        <v>4116</v>
      </c>
      <c r="C9175" s="196">
        <v>1.41</v>
      </c>
      <c r="D9175" s="196">
        <v>1.46</v>
      </c>
      <c r="E9175" s="195" t="s">
        <v>589</v>
      </c>
      <c r="F9175" s="195" t="s">
        <v>430</v>
      </c>
    </row>
    <row r="9176" spans="1:6" x14ac:dyDescent="0.25">
      <c r="A9176" s="189" t="str">
        <f t="shared" si="143"/>
        <v>TA-MU 10901.411.46S</v>
      </c>
      <c r="B9176" s="195" t="s">
        <v>4116</v>
      </c>
      <c r="C9176" s="196">
        <v>1.41</v>
      </c>
      <c r="D9176" s="196">
        <v>1.46</v>
      </c>
      <c r="E9176" s="195" t="s">
        <v>595</v>
      </c>
      <c r="F9176" s="195" t="s">
        <v>438</v>
      </c>
    </row>
    <row r="9177" spans="1:6" x14ac:dyDescent="0.25">
      <c r="A9177" s="189" t="str">
        <f t="shared" si="143"/>
        <v>TA-MU 109100.13N</v>
      </c>
      <c r="B9177" s="195" t="s">
        <v>4117</v>
      </c>
      <c r="C9177" s="196">
        <v>0</v>
      </c>
      <c r="D9177" s="196">
        <v>0.13</v>
      </c>
      <c r="E9177" s="195" t="s">
        <v>589</v>
      </c>
      <c r="F9177" s="195" t="s">
        <v>430</v>
      </c>
    </row>
    <row r="9178" spans="1:6" x14ac:dyDescent="0.25">
      <c r="A9178" s="189" t="str">
        <f t="shared" si="143"/>
        <v>TA-MU 109100.13S</v>
      </c>
      <c r="B9178" s="195" t="s">
        <v>4117</v>
      </c>
      <c r="C9178" s="196">
        <v>0</v>
      </c>
      <c r="D9178" s="196">
        <v>0.13</v>
      </c>
      <c r="E9178" s="195" t="s">
        <v>595</v>
      </c>
      <c r="F9178" s="195" t="s">
        <v>438</v>
      </c>
    </row>
    <row r="9179" spans="1:6" x14ac:dyDescent="0.25">
      <c r="A9179" s="189" t="str">
        <f t="shared" si="143"/>
        <v>TA-MU 27700.51N</v>
      </c>
      <c r="B9179" s="195" t="s">
        <v>4118</v>
      </c>
      <c r="C9179" s="196">
        <v>0</v>
      </c>
      <c r="D9179" s="196">
        <v>0.51</v>
      </c>
      <c r="E9179" s="195" t="s">
        <v>583</v>
      </c>
      <c r="F9179" s="195" t="s">
        <v>430</v>
      </c>
    </row>
    <row r="9180" spans="1:6" x14ac:dyDescent="0.25">
      <c r="A9180" s="189" t="str">
        <f t="shared" si="143"/>
        <v>TA-MU 27700.51S</v>
      </c>
      <c r="B9180" s="195" t="s">
        <v>4118</v>
      </c>
      <c r="C9180" s="196">
        <v>0</v>
      </c>
      <c r="D9180" s="196">
        <v>0.51</v>
      </c>
      <c r="E9180" s="195" t="s">
        <v>583</v>
      </c>
      <c r="F9180" s="195" t="s">
        <v>438</v>
      </c>
    </row>
    <row r="9181" spans="1:6" x14ac:dyDescent="0.25">
      <c r="A9181" s="189" t="str">
        <f t="shared" si="143"/>
        <v>TA-MU 2800.040.34E</v>
      </c>
      <c r="B9181" s="195" t="s">
        <v>4119</v>
      </c>
      <c r="C9181" s="196">
        <v>0.04</v>
      </c>
      <c r="D9181" s="196">
        <v>0.34</v>
      </c>
      <c r="E9181" s="195" t="s">
        <v>598</v>
      </c>
      <c r="F9181" s="195" t="s">
        <v>19</v>
      </c>
    </row>
    <row r="9182" spans="1:6" x14ac:dyDescent="0.25">
      <c r="A9182" s="189" t="str">
        <f t="shared" si="143"/>
        <v>TA-MU 2800.040.43W</v>
      </c>
      <c r="B9182" s="195" t="s">
        <v>4119</v>
      </c>
      <c r="C9182" s="196">
        <v>0.04</v>
      </c>
      <c r="D9182" s="196">
        <v>0.43</v>
      </c>
      <c r="E9182" s="195" t="s">
        <v>593</v>
      </c>
      <c r="F9182" s="195" t="s">
        <v>432</v>
      </c>
    </row>
    <row r="9183" spans="1:6" x14ac:dyDescent="0.25">
      <c r="A9183" s="189" t="str">
        <f t="shared" si="143"/>
        <v>TA-MU 43000.07E</v>
      </c>
      <c r="B9183" s="195" t="s">
        <v>4120</v>
      </c>
      <c r="C9183" s="196">
        <v>0</v>
      </c>
      <c r="D9183" s="196">
        <v>7.0000000000000007E-2</v>
      </c>
      <c r="E9183" s="195" t="s">
        <v>598</v>
      </c>
      <c r="F9183" s="195" t="s">
        <v>19</v>
      </c>
    </row>
    <row r="9184" spans="1:6" x14ac:dyDescent="0.25">
      <c r="A9184" s="189" t="str">
        <f t="shared" si="143"/>
        <v>TA-MU 4700.660.77N</v>
      </c>
      <c r="B9184" s="195" t="s">
        <v>4121</v>
      </c>
      <c r="C9184" s="196">
        <v>0.66</v>
      </c>
      <c r="D9184" s="196">
        <v>0.77</v>
      </c>
      <c r="E9184" s="195" t="s">
        <v>589</v>
      </c>
      <c r="F9184" s="195" t="s">
        <v>430</v>
      </c>
    </row>
    <row r="9185" spans="1:6" x14ac:dyDescent="0.25">
      <c r="A9185" s="189" t="str">
        <f t="shared" si="143"/>
        <v>TA-MU 4700.660.77S</v>
      </c>
      <c r="B9185" s="195" t="s">
        <v>4121</v>
      </c>
      <c r="C9185" s="196">
        <v>0.66</v>
      </c>
      <c r="D9185" s="196">
        <v>0.77</v>
      </c>
      <c r="E9185" s="195" t="s">
        <v>595</v>
      </c>
      <c r="F9185" s="195" t="s">
        <v>438</v>
      </c>
    </row>
    <row r="9186" spans="1:6" x14ac:dyDescent="0.25">
      <c r="A9186" s="189" t="str">
        <f t="shared" si="143"/>
        <v>WA-CO 3161.051.15N</v>
      </c>
      <c r="B9186" s="195" t="s">
        <v>4122</v>
      </c>
      <c r="C9186" s="196">
        <v>1.05</v>
      </c>
      <c r="D9186" s="196">
        <v>1.1499999999999999</v>
      </c>
      <c r="E9186" s="195" t="s">
        <v>583</v>
      </c>
      <c r="F9186" s="195" t="s">
        <v>430</v>
      </c>
    </row>
    <row r="9187" spans="1:6" x14ac:dyDescent="0.25">
      <c r="A9187" s="189" t="str">
        <f t="shared" si="143"/>
        <v>WA-CO 3161.051.15S</v>
      </c>
      <c r="B9187" s="195" t="s">
        <v>4122</v>
      </c>
      <c r="C9187" s="196">
        <v>1.05</v>
      </c>
      <c r="D9187" s="196">
        <v>1.1499999999999999</v>
      </c>
      <c r="E9187" s="195" t="s">
        <v>583</v>
      </c>
      <c r="F9187" s="195" t="s">
        <v>438</v>
      </c>
    </row>
    <row r="9188" spans="1:6" x14ac:dyDescent="0.25">
      <c r="A9188" s="189" t="str">
        <f t="shared" si="143"/>
        <v>WA-CO 86900.63N</v>
      </c>
      <c r="B9188" s="195" t="s">
        <v>4123</v>
      </c>
      <c r="C9188" s="196">
        <v>0</v>
      </c>
      <c r="D9188" s="196">
        <v>0.63</v>
      </c>
      <c r="E9188" s="195" t="s">
        <v>583</v>
      </c>
      <c r="F9188" s="195" t="s">
        <v>430</v>
      </c>
    </row>
    <row r="9189" spans="1:6" x14ac:dyDescent="0.25">
      <c r="A9189" s="189" t="str">
        <f t="shared" si="143"/>
        <v>WA-CO 86900.63S</v>
      </c>
      <c r="B9189" s="195" t="s">
        <v>4123</v>
      </c>
      <c r="C9189" s="196">
        <v>0</v>
      </c>
      <c r="D9189" s="196">
        <v>0.63</v>
      </c>
      <c r="E9189" s="195" t="s">
        <v>583</v>
      </c>
      <c r="F9189" s="195" t="s">
        <v>438</v>
      </c>
    </row>
    <row r="9190" spans="1:6" x14ac:dyDescent="0.25">
      <c r="A9190" s="189" t="str">
        <f t="shared" si="143"/>
        <v>WA-IS 68 RP1-7700.27W</v>
      </c>
      <c r="B9190" s="195" t="s">
        <v>4124</v>
      </c>
      <c r="C9190" s="196">
        <v>0</v>
      </c>
      <c r="D9190" s="196">
        <v>0.27</v>
      </c>
      <c r="E9190" s="195" t="s">
        <v>593</v>
      </c>
      <c r="F9190" s="195" t="s">
        <v>432</v>
      </c>
    </row>
    <row r="9191" spans="1:6" x14ac:dyDescent="0.25">
      <c r="A9191" s="189" t="str">
        <f t="shared" si="143"/>
        <v>WA-IS 68 RP2-7500.06N</v>
      </c>
      <c r="B9191" s="195" t="s">
        <v>4125</v>
      </c>
      <c r="C9191" s="196">
        <v>0</v>
      </c>
      <c r="D9191" s="196">
        <v>0.06</v>
      </c>
      <c r="E9191" s="195" t="s">
        <v>589</v>
      </c>
      <c r="F9191" s="195" t="s">
        <v>430</v>
      </c>
    </row>
    <row r="9192" spans="1:6" x14ac:dyDescent="0.25">
      <c r="A9192" s="189" t="str">
        <f t="shared" si="143"/>
        <v>WA-IS 68 RP3-7400.02E</v>
      </c>
      <c r="B9192" s="195" t="s">
        <v>4126</v>
      </c>
      <c r="C9192" s="196">
        <v>0</v>
      </c>
      <c r="D9192" s="196">
        <v>0.02</v>
      </c>
      <c r="E9192" s="195" t="s">
        <v>598</v>
      </c>
      <c r="F9192" s="195" t="s">
        <v>19</v>
      </c>
    </row>
    <row r="9193" spans="1:6" x14ac:dyDescent="0.25">
      <c r="A9193" s="189" t="str">
        <f t="shared" si="143"/>
        <v>WA-IS 68 RP4-7500.12E</v>
      </c>
      <c r="B9193" s="195" t="s">
        <v>4127</v>
      </c>
      <c r="C9193" s="196">
        <v>0</v>
      </c>
      <c r="D9193" s="196">
        <v>0.12</v>
      </c>
      <c r="E9193" s="195" t="s">
        <v>598</v>
      </c>
      <c r="F9193" s="195" t="s">
        <v>19</v>
      </c>
    </row>
    <row r="9194" spans="1:6" x14ac:dyDescent="0.25">
      <c r="A9194" s="189" t="str">
        <f t="shared" si="143"/>
        <v>WA-IS 68 RP4-7700.29E</v>
      </c>
      <c r="B9194" s="195" t="s">
        <v>4128</v>
      </c>
      <c r="C9194" s="196">
        <v>0</v>
      </c>
      <c r="D9194" s="196">
        <v>0.28999999999999998</v>
      </c>
      <c r="E9194" s="195" t="s">
        <v>598</v>
      </c>
      <c r="F9194" s="195" t="s">
        <v>19</v>
      </c>
    </row>
    <row r="9195" spans="1:6" x14ac:dyDescent="0.25">
      <c r="A9195" s="189" t="str">
        <f t="shared" si="143"/>
        <v>WA-IS 68 RP6-7400.4E</v>
      </c>
      <c r="B9195" s="195" t="s">
        <v>4129</v>
      </c>
      <c r="C9195" s="196">
        <v>0</v>
      </c>
      <c r="D9195" s="196">
        <v>0.4</v>
      </c>
      <c r="E9195" s="195" t="s">
        <v>598</v>
      </c>
      <c r="F9195" s="195" t="s">
        <v>19</v>
      </c>
    </row>
    <row r="9196" spans="1:6" x14ac:dyDescent="0.25">
      <c r="A9196" s="189" t="str">
        <f t="shared" si="143"/>
        <v>WA-IS 68 RP6-7500.13S</v>
      </c>
      <c r="B9196" s="195" t="s">
        <v>4130</v>
      </c>
      <c r="C9196" s="196">
        <v>0</v>
      </c>
      <c r="D9196" s="196">
        <v>0.13</v>
      </c>
      <c r="E9196" s="195" t="s">
        <v>595</v>
      </c>
      <c r="F9196" s="195" t="s">
        <v>438</v>
      </c>
    </row>
    <row r="9197" spans="1:6" x14ac:dyDescent="0.25">
      <c r="A9197" s="189" t="str">
        <f t="shared" si="143"/>
        <v>WA-IS 68 RP6-7700.27S</v>
      </c>
      <c r="B9197" s="195" t="s">
        <v>4131</v>
      </c>
      <c r="C9197" s="196">
        <v>0</v>
      </c>
      <c r="D9197" s="196">
        <v>0.27</v>
      </c>
      <c r="E9197" s="195" t="s">
        <v>595</v>
      </c>
      <c r="F9197" s="195" t="s">
        <v>438</v>
      </c>
    </row>
    <row r="9198" spans="1:6" x14ac:dyDescent="0.25">
      <c r="A9198" s="189" t="str">
        <f t="shared" si="143"/>
        <v>WA-IS 68 RP7-7700.3W</v>
      </c>
      <c r="B9198" s="195" t="s">
        <v>4132</v>
      </c>
      <c r="C9198" s="196">
        <v>0</v>
      </c>
      <c r="D9198" s="196">
        <v>0.3</v>
      </c>
      <c r="E9198" s="195" t="s">
        <v>593</v>
      </c>
      <c r="F9198" s="195" t="s">
        <v>432</v>
      </c>
    </row>
    <row r="9199" spans="1:6" x14ac:dyDescent="0.25">
      <c r="A9199" s="189" t="str">
        <f t="shared" si="143"/>
        <v>WA-IS 68 RP8-7400.12S</v>
      </c>
      <c r="B9199" s="195" t="s">
        <v>4133</v>
      </c>
      <c r="C9199" s="196">
        <v>0</v>
      </c>
      <c r="D9199" s="196">
        <v>0.12</v>
      </c>
      <c r="E9199" s="195" t="s">
        <v>595</v>
      </c>
      <c r="F9199" s="195" t="s">
        <v>438</v>
      </c>
    </row>
    <row r="9200" spans="1:6" x14ac:dyDescent="0.25">
      <c r="A9200" s="189" t="str">
        <f t="shared" si="143"/>
        <v>WA-IS 68 RP8-7500.1N</v>
      </c>
      <c r="B9200" s="195" t="s">
        <v>4134</v>
      </c>
      <c r="C9200" s="196">
        <v>0</v>
      </c>
      <c r="D9200" s="196">
        <v>0.1</v>
      </c>
      <c r="E9200" s="195" t="s">
        <v>589</v>
      </c>
      <c r="F9200" s="195" t="s">
        <v>430</v>
      </c>
    </row>
    <row r="9201" spans="1:6" x14ac:dyDescent="0.25">
      <c r="A9201" s="189" t="str">
        <f t="shared" si="143"/>
        <v>WA-IS 70 RP10-2600.14E</v>
      </c>
      <c r="B9201" s="195" t="s">
        <v>4135</v>
      </c>
      <c r="C9201" s="196">
        <v>0</v>
      </c>
      <c r="D9201" s="196">
        <v>0.14000000000000001</v>
      </c>
      <c r="E9201" s="195" t="s">
        <v>598</v>
      </c>
      <c r="F9201" s="195" t="s">
        <v>19</v>
      </c>
    </row>
    <row r="9202" spans="1:6" x14ac:dyDescent="0.25">
      <c r="A9202" s="189" t="str">
        <f t="shared" si="143"/>
        <v>WA-IS 70 RP10-260.140.64E</v>
      </c>
      <c r="B9202" s="195" t="s">
        <v>4135</v>
      </c>
      <c r="C9202" s="196">
        <v>0.14000000000000001</v>
      </c>
      <c r="D9202" s="196">
        <v>0.64</v>
      </c>
      <c r="E9202" s="195" t="s">
        <v>598</v>
      </c>
      <c r="F9202" s="195" t="s">
        <v>19</v>
      </c>
    </row>
    <row r="9203" spans="1:6" x14ac:dyDescent="0.25">
      <c r="A9203" s="189" t="str">
        <f t="shared" si="143"/>
        <v>WA-IS 70 RP1-1200.03W</v>
      </c>
      <c r="B9203" s="195" t="s">
        <v>4136</v>
      </c>
      <c r="C9203" s="196">
        <v>0</v>
      </c>
      <c r="D9203" s="196">
        <v>0.03</v>
      </c>
      <c r="E9203" s="195" t="s">
        <v>593</v>
      </c>
      <c r="F9203" s="195" t="s">
        <v>432</v>
      </c>
    </row>
    <row r="9204" spans="1:6" x14ac:dyDescent="0.25">
      <c r="A9204" s="189" t="str">
        <f t="shared" si="143"/>
        <v>WA-IS 70 RP11-2600.7S</v>
      </c>
      <c r="B9204" s="195" t="s">
        <v>4137</v>
      </c>
      <c r="C9204" s="196">
        <v>0</v>
      </c>
      <c r="D9204" s="196">
        <v>0.7</v>
      </c>
      <c r="E9204" s="195" t="s">
        <v>595</v>
      </c>
      <c r="F9204" s="195" t="s">
        <v>438</v>
      </c>
    </row>
    <row r="9205" spans="1:6" x14ac:dyDescent="0.25">
      <c r="A9205" s="189" t="str">
        <f t="shared" si="143"/>
        <v>WA-IS 70 RP1-1800.05W</v>
      </c>
      <c r="B9205" s="195" t="s">
        <v>4138</v>
      </c>
      <c r="C9205" s="196">
        <v>0</v>
      </c>
      <c r="D9205" s="196">
        <v>0.05</v>
      </c>
      <c r="E9205" s="195" t="s">
        <v>593</v>
      </c>
      <c r="F9205" s="195" t="s">
        <v>432</v>
      </c>
    </row>
    <row r="9206" spans="1:6" x14ac:dyDescent="0.25">
      <c r="A9206" s="189" t="str">
        <f t="shared" si="143"/>
        <v>WA-IS 70 RP12-2600.79N</v>
      </c>
      <c r="B9206" s="195" t="s">
        <v>4139</v>
      </c>
      <c r="C9206" s="196">
        <v>0</v>
      </c>
      <c r="D9206" s="196">
        <v>0.79</v>
      </c>
      <c r="E9206" s="195" t="s">
        <v>589</v>
      </c>
      <c r="F9206" s="195" t="s">
        <v>430</v>
      </c>
    </row>
    <row r="9207" spans="1:6" x14ac:dyDescent="0.25">
      <c r="A9207" s="189" t="str">
        <f t="shared" si="143"/>
        <v>WA-IS 70 RP1-2400.04W</v>
      </c>
      <c r="B9207" s="195" t="s">
        <v>4140</v>
      </c>
      <c r="C9207" s="196">
        <v>0</v>
      </c>
      <c r="D9207" s="196">
        <v>0.04</v>
      </c>
      <c r="E9207" s="195" t="s">
        <v>593</v>
      </c>
      <c r="F9207" s="195" t="s">
        <v>432</v>
      </c>
    </row>
    <row r="9208" spans="1:6" x14ac:dyDescent="0.25">
      <c r="A9208" s="189" t="str">
        <f t="shared" si="143"/>
        <v>WA-IS 70 RP1-2600.22N</v>
      </c>
      <c r="B9208" s="195" t="s">
        <v>4141</v>
      </c>
      <c r="C9208" s="196">
        <v>0</v>
      </c>
      <c r="D9208" s="196">
        <v>0.22</v>
      </c>
      <c r="E9208" s="195" t="s">
        <v>589</v>
      </c>
      <c r="F9208" s="195" t="s">
        <v>430</v>
      </c>
    </row>
    <row r="9209" spans="1:6" x14ac:dyDescent="0.25">
      <c r="A9209" s="189" t="str">
        <f t="shared" si="143"/>
        <v>WA-IS 70 RP1-2800.29N</v>
      </c>
      <c r="B9209" s="195" t="s">
        <v>4142</v>
      </c>
      <c r="C9209" s="196">
        <v>0</v>
      </c>
      <c r="D9209" s="196">
        <v>0.28999999999999998</v>
      </c>
      <c r="E9209" s="195" t="s">
        <v>589</v>
      </c>
      <c r="F9209" s="195" t="s">
        <v>430</v>
      </c>
    </row>
    <row r="9210" spans="1:6" x14ac:dyDescent="0.25">
      <c r="A9210" s="189" t="str">
        <f t="shared" si="143"/>
        <v>WA-IS 70 RP1-2900.03W</v>
      </c>
      <c r="B9210" s="195" t="s">
        <v>4143</v>
      </c>
      <c r="C9210" s="196">
        <v>0</v>
      </c>
      <c r="D9210" s="196">
        <v>0.03</v>
      </c>
      <c r="E9210" s="195" t="s">
        <v>593</v>
      </c>
      <c r="F9210" s="195" t="s">
        <v>432</v>
      </c>
    </row>
    <row r="9211" spans="1:6" x14ac:dyDescent="0.25">
      <c r="A9211" s="189" t="str">
        <f t="shared" si="143"/>
        <v>WA-IS 70 RP1-3200.25N</v>
      </c>
      <c r="B9211" s="195" t="s">
        <v>4144</v>
      </c>
      <c r="C9211" s="196">
        <v>0</v>
      </c>
      <c r="D9211" s="196">
        <v>0.25</v>
      </c>
      <c r="E9211" s="195" t="s">
        <v>589</v>
      </c>
      <c r="F9211" s="195" t="s">
        <v>430</v>
      </c>
    </row>
    <row r="9212" spans="1:6" x14ac:dyDescent="0.25">
      <c r="A9212" s="189" t="str">
        <f t="shared" si="143"/>
        <v>WA-IS 70 RP1-3500.02W</v>
      </c>
      <c r="B9212" s="195" t="s">
        <v>4145</v>
      </c>
      <c r="C9212" s="196">
        <v>0</v>
      </c>
      <c r="D9212" s="196">
        <v>0.02</v>
      </c>
      <c r="E9212" s="195" t="s">
        <v>593</v>
      </c>
      <c r="F9212" s="195" t="s">
        <v>432</v>
      </c>
    </row>
    <row r="9213" spans="1:6" x14ac:dyDescent="0.25">
      <c r="A9213" s="189" t="str">
        <f t="shared" si="143"/>
        <v>WA-IS 70 RP1-500.02W</v>
      </c>
      <c r="B9213" s="195" t="s">
        <v>4146</v>
      </c>
      <c r="C9213" s="196">
        <v>0</v>
      </c>
      <c r="D9213" s="196">
        <v>0.02</v>
      </c>
      <c r="E9213" s="195" t="s">
        <v>593</v>
      </c>
      <c r="F9213" s="195" t="s">
        <v>432</v>
      </c>
    </row>
    <row r="9214" spans="1:6" x14ac:dyDescent="0.25">
      <c r="A9214" s="189" t="str">
        <f t="shared" si="143"/>
        <v>WA-IS 70 RP2-100.31W</v>
      </c>
      <c r="B9214" s="195" t="s">
        <v>4147</v>
      </c>
      <c r="C9214" s="196">
        <v>0</v>
      </c>
      <c r="D9214" s="196">
        <v>0.31</v>
      </c>
      <c r="E9214" s="195" t="s">
        <v>593</v>
      </c>
      <c r="F9214" s="195" t="s">
        <v>432</v>
      </c>
    </row>
    <row r="9215" spans="1:6" x14ac:dyDescent="0.25">
      <c r="A9215" s="189" t="str">
        <f t="shared" si="143"/>
        <v>WA-IS 70 RP2-1200.24N</v>
      </c>
      <c r="B9215" s="195" t="s">
        <v>4148</v>
      </c>
      <c r="C9215" s="196">
        <v>0</v>
      </c>
      <c r="D9215" s="196">
        <v>0.24</v>
      </c>
      <c r="E9215" s="195" t="s">
        <v>589</v>
      </c>
      <c r="F9215" s="195" t="s">
        <v>430</v>
      </c>
    </row>
    <row r="9216" spans="1:6" x14ac:dyDescent="0.25">
      <c r="A9216" s="189" t="str">
        <f t="shared" si="143"/>
        <v>WA-IS 70 RP2-1800.39W</v>
      </c>
      <c r="B9216" s="195" t="s">
        <v>4149</v>
      </c>
      <c r="C9216" s="196">
        <v>0</v>
      </c>
      <c r="D9216" s="196">
        <v>0.39</v>
      </c>
      <c r="E9216" s="195" t="s">
        <v>593</v>
      </c>
      <c r="F9216" s="195" t="s">
        <v>432</v>
      </c>
    </row>
    <row r="9217" spans="1:6" x14ac:dyDescent="0.25">
      <c r="A9217" s="189" t="str">
        <f t="shared" si="143"/>
        <v>WA-IS 70 RP2-2400.21N</v>
      </c>
      <c r="B9217" s="195" t="s">
        <v>4150</v>
      </c>
      <c r="C9217" s="196">
        <v>0</v>
      </c>
      <c r="D9217" s="196">
        <v>0.21</v>
      </c>
      <c r="E9217" s="195" t="s">
        <v>589</v>
      </c>
      <c r="F9217" s="195" t="s">
        <v>430</v>
      </c>
    </row>
    <row r="9218" spans="1:6" x14ac:dyDescent="0.25">
      <c r="A9218" s="189" t="str">
        <f t="shared" si="143"/>
        <v>WA-IS 70 RP2-240.120.17S</v>
      </c>
      <c r="B9218" s="195" t="s">
        <v>4150</v>
      </c>
      <c r="C9218" s="196">
        <v>0.12</v>
      </c>
      <c r="D9218" s="196">
        <v>0.17</v>
      </c>
      <c r="E9218" s="195" t="s">
        <v>595</v>
      </c>
      <c r="F9218" s="195" t="s">
        <v>438</v>
      </c>
    </row>
    <row r="9219" spans="1:6" x14ac:dyDescent="0.25">
      <c r="A9219" s="189" t="str">
        <f t="shared" si="143"/>
        <v>WA-IS 70 RP2-2600.3W</v>
      </c>
      <c r="B9219" s="195" t="s">
        <v>4151</v>
      </c>
      <c r="C9219" s="196">
        <v>0</v>
      </c>
      <c r="D9219" s="196">
        <v>0.3</v>
      </c>
      <c r="E9219" s="195" t="s">
        <v>593</v>
      </c>
      <c r="F9219" s="195" t="s">
        <v>432</v>
      </c>
    </row>
    <row r="9220" spans="1:6" x14ac:dyDescent="0.25">
      <c r="A9220" s="189" t="str">
        <f t="shared" si="143"/>
        <v>WA-IS 70 RP2-2800.01W</v>
      </c>
      <c r="B9220" s="195" t="s">
        <v>4152</v>
      </c>
      <c r="C9220" s="196">
        <v>0</v>
      </c>
      <c r="D9220" s="196">
        <v>0.01</v>
      </c>
      <c r="E9220" s="195" t="s">
        <v>593</v>
      </c>
      <c r="F9220" s="195" t="s">
        <v>432</v>
      </c>
    </row>
    <row r="9221" spans="1:6" x14ac:dyDescent="0.25">
      <c r="A9221" s="189" t="str">
        <f t="shared" si="143"/>
        <v>WA-IS 70 RP2-2900.15W</v>
      </c>
      <c r="B9221" s="195" t="s">
        <v>4153</v>
      </c>
      <c r="C9221" s="196">
        <v>0</v>
      </c>
      <c r="D9221" s="196">
        <v>0.15</v>
      </c>
      <c r="E9221" s="195" t="s">
        <v>593</v>
      </c>
      <c r="F9221" s="195" t="s">
        <v>432</v>
      </c>
    </row>
    <row r="9222" spans="1:6" x14ac:dyDescent="0.25">
      <c r="A9222" s="189" t="str">
        <f t="shared" si="143"/>
        <v>WA-IS 70 RP2-290.110.13E</v>
      </c>
      <c r="B9222" s="195" t="s">
        <v>4153</v>
      </c>
      <c r="C9222" s="196">
        <v>0.11</v>
      </c>
      <c r="D9222" s="196">
        <v>0.13</v>
      </c>
      <c r="E9222" s="195" t="s">
        <v>598</v>
      </c>
      <c r="F9222" s="195" t="s">
        <v>19</v>
      </c>
    </row>
    <row r="9223" spans="1:6" x14ac:dyDescent="0.25">
      <c r="A9223" s="189" t="str">
        <f t="shared" si="143"/>
        <v>WA-IS 70 RP2-3200.4W</v>
      </c>
      <c r="B9223" s="195" t="s">
        <v>4154</v>
      </c>
      <c r="C9223" s="196">
        <v>0</v>
      </c>
      <c r="D9223" s="196">
        <v>0.4</v>
      </c>
      <c r="E9223" s="195" t="s">
        <v>593</v>
      </c>
      <c r="F9223" s="195" t="s">
        <v>432</v>
      </c>
    </row>
    <row r="9224" spans="1:6" x14ac:dyDescent="0.25">
      <c r="A9224" s="189" t="str">
        <f t="shared" ref="A9224:A9287" si="144">B9224&amp;C9224&amp;D9224&amp;F9224</f>
        <v>WA-IS 70 RP2-3500.21N</v>
      </c>
      <c r="B9224" s="195" t="s">
        <v>4155</v>
      </c>
      <c r="C9224" s="196">
        <v>0</v>
      </c>
      <c r="D9224" s="196">
        <v>0.21</v>
      </c>
      <c r="E9224" s="195" t="s">
        <v>589</v>
      </c>
      <c r="F9224" s="195" t="s">
        <v>430</v>
      </c>
    </row>
    <row r="9225" spans="1:6" x14ac:dyDescent="0.25">
      <c r="A9225" s="189" t="str">
        <f t="shared" si="144"/>
        <v>WA-IS 70 RP2-500.18W</v>
      </c>
      <c r="B9225" s="195" t="s">
        <v>4156</v>
      </c>
      <c r="C9225" s="196">
        <v>0</v>
      </c>
      <c r="D9225" s="196">
        <v>0.18</v>
      </c>
      <c r="E9225" s="195" t="s">
        <v>593</v>
      </c>
      <c r="F9225" s="195" t="s">
        <v>432</v>
      </c>
    </row>
    <row r="9226" spans="1:6" x14ac:dyDescent="0.25">
      <c r="A9226" s="189" t="str">
        <f t="shared" si="144"/>
        <v>WA-IS 70 RP3-100.36E</v>
      </c>
      <c r="B9226" s="195" t="s">
        <v>4157</v>
      </c>
      <c r="C9226" s="196">
        <v>0</v>
      </c>
      <c r="D9226" s="196">
        <v>0.36</v>
      </c>
      <c r="E9226" s="195" t="s">
        <v>598</v>
      </c>
      <c r="F9226" s="195" t="s">
        <v>19</v>
      </c>
    </row>
    <row r="9227" spans="1:6" x14ac:dyDescent="0.25">
      <c r="A9227" s="189" t="str">
        <f t="shared" si="144"/>
        <v>WA-IS 70 RP3-1200.03E</v>
      </c>
      <c r="B9227" s="195" t="s">
        <v>4158</v>
      </c>
      <c r="C9227" s="196">
        <v>0</v>
      </c>
      <c r="D9227" s="196">
        <v>0.03</v>
      </c>
      <c r="E9227" s="195" t="s">
        <v>598</v>
      </c>
      <c r="F9227" s="195" t="s">
        <v>19</v>
      </c>
    </row>
    <row r="9228" spans="1:6" x14ac:dyDescent="0.25">
      <c r="A9228" s="189" t="str">
        <f t="shared" si="144"/>
        <v>WA-IS 70 RP3-1800.08E</v>
      </c>
      <c r="B9228" s="195" t="s">
        <v>4159</v>
      </c>
      <c r="C9228" s="196">
        <v>0</v>
      </c>
      <c r="D9228" s="196">
        <v>0.08</v>
      </c>
      <c r="E9228" s="195" t="s">
        <v>598</v>
      </c>
      <c r="F9228" s="195" t="s">
        <v>19</v>
      </c>
    </row>
    <row r="9229" spans="1:6" x14ac:dyDescent="0.25">
      <c r="A9229" s="189" t="str">
        <f t="shared" si="144"/>
        <v>WA-IS 70 RP3-2400.04E</v>
      </c>
      <c r="B9229" s="195" t="s">
        <v>4160</v>
      </c>
      <c r="C9229" s="196">
        <v>0</v>
      </c>
      <c r="D9229" s="196">
        <v>0.04</v>
      </c>
      <c r="E9229" s="195" t="s">
        <v>598</v>
      </c>
      <c r="F9229" s="195" t="s">
        <v>19</v>
      </c>
    </row>
    <row r="9230" spans="1:6" x14ac:dyDescent="0.25">
      <c r="A9230" s="189" t="str">
        <f t="shared" si="144"/>
        <v>WA-IS 70 RP3-2600.21E</v>
      </c>
      <c r="B9230" s="195" t="s">
        <v>4161</v>
      </c>
      <c r="C9230" s="196">
        <v>0</v>
      </c>
      <c r="D9230" s="196">
        <v>0.21</v>
      </c>
      <c r="E9230" s="195" t="s">
        <v>598</v>
      </c>
      <c r="F9230" s="195" t="s">
        <v>19</v>
      </c>
    </row>
    <row r="9231" spans="1:6" x14ac:dyDescent="0.25">
      <c r="A9231" s="189" t="str">
        <f t="shared" si="144"/>
        <v>WA-IS 70 RP3-2900.25E</v>
      </c>
      <c r="B9231" s="195" t="s">
        <v>4162</v>
      </c>
      <c r="C9231" s="196">
        <v>0</v>
      </c>
      <c r="D9231" s="196">
        <v>0.25</v>
      </c>
      <c r="E9231" s="195" t="s">
        <v>598</v>
      </c>
      <c r="F9231" s="195" t="s">
        <v>19</v>
      </c>
    </row>
    <row r="9232" spans="1:6" x14ac:dyDescent="0.25">
      <c r="A9232" s="189" t="str">
        <f t="shared" si="144"/>
        <v>WA-IS 70 RP3-3200.21E</v>
      </c>
      <c r="B9232" s="195" t="s">
        <v>4163</v>
      </c>
      <c r="C9232" s="196">
        <v>0</v>
      </c>
      <c r="D9232" s="196">
        <v>0.21</v>
      </c>
      <c r="E9232" s="195" t="s">
        <v>598</v>
      </c>
      <c r="F9232" s="195" t="s">
        <v>19</v>
      </c>
    </row>
    <row r="9233" spans="1:6" x14ac:dyDescent="0.25">
      <c r="A9233" s="189" t="str">
        <f t="shared" si="144"/>
        <v>WA-IS 70 RP3-3500.02S</v>
      </c>
      <c r="B9233" s="195" t="s">
        <v>4164</v>
      </c>
      <c r="C9233" s="196">
        <v>0</v>
      </c>
      <c r="D9233" s="196">
        <v>0.02</v>
      </c>
      <c r="E9233" s="195" t="s">
        <v>595</v>
      </c>
      <c r="F9233" s="195" t="s">
        <v>438</v>
      </c>
    </row>
    <row r="9234" spans="1:6" x14ac:dyDescent="0.25">
      <c r="A9234" s="189" t="str">
        <f t="shared" si="144"/>
        <v>WA-IS 70 RP3-500.15E</v>
      </c>
      <c r="B9234" s="195" t="s">
        <v>4165</v>
      </c>
      <c r="C9234" s="196">
        <v>0</v>
      </c>
      <c r="D9234" s="196">
        <v>0.15</v>
      </c>
      <c r="E9234" s="195" t="s">
        <v>598</v>
      </c>
      <c r="F9234" s="195" t="s">
        <v>19</v>
      </c>
    </row>
    <row r="9235" spans="1:6" x14ac:dyDescent="0.25">
      <c r="A9235" s="189" t="str">
        <f t="shared" si="144"/>
        <v>WA-IS 70 RP4-100.21E</v>
      </c>
      <c r="B9235" s="195" t="s">
        <v>4166</v>
      </c>
      <c r="C9235" s="196">
        <v>0</v>
      </c>
      <c r="D9235" s="196">
        <v>0.21</v>
      </c>
      <c r="E9235" s="195" t="s">
        <v>598</v>
      </c>
      <c r="F9235" s="195" t="s">
        <v>19</v>
      </c>
    </row>
    <row r="9236" spans="1:6" x14ac:dyDescent="0.25">
      <c r="A9236" s="189" t="str">
        <f t="shared" si="144"/>
        <v>WA-IS 70 RP4-1200.25E</v>
      </c>
      <c r="B9236" s="195" t="s">
        <v>4167</v>
      </c>
      <c r="C9236" s="196">
        <v>0</v>
      </c>
      <c r="D9236" s="196">
        <v>0.25</v>
      </c>
      <c r="E9236" s="195" t="s">
        <v>598</v>
      </c>
      <c r="F9236" s="195" t="s">
        <v>19</v>
      </c>
    </row>
    <row r="9237" spans="1:6" x14ac:dyDescent="0.25">
      <c r="A9237" s="189" t="str">
        <f t="shared" si="144"/>
        <v>WA-IS 70 RP4-1800.38N</v>
      </c>
      <c r="B9237" s="195" t="s">
        <v>4168</v>
      </c>
      <c r="C9237" s="196">
        <v>0</v>
      </c>
      <c r="D9237" s="196">
        <v>0.38</v>
      </c>
      <c r="E9237" s="195" t="s">
        <v>589</v>
      </c>
      <c r="F9237" s="195" t="s">
        <v>430</v>
      </c>
    </row>
    <row r="9238" spans="1:6" x14ac:dyDescent="0.25">
      <c r="A9238" s="189" t="str">
        <f t="shared" si="144"/>
        <v>WA-IS 70 RP4-2400.26N</v>
      </c>
      <c r="B9238" s="195" t="s">
        <v>4169</v>
      </c>
      <c r="C9238" s="196">
        <v>0</v>
      </c>
      <c r="D9238" s="196">
        <v>0.26</v>
      </c>
      <c r="E9238" s="195" t="s">
        <v>589</v>
      </c>
      <c r="F9238" s="195" t="s">
        <v>430</v>
      </c>
    </row>
    <row r="9239" spans="1:6" x14ac:dyDescent="0.25">
      <c r="A9239" s="189" t="str">
        <f t="shared" si="144"/>
        <v>WA-IS 70 RP4-2600.32N</v>
      </c>
      <c r="B9239" s="195" t="s">
        <v>4170</v>
      </c>
      <c r="C9239" s="196">
        <v>0</v>
      </c>
      <c r="D9239" s="196">
        <v>0.32</v>
      </c>
      <c r="E9239" s="195" t="s">
        <v>589</v>
      </c>
      <c r="F9239" s="195" t="s">
        <v>430</v>
      </c>
    </row>
    <row r="9240" spans="1:6" x14ac:dyDescent="0.25">
      <c r="A9240" s="189" t="str">
        <f t="shared" si="144"/>
        <v>WA-IS 70 RP4-2800.04W</v>
      </c>
      <c r="B9240" s="195" t="s">
        <v>4171</v>
      </c>
      <c r="C9240" s="196">
        <v>0</v>
      </c>
      <c r="D9240" s="196">
        <v>0.04</v>
      </c>
      <c r="E9240" s="195" t="s">
        <v>593</v>
      </c>
      <c r="F9240" s="195" t="s">
        <v>432</v>
      </c>
    </row>
    <row r="9241" spans="1:6" x14ac:dyDescent="0.25">
      <c r="A9241" s="189" t="str">
        <f t="shared" si="144"/>
        <v>WA-IS 70 RP4-2900.06W</v>
      </c>
      <c r="B9241" s="195" t="s">
        <v>4172</v>
      </c>
      <c r="C9241" s="196">
        <v>0</v>
      </c>
      <c r="D9241" s="196">
        <v>0.06</v>
      </c>
      <c r="E9241" s="195" t="s">
        <v>593</v>
      </c>
      <c r="F9241" s="195" t="s">
        <v>432</v>
      </c>
    </row>
    <row r="9242" spans="1:6" x14ac:dyDescent="0.25">
      <c r="A9242" s="189" t="str">
        <f t="shared" si="144"/>
        <v>WA-IS 70 RP4-300.04S</v>
      </c>
      <c r="B9242" s="195" t="s">
        <v>4173</v>
      </c>
      <c r="C9242" s="196">
        <v>0</v>
      </c>
      <c r="D9242" s="196">
        <v>0.04</v>
      </c>
      <c r="E9242" s="195" t="s">
        <v>595</v>
      </c>
      <c r="F9242" s="195" t="s">
        <v>438</v>
      </c>
    </row>
    <row r="9243" spans="1:6" x14ac:dyDescent="0.25">
      <c r="A9243" s="189" t="str">
        <f t="shared" si="144"/>
        <v>WA-IS 70 RP4-3200.3N</v>
      </c>
      <c r="B9243" s="195" t="s">
        <v>4174</v>
      </c>
      <c r="C9243" s="196">
        <v>0</v>
      </c>
      <c r="D9243" s="196">
        <v>0.3</v>
      </c>
      <c r="E9243" s="195" t="s">
        <v>589</v>
      </c>
      <c r="F9243" s="195" t="s">
        <v>430</v>
      </c>
    </row>
    <row r="9244" spans="1:6" x14ac:dyDescent="0.25">
      <c r="A9244" s="189" t="str">
        <f t="shared" si="144"/>
        <v>WA-IS 70 RP4-3500.26E</v>
      </c>
      <c r="B9244" s="195" t="s">
        <v>4175</v>
      </c>
      <c r="C9244" s="196">
        <v>0</v>
      </c>
      <c r="D9244" s="196">
        <v>0.26</v>
      </c>
      <c r="E9244" s="195" t="s">
        <v>598</v>
      </c>
      <c r="F9244" s="195" t="s">
        <v>19</v>
      </c>
    </row>
    <row r="9245" spans="1:6" x14ac:dyDescent="0.25">
      <c r="A9245" s="189" t="str">
        <f t="shared" si="144"/>
        <v>WA-IS 70 RP5-1200.02E</v>
      </c>
      <c r="B9245" s="195" t="s">
        <v>4176</v>
      </c>
      <c r="C9245" s="196">
        <v>0</v>
      </c>
      <c r="D9245" s="196">
        <v>0.02</v>
      </c>
      <c r="E9245" s="195" t="s">
        <v>598</v>
      </c>
      <c r="F9245" s="195" t="s">
        <v>19</v>
      </c>
    </row>
    <row r="9246" spans="1:6" x14ac:dyDescent="0.25">
      <c r="A9246" s="189" t="str">
        <f t="shared" si="144"/>
        <v>WA-IS 70 RP5-1800.06E</v>
      </c>
      <c r="B9246" s="195" t="s">
        <v>4177</v>
      </c>
      <c r="C9246" s="196">
        <v>0</v>
      </c>
      <c r="D9246" s="196">
        <v>0.06</v>
      </c>
      <c r="E9246" s="195" t="s">
        <v>598</v>
      </c>
      <c r="F9246" s="195" t="s">
        <v>19</v>
      </c>
    </row>
    <row r="9247" spans="1:6" x14ac:dyDescent="0.25">
      <c r="A9247" s="189" t="str">
        <f t="shared" si="144"/>
        <v>WA-IS 70 RP5-2400.04E</v>
      </c>
      <c r="B9247" s="195" t="s">
        <v>4178</v>
      </c>
      <c r="C9247" s="196">
        <v>0</v>
      </c>
      <c r="D9247" s="196">
        <v>0.04</v>
      </c>
      <c r="E9247" s="195" t="s">
        <v>598</v>
      </c>
      <c r="F9247" s="195" t="s">
        <v>19</v>
      </c>
    </row>
    <row r="9248" spans="1:6" x14ac:dyDescent="0.25">
      <c r="A9248" s="189" t="str">
        <f t="shared" si="144"/>
        <v>WA-IS 70 RP5-2600.2S</v>
      </c>
      <c r="B9248" s="195" t="s">
        <v>4179</v>
      </c>
      <c r="C9248" s="196">
        <v>0</v>
      </c>
      <c r="D9248" s="196">
        <v>0.2</v>
      </c>
      <c r="E9248" s="195" t="s">
        <v>595</v>
      </c>
      <c r="F9248" s="195" t="s">
        <v>438</v>
      </c>
    </row>
    <row r="9249" spans="1:6" x14ac:dyDescent="0.25">
      <c r="A9249" s="189" t="str">
        <f t="shared" si="144"/>
        <v>WA-IS 70 RP5-2800.23S</v>
      </c>
      <c r="B9249" s="195" t="s">
        <v>4180</v>
      </c>
      <c r="C9249" s="196">
        <v>0</v>
      </c>
      <c r="D9249" s="196">
        <v>0.23</v>
      </c>
      <c r="E9249" s="195" t="s">
        <v>595</v>
      </c>
      <c r="F9249" s="195" t="s">
        <v>438</v>
      </c>
    </row>
    <row r="9250" spans="1:6" x14ac:dyDescent="0.25">
      <c r="A9250" s="189" t="str">
        <f t="shared" si="144"/>
        <v>WA-IS 70 RP5-2900.28S</v>
      </c>
      <c r="B9250" s="195" t="s">
        <v>4181</v>
      </c>
      <c r="C9250" s="196">
        <v>0</v>
      </c>
      <c r="D9250" s="196">
        <v>0.28000000000000003</v>
      </c>
      <c r="E9250" s="195" t="s">
        <v>595</v>
      </c>
      <c r="F9250" s="195" t="s">
        <v>438</v>
      </c>
    </row>
    <row r="9251" spans="1:6" x14ac:dyDescent="0.25">
      <c r="A9251" s="189" t="str">
        <f t="shared" si="144"/>
        <v>WA-IS 70 RP5-3200.3S</v>
      </c>
      <c r="B9251" s="195" t="s">
        <v>4182</v>
      </c>
      <c r="C9251" s="196">
        <v>0</v>
      </c>
      <c r="D9251" s="196">
        <v>0.3</v>
      </c>
      <c r="E9251" s="195" t="s">
        <v>595</v>
      </c>
      <c r="F9251" s="195" t="s">
        <v>438</v>
      </c>
    </row>
    <row r="9252" spans="1:6" x14ac:dyDescent="0.25">
      <c r="A9252" s="189" t="str">
        <f t="shared" si="144"/>
        <v>WA-IS 70 RP5-3500.02S</v>
      </c>
      <c r="B9252" s="195" t="s">
        <v>4183</v>
      </c>
      <c r="C9252" s="196">
        <v>0</v>
      </c>
      <c r="D9252" s="196">
        <v>0.02</v>
      </c>
      <c r="E9252" s="195" t="s">
        <v>595</v>
      </c>
      <c r="F9252" s="195" t="s">
        <v>438</v>
      </c>
    </row>
    <row r="9253" spans="1:6" x14ac:dyDescent="0.25">
      <c r="A9253" s="189" t="str">
        <f t="shared" si="144"/>
        <v>WA-IS 70 RP5-500.28S</v>
      </c>
      <c r="B9253" s="195" t="s">
        <v>4184</v>
      </c>
      <c r="C9253" s="196">
        <v>0</v>
      </c>
      <c r="D9253" s="196">
        <v>0.28000000000000003</v>
      </c>
      <c r="E9253" s="195" t="s">
        <v>595</v>
      </c>
      <c r="F9253" s="195" t="s">
        <v>438</v>
      </c>
    </row>
    <row r="9254" spans="1:6" x14ac:dyDescent="0.25">
      <c r="A9254" s="189" t="str">
        <f t="shared" si="144"/>
        <v>WA-IS 70 RP6-100.7S</v>
      </c>
      <c r="B9254" s="195" t="s">
        <v>4185</v>
      </c>
      <c r="C9254" s="196">
        <v>0</v>
      </c>
      <c r="D9254" s="196">
        <v>0.7</v>
      </c>
      <c r="E9254" s="195" t="s">
        <v>595</v>
      </c>
      <c r="F9254" s="195" t="s">
        <v>438</v>
      </c>
    </row>
    <row r="9255" spans="1:6" x14ac:dyDescent="0.25">
      <c r="A9255" s="189" t="str">
        <f t="shared" si="144"/>
        <v>WA-IS 70 RP6-1200.17S</v>
      </c>
      <c r="B9255" s="195" t="s">
        <v>4186</v>
      </c>
      <c r="C9255" s="196">
        <v>0</v>
      </c>
      <c r="D9255" s="196">
        <v>0.17</v>
      </c>
      <c r="E9255" s="195" t="s">
        <v>595</v>
      </c>
      <c r="F9255" s="195" t="s">
        <v>438</v>
      </c>
    </row>
    <row r="9256" spans="1:6" x14ac:dyDescent="0.25">
      <c r="A9256" s="189" t="str">
        <f t="shared" si="144"/>
        <v>WA-IS 70 RP6-1800.44E</v>
      </c>
      <c r="B9256" s="195" t="s">
        <v>4187</v>
      </c>
      <c r="C9256" s="196">
        <v>0</v>
      </c>
      <c r="D9256" s="196">
        <v>0.44</v>
      </c>
      <c r="E9256" s="195" t="s">
        <v>598</v>
      </c>
      <c r="F9256" s="195" t="s">
        <v>19</v>
      </c>
    </row>
    <row r="9257" spans="1:6" x14ac:dyDescent="0.25">
      <c r="A9257" s="189" t="str">
        <f t="shared" si="144"/>
        <v>WA-IS 70 RP6-2400.24S</v>
      </c>
      <c r="B9257" s="195" t="s">
        <v>4188</v>
      </c>
      <c r="C9257" s="196">
        <v>0</v>
      </c>
      <c r="D9257" s="196">
        <v>0.24</v>
      </c>
      <c r="E9257" s="195" t="s">
        <v>595</v>
      </c>
      <c r="F9257" s="195" t="s">
        <v>438</v>
      </c>
    </row>
    <row r="9258" spans="1:6" x14ac:dyDescent="0.25">
      <c r="A9258" s="189" t="str">
        <f t="shared" si="144"/>
        <v>WA-IS 70 RP6-2600.28E</v>
      </c>
      <c r="B9258" s="195" t="s">
        <v>4189</v>
      </c>
      <c r="C9258" s="196">
        <v>0</v>
      </c>
      <c r="D9258" s="196">
        <v>0.28000000000000003</v>
      </c>
      <c r="E9258" s="195" t="s">
        <v>598</v>
      </c>
      <c r="F9258" s="195" t="s">
        <v>19</v>
      </c>
    </row>
    <row r="9259" spans="1:6" x14ac:dyDescent="0.25">
      <c r="A9259" s="189" t="str">
        <f t="shared" si="144"/>
        <v>WA-IS 70 RP6-2800.26E</v>
      </c>
      <c r="B9259" s="195" t="s">
        <v>4190</v>
      </c>
      <c r="C9259" s="196">
        <v>0</v>
      </c>
      <c r="D9259" s="196">
        <v>0.26</v>
      </c>
      <c r="E9259" s="195" t="s">
        <v>598</v>
      </c>
      <c r="F9259" s="195" t="s">
        <v>19</v>
      </c>
    </row>
    <row r="9260" spans="1:6" x14ac:dyDescent="0.25">
      <c r="A9260" s="189" t="str">
        <f t="shared" si="144"/>
        <v>WA-IS 70 RP6-2900.28E</v>
      </c>
      <c r="B9260" s="195" t="s">
        <v>4191</v>
      </c>
      <c r="C9260" s="196">
        <v>0</v>
      </c>
      <c r="D9260" s="196">
        <v>0.28000000000000003</v>
      </c>
      <c r="E9260" s="195" t="s">
        <v>598</v>
      </c>
      <c r="F9260" s="195" t="s">
        <v>19</v>
      </c>
    </row>
    <row r="9261" spans="1:6" x14ac:dyDescent="0.25">
      <c r="A9261" s="189" t="str">
        <f t="shared" si="144"/>
        <v>WA-IS 70 RP6-300.14S</v>
      </c>
      <c r="B9261" s="195" t="s">
        <v>4192</v>
      </c>
      <c r="C9261" s="196">
        <v>0</v>
      </c>
      <c r="D9261" s="196">
        <v>0.14000000000000001</v>
      </c>
      <c r="E9261" s="195" t="s">
        <v>595</v>
      </c>
      <c r="F9261" s="195" t="s">
        <v>438</v>
      </c>
    </row>
    <row r="9262" spans="1:6" x14ac:dyDescent="0.25">
      <c r="A9262" s="189" t="str">
        <f t="shared" si="144"/>
        <v>WA-IS 70 RP6-3200.38E</v>
      </c>
      <c r="B9262" s="195" t="s">
        <v>4193</v>
      </c>
      <c r="C9262" s="196">
        <v>0</v>
      </c>
      <c r="D9262" s="196">
        <v>0.38</v>
      </c>
      <c r="E9262" s="195" t="s">
        <v>598</v>
      </c>
      <c r="F9262" s="195" t="s">
        <v>19</v>
      </c>
    </row>
    <row r="9263" spans="1:6" x14ac:dyDescent="0.25">
      <c r="A9263" s="189" t="str">
        <f t="shared" si="144"/>
        <v>WA-IS 70 RP6-3500.17S</v>
      </c>
      <c r="B9263" s="195" t="s">
        <v>4194</v>
      </c>
      <c r="C9263" s="196">
        <v>0</v>
      </c>
      <c r="D9263" s="196">
        <v>0.17</v>
      </c>
      <c r="E9263" s="195" t="s">
        <v>595</v>
      </c>
      <c r="F9263" s="195" t="s">
        <v>438</v>
      </c>
    </row>
    <row r="9264" spans="1:6" x14ac:dyDescent="0.25">
      <c r="A9264" s="189" t="str">
        <f t="shared" si="144"/>
        <v>WA-IS 70 RP7-1200.02W</v>
      </c>
      <c r="B9264" s="195" t="s">
        <v>4195</v>
      </c>
      <c r="C9264" s="196">
        <v>0</v>
      </c>
      <c r="D9264" s="196">
        <v>0.02</v>
      </c>
      <c r="E9264" s="195" t="s">
        <v>593</v>
      </c>
      <c r="F9264" s="195" t="s">
        <v>432</v>
      </c>
    </row>
    <row r="9265" spans="1:6" x14ac:dyDescent="0.25">
      <c r="A9265" s="189" t="str">
        <f t="shared" si="144"/>
        <v>WA-IS 70 RP7-1800.05W</v>
      </c>
      <c r="B9265" s="195" t="s">
        <v>4196</v>
      </c>
      <c r="C9265" s="196">
        <v>0</v>
      </c>
      <c r="D9265" s="196">
        <v>0.05</v>
      </c>
      <c r="E9265" s="195" t="s">
        <v>593</v>
      </c>
      <c r="F9265" s="195" t="s">
        <v>432</v>
      </c>
    </row>
    <row r="9266" spans="1:6" x14ac:dyDescent="0.25">
      <c r="A9266" s="189" t="str">
        <f t="shared" si="144"/>
        <v>WA-IS 70 RP7-2400.03W</v>
      </c>
      <c r="B9266" s="195" t="s">
        <v>4197</v>
      </c>
      <c r="C9266" s="196">
        <v>0</v>
      </c>
      <c r="D9266" s="196">
        <v>0.03</v>
      </c>
      <c r="E9266" s="195" t="s">
        <v>593</v>
      </c>
      <c r="F9266" s="195" t="s">
        <v>432</v>
      </c>
    </row>
    <row r="9267" spans="1:6" x14ac:dyDescent="0.25">
      <c r="A9267" s="189" t="str">
        <f t="shared" si="144"/>
        <v>WA-IS 70 RP7-2600.2W</v>
      </c>
      <c r="B9267" s="195" t="s">
        <v>4198</v>
      </c>
      <c r="C9267" s="196">
        <v>0</v>
      </c>
      <c r="D9267" s="196">
        <v>0.2</v>
      </c>
      <c r="E9267" s="195" t="s">
        <v>593</v>
      </c>
      <c r="F9267" s="195" t="s">
        <v>432</v>
      </c>
    </row>
    <row r="9268" spans="1:6" x14ac:dyDescent="0.25">
      <c r="A9268" s="189" t="str">
        <f t="shared" si="144"/>
        <v>WA-IS 70 RP7-2800.35W</v>
      </c>
      <c r="B9268" s="195" t="s">
        <v>4199</v>
      </c>
      <c r="C9268" s="196">
        <v>0</v>
      </c>
      <c r="D9268" s="196">
        <v>0.35</v>
      </c>
      <c r="E9268" s="195" t="s">
        <v>593</v>
      </c>
      <c r="F9268" s="195" t="s">
        <v>432</v>
      </c>
    </row>
    <row r="9269" spans="1:6" x14ac:dyDescent="0.25">
      <c r="A9269" s="189" t="str">
        <f t="shared" si="144"/>
        <v>WA-IS 70 RP7-280.270.35E</v>
      </c>
      <c r="B9269" s="195" t="s">
        <v>4199</v>
      </c>
      <c r="C9269" s="196">
        <v>0.27</v>
      </c>
      <c r="D9269" s="196">
        <v>0.35</v>
      </c>
      <c r="E9269" s="195" t="s">
        <v>598</v>
      </c>
      <c r="F9269" s="195" t="s">
        <v>19</v>
      </c>
    </row>
    <row r="9270" spans="1:6" x14ac:dyDescent="0.25">
      <c r="A9270" s="189" t="str">
        <f t="shared" si="144"/>
        <v>WA-IS 70 RP7-2900.02W</v>
      </c>
      <c r="B9270" s="195" t="s">
        <v>4200</v>
      </c>
      <c r="C9270" s="196">
        <v>0</v>
      </c>
      <c r="D9270" s="196">
        <v>0.02</v>
      </c>
      <c r="E9270" s="195" t="s">
        <v>593</v>
      </c>
      <c r="F9270" s="195" t="s">
        <v>432</v>
      </c>
    </row>
    <row r="9271" spans="1:6" x14ac:dyDescent="0.25">
      <c r="A9271" s="189" t="str">
        <f t="shared" si="144"/>
        <v>WA-IS 70 RP7-300.3W</v>
      </c>
      <c r="B9271" s="195" t="s">
        <v>4201</v>
      </c>
      <c r="C9271" s="196">
        <v>0</v>
      </c>
      <c r="D9271" s="196">
        <v>0.3</v>
      </c>
      <c r="E9271" s="195" t="s">
        <v>593</v>
      </c>
      <c r="F9271" s="195" t="s">
        <v>432</v>
      </c>
    </row>
    <row r="9272" spans="1:6" x14ac:dyDescent="0.25">
      <c r="A9272" s="189" t="str">
        <f t="shared" si="144"/>
        <v>WA-IS 70 RP7-30.240.27E</v>
      </c>
      <c r="B9272" s="195" t="s">
        <v>4201</v>
      </c>
      <c r="C9272" s="196">
        <v>0.24</v>
      </c>
      <c r="D9272" s="196">
        <v>0.27</v>
      </c>
      <c r="E9272" s="195" t="s">
        <v>598</v>
      </c>
      <c r="F9272" s="195" t="s">
        <v>19</v>
      </c>
    </row>
    <row r="9273" spans="1:6" x14ac:dyDescent="0.25">
      <c r="A9273" s="189" t="str">
        <f t="shared" si="144"/>
        <v>WA-IS 70 RP7-3200.21W</v>
      </c>
      <c r="B9273" s="195" t="s">
        <v>4202</v>
      </c>
      <c r="C9273" s="196">
        <v>0</v>
      </c>
      <c r="D9273" s="196">
        <v>0.21</v>
      </c>
      <c r="E9273" s="195" t="s">
        <v>593</v>
      </c>
      <c r="F9273" s="195" t="s">
        <v>432</v>
      </c>
    </row>
    <row r="9274" spans="1:6" x14ac:dyDescent="0.25">
      <c r="A9274" s="189" t="str">
        <f t="shared" si="144"/>
        <v>WA-IS 70 RP7-3500.02W</v>
      </c>
      <c r="B9274" s="195" t="s">
        <v>4203</v>
      </c>
      <c r="C9274" s="196">
        <v>0</v>
      </c>
      <c r="D9274" s="196">
        <v>0.02</v>
      </c>
      <c r="E9274" s="195" t="s">
        <v>593</v>
      </c>
      <c r="F9274" s="195" t="s">
        <v>432</v>
      </c>
    </row>
    <row r="9275" spans="1:6" x14ac:dyDescent="0.25">
      <c r="A9275" s="189" t="str">
        <f t="shared" si="144"/>
        <v>WA-IS 70 RP7-500.02N</v>
      </c>
      <c r="B9275" s="195" t="s">
        <v>4204</v>
      </c>
      <c r="C9275" s="196">
        <v>0</v>
      </c>
      <c r="D9275" s="196">
        <v>0.02</v>
      </c>
      <c r="E9275" s="195" t="s">
        <v>589</v>
      </c>
      <c r="F9275" s="195" t="s">
        <v>430</v>
      </c>
    </row>
    <row r="9276" spans="1:6" x14ac:dyDescent="0.25">
      <c r="A9276" s="189" t="str">
        <f t="shared" si="144"/>
        <v>WA-IS 70 RP8-100.25S</v>
      </c>
      <c r="B9276" s="195" t="s">
        <v>4205</v>
      </c>
      <c r="C9276" s="196">
        <v>0</v>
      </c>
      <c r="D9276" s="196">
        <v>0.25</v>
      </c>
      <c r="E9276" s="195" t="s">
        <v>595</v>
      </c>
      <c r="F9276" s="195" t="s">
        <v>438</v>
      </c>
    </row>
    <row r="9277" spans="1:6" x14ac:dyDescent="0.25">
      <c r="A9277" s="189" t="str">
        <f t="shared" si="144"/>
        <v>WA-IS 70 RP8-1200.28W</v>
      </c>
      <c r="B9277" s="195" t="s">
        <v>4206</v>
      </c>
      <c r="C9277" s="196">
        <v>0</v>
      </c>
      <c r="D9277" s="196">
        <v>0.28000000000000003</v>
      </c>
      <c r="E9277" s="195" t="s">
        <v>593</v>
      </c>
      <c r="F9277" s="195" t="s">
        <v>432</v>
      </c>
    </row>
    <row r="9278" spans="1:6" x14ac:dyDescent="0.25">
      <c r="A9278" s="189" t="str">
        <f t="shared" si="144"/>
        <v>WA-IS 70 RP8-1800.34S</v>
      </c>
      <c r="B9278" s="195" t="s">
        <v>4207</v>
      </c>
      <c r="C9278" s="196">
        <v>0</v>
      </c>
      <c r="D9278" s="196">
        <v>0.34</v>
      </c>
      <c r="E9278" s="195" t="s">
        <v>595</v>
      </c>
      <c r="F9278" s="195" t="s">
        <v>438</v>
      </c>
    </row>
    <row r="9279" spans="1:6" x14ac:dyDescent="0.25">
      <c r="A9279" s="189" t="str">
        <f t="shared" si="144"/>
        <v>WA-IS 70 RP8-2400.31S</v>
      </c>
      <c r="B9279" s="195" t="s">
        <v>4208</v>
      </c>
      <c r="C9279" s="196">
        <v>0</v>
      </c>
      <c r="D9279" s="196">
        <v>0.31</v>
      </c>
      <c r="E9279" s="195" t="s">
        <v>595</v>
      </c>
      <c r="F9279" s="195" t="s">
        <v>438</v>
      </c>
    </row>
    <row r="9280" spans="1:6" x14ac:dyDescent="0.25">
      <c r="A9280" s="189" t="str">
        <f t="shared" si="144"/>
        <v>WA-IS 70 RP8-2600.28S</v>
      </c>
      <c r="B9280" s="195" t="s">
        <v>4209</v>
      </c>
      <c r="C9280" s="196">
        <v>0</v>
      </c>
      <c r="D9280" s="196">
        <v>0.28000000000000003</v>
      </c>
      <c r="E9280" s="195" t="s">
        <v>595</v>
      </c>
      <c r="F9280" s="195" t="s">
        <v>438</v>
      </c>
    </row>
    <row r="9281" spans="1:6" x14ac:dyDescent="0.25">
      <c r="A9281" s="189" t="str">
        <f t="shared" si="144"/>
        <v>WA-IS 70 RP8-2800.07E</v>
      </c>
      <c r="B9281" s="195" t="s">
        <v>4210</v>
      </c>
      <c r="C9281" s="196">
        <v>0</v>
      </c>
      <c r="D9281" s="196">
        <v>7.0000000000000007E-2</v>
      </c>
      <c r="E9281" s="195" t="s">
        <v>598</v>
      </c>
      <c r="F9281" s="195" t="s">
        <v>19</v>
      </c>
    </row>
    <row r="9282" spans="1:6" x14ac:dyDescent="0.25">
      <c r="A9282" s="189" t="str">
        <f t="shared" si="144"/>
        <v>WA-IS 70 RP8-2900.31S</v>
      </c>
      <c r="B9282" s="195" t="s">
        <v>4211</v>
      </c>
      <c r="C9282" s="196">
        <v>0</v>
      </c>
      <c r="D9282" s="196">
        <v>0.31</v>
      </c>
      <c r="E9282" s="195" t="s">
        <v>595</v>
      </c>
      <c r="F9282" s="195" t="s">
        <v>438</v>
      </c>
    </row>
    <row r="9283" spans="1:6" x14ac:dyDescent="0.25">
      <c r="A9283" s="189" t="str">
        <f t="shared" si="144"/>
        <v>WA-IS 70 RP8-290.040.05N</v>
      </c>
      <c r="B9283" s="195" t="s">
        <v>4211</v>
      </c>
      <c r="C9283" s="196">
        <v>0.04</v>
      </c>
      <c r="D9283" s="196">
        <v>0.05</v>
      </c>
      <c r="E9283" s="195" t="s">
        <v>589</v>
      </c>
      <c r="F9283" s="195" t="s">
        <v>430</v>
      </c>
    </row>
    <row r="9284" spans="1:6" x14ac:dyDescent="0.25">
      <c r="A9284" s="189" t="str">
        <f t="shared" si="144"/>
        <v>WA-IS 70 RP8-300.02S</v>
      </c>
      <c r="B9284" s="195" t="s">
        <v>4212</v>
      </c>
      <c r="C9284" s="196">
        <v>0</v>
      </c>
      <c r="D9284" s="196">
        <v>0.02</v>
      </c>
      <c r="E9284" s="195" t="s">
        <v>595</v>
      </c>
      <c r="F9284" s="195" t="s">
        <v>438</v>
      </c>
    </row>
    <row r="9285" spans="1:6" x14ac:dyDescent="0.25">
      <c r="A9285" s="189" t="str">
        <f t="shared" si="144"/>
        <v>WA-IS 70 RP8-3200.32S</v>
      </c>
      <c r="B9285" s="195" t="s">
        <v>4213</v>
      </c>
      <c r="C9285" s="196">
        <v>0</v>
      </c>
      <c r="D9285" s="196">
        <v>0.32</v>
      </c>
      <c r="E9285" s="195" t="s">
        <v>595</v>
      </c>
      <c r="F9285" s="195" t="s">
        <v>438</v>
      </c>
    </row>
    <row r="9286" spans="1:6" x14ac:dyDescent="0.25">
      <c r="A9286" s="189" t="str">
        <f t="shared" si="144"/>
        <v>WA-IS 70 RP8-3500.27W</v>
      </c>
      <c r="B9286" s="195" t="s">
        <v>4214</v>
      </c>
      <c r="C9286" s="196">
        <v>0</v>
      </c>
      <c r="D9286" s="196">
        <v>0.27</v>
      </c>
      <c r="E9286" s="195" t="s">
        <v>593</v>
      </c>
      <c r="F9286" s="195" t="s">
        <v>432</v>
      </c>
    </row>
    <row r="9287" spans="1:6" x14ac:dyDescent="0.25">
      <c r="A9287" s="189" t="str">
        <f t="shared" si="144"/>
        <v>WA-IS 70 RP8-500.26S</v>
      </c>
      <c r="B9287" s="195" t="s">
        <v>4215</v>
      </c>
      <c r="C9287" s="196">
        <v>0</v>
      </c>
      <c r="D9287" s="196">
        <v>0.26</v>
      </c>
      <c r="E9287" s="195" t="s">
        <v>595</v>
      </c>
      <c r="F9287" s="195" t="s">
        <v>438</v>
      </c>
    </row>
    <row r="9288" spans="1:6" x14ac:dyDescent="0.25">
      <c r="A9288" s="189" t="str">
        <f t="shared" ref="A9288:A9351" si="145">B9288&amp;C9288&amp;D9288&amp;F9288</f>
        <v>WA-IS 70 RP9-100.07S</v>
      </c>
      <c r="B9288" s="195" t="s">
        <v>4216</v>
      </c>
      <c r="C9288" s="196">
        <v>0</v>
      </c>
      <c r="D9288" s="196">
        <v>7.0000000000000007E-2</v>
      </c>
      <c r="E9288" s="195" t="s">
        <v>595</v>
      </c>
      <c r="F9288" s="195" t="s">
        <v>438</v>
      </c>
    </row>
    <row r="9289" spans="1:6" x14ac:dyDescent="0.25">
      <c r="A9289" s="189" t="str">
        <f t="shared" si="145"/>
        <v>WA-IS 70 RP9-2600.44W</v>
      </c>
      <c r="B9289" s="195" t="s">
        <v>4217</v>
      </c>
      <c r="C9289" s="196">
        <v>0</v>
      </c>
      <c r="D9289" s="196">
        <v>0.44</v>
      </c>
      <c r="E9289" s="195" t="s">
        <v>593</v>
      </c>
      <c r="F9289" s="195" t="s">
        <v>432</v>
      </c>
    </row>
    <row r="9290" spans="1:6" x14ac:dyDescent="0.25">
      <c r="A9290" s="189" t="str">
        <f t="shared" si="145"/>
        <v>WA-IS 70 RP9-260.440.63W</v>
      </c>
      <c r="B9290" s="195" t="s">
        <v>4217</v>
      </c>
      <c r="C9290" s="196">
        <v>0.44</v>
      </c>
      <c r="D9290" s="196">
        <v>0.63</v>
      </c>
      <c r="E9290" s="195" t="s">
        <v>593</v>
      </c>
      <c r="F9290" s="195" t="s">
        <v>432</v>
      </c>
    </row>
    <row r="9291" spans="1:6" x14ac:dyDescent="0.25">
      <c r="A9291" s="189" t="str">
        <f t="shared" si="145"/>
        <v>WA-IS 81 RP1-100.03W</v>
      </c>
      <c r="B9291" s="195" t="s">
        <v>4218</v>
      </c>
      <c r="C9291" s="196">
        <v>0</v>
      </c>
      <c r="D9291" s="196">
        <v>0.03</v>
      </c>
      <c r="E9291" s="195" t="s">
        <v>593</v>
      </c>
      <c r="F9291" s="195" t="s">
        <v>432</v>
      </c>
    </row>
    <row r="9292" spans="1:6" x14ac:dyDescent="0.25">
      <c r="A9292" s="189" t="str">
        <f t="shared" si="145"/>
        <v>WA-IS 81 RP1-1000.13N</v>
      </c>
      <c r="B9292" s="195" t="s">
        <v>4219</v>
      </c>
      <c r="C9292" s="196">
        <v>0</v>
      </c>
      <c r="D9292" s="196">
        <v>0.13</v>
      </c>
      <c r="E9292" s="195" t="s">
        <v>589</v>
      </c>
      <c r="F9292" s="195" t="s">
        <v>430</v>
      </c>
    </row>
    <row r="9293" spans="1:6" x14ac:dyDescent="0.25">
      <c r="A9293" s="189" t="str">
        <f t="shared" si="145"/>
        <v>WA-IS 81 RP1-200.04N</v>
      </c>
      <c r="B9293" s="195" t="s">
        <v>4220</v>
      </c>
      <c r="C9293" s="196">
        <v>0</v>
      </c>
      <c r="D9293" s="196">
        <v>0.04</v>
      </c>
      <c r="E9293" s="195" t="s">
        <v>589</v>
      </c>
      <c r="F9293" s="195" t="s">
        <v>430</v>
      </c>
    </row>
    <row r="9294" spans="1:6" x14ac:dyDescent="0.25">
      <c r="A9294" s="189" t="str">
        <f t="shared" si="145"/>
        <v>WA-IS 81 RP1-500.23N</v>
      </c>
      <c r="B9294" s="195" t="s">
        <v>4221</v>
      </c>
      <c r="C9294" s="196">
        <v>0</v>
      </c>
      <c r="D9294" s="196">
        <v>0.23</v>
      </c>
      <c r="E9294" s="195" t="s">
        <v>589</v>
      </c>
      <c r="F9294" s="195" t="s">
        <v>430</v>
      </c>
    </row>
    <row r="9295" spans="1:6" x14ac:dyDescent="0.25">
      <c r="A9295" s="189" t="str">
        <f t="shared" si="145"/>
        <v>WA-IS 81 RP1-600.21E</v>
      </c>
      <c r="B9295" s="195" t="s">
        <v>4222</v>
      </c>
      <c r="C9295" s="196">
        <v>0</v>
      </c>
      <c r="D9295" s="196">
        <v>0.21</v>
      </c>
      <c r="E9295" s="195" t="s">
        <v>598</v>
      </c>
      <c r="F9295" s="195" t="s">
        <v>19</v>
      </c>
    </row>
    <row r="9296" spans="1:6" x14ac:dyDescent="0.25">
      <c r="A9296" s="189" t="str">
        <f t="shared" si="145"/>
        <v>WA-IS 81 RP1-700.25E</v>
      </c>
      <c r="B9296" s="195" t="s">
        <v>4223</v>
      </c>
      <c r="C9296" s="196">
        <v>0</v>
      </c>
      <c r="D9296" s="196">
        <v>0.25</v>
      </c>
      <c r="E9296" s="195" t="s">
        <v>598</v>
      </c>
      <c r="F9296" s="195" t="s">
        <v>19</v>
      </c>
    </row>
    <row r="9297" spans="1:6" x14ac:dyDescent="0.25">
      <c r="A9297" s="189" t="str">
        <f t="shared" si="145"/>
        <v>WA-IS 81 RP1-900.02N</v>
      </c>
      <c r="B9297" s="195" t="s">
        <v>4224</v>
      </c>
      <c r="C9297" s="196">
        <v>0</v>
      </c>
      <c r="D9297" s="196">
        <v>0.02</v>
      </c>
      <c r="E9297" s="195" t="s">
        <v>589</v>
      </c>
      <c r="F9297" s="195" t="s">
        <v>430</v>
      </c>
    </row>
    <row r="9298" spans="1:6" x14ac:dyDescent="0.25">
      <c r="A9298" s="189" t="str">
        <f t="shared" si="145"/>
        <v>WA-IS 81 RP2-100.17W</v>
      </c>
      <c r="B9298" s="195" t="s">
        <v>4225</v>
      </c>
      <c r="C9298" s="196">
        <v>0</v>
      </c>
      <c r="D9298" s="196">
        <v>0.17</v>
      </c>
      <c r="E9298" s="195" t="s">
        <v>593</v>
      </c>
      <c r="F9298" s="195" t="s">
        <v>432</v>
      </c>
    </row>
    <row r="9299" spans="1:6" x14ac:dyDescent="0.25">
      <c r="A9299" s="189" t="str">
        <f t="shared" si="145"/>
        <v>WA-IS 81 RP2-10.170.22W</v>
      </c>
      <c r="B9299" s="195" t="s">
        <v>4225</v>
      </c>
      <c r="C9299" s="196">
        <v>0.17</v>
      </c>
      <c r="D9299" s="196">
        <v>0.22</v>
      </c>
      <c r="E9299" s="195" t="s">
        <v>593</v>
      </c>
      <c r="F9299" s="195" t="s">
        <v>432</v>
      </c>
    </row>
    <row r="9300" spans="1:6" x14ac:dyDescent="0.25">
      <c r="A9300" s="189" t="str">
        <f t="shared" si="145"/>
        <v>WA-IS 81 RP2-1000.25W</v>
      </c>
      <c r="B9300" s="195" t="s">
        <v>4226</v>
      </c>
      <c r="C9300" s="196">
        <v>0</v>
      </c>
      <c r="D9300" s="196">
        <v>0.25</v>
      </c>
      <c r="E9300" s="195" t="s">
        <v>593</v>
      </c>
      <c r="F9300" s="195" t="s">
        <v>432</v>
      </c>
    </row>
    <row r="9301" spans="1:6" x14ac:dyDescent="0.25">
      <c r="A9301" s="189" t="str">
        <f t="shared" si="145"/>
        <v>WA-IS 81 RP2-200.3W</v>
      </c>
      <c r="B9301" s="195" t="s">
        <v>4227</v>
      </c>
      <c r="C9301" s="196">
        <v>0</v>
      </c>
      <c r="D9301" s="196">
        <v>0.3</v>
      </c>
      <c r="E9301" s="195" t="s">
        <v>593</v>
      </c>
      <c r="F9301" s="195" t="s">
        <v>432</v>
      </c>
    </row>
    <row r="9302" spans="1:6" x14ac:dyDescent="0.25">
      <c r="A9302" s="189" t="str">
        <f t="shared" si="145"/>
        <v>WA-IS 81 RP2-500.24W</v>
      </c>
      <c r="B9302" s="195" t="s">
        <v>4228</v>
      </c>
      <c r="C9302" s="196">
        <v>0</v>
      </c>
      <c r="D9302" s="196">
        <v>0.24</v>
      </c>
      <c r="E9302" s="195" t="s">
        <v>593</v>
      </c>
      <c r="F9302" s="195" t="s">
        <v>432</v>
      </c>
    </row>
    <row r="9303" spans="1:6" x14ac:dyDescent="0.25">
      <c r="A9303" s="189" t="str">
        <f t="shared" si="145"/>
        <v>WA-IS 81 RP2-600.26W</v>
      </c>
      <c r="B9303" s="195" t="s">
        <v>4229</v>
      </c>
      <c r="C9303" s="196">
        <v>0</v>
      </c>
      <c r="D9303" s="196">
        <v>0.26</v>
      </c>
      <c r="E9303" s="195" t="s">
        <v>593</v>
      </c>
      <c r="F9303" s="195" t="s">
        <v>432</v>
      </c>
    </row>
    <row r="9304" spans="1:6" x14ac:dyDescent="0.25">
      <c r="A9304" s="189" t="str">
        <f t="shared" si="145"/>
        <v>WA-IS 81 RP2-700.33N</v>
      </c>
      <c r="B9304" s="195" t="s">
        <v>4230</v>
      </c>
      <c r="C9304" s="196">
        <v>0</v>
      </c>
      <c r="D9304" s="196">
        <v>0.33</v>
      </c>
      <c r="E9304" s="195" t="s">
        <v>589</v>
      </c>
      <c r="F9304" s="195" t="s">
        <v>430</v>
      </c>
    </row>
    <row r="9305" spans="1:6" x14ac:dyDescent="0.25">
      <c r="A9305" s="189" t="str">
        <f t="shared" si="145"/>
        <v>WA-IS 81 RP2-800.19N</v>
      </c>
      <c r="B9305" s="195" t="s">
        <v>4231</v>
      </c>
      <c r="C9305" s="196">
        <v>0</v>
      </c>
      <c r="D9305" s="196">
        <v>0.19</v>
      </c>
      <c r="E9305" s="195" t="s">
        <v>589</v>
      </c>
      <c r="F9305" s="195" t="s">
        <v>430</v>
      </c>
    </row>
    <row r="9306" spans="1:6" x14ac:dyDescent="0.25">
      <c r="A9306" s="189" t="str">
        <f t="shared" si="145"/>
        <v>WA-IS 81 RP2-900.2N</v>
      </c>
      <c r="B9306" s="195" t="s">
        <v>4232</v>
      </c>
      <c r="C9306" s="196">
        <v>0</v>
      </c>
      <c r="D9306" s="196">
        <v>0.2</v>
      </c>
      <c r="E9306" s="195" t="s">
        <v>589</v>
      </c>
      <c r="F9306" s="195" t="s">
        <v>430</v>
      </c>
    </row>
    <row r="9307" spans="1:6" x14ac:dyDescent="0.25">
      <c r="A9307" s="189" t="str">
        <f t="shared" si="145"/>
        <v>WA-IS 81 RP3-100.02E</v>
      </c>
      <c r="B9307" s="195" t="s">
        <v>4233</v>
      </c>
      <c r="C9307" s="196">
        <v>0</v>
      </c>
      <c r="D9307" s="196">
        <v>0.02</v>
      </c>
      <c r="E9307" s="195" t="s">
        <v>598</v>
      </c>
      <c r="F9307" s="195" t="s">
        <v>19</v>
      </c>
    </row>
    <row r="9308" spans="1:6" x14ac:dyDescent="0.25">
      <c r="A9308" s="189" t="str">
        <f t="shared" si="145"/>
        <v>WA-IS 81 RP3-1000.12S</v>
      </c>
      <c r="B9308" s="195" t="s">
        <v>4234</v>
      </c>
      <c r="C9308" s="196">
        <v>0</v>
      </c>
      <c r="D9308" s="196">
        <v>0.12</v>
      </c>
      <c r="E9308" s="195" t="s">
        <v>595</v>
      </c>
      <c r="F9308" s="195" t="s">
        <v>438</v>
      </c>
    </row>
    <row r="9309" spans="1:6" x14ac:dyDescent="0.25">
      <c r="A9309" s="189" t="str">
        <f t="shared" si="145"/>
        <v>WA-IS 81 RP3-200.34E</v>
      </c>
      <c r="B9309" s="195" t="s">
        <v>4235</v>
      </c>
      <c r="C9309" s="196">
        <v>0</v>
      </c>
      <c r="D9309" s="196">
        <v>0.34</v>
      </c>
      <c r="E9309" s="195" t="s">
        <v>598</v>
      </c>
      <c r="F9309" s="195" t="s">
        <v>19</v>
      </c>
    </row>
    <row r="9310" spans="1:6" x14ac:dyDescent="0.25">
      <c r="A9310" s="189" t="str">
        <f t="shared" si="145"/>
        <v>WA-IS 81 RP3-500.09N</v>
      </c>
      <c r="B9310" s="195" t="s">
        <v>4236</v>
      </c>
      <c r="C9310" s="196">
        <v>0</v>
      </c>
      <c r="D9310" s="196">
        <v>0.09</v>
      </c>
      <c r="E9310" s="195" t="s">
        <v>589</v>
      </c>
      <c r="F9310" s="195" t="s">
        <v>430</v>
      </c>
    </row>
    <row r="9311" spans="1:6" x14ac:dyDescent="0.25">
      <c r="A9311" s="189" t="str">
        <f t="shared" si="145"/>
        <v>WA-IS 81 RP3-600.23S</v>
      </c>
      <c r="B9311" s="195" t="s">
        <v>4237</v>
      </c>
      <c r="C9311" s="196">
        <v>0</v>
      </c>
      <c r="D9311" s="196">
        <v>0.23</v>
      </c>
      <c r="E9311" s="195" t="s">
        <v>595</v>
      </c>
      <c r="F9311" s="195" t="s">
        <v>438</v>
      </c>
    </row>
    <row r="9312" spans="1:6" x14ac:dyDescent="0.25">
      <c r="A9312" s="189" t="str">
        <f t="shared" si="145"/>
        <v>WA-IS 81 RP3-700.02N</v>
      </c>
      <c r="B9312" s="195" t="s">
        <v>4238</v>
      </c>
      <c r="C9312" s="196">
        <v>0</v>
      </c>
      <c r="D9312" s="196">
        <v>0.02</v>
      </c>
      <c r="E9312" s="195" t="s">
        <v>589</v>
      </c>
      <c r="F9312" s="195" t="s">
        <v>430</v>
      </c>
    </row>
    <row r="9313" spans="1:6" x14ac:dyDescent="0.25">
      <c r="A9313" s="189" t="str">
        <f t="shared" si="145"/>
        <v>WA-IS 81 RP3-800.01E</v>
      </c>
      <c r="B9313" s="195" t="s">
        <v>4239</v>
      </c>
      <c r="C9313" s="196">
        <v>0</v>
      </c>
      <c r="D9313" s="196">
        <v>0.01</v>
      </c>
      <c r="E9313" s="195" t="s">
        <v>598</v>
      </c>
      <c r="F9313" s="195" t="s">
        <v>19</v>
      </c>
    </row>
    <row r="9314" spans="1:6" x14ac:dyDescent="0.25">
      <c r="A9314" s="189" t="str">
        <f t="shared" si="145"/>
        <v>WA-IS 81 RP4-100.23N</v>
      </c>
      <c r="B9314" s="195" t="s">
        <v>4240</v>
      </c>
      <c r="C9314" s="196">
        <v>0</v>
      </c>
      <c r="D9314" s="196">
        <v>0.23</v>
      </c>
      <c r="E9314" s="195" t="s">
        <v>589</v>
      </c>
      <c r="F9314" s="195" t="s">
        <v>430</v>
      </c>
    </row>
    <row r="9315" spans="1:6" x14ac:dyDescent="0.25">
      <c r="A9315" s="189" t="str">
        <f t="shared" si="145"/>
        <v>WA-IS 81 RP4-1000.22N</v>
      </c>
      <c r="B9315" s="195" t="s">
        <v>4241</v>
      </c>
      <c r="C9315" s="196">
        <v>0</v>
      </c>
      <c r="D9315" s="196">
        <v>0.22</v>
      </c>
      <c r="E9315" s="195" t="s">
        <v>589</v>
      </c>
      <c r="F9315" s="195" t="s">
        <v>430</v>
      </c>
    </row>
    <row r="9316" spans="1:6" x14ac:dyDescent="0.25">
      <c r="A9316" s="189" t="str">
        <f t="shared" si="145"/>
        <v>WA-IS 81 RP4-200.42N</v>
      </c>
      <c r="B9316" s="195" t="s">
        <v>4242</v>
      </c>
      <c r="C9316" s="196">
        <v>0</v>
      </c>
      <c r="D9316" s="196">
        <v>0.42</v>
      </c>
      <c r="E9316" s="195" t="s">
        <v>589</v>
      </c>
      <c r="F9316" s="195" t="s">
        <v>430</v>
      </c>
    </row>
    <row r="9317" spans="1:6" x14ac:dyDescent="0.25">
      <c r="A9317" s="189" t="str">
        <f t="shared" si="145"/>
        <v>WA-IS 81 RP4-500.22N</v>
      </c>
      <c r="B9317" s="195" t="s">
        <v>4243</v>
      </c>
      <c r="C9317" s="196">
        <v>0</v>
      </c>
      <c r="D9317" s="196">
        <v>0.22</v>
      </c>
      <c r="E9317" s="195" t="s">
        <v>589</v>
      </c>
      <c r="F9317" s="195" t="s">
        <v>430</v>
      </c>
    </row>
    <row r="9318" spans="1:6" x14ac:dyDescent="0.25">
      <c r="A9318" s="189" t="str">
        <f t="shared" si="145"/>
        <v>WA-IS 81 RP4-600.34E</v>
      </c>
      <c r="B9318" s="195" t="s">
        <v>4244</v>
      </c>
      <c r="C9318" s="196">
        <v>0</v>
      </c>
      <c r="D9318" s="196">
        <v>0.34</v>
      </c>
      <c r="E9318" s="195" t="s">
        <v>598</v>
      </c>
      <c r="F9318" s="195" t="s">
        <v>19</v>
      </c>
    </row>
    <row r="9319" spans="1:6" x14ac:dyDescent="0.25">
      <c r="A9319" s="189" t="str">
        <f t="shared" si="145"/>
        <v>WA-IS 81 RP4-700.17E</v>
      </c>
      <c r="B9319" s="195" t="s">
        <v>4245</v>
      </c>
      <c r="C9319" s="196">
        <v>0</v>
      </c>
      <c r="D9319" s="196">
        <v>0.17</v>
      </c>
      <c r="E9319" s="195" t="s">
        <v>598</v>
      </c>
      <c r="F9319" s="195" t="s">
        <v>19</v>
      </c>
    </row>
    <row r="9320" spans="1:6" x14ac:dyDescent="0.25">
      <c r="A9320" s="189" t="str">
        <f t="shared" si="145"/>
        <v>WA-IS 81 RP4-900.15N</v>
      </c>
      <c r="B9320" s="195" t="s">
        <v>4246</v>
      </c>
      <c r="C9320" s="196">
        <v>0</v>
      </c>
      <c r="D9320" s="196">
        <v>0.15</v>
      </c>
      <c r="E9320" s="195" t="s">
        <v>589</v>
      </c>
      <c r="F9320" s="195" t="s">
        <v>430</v>
      </c>
    </row>
    <row r="9321" spans="1:6" x14ac:dyDescent="0.25">
      <c r="A9321" s="189" t="str">
        <f t="shared" si="145"/>
        <v>WA-IS 81 RP5-100.03E</v>
      </c>
      <c r="B9321" s="195" t="s">
        <v>4247</v>
      </c>
      <c r="C9321" s="196">
        <v>0</v>
      </c>
      <c r="D9321" s="196">
        <v>0.03</v>
      </c>
      <c r="E9321" s="195" t="s">
        <v>598</v>
      </c>
      <c r="F9321" s="195" t="s">
        <v>19</v>
      </c>
    </row>
    <row r="9322" spans="1:6" x14ac:dyDescent="0.25">
      <c r="A9322" s="189" t="str">
        <f t="shared" si="145"/>
        <v>WA-IS 81 RP5-1000.21S</v>
      </c>
      <c r="B9322" s="195" t="s">
        <v>4248</v>
      </c>
      <c r="C9322" s="196">
        <v>0</v>
      </c>
      <c r="D9322" s="196">
        <v>0.21</v>
      </c>
      <c r="E9322" s="195" t="s">
        <v>595</v>
      </c>
      <c r="F9322" s="195" t="s">
        <v>438</v>
      </c>
    </row>
    <row r="9323" spans="1:6" x14ac:dyDescent="0.25">
      <c r="A9323" s="189" t="str">
        <f t="shared" si="145"/>
        <v>WA-IS 81 RP5-1200.15W</v>
      </c>
      <c r="B9323" s="195" t="s">
        <v>4249</v>
      </c>
      <c r="C9323" s="196">
        <v>0</v>
      </c>
      <c r="D9323" s="196">
        <v>0.15</v>
      </c>
      <c r="E9323" s="195" t="s">
        <v>593</v>
      </c>
      <c r="F9323" s="195" t="s">
        <v>432</v>
      </c>
    </row>
    <row r="9324" spans="1:6" x14ac:dyDescent="0.25">
      <c r="A9324" s="189" t="str">
        <f t="shared" si="145"/>
        <v>WA-IS 81 RP5-200.04S</v>
      </c>
      <c r="B9324" s="195" t="s">
        <v>4250</v>
      </c>
      <c r="C9324" s="196">
        <v>0</v>
      </c>
      <c r="D9324" s="196">
        <v>0.04</v>
      </c>
      <c r="E9324" s="195" t="s">
        <v>595</v>
      </c>
      <c r="F9324" s="195" t="s">
        <v>438</v>
      </c>
    </row>
    <row r="9325" spans="1:6" x14ac:dyDescent="0.25">
      <c r="A9325" s="189" t="str">
        <f t="shared" si="145"/>
        <v>WA-IS 81 RP5-500.23S</v>
      </c>
      <c r="B9325" s="195" t="s">
        <v>4251</v>
      </c>
      <c r="C9325" s="196">
        <v>0</v>
      </c>
      <c r="D9325" s="196">
        <v>0.23</v>
      </c>
      <c r="E9325" s="195" t="s">
        <v>595</v>
      </c>
      <c r="F9325" s="195" t="s">
        <v>438</v>
      </c>
    </row>
    <row r="9326" spans="1:6" x14ac:dyDescent="0.25">
      <c r="A9326" s="189" t="str">
        <f t="shared" si="145"/>
        <v>WA-IS 81 RP5-600.19W</v>
      </c>
      <c r="B9326" s="195" t="s">
        <v>4252</v>
      </c>
      <c r="C9326" s="196">
        <v>0</v>
      </c>
      <c r="D9326" s="196">
        <v>0.19</v>
      </c>
      <c r="E9326" s="195" t="s">
        <v>593</v>
      </c>
      <c r="F9326" s="195" t="s">
        <v>432</v>
      </c>
    </row>
    <row r="9327" spans="1:6" x14ac:dyDescent="0.25">
      <c r="A9327" s="189" t="str">
        <f t="shared" si="145"/>
        <v>WA-IS 81 RP5-700.21W</v>
      </c>
      <c r="B9327" s="195" t="s">
        <v>4253</v>
      </c>
      <c r="C9327" s="196">
        <v>0</v>
      </c>
      <c r="D9327" s="196">
        <v>0.21</v>
      </c>
      <c r="E9327" s="195" t="s">
        <v>593</v>
      </c>
      <c r="F9327" s="195" t="s">
        <v>432</v>
      </c>
    </row>
    <row r="9328" spans="1:6" x14ac:dyDescent="0.25">
      <c r="A9328" s="189" t="str">
        <f t="shared" si="145"/>
        <v>WA-IS 81 RP5-800.19W</v>
      </c>
      <c r="B9328" s="195" t="s">
        <v>4254</v>
      </c>
      <c r="C9328" s="196">
        <v>0</v>
      </c>
      <c r="D9328" s="196">
        <v>0.19</v>
      </c>
      <c r="E9328" s="195" t="s">
        <v>593</v>
      </c>
      <c r="F9328" s="195" t="s">
        <v>432</v>
      </c>
    </row>
    <row r="9329" spans="1:6" x14ac:dyDescent="0.25">
      <c r="A9329" s="189" t="str">
        <f t="shared" si="145"/>
        <v>WA-IS 81 RP5-900.02S</v>
      </c>
      <c r="B9329" s="195" t="s">
        <v>4255</v>
      </c>
      <c r="C9329" s="196">
        <v>0</v>
      </c>
      <c r="D9329" s="196">
        <v>0.02</v>
      </c>
      <c r="E9329" s="195" t="s">
        <v>595</v>
      </c>
      <c r="F9329" s="195" t="s">
        <v>438</v>
      </c>
    </row>
    <row r="9330" spans="1:6" x14ac:dyDescent="0.25">
      <c r="A9330" s="189" t="str">
        <f t="shared" si="145"/>
        <v>WA-IS 81 RP6-100.22E</v>
      </c>
      <c r="B9330" s="195" t="s">
        <v>4256</v>
      </c>
      <c r="C9330" s="196">
        <v>0</v>
      </c>
      <c r="D9330" s="196">
        <v>0.22</v>
      </c>
      <c r="E9330" s="195" t="s">
        <v>598</v>
      </c>
      <c r="F9330" s="195" t="s">
        <v>19</v>
      </c>
    </row>
    <row r="9331" spans="1:6" x14ac:dyDescent="0.25">
      <c r="A9331" s="189" t="str">
        <f t="shared" si="145"/>
        <v>WA-IS 81 RP6-1000.28E</v>
      </c>
      <c r="B9331" s="195" t="s">
        <v>4257</v>
      </c>
      <c r="C9331" s="196">
        <v>0</v>
      </c>
      <c r="D9331" s="196">
        <v>0.28000000000000003</v>
      </c>
      <c r="E9331" s="195" t="s">
        <v>598</v>
      </c>
      <c r="F9331" s="195" t="s">
        <v>19</v>
      </c>
    </row>
    <row r="9332" spans="1:6" x14ac:dyDescent="0.25">
      <c r="A9332" s="189" t="str">
        <f t="shared" si="145"/>
        <v>WA-IS 81 RP6-1200.22S</v>
      </c>
      <c r="B9332" s="195" t="s">
        <v>4258</v>
      </c>
      <c r="C9332" s="196">
        <v>0</v>
      </c>
      <c r="D9332" s="196">
        <v>0.22</v>
      </c>
      <c r="E9332" s="195" t="s">
        <v>595</v>
      </c>
      <c r="F9332" s="195" t="s">
        <v>438</v>
      </c>
    </row>
    <row r="9333" spans="1:6" x14ac:dyDescent="0.25">
      <c r="A9333" s="189" t="str">
        <f t="shared" si="145"/>
        <v>WA-IS 81 RP6-200.24E</v>
      </c>
      <c r="B9333" s="195" t="s">
        <v>4259</v>
      </c>
      <c r="C9333" s="196">
        <v>0</v>
      </c>
      <c r="D9333" s="196">
        <v>0.24</v>
      </c>
      <c r="E9333" s="195" t="s">
        <v>598</v>
      </c>
      <c r="F9333" s="195" t="s">
        <v>19</v>
      </c>
    </row>
    <row r="9334" spans="1:6" x14ac:dyDescent="0.25">
      <c r="A9334" s="189" t="str">
        <f t="shared" si="145"/>
        <v>WA-IS 81 RP6-500.33E</v>
      </c>
      <c r="B9334" s="195" t="s">
        <v>4260</v>
      </c>
      <c r="C9334" s="196">
        <v>0</v>
      </c>
      <c r="D9334" s="196">
        <v>0.33</v>
      </c>
      <c r="E9334" s="195" t="s">
        <v>598</v>
      </c>
      <c r="F9334" s="195" t="s">
        <v>19</v>
      </c>
    </row>
    <row r="9335" spans="1:6" x14ac:dyDescent="0.25">
      <c r="A9335" s="189" t="str">
        <f t="shared" si="145"/>
        <v>WA-IS 81 RP6-600.25E</v>
      </c>
      <c r="B9335" s="195" t="s">
        <v>4261</v>
      </c>
      <c r="C9335" s="196">
        <v>0</v>
      </c>
      <c r="D9335" s="196">
        <v>0.25</v>
      </c>
      <c r="E9335" s="195" t="s">
        <v>598</v>
      </c>
      <c r="F9335" s="195" t="s">
        <v>19</v>
      </c>
    </row>
    <row r="9336" spans="1:6" x14ac:dyDescent="0.25">
      <c r="A9336" s="189" t="str">
        <f t="shared" si="145"/>
        <v>WA-IS 81 RP6-700.29S</v>
      </c>
      <c r="B9336" s="195" t="s">
        <v>4262</v>
      </c>
      <c r="C9336" s="196">
        <v>0</v>
      </c>
      <c r="D9336" s="196">
        <v>0.28999999999999998</v>
      </c>
      <c r="E9336" s="195" t="s">
        <v>595</v>
      </c>
      <c r="F9336" s="195" t="s">
        <v>438</v>
      </c>
    </row>
    <row r="9337" spans="1:6" x14ac:dyDescent="0.25">
      <c r="A9337" s="189" t="str">
        <f t="shared" si="145"/>
        <v>WA-IS 81 RP6-900.21S</v>
      </c>
      <c r="B9337" s="195" t="s">
        <v>4263</v>
      </c>
      <c r="C9337" s="196">
        <v>0</v>
      </c>
      <c r="D9337" s="196">
        <v>0.21</v>
      </c>
      <c r="E9337" s="195" t="s">
        <v>595</v>
      </c>
      <c r="F9337" s="195" t="s">
        <v>438</v>
      </c>
    </row>
    <row r="9338" spans="1:6" x14ac:dyDescent="0.25">
      <c r="A9338" s="189" t="str">
        <f t="shared" si="145"/>
        <v>WA-IS 81 RP7-100.03S</v>
      </c>
      <c r="B9338" s="195" t="s">
        <v>4264</v>
      </c>
      <c r="C9338" s="196">
        <v>0</v>
      </c>
      <c r="D9338" s="196">
        <v>0.03</v>
      </c>
      <c r="E9338" s="195" t="s">
        <v>595</v>
      </c>
      <c r="F9338" s="195" t="s">
        <v>438</v>
      </c>
    </row>
    <row r="9339" spans="1:6" x14ac:dyDescent="0.25">
      <c r="A9339" s="189" t="str">
        <f t="shared" si="145"/>
        <v>WA-IS 81 RP7-1000.13W</v>
      </c>
      <c r="B9339" s="195" t="s">
        <v>4265</v>
      </c>
      <c r="C9339" s="196">
        <v>0</v>
      </c>
      <c r="D9339" s="196">
        <v>0.13</v>
      </c>
      <c r="E9339" s="195" t="s">
        <v>593</v>
      </c>
      <c r="F9339" s="195" t="s">
        <v>432</v>
      </c>
    </row>
    <row r="9340" spans="1:6" x14ac:dyDescent="0.25">
      <c r="A9340" s="189" t="str">
        <f t="shared" si="145"/>
        <v>WA-IS 81 RP7-1200.02S</v>
      </c>
      <c r="B9340" s="195" t="s">
        <v>4266</v>
      </c>
      <c r="C9340" s="196">
        <v>0</v>
      </c>
      <c r="D9340" s="196">
        <v>0.02</v>
      </c>
      <c r="E9340" s="195" t="s">
        <v>595</v>
      </c>
      <c r="F9340" s="195" t="s">
        <v>438</v>
      </c>
    </row>
    <row r="9341" spans="1:6" x14ac:dyDescent="0.25">
      <c r="A9341" s="189" t="str">
        <f t="shared" si="145"/>
        <v>WA-IS 81 RP7-200.04S</v>
      </c>
      <c r="B9341" s="195" t="s">
        <v>4267</v>
      </c>
      <c r="C9341" s="196">
        <v>0</v>
      </c>
      <c r="D9341" s="196">
        <v>0.04</v>
      </c>
      <c r="E9341" s="195" t="s">
        <v>595</v>
      </c>
      <c r="F9341" s="195" t="s">
        <v>438</v>
      </c>
    </row>
    <row r="9342" spans="1:6" x14ac:dyDescent="0.25">
      <c r="A9342" s="189" t="str">
        <f t="shared" si="145"/>
        <v>WA-IS 81 RP7-500.09S</v>
      </c>
      <c r="B9342" s="195" t="s">
        <v>4268</v>
      </c>
      <c r="C9342" s="196">
        <v>0</v>
      </c>
      <c r="D9342" s="196">
        <v>0.09</v>
      </c>
      <c r="E9342" s="195" t="s">
        <v>595</v>
      </c>
      <c r="F9342" s="195" t="s">
        <v>438</v>
      </c>
    </row>
    <row r="9343" spans="1:6" x14ac:dyDescent="0.25">
      <c r="A9343" s="189" t="str">
        <f t="shared" si="145"/>
        <v>WA-IS 81 RP7-600.22W</v>
      </c>
      <c r="B9343" s="195" t="s">
        <v>4269</v>
      </c>
      <c r="C9343" s="196">
        <v>0</v>
      </c>
      <c r="D9343" s="196">
        <v>0.22</v>
      </c>
      <c r="E9343" s="195" t="s">
        <v>593</v>
      </c>
      <c r="F9343" s="195" t="s">
        <v>432</v>
      </c>
    </row>
    <row r="9344" spans="1:6" x14ac:dyDescent="0.25">
      <c r="A9344" s="189" t="str">
        <f t="shared" si="145"/>
        <v>WA-IS 81 RP7-700.04W</v>
      </c>
      <c r="B9344" s="195" t="s">
        <v>4270</v>
      </c>
      <c r="C9344" s="196">
        <v>0</v>
      </c>
      <c r="D9344" s="196">
        <v>0.04</v>
      </c>
      <c r="E9344" s="195" t="s">
        <v>593</v>
      </c>
      <c r="F9344" s="195" t="s">
        <v>432</v>
      </c>
    </row>
    <row r="9345" spans="1:6" x14ac:dyDescent="0.25">
      <c r="A9345" s="189" t="str">
        <f t="shared" si="145"/>
        <v>WA-IS 81 RP7-900.03S</v>
      </c>
      <c r="B9345" s="195" t="s">
        <v>4271</v>
      </c>
      <c r="C9345" s="196">
        <v>0</v>
      </c>
      <c r="D9345" s="196">
        <v>0.03</v>
      </c>
      <c r="E9345" s="195" t="s">
        <v>595</v>
      </c>
      <c r="F9345" s="195" t="s">
        <v>438</v>
      </c>
    </row>
    <row r="9346" spans="1:6" x14ac:dyDescent="0.25">
      <c r="A9346" s="189" t="str">
        <f t="shared" si="145"/>
        <v>WA-IS 81 RP8-100.35S</v>
      </c>
      <c r="B9346" s="195" t="s">
        <v>4272</v>
      </c>
      <c r="C9346" s="196">
        <v>0</v>
      </c>
      <c r="D9346" s="196">
        <v>0.35</v>
      </c>
      <c r="E9346" s="195" t="s">
        <v>595</v>
      </c>
      <c r="F9346" s="195" t="s">
        <v>438</v>
      </c>
    </row>
    <row r="9347" spans="1:6" x14ac:dyDescent="0.25">
      <c r="A9347" s="189" t="str">
        <f t="shared" si="145"/>
        <v>WA-IS 81 RP8-1000.19S</v>
      </c>
      <c r="B9347" s="195" t="s">
        <v>4273</v>
      </c>
      <c r="C9347" s="196">
        <v>0</v>
      </c>
      <c r="D9347" s="196">
        <v>0.19</v>
      </c>
      <c r="E9347" s="195" t="s">
        <v>595</v>
      </c>
      <c r="F9347" s="195" t="s">
        <v>438</v>
      </c>
    </row>
    <row r="9348" spans="1:6" x14ac:dyDescent="0.25">
      <c r="A9348" s="189" t="str">
        <f t="shared" si="145"/>
        <v>WA-IS 81 RP8-1200.02N</v>
      </c>
      <c r="B9348" s="195" t="s">
        <v>4274</v>
      </c>
      <c r="C9348" s="196">
        <v>0</v>
      </c>
      <c r="D9348" s="196">
        <v>0.02</v>
      </c>
      <c r="E9348" s="195" t="s">
        <v>589</v>
      </c>
      <c r="F9348" s="195" t="s">
        <v>430</v>
      </c>
    </row>
    <row r="9349" spans="1:6" x14ac:dyDescent="0.25">
      <c r="A9349" s="189" t="str">
        <f t="shared" si="145"/>
        <v>WA-IS 81 RP8-200.33S</v>
      </c>
      <c r="B9349" s="195" t="s">
        <v>4275</v>
      </c>
      <c r="C9349" s="196">
        <v>0</v>
      </c>
      <c r="D9349" s="196">
        <v>0.33</v>
      </c>
      <c r="E9349" s="195" t="s">
        <v>595</v>
      </c>
      <c r="F9349" s="195" t="s">
        <v>438</v>
      </c>
    </row>
    <row r="9350" spans="1:6" x14ac:dyDescent="0.25">
      <c r="A9350" s="189" t="str">
        <f t="shared" si="145"/>
        <v>WA-IS 81 RP8-500.18S</v>
      </c>
      <c r="B9350" s="195" t="s">
        <v>4276</v>
      </c>
      <c r="C9350" s="196">
        <v>0</v>
      </c>
      <c r="D9350" s="196">
        <v>0.18</v>
      </c>
      <c r="E9350" s="195" t="s">
        <v>595</v>
      </c>
      <c r="F9350" s="195" t="s">
        <v>438</v>
      </c>
    </row>
    <row r="9351" spans="1:6" x14ac:dyDescent="0.25">
      <c r="A9351" s="189" t="str">
        <f t="shared" si="145"/>
        <v>WA-IS 81 RP8-600.33W</v>
      </c>
      <c r="B9351" s="195" t="s">
        <v>4277</v>
      </c>
      <c r="C9351" s="196">
        <v>0</v>
      </c>
      <c r="D9351" s="196">
        <v>0.33</v>
      </c>
      <c r="E9351" s="195" t="s">
        <v>593</v>
      </c>
      <c r="F9351" s="195" t="s">
        <v>432</v>
      </c>
    </row>
    <row r="9352" spans="1:6" x14ac:dyDescent="0.25">
      <c r="A9352" s="189" t="str">
        <f t="shared" ref="A9352:A9415" si="146">B9352&amp;C9352&amp;D9352&amp;F9352</f>
        <v>WA-IS 81 RP8-700.13W</v>
      </c>
      <c r="B9352" s="195" t="s">
        <v>4278</v>
      </c>
      <c r="C9352" s="196">
        <v>0</v>
      </c>
      <c r="D9352" s="196">
        <v>0.13</v>
      </c>
      <c r="E9352" s="195" t="s">
        <v>593</v>
      </c>
      <c r="F9352" s="195" t="s">
        <v>432</v>
      </c>
    </row>
    <row r="9353" spans="1:6" x14ac:dyDescent="0.25">
      <c r="A9353" s="189" t="str">
        <f t="shared" si="146"/>
        <v>WA-IS 81 RP8-800.01E</v>
      </c>
      <c r="B9353" s="195" t="s">
        <v>4279</v>
      </c>
      <c r="C9353" s="196">
        <v>0</v>
      </c>
      <c r="D9353" s="196">
        <v>0.01</v>
      </c>
      <c r="E9353" s="195" t="s">
        <v>598</v>
      </c>
      <c r="F9353" s="195" t="s">
        <v>19</v>
      </c>
    </row>
    <row r="9354" spans="1:6" x14ac:dyDescent="0.25">
      <c r="A9354" s="189" t="str">
        <f t="shared" si="146"/>
        <v>WA-IS 81 RP8-900.13S</v>
      </c>
      <c r="B9354" s="195" t="s">
        <v>4280</v>
      </c>
      <c r="C9354" s="196">
        <v>0</v>
      </c>
      <c r="D9354" s="196">
        <v>0.13</v>
      </c>
      <c r="E9354" s="195" t="s">
        <v>595</v>
      </c>
      <c r="F9354" s="195" t="s">
        <v>438</v>
      </c>
    </row>
    <row r="9355" spans="1:6" x14ac:dyDescent="0.25">
      <c r="A9355" s="189" t="str">
        <f t="shared" si="146"/>
        <v>WA-MD 144WA01.45E</v>
      </c>
      <c r="B9355" s="195" t="s">
        <v>4281</v>
      </c>
      <c r="C9355" s="196">
        <v>0</v>
      </c>
      <c r="D9355" s="196">
        <v>1.45</v>
      </c>
      <c r="E9355" s="195" t="s">
        <v>583</v>
      </c>
      <c r="F9355" s="195" t="s">
        <v>19</v>
      </c>
    </row>
    <row r="9356" spans="1:6" x14ac:dyDescent="0.25">
      <c r="A9356" s="189" t="str">
        <f t="shared" si="146"/>
        <v>WA-MD 144WA01.45W</v>
      </c>
      <c r="B9356" s="195" t="s">
        <v>4281</v>
      </c>
      <c r="C9356" s="196">
        <v>0</v>
      </c>
      <c r="D9356" s="196">
        <v>1.45</v>
      </c>
      <c r="E9356" s="195" t="s">
        <v>583</v>
      </c>
      <c r="F9356" s="195" t="s">
        <v>432</v>
      </c>
    </row>
    <row r="9357" spans="1:6" x14ac:dyDescent="0.25">
      <c r="A9357" s="189" t="str">
        <f t="shared" si="146"/>
        <v>WA-MD 144WA1.451.47E</v>
      </c>
      <c r="B9357" s="195" t="s">
        <v>4281</v>
      </c>
      <c r="C9357" s="196">
        <v>1.45</v>
      </c>
      <c r="D9357" s="196">
        <v>1.47</v>
      </c>
      <c r="E9357" s="195" t="s">
        <v>583</v>
      </c>
      <c r="F9357" s="195" t="s">
        <v>19</v>
      </c>
    </row>
    <row r="9358" spans="1:6" x14ac:dyDescent="0.25">
      <c r="A9358" s="189" t="str">
        <f t="shared" si="146"/>
        <v>WA-MD 144WA1.451.47W</v>
      </c>
      <c r="B9358" s="195" t="s">
        <v>4281</v>
      </c>
      <c r="C9358" s="196">
        <v>1.45</v>
      </c>
      <c r="D9358" s="196">
        <v>1.47</v>
      </c>
      <c r="E9358" s="195" t="s">
        <v>583</v>
      </c>
      <c r="F9358" s="195" t="s">
        <v>432</v>
      </c>
    </row>
    <row r="9359" spans="1:6" x14ac:dyDescent="0.25">
      <c r="A9359" s="189" t="str">
        <f t="shared" si="146"/>
        <v>WA-MD 144WB00.06E</v>
      </c>
      <c r="B9359" s="195" t="s">
        <v>4282</v>
      </c>
      <c r="C9359" s="196">
        <v>0</v>
      </c>
      <c r="D9359" s="196">
        <v>0.06</v>
      </c>
      <c r="E9359" s="195" t="s">
        <v>583</v>
      </c>
      <c r="F9359" s="195" t="s">
        <v>19</v>
      </c>
    </row>
    <row r="9360" spans="1:6" x14ac:dyDescent="0.25">
      <c r="A9360" s="189" t="str">
        <f t="shared" si="146"/>
        <v>WA-MD 144WB00.06W</v>
      </c>
      <c r="B9360" s="195" t="s">
        <v>4282</v>
      </c>
      <c r="C9360" s="196">
        <v>0</v>
      </c>
      <c r="D9360" s="196">
        <v>0.06</v>
      </c>
      <c r="E9360" s="195" t="s">
        <v>583</v>
      </c>
      <c r="F9360" s="195" t="s">
        <v>432</v>
      </c>
    </row>
    <row r="9361" spans="1:6" x14ac:dyDescent="0.25">
      <c r="A9361" s="189" t="str">
        <f t="shared" si="146"/>
        <v>WA-MD 144WB0.063.1E</v>
      </c>
      <c r="B9361" s="195" t="s">
        <v>4282</v>
      </c>
      <c r="C9361" s="196">
        <v>0.06</v>
      </c>
      <c r="D9361" s="196">
        <v>3.1</v>
      </c>
      <c r="E9361" s="195" t="s">
        <v>583</v>
      </c>
      <c r="F9361" s="195" t="s">
        <v>19</v>
      </c>
    </row>
    <row r="9362" spans="1:6" x14ac:dyDescent="0.25">
      <c r="A9362" s="189" t="str">
        <f t="shared" si="146"/>
        <v>WA-MD 144WB0.063.1W</v>
      </c>
      <c r="B9362" s="195" t="s">
        <v>4282</v>
      </c>
      <c r="C9362" s="196">
        <v>0.06</v>
      </c>
      <c r="D9362" s="196">
        <v>3.1</v>
      </c>
      <c r="E9362" s="195" t="s">
        <v>583</v>
      </c>
      <c r="F9362" s="195" t="s">
        <v>432</v>
      </c>
    </row>
    <row r="9363" spans="1:6" x14ac:dyDescent="0.25">
      <c r="A9363" s="189" t="str">
        <f t="shared" si="146"/>
        <v>WA-MD 144WB3.13.65E</v>
      </c>
      <c r="B9363" s="195" t="s">
        <v>4282</v>
      </c>
      <c r="C9363" s="196">
        <v>3.1</v>
      </c>
      <c r="D9363" s="196">
        <v>3.65</v>
      </c>
      <c r="E9363" s="195" t="s">
        <v>583</v>
      </c>
      <c r="F9363" s="195" t="s">
        <v>19</v>
      </c>
    </row>
    <row r="9364" spans="1:6" x14ac:dyDescent="0.25">
      <c r="A9364" s="189" t="str">
        <f t="shared" si="146"/>
        <v>WA-MD 144WB3.13.65W</v>
      </c>
      <c r="B9364" s="195" t="s">
        <v>4282</v>
      </c>
      <c r="C9364" s="196">
        <v>3.1</v>
      </c>
      <c r="D9364" s="196">
        <v>3.65</v>
      </c>
      <c r="E9364" s="195" t="s">
        <v>583</v>
      </c>
      <c r="F9364" s="195" t="s">
        <v>432</v>
      </c>
    </row>
    <row r="9365" spans="1:6" x14ac:dyDescent="0.25">
      <c r="A9365" s="189" t="str">
        <f t="shared" si="146"/>
        <v>WA-MD 144WB3.654.15E</v>
      </c>
      <c r="B9365" s="195" t="s">
        <v>4282</v>
      </c>
      <c r="C9365" s="196">
        <v>3.65</v>
      </c>
      <c r="D9365" s="196">
        <v>4.1500000000000004</v>
      </c>
      <c r="E9365" s="195" t="s">
        <v>583</v>
      </c>
      <c r="F9365" s="195" t="s">
        <v>19</v>
      </c>
    </row>
    <row r="9366" spans="1:6" x14ac:dyDescent="0.25">
      <c r="A9366" s="189" t="str">
        <f t="shared" si="146"/>
        <v>WA-MD 144WB3.654.15W</v>
      </c>
      <c r="B9366" s="195" t="s">
        <v>4282</v>
      </c>
      <c r="C9366" s="196">
        <v>3.65</v>
      </c>
      <c r="D9366" s="196">
        <v>4.1500000000000004</v>
      </c>
      <c r="E9366" s="195" t="s">
        <v>583</v>
      </c>
      <c r="F9366" s="195" t="s">
        <v>432</v>
      </c>
    </row>
    <row r="9367" spans="1:6" x14ac:dyDescent="0.25">
      <c r="A9367" s="189" t="str">
        <f t="shared" si="146"/>
        <v>WA-MD 144WB4.155.86W</v>
      </c>
      <c r="B9367" s="195" t="s">
        <v>4282</v>
      </c>
      <c r="C9367" s="196">
        <v>4.1500000000000004</v>
      </c>
      <c r="D9367" s="196">
        <v>5.86</v>
      </c>
      <c r="E9367" s="195" t="s">
        <v>593</v>
      </c>
      <c r="F9367" s="195" t="s">
        <v>432</v>
      </c>
    </row>
    <row r="9368" spans="1:6" x14ac:dyDescent="0.25">
      <c r="A9368" s="189" t="str">
        <f t="shared" si="146"/>
        <v>WA-MD 144WB4.155.9E</v>
      </c>
      <c r="B9368" s="195" t="s">
        <v>4282</v>
      </c>
      <c r="C9368" s="196">
        <v>4.1500000000000004</v>
      </c>
      <c r="D9368" s="196">
        <v>5.9</v>
      </c>
      <c r="E9368" s="195" t="s">
        <v>598</v>
      </c>
      <c r="F9368" s="195" t="s">
        <v>19</v>
      </c>
    </row>
    <row r="9369" spans="1:6" x14ac:dyDescent="0.25">
      <c r="A9369" s="189" t="str">
        <f t="shared" si="146"/>
        <v>WA-MD 144WB5.95.91E</v>
      </c>
      <c r="B9369" s="195" t="s">
        <v>4282</v>
      </c>
      <c r="C9369" s="196">
        <v>5.9</v>
      </c>
      <c r="D9369" s="196">
        <v>5.91</v>
      </c>
      <c r="E9369" s="195" t="s">
        <v>598</v>
      </c>
      <c r="F9369" s="195" t="s">
        <v>19</v>
      </c>
    </row>
    <row r="9370" spans="1:6" x14ac:dyDescent="0.25">
      <c r="A9370" s="189" t="str">
        <f t="shared" si="146"/>
        <v>WA-MD 180A00.03N</v>
      </c>
      <c r="B9370" s="195" t="s">
        <v>4283</v>
      </c>
      <c r="C9370" s="196">
        <v>0</v>
      </c>
      <c r="D9370" s="196">
        <v>0.03</v>
      </c>
      <c r="E9370" s="195" t="s">
        <v>589</v>
      </c>
      <c r="F9370" s="195" t="s">
        <v>430</v>
      </c>
    </row>
    <row r="9371" spans="1:6" x14ac:dyDescent="0.25">
      <c r="A9371" s="189" t="str">
        <f t="shared" si="146"/>
        <v>WA-MD 180A00.03S</v>
      </c>
      <c r="B9371" s="195" t="s">
        <v>4283</v>
      </c>
      <c r="C9371" s="196">
        <v>0</v>
      </c>
      <c r="D9371" s="196">
        <v>0.03</v>
      </c>
      <c r="E9371" s="195" t="s">
        <v>595</v>
      </c>
      <c r="F9371" s="195" t="s">
        <v>438</v>
      </c>
    </row>
    <row r="9372" spans="1:6" x14ac:dyDescent="0.25">
      <c r="A9372" s="189" t="str">
        <f t="shared" si="146"/>
        <v>WA-MD 3400.03W</v>
      </c>
      <c r="B9372" s="195" t="s">
        <v>4284</v>
      </c>
      <c r="C9372" s="196">
        <v>0</v>
      </c>
      <c r="D9372" s="196">
        <v>0.03</v>
      </c>
      <c r="E9372" s="195" t="s">
        <v>593</v>
      </c>
      <c r="F9372" s="195" t="s">
        <v>432</v>
      </c>
    </row>
    <row r="9373" spans="1:6" x14ac:dyDescent="0.25">
      <c r="A9373" s="189" t="str">
        <f t="shared" si="146"/>
        <v>WA-MD 3400.21E</v>
      </c>
      <c r="B9373" s="195" t="s">
        <v>4284</v>
      </c>
      <c r="C9373" s="196">
        <v>0</v>
      </c>
      <c r="D9373" s="196">
        <v>0.21</v>
      </c>
      <c r="E9373" s="195" t="s">
        <v>598</v>
      </c>
      <c r="F9373" s="195" t="s">
        <v>19</v>
      </c>
    </row>
    <row r="9374" spans="1:6" x14ac:dyDescent="0.25">
      <c r="A9374" s="189" t="str">
        <f t="shared" si="146"/>
        <v>WA-MD 340.030.24W</v>
      </c>
      <c r="B9374" s="195" t="s">
        <v>4284</v>
      </c>
      <c r="C9374" s="196">
        <v>0.03</v>
      </c>
      <c r="D9374" s="196">
        <v>0.24</v>
      </c>
      <c r="E9374" s="195" t="s">
        <v>593</v>
      </c>
      <c r="F9374" s="195" t="s">
        <v>432</v>
      </c>
    </row>
    <row r="9375" spans="1:6" x14ac:dyDescent="0.25">
      <c r="A9375" s="189" t="str">
        <f t="shared" si="146"/>
        <v>WA-MD 340.212.3E</v>
      </c>
      <c r="B9375" s="195" t="s">
        <v>4284</v>
      </c>
      <c r="C9375" s="196">
        <v>0.21</v>
      </c>
      <c r="D9375" s="196">
        <v>2.2999999999999998</v>
      </c>
      <c r="E9375" s="195" t="s">
        <v>598</v>
      </c>
      <c r="F9375" s="195" t="s">
        <v>19</v>
      </c>
    </row>
    <row r="9376" spans="1:6" x14ac:dyDescent="0.25">
      <c r="A9376" s="189" t="str">
        <f t="shared" si="146"/>
        <v>WA-MD 340.242.3W</v>
      </c>
      <c r="B9376" s="195" t="s">
        <v>4284</v>
      </c>
      <c r="C9376" s="196">
        <v>0.24</v>
      </c>
      <c r="D9376" s="196">
        <v>2.2999999999999998</v>
      </c>
      <c r="E9376" s="195" t="s">
        <v>593</v>
      </c>
      <c r="F9376" s="195" t="s">
        <v>432</v>
      </c>
    </row>
    <row r="9377" spans="1:6" x14ac:dyDescent="0.25">
      <c r="A9377" s="189" t="str">
        <f t="shared" si="146"/>
        <v>WA-MD 342.32.95E</v>
      </c>
      <c r="B9377" s="195" t="s">
        <v>4284</v>
      </c>
      <c r="C9377" s="196">
        <v>2.2999999999999998</v>
      </c>
      <c r="D9377" s="196">
        <v>2.95</v>
      </c>
      <c r="E9377" s="195" t="s">
        <v>583</v>
      </c>
      <c r="F9377" s="195" t="s">
        <v>19</v>
      </c>
    </row>
    <row r="9378" spans="1:6" x14ac:dyDescent="0.25">
      <c r="A9378" s="189" t="str">
        <f t="shared" si="146"/>
        <v>WA-MD 342.32.95W</v>
      </c>
      <c r="B9378" s="195" t="s">
        <v>4284</v>
      </c>
      <c r="C9378" s="196">
        <v>2.2999999999999998</v>
      </c>
      <c r="D9378" s="196">
        <v>2.95</v>
      </c>
      <c r="E9378" s="195" t="s">
        <v>583</v>
      </c>
      <c r="F9378" s="195" t="s">
        <v>432</v>
      </c>
    </row>
    <row r="9379" spans="1:6" x14ac:dyDescent="0.25">
      <c r="A9379" s="189" t="str">
        <f t="shared" si="146"/>
        <v>WA-MD 342.953.85E</v>
      </c>
      <c r="B9379" s="195" t="s">
        <v>4284</v>
      </c>
      <c r="C9379" s="196">
        <v>2.95</v>
      </c>
      <c r="D9379" s="196">
        <v>3.85</v>
      </c>
      <c r="E9379" s="195" t="s">
        <v>583</v>
      </c>
      <c r="F9379" s="195" t="s">
        <v>19</v>
      </c>
    </row>
    <row r="9380" spans="1:6" x14ac:dyDescent="0.25">
      <c r="A9380" s="189" t="str">
        <f t="shared" si="146"/>
        <v>WA-MD 342.953.85W</v>
      </c>
      <c r="B9380" s="195" t="s">
        <v>4284</v>
      </c>
      <c r="C9380" s="196">
        <v>2.95</v>
      </c>
      <c r="D9380" s="196">
        <v>3.85</v>
      </c>
      <c r="E9380" s="195" t="s">
        <v>583</v>
      </c>
      <c r="F9380" s="195" t="s">
        <v>432</v>
      </c>
    </row>
    <row r="9381" spans="1:6" x14ac:dyDescent="0.25">
      <c r="A9381" s="189" t="str">
        <f t="shared" si="146"/>
        <v>WA-MD 343.859.95E</v>
      </c>
      <c r="B9381" s="195" t="s">
        <v>4284</v>
      </c>
      <c r="C9381" s="196">
        <v>3.85</v>
      </c>
      <c r="D9381" s="196">
        <v>9.9499999999999993</v>
      </c>
      <c r="E9381" s="195" t="s">
        <v>583</v>
      </c>
      <c r="F9381" s="195" t="s">
        <v>19</v>
      </c>
    </row>
    <row r="9382" spans="1:6" x14ac:dyDescent="0.25">
      <c r="A9382" s="189" t="str">
        <f t="shared" si="146"/>
        <v>WA-MD 343.859.95W</v>
      </c>
      <c r="B9382" s="195" t="s">
        <v>4284</v>
      </c>
      <c r="C9382" s="196">
        <v>3.85</v>
      </c>
      <c r="D9382" s="196">
        <v>9.9499999999999993</v>
      </c>
      <c r="E9382" s="195" t="s">
        <v>583</v>
      </c>
      <c r="F9382" s="195" t="s">
        <v>432</v>
      </c>
    </row>
    <row r="9383" spans="1:6" x14ac:dyDescent="0.25">
      <c r="A9383" s="189" t="str">
        <f t="shared" si="146"/>
        <v>WA-MD 41802.77E</v>
      </c>
      <c r="B9383" s="195" t="s">
        <v>4285</v>
      </c>
      <c r="C9383" s="196">
        <v>0</v>
      </c>
      <c r="D9383" s="196">
        <v>2.77</v>
      </c>
      <c r="E9383" s="195" t="s">
        <v>583</v>
      </c>
      <c r="F9383" s="195" t="s">
        <v>19</v>
      </c>
    </row>
    <row r="9384" spans="1:6" x14ac:dyDescent="0.25">
      <c r="A9384" s="189" t="str">
        <f t="shared" si="146"/>
        <v>WA-MD 41802.77W</v>
      </c>
      <c r="B9384" s="195" t="s">
        <v>4285</v>
      </c>
      <c r="C9384" s="196">
        <v>0</v>
      </c>
      <c r="D9384" s="196">
        <v>2.77</v>
      </c>
      <c r="E9384" s="195" t="s">
        <v>583</v>
      </c>
      <c r="F9384" s="195" t="s">
        <v>432</v>
      </c>
    </row>
    <row r="9385" spans="1:6" x14ac:dyDescent="0.25">
      <c r="A9385" s="189" t="str">
        <f t="shared" si="146"/>
        <v>WA-MD 4182.774.62E</v>
      </c>
      <c r="B9385" s="195" t="s">
        <v>4285</v>
      </c>
      <c r="C9385" s="196">
        <v>2.77</v>
      </c>
      <c r="D9385" s="196">
        <v>4.62</v>
      </c>
      <c r="E9385" s="195" t="s">
        <v>583</v>
      </c>
      <c r="F9385" s="195" t="s">
        <v>19</v>
      </c>
    </row>
    <row r="9386" spans="1:6" x14ac:dyDescent="0.25">
      <c r="A9386" s="189" t="str">
        <f t="shared" si="146"/>
        <v>WA-MD 4182.774.62W</v>
      </c>
      <c r="B9386" s="195" t="s">
        <v>4285</v>
      </c>
      <c r="C9386" s="196">
        <v>2.77</v>
      </c>
      <c r="D9386" s="196">
        <v>4.62</v>
      </c>
      <c r="E9386" s="195" t="s">
        <v>583</v>
      </c>
      <c r="F9386" s="195" t="s">
        <v>432</v>
      </c>
    </row>
    <row r="9387" spans="1:6" x14ac:dyDescent="0.25">
      <c r="A9387" s="189" t="str">
        <f t="shared" si="146"/>
        <v>WA-MD 49100.96N</v>
      </c>
      <c r="B9387" s="195" t="s">
        <v>4286</v>
      </c>
      <c r="C9387" s="196">
        <v>0</v>
      </c>
      <c r="D9387" s="196">
        <v>0.96</v>
      </c>
      <c r="E9387" s="195" t="s">
        <v>583</v>
      </c>
      <c r="F9387" s="195" t="s">
        <v>430</v>
      </c>
    </row>
    <row r="9388" spans="1:6" x14ac:dyDescent="0.25">
      <c r="A9388" s="189" t="str">
        <f t="shared" si="146"/>
        <v>WA-MD 49100.96S</v>
      </c>
      <c r="B9388" s="195" t="s">
        <v>4286</v>
      </c>
      <c r="C9388" s="196">
        <v>0</v>
      </c>
      <c r="D9388" s="196">
        <v>0.96</v>
      </c>
      <c r="E9388" s="195" t="s">
        <v>583</v>
      </c>
      <c r="F9388" s="195" t="s">
        <v>438</v>
      </c>
    </row>
    <row r="9389" spans="1:6" x14ac:dyDescent="0.25">
      <c r="A9389" s="189" t="str">
        <f t="shared" si="146"/>
        <v>WA-MD 4910.964.69N</v>
      </c>
      <c r="B9389" s="195" t="s">
        <v>4286</v>
      </c>
      <c r="C9389" s="196">
        <v>0.96</v>
      </c>
      <c r="D9389" s="196">
        <v>4.6900000000000004</v>
      </c>
      <c r="E9389" s="195" t="s">
        <v>583</v>
      </c>
      <c r="F9389" s="195" t="s">
        <v>430</v>
      </c>
    </row>
    <row r="9390" spans="1:6" x14ac:dyDescent="0.25">
      <c r="A9390" s="189" t="str">
        <f t="shared" si="146"/>
        <v>WA-MD 4910.964.69S</v>
      </c>
      <c r="B9390" s="195" t="s">
        <v>4286</v>
      </c>
      <c r="C9390" s="196">
        <v>0.96</v>
      </c>
      <c r="D9390" s="196">
        <v>4.6900000000000004</v>
      </c>
      <c r="E9390" s="195" t="s">
        <v>583</v>
      </c>
      <c r="F9390" s="195" t="s">
        <v>438</v>
      </c>
    </row>
    <row r="9391" spans="1:6" x14ac:dyDescent="0.25">
      <c r="A9391" s="189" t="str">
        <f t="shared" si="146"/>
        <v>WA-MD 4914.696.4N</v>
      </c>
      <c r="B9391" s="195" t="s">
        <v>4286</v>
      </c>
      <c r="C9391" s="196">
        <v>4.6900000000000004</v>
      </c>
      <c r="D9391" s="196">
        <v>6.4</v>
      </c>
      <c r="E9391" s="195" t="s">
        <v>583</v>
      </c>
      <c r="F9391" s="195" t="s">
        <v>430</v>
      </c>
    </row>
    <row r="9392" spans="1:6" x14ac:dyDescent="0.25">
      <c r="A9392" s="189" t="str">
        <f t="shared" si="146"/>
        <v>WA-MD 4914.696.4S</v>
      </c>
      <c r="B9392" s="195" t="s">
        <v>4286</v>
      </c>
      <c r="C9392" s="196">
        <v>4.6900000000000004</v>
      </c>
      <c r="D9392" s="196">
        <v>6.4</v>
      </c>
      <c r="E9392" s="195" t="s">
        <v>583</v>
      </c>
      <c r="F9392" s="195" t="s">
        <v>438</v>
      </c>
    </row>
    <row r="9393" spans="1:6" x14ac:dyDescent="0.25">
      <c r="A9393" s="189" t="str">
        <f t="shared" si="146"/>
        <v>WA-MD 4916.46.78N</v>
      </c>
      <c r="B9393" s="195" t="s">
        <v>4286</v>
      </c>
      <c r="C9393" s="196">
        <v>6.4</v>
      </c>
      <c r="D9393" s="196">
        <v>6.78</v>
      </c>
      <c r="E9393" s="195" t="s">
        <v>583</v>
      </c>
      <c r="F9393" s="195" t="s">
        <v>430</v>
      </c>
    </row>
    <row r="9394" spans="1:6" x14ac:dyDescent="0.25">
      <c r="A9394" s="189" t="str">
        <f t="shared" si="146"/>
        <v>WA-MD 4916.46.78S</v>
      </c>
      <c r="B9394" s="195" t="s">
        <v>4286</v>
      </c>
      <c r="C9394" s="196">
        <v>6.4</v>
      </c>
      <c r="D9394" s="196">
        <v>6.78</v>
      </c>
      <c r="E9394" s="195" t="s">
        <v>583</v>
      </c>
      <c r="F9394" s="195" t="s">
        <v>438</v>
      </c>
    </row>
    <row r="9395" spans="1:6" x14ac:dyDescent="0.25">
      <c r="A9395" s="189" t="str">
        <f t="shared" si="146"/>
        <v>WA-MD 49402.76E</v>
      </c>
      <c r="B9395" s="195" t="s">
        <v>4287</v>
      </c>
      <c r="C9395" s="196">
        <v>0</v>
      </c>
      <c r="D9395" s="196">
        <v>2.76</v>
      </c>
      <c r="E9395" s="195" t="s">
        <v>583</v>
      </c>
      <c r="F9395" s="195" t="s">
        <v>19</v>
      </c>
    </row>
    <row r="9396" spans="1:6" x14ac:dyDescent="0.25">
      <c r="A9396" s="189" t="str">
        <f t="shared" si="146"/>
        <v>WA-MD 49402.76W</v>
      </c>
      <c r="B9396" s="195" t="s">
        <v>4287</v>
      </c>
      <c r="C9396" s="196">
        <v>0</v>
      </c>
      <c r="D9396" s="196">
        <v>2.76</v>
      </c>
      <c r="E9396" s="195" t="s">
        <v>583</v>
      </c>
      <c r="F9396" s="195" t="s">
        <v>432</v>
      </c>
    </row>
    <row r="9397" spans="1:6" x14ac:dyDescent="0.25">
      <c r="A9397" s="189" t="str">
        <f t="shared" si="146"/>
        <v>WA-MD 4942.762.96E</v>
      </c>
      <c r="B9397" s="195" t="s">
        <v>4287</v>
      </c>
      <c r="C9397" s="196">
        <v>2.76</v>
      </c>
      <c r="D9397" s="196">
        <v>2.96</v>
      </c>
      <c r="E9397" s="195" t="s">
        <v>583</v>
      </c>
      <c r="F9397" s="195" t="s">
        <v>19</v>
      </c>
    </row>
    <row r="9398" spans="1:6" x14ac:dyDescent="0.25">
      <c r="A9398" s="189" t="str">
        <f t="shared" si="146"/>
        <v>WA-MD 4942.762.96W</v>
      </c>
      <c r="B9398" s="195" t="s">
        <v>4287</v>
      </c>
      <c r="C9398" s="196">
        <v>2.76</v>
      </c>
      <c r="D9398" s="196">
        <v>2.96</v>
      </c>
      <c r="E9398" s="195" t="s">
        <v>583</v>
      </c>
      <c r="F9398" s="195" t="s">
        <v>432</v>
      </c>
    </row>
    <row r="9399" spans="1:6" x14ac:dyDescent="0.25">
      <c r="A9399" s="189" t="str">
        <f t="shared" si="146"/>
        <v>WA-MD 4942.966.82E</v>
      </c>
      <c r="B9399" s="195" t="s">
        <v>4287</v>
      </c>
      <c r="C9399" s="196">
        <v>2.96</v>
      </c>
      <c r="D9399" s="196">
        <v>6.82</v>
      </c>
      <c r="E9399" s="195" t="s">
        <v>583</v>
      </c>
      <c r="F9399" s="195" t="s">
        <v>19</v>
      </c>
    </row>
    <row r="9400" spans="1:6" x14ac:dyDescent="0.25">
      <c r="A9400" s="189" t="str">
        <f t="shared" si="146"/>
        <v>WA-MD 4942.966.82W</v>
      </c>
      <c r="B9400" s="195" t="s">
        <v>4287</v>
      </c>
      <c r="C9400" s="196">
        <v>2.96</v>
      </c>
      <c r="D9400" s="196">
        <v>6.82</v>
      </c>
      <c r="E9400" s="195" t="s">
        <v>583</v>
      </c>
      <c r="F9400" s="195" t="s">
        <v>432</v>
      </c>
    </row>
    <row r="9401" spans="1:6" x14ac:dyDescent="0.25">
      <c r="A9401" s="189" t="str">
        <f t="shared" si="146"/>
        <v>WA-MD 55001.42N</v>
      </c>
      <c r="B9401" s="195" t="s">
        <v>4288</v>
      </c>
      <c r="C9401" s="196">
        <v>0</v>
      </c>
      <c r="D9401" s="196">
        <v>1.42</v>
      </c>
      <c r="E9401" s="195" t="s">
        <v>583</v>
      </c>
      <c r="F9401" s="195" t="s">
        <v>430</v>
      </c>
    </row>
    <row r="9402" spans="1:6" x14ac:dyDescent="0.25">
      <c r="A9402" s="189" t="str">
        <f t="shared" si="146"/>
        <v>WA-MD 55001.42S</v>
      </c>
      <c r="B9402" s="195" t="s">
        <v>4288</v>
      </c>
      <c r="C9402" s="196">
        <v>0</v>
      </c>
      <c r="D9402" s="196">
        <v>1.42</v>
      </c>
      <c r="E9402" s="195" t="s">
        <v>583</v>
      </c>
      <c r="F9402" s="195" t="s">
        <v>438</v>
      </c>
    </row>
    <row r="9403" spans="1:6" x14ac:dyDescent="0.25">
      <c r="A9403" s="189" t="str">
        <f t="shared" si="146"/>
        <v>WA-MD 5501.422.01N</v>
      </c>
      <c r="B9403" s="195" t="s">
        <v>4288</v>
      </c>
      <c r="C9403" s="196">
        <v>1.42</v>
      </c>
      <c r="D9403" s="196">
        <v>2.0099999999999998</v>
      </c>
      <c r="E9403" s="195" t="s">
        <v>583</v>
      </c>
      <c r="F9403" s="195" t="s">
        <v>430</v>
      </c>
    </row>
    <row r="9404" spans="1:6" x14ac:dyDescent="0.25">
      <c r="A9404" s="189" t="str">
        <f t="shared" si="146"/>
        <v>WA-MD 5501.422.01S</v>
      </c>
      <c r="B9404" s="195" t="s">
        <v>4288</v>
      </c>
      <c r="C9404" s="196">
        <v>1.42</v>
      </c>
      <c r="D9404" s="196">
        <v>2.0099999999999998</v>
      </c>
      <c r="E9404" s="195" t="s">
        <v>583</v>
      </c>
      <c r="F9404" s="195" t="s">
        <v>438</v>
      </c>
    </row>
    <row r="9405" spans="1:6" x14ac:dyDescent="0.25">
      <c r="A9405" s="189" t="str">
        <f t="shared" si="146"/>
        <v>WA-MD 561.381.85N</v>
      </c>
      <c r="B9405" s="195" t="s">
        <v>4289</v>
      </c>
      <c r="C9405" s="196">
        <v>1.38</v>
      </c>
      <c r="D9405" s="196">
        <v>1.85</v>
      </c>
      <c r="E9405" s="195" t="s">
        <v>583</v>
      </c>
      <c r="F9405" s="195" t="s">
        <v>430</v>
      </c>
    </row>
    <row r="9406" spans="1:6" x14ac:dyDescent="0.25">
      <c r="A9406" s="189" t="str">
        <f t="shared" si="146"/>
        <v>WA-MD 561.381.85S</v>
      </c>
      <c r="B9406" s="195" t="s">
        <v>4289</v>
      </c>
      <c r="C9406" s="196">
        <v>1.38</v>
      </c>
      <c r="D9406" s="196">
        <v>1.85</v>
      </c>
      <c r="E9406" s="195" t="s">
        <v>583</v>
      </c>
      <c r="F9406" s="195" t="s">
        <v>438</v>
      </c>
    </row>
    <row r="9407" spans="1:6" x14ac:dyDescent="0.25">
      <c r="A9407" s="189" t="str">
        <f t="shared" si="146"/>
        <v>WA-MD 561.852.8N</v>
      </c>
      <c r="B9407" s="195" t="s">
        <v>4289</v>
      </c>
      <c r="C9407" s="196">
        <v>1.85</v>
      </c>
      <c r="D9407" s="196">
        <v>2.8</v>
      </c>
      <c r="E9407" s="195" t="s">
        <v>583</v>
      </c>
      <c r="F9407" s="195" t="s">
        <v>430</v>
      </c>
    </row>
    <row r="9408" spans="1:6" x14ac:dyDescent="0.25">
      <c r="A9408" s="189" t="str">
        <f t="shared" si="146"/>
        <v>WA-MD 561.852.8S</v>
      </c>
      <c r="B9408" s="195" t="s">
        <v>4289</v>
      </c>
      <c r="C9408" s="196">
        <v>1.85</v>
      </c>
      <c r="D9408" s="196">
        <v>2.8</v>
      </c>
      <c r="E9408" s="195" t="s">
        <v>583</v>
      </c>
      <c r="F9408" s="195" t="s">
        <v>438</v>
      </c>
    </row>
    <row r="9409" spans="1:6" x14ac:dyDescent="0.25">
      <c r="A9409" s="189" t="str">
        <f t="shared" si="146"/>
        <v>WA-MD 562.89.46N</v>
      </c>
      <c r="B9409" s="195" t="s">
        <v>4289</v>
      </c>
      <c r="C9409" s="196">
        <v>2.8</v>
      </c>
      <c r="D9409" s="196">
        <v>9.4600000000000009</v>
      </c>
      <c r="E9409" s="195" t="s">
        <v>583</v>
      </c>
      <c r="F9409" s="195" t="s">
        <v>430</v>
      </c>
    </row>
    <row r="9410" spans="1:6" x14ac:dyDescent="0.25">
      <c r="A9410" s="189" t="str">
        <f t="shared" si="146"/>
        <v>WA-MD 562.89.46S</v>
      </c>
      <c r="B9410" s="195" t="s">
        <v>4289</v>
      </c>
      <c r="C9410" s="196">
        <v>2.8</v>
      </c>
      <c r="D9410" s="196">
        <v>9.4600000000000009</v>
      </c>
      <c r="E9410" s="195" t="s">
        <v>583</v>
      </c>
      <c r="F9410" s="195" t="s">
        <v>438</v>
      </c>
    </row>
    <row r="9411" spans="1:6" x14ac:dyDescent="0.25">
      <c r="A9411" s="189" t="str">
        <f t="shared" si="146"/>
        <v>WA-MD 5701.85N</v>
      </c>
      <c r="B9411" s="195" t="s">
        <v>4290</v>
      </c>
      <c r="C9411" s="196">
        <v>0</v>
      </c>
      <c r="D9411" s="196">
        <v>1.85</v>
      </c>
      <c r="E9411" s="195" t="s">
        <v>583</v>
      </c>
      <c r="F9411" s="195" t="s">
        <v>430</v>
      </c>
    </row>
    <row r="9412" spans="1:6" x14ac:dyDescent="0.25">
      <c r="A9412" s="189" t="str">
        <f t="shared" si="146"/>
        <v>WA-MD 5701.85S</v>
      </c>
      <c r="B9412" s="195" t="s">
        <v>4290</v>
      </c>
      <c r="C9412" s="196">
        <v>0</v>
      </c>
      <c r="D9412" s="196">
        <v>1.85</v>
      </c>
      <c r="E9412" s="195" t="s">
        <v>583</v>
      </c>
      <c r="F9412" s="195" t="s">
        <v>438</v>
      </c>
    </row>
    <row r="9413" spans="1:6" x14ac:dyDescent="0.25">
      <c r="A9413" s="189" t="str">
        <f t="shared" si="146"/>
        <v>WA-MD 571.852.85N</v>
      </c>
      <c r="B9413" s="195" t="s">
        <v>4290</v>
      </c>
      <c r="C9413" s="196">
        <v>1.85</v>
      </c>
      <c r="D9413" s="196">
        <v>2.85</v>
      </c>
      <c r="E9413" s="195" t="s">
        <v>583</v>
      </c>
      <c r="F9413" s="195" t="s">
        <v>430</v>
      </c>
    </row>
    <row r="9414" spans="1:6" x14ac:dyDescent="0.25">
      <c r="A9414" s="189" t="str">
        <f t="shared" si="146"/>
        <v>WA-MD 571.852.85S</v>
      </c>
      <c r="B9414" s="195" t="s">
        <v>4290</v>
      </c>
      <c r="C9414" s="196">
        <v>1.85</v>
      </c>
      <c r="D9414" s="196">
        <v>2.85</v>
      </c>
      <c r="E9414" s="195" t="s">
        <v>583</v>
      </c>
      <c r="F9414" s="195" t="s">
        <v>438</v>
      </c>
    </row>
    <row r="9415" spans="1:6" x14ac:dyDescent="0.25">
      <c r="A9415" s="189" t="str">
        <f t="shared" si="146"/>
        <v>WA-MD 572.854.02N</v>
      </c>
      <c r="B9415" s="195" t="s">
        <v>4290</v>
      </c>
      <c r="C9415" s="196">
        <v>2.85</v>
      </c>
      <c r="D9415" s="196">
        <v>4.0199999999999996</v>
      </c>
      <c r="E9415" s="195" t="s">
        <v>583</v>
      </c>
      <c r="F9415" s="195" t="s">
        <v>430</v>
      </c>
    </row>
    <row r="9416" spans="1:6" x14ac:dyDescent="0.25">
      <c r="A9416" s="189" t="str">
        <f t="shared" ref="A9416:A9479" si="147">B9416&amp;C9416&amp;D9416&amp;F9416</f>
        <v>WA-MD 572.854.02S</v>
      </c>
      <c r="B9416" s="195" t="s">
        <v>4290</v>
      </c>
      <c r="C9416" s="196">
        <v>2.85</v>
      </c>
      <c r="D9416" s="196">
        <v>4.0199999999999996</v>
      </c>
      <c r="E9416" s="195" t="s">
        <v>583</v>
      </c>
      <c r="F9416" s="195" t="s">
        <v>438</v>
      </c>
    </row>
    <row r="9417" spans="1:6" x14ac:dyDescent="0.25">
      <c r="A9417" s="189" t="str">
        <f t="shared" si="147"/>
        <v>WA-MD 5802.43E</v>
      </c>
      <c r="B9417" s="195" t="s">
        <v>538</v>
      </c>
      <c r="C9417" s="196">
        <v>0</v>
      </c>
      <c r="D9417" s="196">
        <v>2.4300000000000002</v>
      </c>
      <c r="E9417" s="195" t="s">
        <v>583</v>
      </c>
      <c r="F9417" s="195" t="s">
        <v>19</v>
      </c>
    </row>
    <row r="9418" spans="1:6" x14ac:dyDescent="0.25">
      <c r="A9418" s="189" t="str">
        <f t="shared" si="147"/>
        <v>WA-MD 5802.43W</v>
      </c>
      <c r="B9418" s="195" t="s">
        <v>538</v>
      </c>
      <c r="C9418" s="196">
        <v>0</v>
      </c>
      <c r="D9418" s="196">
        <v>2.4300000000000002</v>
      </c>
      <c r="E9418" s="195" t="s">
        <v>583</v>
      </c>
      <c r="F9418" s="195" t="s">
        <v>432</v>
      </c>
    </row>
    <row r="9419" spans="1:6" x14ac:dyDescent="0.25">
      <c r="A9419" s="189" t="str">
        <f t="shared" si="147"/>
        <v>WA-MD 582.432.65E</v>
      </c>
      <c r="B9419" s="195" t="s">
        <v>538</v>
      </c>
      <c r="C9419" s="196">
        <v>2.4300000000000002</v>
      </c>
      <c r="D9419" s="196">
        <v>2.65</v>
      </c>
      <c r="E9419" s="195" t="s">
        <v>583</v>
      </c>
      <c r="F9419" s="195" t="s">
        <v>19</v>
      </c>
    </row>
    <row r="9420" spans="1:6" x14ac:dyDescent="0.25">
      <c r="A9420" s="189" t="str">
        <f t="shared" si="147"/>
        <v>WA-MD 582.432.65W</v>
      </c>
      <c r="B9420" s="195" t="s">
        <v>538</v>
      </c>
      <c r="C9420" s="196">
        <v>2.4300000000000002</v>
      </c>
      <c r="D9420" s="196">
        <v>2.65</v>
      </c>
      <c r="E9420" s="195" t="s">
        <v>583</v>
      </c>
      <c r="F9420" s="195" t="s">
        <v>432</v>
      </c>
    </row>
    <row r="9421" spans="1:6" x14ac:dyDescent="0.25">
      <c r="A9421" s="189" t="str">
        <f t="shared" si="147"/>
        <v>WA-MD 6001.46E</v>
      </c>
      <c r="B9421" s="195" t="s">
        <v>539</v>
      </c>
      <c r="C9421" s="196">
        <v>0</v>
      </c>
      <c r="D9421" s="196">
        <v>1.46</v>
      </c>
      <c r="E9421" s="195" t="s">
        <v>583</v>
      </c>
      <c r="F9421" s="195" t="s">
        <v>19</v>
      </c>
    </row>
    <row r="9422" spans="1:6" x14ac:dyDescent="0.25">
      <c r="A9422" s="189" t="str">
        <f t="shared" si="147"/>
        <v>WA-MD 6001.46W</v>
      </c>
      <c r="B9422" s="195" t="s">
        <v>539</v>
      </c>
      <c r="C9422" s="196">
        <v>0</v>
      </c>
      <c r="D9422" s="196">
        <v>1.46</v>
      </c>
      <c r="E9422" s="195" t="s">
        <v>583</v>
      </c>
      <c r="F9422" s="195" t="s">
        <v>432</v>
      </c>
    </row>
    <row r="9423" spans="1:6" x14ac:dyDescent="0.25">
      <c r="A9423" s="189" t="str">
        <f t="shared" si="147"/>
        <v>WA-MD 601.461.96E</v>
      </c>
      <c r="B9423" s="195" t="s">
        <v>539</v>
      </c>
      <c r="C9423" s="196">
        <v>1.46</v>
      </c>
      <c r="D9423" s="196">
        <v>1.96</v>
      </c>
      <c r="E9423" s="195" t="s">
        <v>583</v>
      </c>
      <c r="F9423" s="195" t="s">
        <v>19</v>
      </c>
    </row>
    <row r="9424" spans="1:6" x14ac:dyDescent="0.25">
      <c r="A9424" s="189" t="str">
        <f t="shared" si="147"/>
        <v>WA-MD 601.461.96W</v>
      </c>
      <c r="B9424" s="195" t="s">
        <v>539</v>
      </c>
      <c r="C9424" s="196">
        <v>1.46</v>
      </c>
      <c r="D9424" s="196">
        <v>1.96</v>
      </c>
      <c r="E9424" s="195" t="s">
        <v>583</v>
      </c>
      <c r="F9424" s="195" t="s">
        <v>432</v>
      </c>
    </row>
    <row r="9425" spans="1:6" x14ac:dyDescent="0.25">
      <c r="A9425" s="189" t="str">
        <f t="shared" si="147"/>
        <v>WA-MD 601.962.05E</v>
      </c>
      <c r="B9425" s="195" t="s">
        <v>539</v>
      </c>
      <c r="C9425" s="196">
        <v>1.96</v>
      </c>
      <c r="D9425" s="196">
        <v>2.0499999999999998</v>
      </c>
      <c r="E9425" s="195" t="s">
        <v>583</v>
      </c>
      <c r="F9425" s="195" t="s">
        <v>19</v>
      </c>
    </row>
    <row r="9426" spans="1:6" x14ac:dyDescent="0.25">
      <c r="A9426" s="189" t="str">
        <f t="shared" si="147"/>
        <v>WA-MD 601.962.05W</v>
      </c>
      <c r="B9426" s="195" t="s">
        <v>539</v>
      </c>
      <c r="C9426" s="196">
        <v>1.96</v>
      </c>
      <c r="D9426" s="196">
        <v>2.0499999999999998</v>
      </c>
      <c r="E9426" s="195" t="s">
        <v>583</v>
      </c>
      <c r="F9426" s="195" t="s">
        <v>432</v>
      </c>
    </row>
    <row r="9427" spans="1:6" x14ac:dyDescent="0.25">
      <c r="A9427" s="189" t="str">
        <f t="shared" si="147"/>
        <v>WA-MD 602.054.03E</v>
      </c>
      <c r="B9427" s="195" t="s">
        <v>539</v>
      </c>
      <c r="C9427" s="196">
        <v>2.0499999999999998</v>
      </c>
      <c r="D9427" s="196">
        <v>4.03</v>
      </c>
      <c r="E9427" s="195" t="s">
        <v>583</v>
      </c>
      <c r="F9427" s="195" t="s">
        <v>19</v>
      </c>
    </row>
    <row r="9428" spans="1:6" x14ac:dyDescent="0.25">
      <c r="A9428" s="189" t="str">
        <f t="shared" si="147"/>
        <v>WA-MD 602.054.03W</v>
      </c>
      <c r="B9428" s="195" t="s">
        <v>539</v>
      </c>
      <c r="C9428" s="196">
        <v>2.0499999999999998</v>
      </c>
      <c r="D9428" s="196">
        <v>4.03</v>
      </c>
      <c r="E9428" s="195" t="s">
        <v>583</v>
      </c>
      <c r="F9428" s="195" t="s">
        <v>432</v>
      </c>
    </row>
    <row r="9429" spans="1:6" x14ac:dyDescent="0.25">
      <c r="A9429" s="189" t="str">
        <f t="shared" si="147"/>
        <v>WA-MD 604.034.45E</v>
      </c>
      <c r="B9429" s="195" t="s">
        <v>539</v>
      </c>
      <c r="C9429" s="196">
        <v>4.03</v>
      </c>
      <c r="D9429" s="196">
        <v>4.45</v>
      </c>
      <c r="E9429" s="195" t="s">
        <v>583</v>
      </c>
      <c r="F9429" s="195" t="s">
        <v>19</v>
      </c>
    </row>
    <row r="9430" spans="1:6" x14ac:dyDescent="0.25">
      <c r="A9430" s="189" t="str">
        <f t="shared" si="147"/>
        <v>WA-MD 604.034.45W</v>
      </c>
      <c r="B9430" s="195" t="s">
        <v>539</v>
      </c>
      <c r="C9430" s="196">
        <v>4.03</v>
      </c>
      <c r="D9430" s="196">
        <v>4.45</v>
      </c>
      <c r="E9430" s="195" t="s">
        <v>583</v>
      </c>
      <c r="F9430" s="195" t="s">
        <v>432</v>
      </c>
    </row>
    <row r="9431" spans="1:6" x14ac:dyDescent="0.25">
      <c r="A9431" s="189" t="str">
        <f t="shared" si="147"/>
        <v>WA-MD 604.455.35E</v>
      </c>
      <c r="B9431" s="195" t="s">
        <v>539</v>
      </c>
      <c r="C9431" s="196">
        <v>4.45</v>
      </c>
      <c r="D9431" s="196">
        <v>5.35</v>
      </c>
      <c r="E9431" s="195" t="s">
        <v>583</v>
      </c>
      <c r="F9431" s="195" t="s">
        <v>19</v>
      </c>
    </row>
    <row r="9432" spans="1:6" x14ac:dyDescent="0.25">
      <c r="A9432" s="189" t="str">
        <f t="shared" si="147"/>
        <v>WA-MD 604.455.35W</v>
      </c>
      <c r="B9432" s="195" t="s">
        <v>539</v>
      </c>
      <c r="C9432" s="196">
        <v>4.45</v>
      </c>
      <c r="D9432" s="196">
        <v>5.35</v>
      </c>
      <c r="E9432" s="195" t="s">
        <v>583</v>
      </c>
      <c r="F9432" s="195" t="s">
        <v>432</v>
      </c>
    </row>
    <row r="9433" spans="1:6" x14ac:dyDescent="0.25">
      <c r="A9433" s="189" t="str">
        <f t="shared" si="147"/>
        <v>WA-MD 605.357.27E</v>
      </c>
      <c r="B9433" s="195" t="s">
        <v>539</v>
      </c>
      <c r="C9433" s="196">
        <v>5.35</v>
      </c>
      <c r="D9433" s="196">
        <v>7.27</v>
      </c>
      <c r="E9433" s="195" t="s">
        <v>583</v>
      </c>
      <c r="F9433" s="195" t="s">
        <v>19</v>
      </c>
    </row>
    <row r="9434" spans="1:6" x14ac:dyDescent="0.25">
      <c r="A9434" s="189" t="str">
        <f t="shared" si="147"/>
        <v>WA-MD 605.357.27W</v>
      </c>
      <c r="B9434" s="195" t="s">
        <v>539</v>
      </c>
      <c r="C9434" s="196">
        <v>5.35</v>
      </c>
      <c r="D9434" s="196">
        <v>7.27</v>
      </c>
      <c r="E9434" s="195" t="s">
        <v>583</v>
      </c>
      <c r="F9434" s="195" t="s">
        <v>432</v>
      </c>
    </row>
    <row r="9435" spans="1:6" x14ac:dyDescent="0.25">
      <c r="A9435" s="189" t="str">
        <f t="shared" si="147"/>
        <v>WA-MD 60A00.1N</v>
      </c>
      <c r="B9435" s="195" t="s">
        <v>4291</v>
      </c>
      <c r="C9435" s="196">
        <v>0</v>
      </c>
      <c r="D9435" s="196">
        <v>0.1</v>
      </c>
      <c r="E9435" s="195" t="s">
        <v>589</v>
      </c>
      <c r="F9435" s="195" t="s">
        <v>430</v>
      </c>
    </row>
    <row r="9436" spans="1:6" x14ac:dyDescent="0.25">
      <c r="A9436" s="189" t="str">
        <f t="shared" si="147"/>
        <v>WA-MD 61500.3N</v>
      </c>
      <c r="B9436" s="195" t="s">
        <v>4292</v>
      </c>
      <c r="C9436" s="196">
        <v>0</v>
      </c>
      <c r="D9436" s="196">
        <v>0.3</v>
      </c>
      <c r="E9436" s="195" t="s">
        <v>583</v>
      </c>
      <c r="F9436" s="195" t="s">
        <v>430</v>
      </c>
    </row>
    <row r="9437" spans="1:6" x14ac:dyDescent="0.25">
      <c r="A9437" s="189" t="str">
        <f t="shared" si="147"/>
        <v>WA-MD 61500.3S</v>
      </c>
      <c r="B9437" s="195" t="s">
        <v>4292</v>
      </c>
      <c r="C9437" s="196">
        <v>0</v>
      </c>
      <c r="D9437" s="196">
        <v>0.3</v>
      </c>
      <c r="E9437" s="195" t="s">
        <v>583</v>
      </c>
      <c r="F9437" s="195" t="s">
        <v>438</v>
      </c>
    </row>
    <row r="9438" spans="1:6" x14ac:dyDescent="0.25">
      <c r="A9438" s="189" t="str">
        <f t="shared" si="147"/>
        <v>WA-MD 6150.30.54N</v>
      </c>
      <c r="B9438" s="195" t="s">
        <v>4292</v>
      </c>
      <c r="C9438" s="196">
        <v>0.3</v>
      </c>
      <c r="D9438" s="196">
        <v>0.54</v>
      </c>
      <c r="E9438" s="195" t="s">
        <v>583</v>
      </c>
      <c r="F9438" s="195" t="s">
        <v>430</v>
      </c>
    </row>
    <row r="9439" spans="1:6" x14ac:dyDescent="0.25">
      <c r="A9439" s="189" t="str">
        <f t="shared" si="147"/>
        <v>WA-MD 6150.30.54S</v>
      </c>
      <c r="B9439" s="195" t="s">
        <v>4292</v>
      </c>
      <c r="C9439" s="196">
        <v>0.3</v>
      </c>
      <c r="D9439" s="196">
        <v>0.54</v>
      </c>
      <c r="E9439" s="195" t="s">
        <v>583</v>
      </c>
      <c r="F9439" s="195" t="s">
        <v>438</v>
      </c>
    </row>
    <row r="9440" spans="1:6" x14ac:dyDescent="0.25">
      <c r="A9440" s="189" t="str">
        <f t="shared" si="147"/>
        <v>WA-MD 6150.541.8N</v>
      </c>
      <c r="B9440" s="195" t="s">
        <v>4292</v>
      </c>
      <c r="C9440" s="196">
        <v>0.54</v>
      </c>
      <c r="D9440" s="196">
        <v>1.8</v>
      </c>
      <c r="E9440" s="195" t="s">
        <v>583</v>
      </c>
      <c r="F9440" s="195" t="s">
        <v>430</v>
      </c>
    </row>
    <row r="9441" spans="1:6" x14ac:dyDescent="0.25">
      <c r="A9441" s="189" t="str">
        <f t="shared" si="147"/>
        <v>WA-MD 6150.541.8S</v>
      </c>
      <c r="B9441" s="195" t="s">
        <v>4292</v>
      </c>
      <c r="C9441" s="196">
        <v>0.54</v>
      </c>
      <c r="D9441" s="196">
        <v>1.8</v>
      </c>
      <c r="E9441" s="195" t="s">
        <v>583</v>
      </c>
      <c r="F9441" s="195" t="s">
        <v>438</v>
      </c>
    </row>
    <row r="9442" spans="1:6" x14ac:dyDescent="0.25">
      <c r="A9442" s="189" t="str">
        <f t="shared" si="147"/>
        <v>WA-MD 6151.84.35N</v>
      </c>
      <c r="B9442" s="195" t="s">
        <v>4292</v>
      </c>
      <c r="C9442" s="196">
        <v>1.8</v>
      </c>
      <c r="D9442" s="196">
        <v>4.3499999999999996</v>
      </c>
      <c r="E9442" s="195" t="s">
        <v>583</v>
      </c>
      <c r="F9442" s="195" t="s">
        <v>430</v>
      </c>
    </row>
    <row r="9443" spans="1:6" x14ac:dyDescent="0.25">
      <c r="A9443" s="189" t="str">
        <f t="shared" si="147"/>
        <v>WA-MD 6151.84.35S</v>
      </c>
      <c r="B9443" s="195" t="s">
        <v>4292</v>
      </c>
      <c r="C9443" s="196">
        <v>1.8</v>
      </c>
      <c r="D9443" s="196">
        <v>4.3499999999999996</v>
      </c>
      <c r="E9443" s="195" t="s">
        <v>583</v>
      </c>
      <c r="F9443" s="195" t="s">
        <v>438</v>
      </c>
    </row>
    <row r="9444" spans="1:6" x14ac:dyDescent="0.25">
      <c r="A9444" s="189" t="str">
        <f t="shared" si="147"/>
        <v>WA-MD 6200.39N</v>
      </c>
      <c r="B9444" s="195" t="s">
        <v>4293</v>
      </c>
      <c r="C9444" s="196">
        <v>0</v>
      </c>
      <c r="D9444" s="196">
        <v>0.39</v>
      </c>
      <c r="E9444" s="195" t="s">
        <v>583</v>
      </c>
      <c r="F9444" s="195" t="s">
        <v>430</v>
      </c>
    </row>
    <row r="9445" spans="1:6" x14ac:dyDescent="0.25">
      <c r="A9445" s="189" t="str">
        <f t="shared" si="147"/>
        <v>WA-MD 6200.39S</v>
      </c>
      <c r="B9445" s="195" t="s">
        <v>4293</v>
      </c>
      <c r="C9445" s="196">
        <v>0</v>
      </c>
      <c r="D9445" s="196">
        <v>0.39</v>
      </c>
      <c r="E9445" s="195" t="s">
        <v>583</v>
      </c>
      <c r="F9445" s="195" t="s">
        <v>438</v>
      </c>
    </row>
    <row r="9446" spans="1:6" x14ac:dyDescent="0.25">
      <c r="A9446" s="189" t="str">
        <f t="shared" si="147"/>
        <v>WA-MD 620.393.88N</v>
      </c>
      <c r="B9446" s="195" t="s">
        <v>4293</v>
      </c>
      <c r="C9446" s="196">
        <v>0.39</v>
      </c>
      <c r="D9446" s="196">
        <v>3.88</v>
      </c>
      <c r="E9446" s="195" t="s">
        <v>583</v>
      </c>
      <c r="F9446" s="195" t="s">
        <v>430</v>
      </c>
    </row>
    <row r="9447" spans="1:6" x14ac:dyDescent="0.25">
      <c r="A9447" s="189" t="str">
        <f t="shared" si="147"/>
        <v>WA-MD 620.393.88S</v>
      </c>
      <c r="B9447" s="195" t="s">
        <v>4293</v>
      </c>
      <c r="C9447" s="196">
        <v>0.39</v>
      </c>
      <c r="D9447" s="196">
        <v>3.88</v>
      </c>
      <c r="E9447" s="195" t="s">
        <v>583</v>
      </c>
      <c r="F9447" s="195" t="s">
        <v>438</v>
      </c>
    </row>
    <row r="9448" spans="1:6" x14ac:dyDescent="0.25">
      <c r="A9448" s="189" t="str">
        <f t="shared" si="147"/>
        <v>WA-MD 6300.48N</v>
      </c>
      <c r="B9448" s="195" t="s">
        <v>540</v>
      </c>
      <c r="C9448" s="196">
        <v>0</v>
      </c>
      <c r="D9448" s="196">
        <v>0.48</v>
      </c>
      <c r="E9448" s="195" t="s">
        <v>583</v>
      </c>
      <c r="F9448" s="195" t="s">
        <v>430</v>
      </c>
    </row>
    <row r="9449" spans="1:6" x14ac:dyDescent="0.25">
      <c r="A9449" s="189" t="str">
        <f t="shared" si="147"/>
        <v>WA-MD 6300.48S</v>
      </c>
      <c r="B9449" s="195" t="s">
        <v>540</v>
      </c>
      <c r="C9449" s="196">
        <v>0</v>
      </c>
      <c r="D9449" s="196">
        <v>0.48</v>
      </c>
      <c r="E9449" s="195" t="s">
        <v>583</v>
      </c>
      <c r="F9449" s="195" t="s">
        <v>438</v>
      </c>
    </row>
    <row r="9450" spans="1:6" x14ac:dyDescent="0.25">
      <c r="A9450" s="189" t="str">
        <f t="shared" si="147"/>
        <v>WA-MD 630.482.58N</v>
      </c>
      <c r="B9450" s="195" t="s">
        <v>540</v>
      </c>
      <c r="C9450" s="196">
        <v>0.48</v>
      </c>
      <c r="D9450" s="196">
        <v>2.58</v>
      </c>
      <c r="E9450" s="195" t="s">
        <v>583</v>
      </c>
      <c r="F9450" s="195" t="s">
        <v>430</v>
      </c>
    </row>
    <row r="9451" spans="1:6" x14ac:dyDescent="0.25">
      <c r="A9451" s="189" t="str">
        <f t="shared" si="147"/>
        <v>WA-MD 630.482.58S</v>
      </c>
      <c r="B9451" s="195" t="s">
        <v>540</v>
      </c>
      <c r="C9451" s="196">
        <v>0.48</v>
      </c>
      <c r="D9451" s="196">
        <v>2.58</v>
      </c>
      <c r="E9451" s="195" t="s">
        <v>583</v>
      </c>
      <c r="F9451" s="195" t="s">
        <v>438</v>
      </c>
    </row>
    <row r="9452" spans="1:6" x14ac:dyDescent="0.25">
      <c r="A9452" s="189" t="str">
        <f t="shared" si="147"/>
        <v>WA-MD 632.583.88N</v>
      </c>
      <c r="B9452" s="195" t="s">
        <v>540</v>
      </c>
      <c r="C9452" s="196">
        <v>2.58</v>
      </c>
      <c r="D9452" s="196">
        <v>3.88</v>
      </c>
      <c r="E9452" s="195" t="s">
        <v>583</v>
      </c>
      <c r="F9452" s="195" t="s">
        <v>430</v>
      </c>
    </row>
    <row r="9453" spans="1:6" x14ac:dyDescent="0.25">
      <c r="A9453" s="189" t="str">
        <f t="shared" si="147"/>
        <v>WA-MD 632.583.88S</v>
      </c>
      <c r="B9453" s="195" t="s">
        <v>540</v>
      </c>
      <c r="C9453" s="196">
        <v>2.58</v>
      </c>
      <c r="D9453" s="196">
        <v>3.88</v>
      </c>
      <c r="E9453" s="195" t="s">
        <v>583</v>
      </c>
      <c r="F9453" s="195" t="s">
        <v>438</v>
      </c>
    </row>
    <row r="9454" spans="1:6" x14ac:dyDescent="0.25">
      <c r="A9454" s="189" t="str">
        <f t="shared" si="147"/>
        <v>WA-MD 633.886.37N</v>
      </c>
      <c r="B9454" s="195" t="s">
        <v>540</v>
      </c>
      <c r="C9454" s="196">
        <v>3.88</v>
      </c>
      <c r="D9454" s="196">
        <v>6.37</v>
      </c>
      <c r="E9454" s="195" t="s">
        <v>583</v>
      </c>
      <c r="F9454" s="195" t="s">
        <v>430</v>
      </c>
    </row>
    <row r="9455" spans="1:6" x14ac:dyDescent="0.25">
      <c r="A9455" s="189" t="str">
        <f t="shared" si="147"/>
        <v>WA-MD 633.886.37S</v>
      </c>
      <c r="B9455" s="195" t="s">
        <v>540</v>
      </c>
      <c r="C9455" s="196">
        <v>3.88</v>
      </c>
      <c r="D9455" s="196">
        <v>6.37</v>
      </c>
      <c r="E9455" s="195" t="s">
        <v>583</v>
      </c>
      <c r="F9455" s="195" t="s">
        <v>438</v>
      </c>
    </row>
    <row r="9456" spans="1:6" x14ac:dyDescent="0.25">
      <c r="A9456" s="189" t="str">
        <f t="shared" si="147"/>
        <v>WA-MD 636.376.7N</v>
      </c>
      <c r="B9456" s="195" t="s">
        <v>540</v>
      </c>
      <c r="C9456" s="196">
        <v>6.37</v>
      </c>
      <c r="D9456" s="196">
        <v>6.7</v>
      </c>
      <c r="E9456" s="195" t="s">
        <v>583</v>
      </c>
      <c r="F9456" s="195" t="s">
        <v>430</v>
      </c>
    </row>
    <row r="9457" spans="1:6" x14ac:dyDescent="0.25">
      <c r="A9457" s="189" t="str">
        <f t="shared" si="147"/>
        <v>WA-MD 636.376.7S</v>
      </c>
      <c r="B9457" s="195" t="s">
        <v>540</v>
      </c>
      <c r="C9457" s="196">
        <v>6.37</v>
      </c>
      <c r="D9457" s="196">
        <v>6.7</v>
      </c>
      <c r="E9457" s="195" t="s">
        <v>583</v>
      </c>
      <c r="F9457" s="195" t="s">
        <v>438</v>
      </c>
    </row>
    <row r="9458" spans="1:6" x14ac:dyDescent="0.25">
      <c r="A9458" s="189" t="str">
        <f t="shared" si="147"/>
        <v>WA-MD 636.78.04N</v>
      </c>
      <c r="B9458" s="195" t="s">
        <v>540</v>
      </c>
      <c r="C9458" s="196">
        <v>6.7</v>
      </c>
      <c r="D9458" s="196">
        <v>8.0399999999999991</v>
      </c>
      <c r="E9458" s="195" t="s">
        <v>583</v>
      </c>
      <c r="F9458" s="195" t="s">
        <v>430</v>
      </c>
    </row>
    <row r="9459" spans="1:6" x14ac:dyDescent="0.25">
      <c r="A9459" s="189" t="str">
        <f t="shared" si="147"/>
        <v>WA-MD 636.78.04S</v>
      </c>
      <c r="B9459" s="195" t="s">
        <v>540</v>
      </c>
      <c r="C9459" s="196">
        <v>6.7</v>
      </c>
      <c r="D9459" s="196">
        <v>8.0399999999999991</v>
      </c>
      <c r="E9459" s="195" t="s">
        <v>583</v>
      </c>
      <c r="F9459" s="195" t="s">
        <v>438</v>
      </c>
    </row>
    <row r="9460" spans="1:6" x14ac:dyDescent="0.25">
      <c r="A9460" s="189" t="str">
        <f t="shared" si="147"/>
        <v>WA-MD 638.048.26N</v>
      </c>
      <c r="B9460" s="195" t="s">
        <v>540</v>
      </c>
      <c r="C9460" s="196">
        <v>8.0399999999999991</v>
      </c>
      <c r="D9460" s="196">
        <v>8.26</v>
      </c>
      <c r="E9460" s="195" t="s">
        <v>583</v>
      </c>
      <c r="F9460" s="195" t="s">
        <v>430</v>
      </c>
    </row>
    <row r="9461" spans="1:6" x14ac:dyDescent="0.25">
      <c r="A9461" s="189" t="str">
        <f t="shared" si="147"/>
        <v>WA-MD 638.048.26S</v>
      </c>
      <c r="B9461" s="195" t="s">
        <v>540</v>
      </c>
      <c r="C9461" s="196">
        <v>8.0399999999999991</v>
      </c>
      <c r="D9461" s="196">
        <v>8.26</v>
      </c>
      <c r="E9461" s="195" t="s">
        <v>583</v>
      </c>
      <c r="F9461" s="195" t="s">
        <v>438</v>
      </c>
    </row>
    <row r="9462" spans="1:6" x14ac:dyDescent="0.25">
      <c r="A9462" s="189" t="str">
        <f t="shared" si="147"/>
        <v>WA-MD 638.269.08N</v>
      </c>
      <c r="B9462" s="195" t="s">
        <v>540</v>
      </c>
      <c r="C9462" s="196">
        <v>8.26</v>
      </c>
      <c r="D9462" s="196">
        <v>9.08</v>
      </c>
      <c r="E9462" s="195" t="s">
        <v>583</v>
      </c>
      <c r="F9462" s="195" t="s">
        <v>430</v>
      </c>
    </row>
    <row r="9463" spans="1:6" x14ac:dyDescent="0.25">
      <c r="A9463" s="189" t="str">
        <f t="shared" si="147"/>
        <v>WA-MD 638.269.08S</v>
      </c>
      <c r="B9463" s="195" t="s">
        <v>540</v>
      </c>
      <c r="C9463" s="196">
        <v>8.26</v>
      </c>
      <c r="D9463" s="196">
        <v>9.08</v>
      </c>
      <c r="E9463" s="195" t="s">
        <v>583</v>
      </c>
      <c r="F9463" s="195" t="s">
        <v>438</v>
      </c>
    </row>
    <row r="9464" spans="1:6" x14ac:dyDescent="0.25">
      <c r="A9464" s="189" t="str">
        <f t="shared" si="147"/>
        <v>WA-MD 639.0810.3S</v>
      </c>
      <c r="B9464" s="195" t="s">
        <v>540</v>
      </c>
      <c r="C9464" s="196">
        <v>9.08</v>
      </c>
      <c r="D9464" s="196">
        <v>10.3</v>
      </c>
      <c r="E9464" s="195" t="s">
        <v>595</v>
      </c>
      <c r="F9464" s="195" t="s">
        <v>438</v>
      </c>
    </row>
    <row r="9465" spans="1:6" x14ac:dyDescent="0.25">
      <c r="A9465" s="189" t="str">
        <f t="shared" si="147"/>
        <v>WA-MD 639.0810.4N</v>
      </c>
      <c r="B9465" s="195" t="s">
        <v>540</v>
      </c>
      <c r="C9465" s="196">
        <v>9.08</v>
      </c>
      <c r="D9465" s="196">
        <v>10.4</v>
      </c>
      <c r="E9465" s="195" t="s">
        <v>589</v>
      </c>
      <c r="F9465" s="195" t="s">
        <v>430</v>
      </c>
    </row>
    <row r="9466" spans="1:6" x14ac:dyDescent="0.25">
      <c r="A9466" s="189" t="str">
        <f t="shared" si="147"/>
        <v>WA-MD 6310.311.57S</v>
      </c>
      <c r="B9466" s="195" t="s">
        <v>540</v>
      </c>
      <c r="C9466" s="196">
        <v>10.3</v>
      </c>
      <c r="D9466" s="196">
        <v>11.57</v>
      </c>
      <c r="E9466" s="195" t="s">
        <v>595</v>
      </c>
      <c r="F9466" s="195" t="s">
        <v>438</v>
      </c>
    </row>
    <row r="9467" spans="1:6" x14ac:dyDescent="0.25">
      <c r="A9467" s="189" t="str">
        <f t="shared" si="147"/>
        <v>WA-MD 6310.411.57N</v>
      </c>
      <c r="B9467" s="195" t="s">
        <v>540</v>
      </c>
      <c r="C9467" s="196">
        <v>10.4</v>
      </c>
      <c r="D9467" s="196">
        <v>11.57</v>
      </c>
      <c r="E9467" s="195" t="s">
        <v>589</v>
      </c>
      <c r="F9467" s="195" t="s">
        <v>430</v>
      </c>
    </row>
    <row r="9468" spans="1:6" x14ac:dyDescent="0.25">
      <c r="A9468" s="189" t="str">
        <f t="shared" si="147"/>
        <v>WA-MD 6311.5711.78N</v>
      </c>
      <c r="B9468" s="195" t="s">
        <v>540</v>
      </c>
      <c r="C9468" s="196">
        <v>11.57</v>
      </c>
      <c r="D9468" s="196">
        <v>11.78</v>
      </c>
      <c r="E9468" s="195" t="s">
        <v>583</v>
      </c>
      <c r="F9468" s="195" t="s">
        <v>430</v>
      </c>
    </row>
    <row r="9469" spans="1:6" x14ac:dyDescent="0.25">
      <c r="A9469" s="189" t="str">
        <f t="shared" si="147"/>
        <v>WA-MD 6311.5711.78S</v>
      </c>
      <c r="B9469" s="195" t="s">
        <v>540</v>
      </c>
      <c r="C9469" s="196">
        <v>11.57</v>
      </c>
      <c r="D9469" s="196">
        <v>11.78</v>
      </c>
      <c r="E9469" s="195" t="s">
        <v>583</v>
      </c>
      <c r="F9469" s="195" t="s">
        <v>438</v>
      </c>
    </row>
    <row r="9470" spans="1:6" x14ac:dyDescent="0.25">
      <c r="A9470" s="189" t="str">
        <f t="shared" si="147"/>
        <v>WA-MD 6311.7815.4N</v>
      </c>
      <c r="B9470" s="195" t="s">
        <v>540</v>
      </c>
      <c r="C9470" s="196">
        <v>11.78</v>
      </c>
      <c r="D9470" s="196">
        <v>15.4</v>
      </c>
      <c r="E9470" s="195" t="s">
        <v>583</v>
      </c>
      <c r="F9470" s="195" t="s">
        <v>430</v>
      </c>
    </row>
    <row r="9471" spans="1:6" x14ac:dyDescent="0.25">
      <c r="A9471" s="189" t="str">
        <f t="shared" si="147"/>
        <v>WA-MD 6311.7815.4S</v>
      </c>
      <c r="B9471" s="195" t="s">
        <v>540</v>
      </c>
      <c r="C9471" s="196">
        <v>11.78</v>
      </c>
      <c r="D9471" s="196">
        <v>15.4</v>
      </c>
      <c r="E9471" s="195" t="s">
        <v>583</v>
      </c>
      <c r="F9471" s="195" t="s">
        <v>438</v>
      </c>
    </row>
    <row r="9472" spans="1:6" x14ac:dyDescent="0.25">
      <c r="A9472" s="189" t="str">
        <f t="shared" si="147"/>
        <v>WA-MD 6315.416.99N</v>
      </c>
      <c r="B9472" s="195" t="s">
        <v>540</v>
      </c>
      <c r="C9472" s="196">
        <v>15.4</v>
      </c>
      <c r="D9472" s="196">
        <v>16.989999999999998</v>
      </c>
      <c r="E9472" s="195" t="s">
        <v>583</v>
      </c>
      <c r="F9472" s="195" t="s">
        <v>430</v>
      </c>
    </row>
    <row r="9473" spans="1:6" x14ac:dyDescent="0.25">
      <c r="A9473" s="189" t="str">
        <f t="shared" si="147"/>
        <v>WA-MD 6315.416.99S</v>
      </c>
      <c r="B9473" s="195" t="s">
        <v>540</v>
      </c>
      <c r="C9473" s="196">
        <v>15.4</v>
      </c>
      <c r="D9473" s="196">
        <v>16.989999999999998</v>
      </c>
      <c r="E9473" s="195" t="s">
        <v>583</v>
      </c>
      <c r="F9473" s="195" t="s">
        <v>438</v>
      </c>
    </row>
    <row r="9474" spans="1:6" x14ac:dyDescent="0.25">
      <c r="A9474" s="189" t="str">
        <f t="shared" si="147"/>
        <v>WA-MD 63202.24N</v>
      </c>
      <c r="B9474" s="195" t="s">
        <v>4294</v>
      </c>
      <c r="C9474" s="196">
        <v>0</v>
      </c>
      <c r="D9474" s="196">
        <v>2.2400000000000002</v>
      </c>
      <c r="E9474" s="195" t="s">
        <v>583</v>
      </c>
      <c r="F9474" s="195" t="s">
        <v>430</v>
      </c>
    </row>
    <row r="9475" spans="1:6" x14ac:dyDescent="0.25">
      <c r="A9475" s="189" t="str">
        <f t="shared" si="147"/>
        <v>WA-MD 63202.24S</v>
      </c>
      <c r="B9475" s="195" t="s">
        <v>4294</v>
      </c>
      <c r="C9475" s="196">
        <v>0</v>
      </c>
      <c r="D9475" s="196">
        <v>2.2400000000000002</v>
      </c>
      <c r="E9475" s="195" t="s">
        <v>583</v>
      </c>
      <c r="F9475" s="195" t="s">
        <v>438</v>
      </c>
    </row>
    <row r="9476" spans="1:6" x14ac:dyDescent="0.25">
      <c r="A9476" s="189" t="str">
        <f t="shared" si="147"/>
        <v>WA-MD 6322.244.92N</v>
      </c>
      <c r="B9476" s="195" t="s">
        <v>4294</v>
      </c>
      <c r="C9476" s="196">
        <v>2.2400000000000002</v>
      </c>
      <c r="D9476" s="196">
        <v>4.92</v>
      </c>
      <c r="E9476" s="195" t="s">
        <v>583</v>
      </c>
      <c r="F9476" s="195" t="s">
        <v>430</v>
      </c>
    </row>
    <row r="9477" spans="1:6" x14ac:dyDescent="0.25">
      <c r="A9477" s="189" t="str">
        <f t="shared" si="147"/>
        <v>WA-MD 6322.244.92S</v>
      </c>
      <c r="B9477" s="195" t="s">
        <v>4294</v>
      </c>
      <c r="C9477" s="196">
        <v>2.2400000000000002</v>
      </c>
      <c r="D9477" s="196">
        <v>4.92</v>
      </c>
      <c r="E9477" s="195" t="s">
        <v>583</v>
      </c>
      <c r="F9477" s="195" t="s">
        <v>438</v>
      </c>
    </row>
    <row r="9478" spans="1:6" x14ac:dyDescent="0.25">
      <c r="A9478" s="189" t="str">
        <f t="shared" si="147"/>
        <v>WA-MD 6324.926.71N</v>
      </c>
      <c r="B9478" s="195" t="s">
        <v>4294</v>
      </c>
      <c r="C9478" s="196">
        <v>4.92</v>
      </c>
      <c r="D9478" s="196">
        <v>6.71</v>
      </c>
      <c r="E9478" s="195" t="s">
        <v>583</v>
      </c>
      <c r="F9478" s="195" t="s">
        <v>430</v>
      </c>
    </row>
    <row r="9479" spans="1:6" x14ac:dyDescent="0.25">
      <c r="A9479" s="189" t="str">
        <f t="shared" si="147"/>
        <v>WA-MD 6324.926.71S</v>
      </c>
      <c r="B9479" s="195" t="s">
        <v>4294</v>
      </c>
      <c r="C9479" s="196">
        <v>4.92</v>
      </c>
      <c r="D9479" s="196">
        <v>6.71</v>
      </c>
      <c r="E9479" s="195" t="s">
        <v>583</v>
      </c>
      <c r="F9479" s="195" t="s">
        <v>438</v>
      </c>
    </row>
    <row r="9480" spans="1:6" x14ac:dyDescent="0.25">
      <c r="A9480" s="189" t="str">
        <f t="shared" ref="A9480:A9543" si="148">B9480&amp;C9480&amp;D9480&amp;F9480</f>
        <v>WA-MD 640.681.15E</v>
      </c>
      <c r="B9480" s="195" t="s">
        <v>4295</v>
      </c>
      <c r="C9480" s="196">
        <v>0.68</v>
      </c>
      <c r="D9480" s="196">
        <v>1.1499999999999999</v>
      </c>
      <c r="E9480" s="195" t="s">
        <v>583</v>
      </c>
      <c r="F9480" s="195" t="s">
        <v>19</v>
      </c>
    </row>
    <row r="9481" spans="1:6" x14ac:dyDescent="0.25">
      <c r="A9481" s="189" t="str">
        <f t="shared" si="148"/>
        <v>WA-MD 640.681.15W</v>
      </c>
      <c r="B9481" s="195" t="s">
        <v>4295</v>
      </c>
      <c r="C9481" s="196">
        <v>0.68</v>
      </c>
      <c r="D9481" s="196">
        <v>1.1499999999999999</v>
      </c>
      <c r="E9481" s="195" t="s">
        <v>583</v>
      </c>
      <c r="F9481" s="195" t="s">
        <v>432</v>
      </c>
    </row>
    <row r="9482" spans="1:6" x14ac:dyDescent="0.25">
      <c r="A9482" s="189" t="str">
        <f t="shared" si="148"/>
        <v>WA-MD 641.158.06E</v>
      </c>
      <c r="B9482" s="195" t="s">
        <v>4295</v>
      </c>
      <c r="C9482" s="196">
        <v>1.1499999999999999</v>
      </c>
      <c r="D9482" s="196">
        <v>8.06</v>
      </c>
      <c r="E9482" s="195" t="s">
        <v>583</v>
      </c>
      <c r="F9482" s="195" t="s">
        <v>19</v>
      </c>
    </row>
    <row r="9483" spans="1:6" x14ac:dyDescent="0.25">
      <c r="A9483" s="189" t="str">
        <f t="shared" si="148"/>
        <v>WA-MD 641.158.06W</v>
      </c>
      <c r="B9483" s="195" t="s">
        <v>4295</v>
      </c>
      <c r="C9483" s="196">
        <v>1.1499999999999999</v>
      </c>
      <c r="D9483" s="196">
        <v>8.06</v>
      </c>
      <c r="E9483" s="195" t="s">
        <v>583</v>
      </c>
      <c r="F9483" s="195" t="s">
        <v>432</v>
      </c>
    </row>
    <row r="9484" spans="1:6" x14ac:dyDescent="0.25">
      <c r="A9484" s="189" t="str">
        <f t="shared" si="148"/>
        <v>WA-MD 648.0613.33E</v>
      </c>
      <c r="B9484" s="195" t="s">
        <v>4295</v>
      </c>
      <c r="C9484" s="196">
        <v>8.06</v>
      </c>
      <c r="D9484" s="196">
        <v>13.33</v>
      </c>
      <c r="E9484" s="195" t="s">
        <v>583</v>
      </c>
      <c r="F9484" s="195" t="s">
        <v>19</v>
      </c>
    </row>
    <row r="9485" spans="1:6" x14ac:dyDescent="0.25">
      <c r="A9485" s="189" t="str">
        <f t="shared" si="148"/>
        <v>WA-MD 648.0613.33W</v>
      </c>
      <c r="B9485" s="195" t="s">
        <v>4295</v>
      </c>
      <c r="C9485" s="196">
        <v>8.06</v>
      </c>
      <c r="D9485" s="196">
        <v>13.33</v>
      </c>
      <c r="E9485" s="195" t="s">
        <v>583</v>
      </c>
      <c r="F9485" s="195" t="s">
        <v>432</v>
      </c>
    </row>
    <row r="9486" spans="1:6" x14ac:dyDescent="0.25">
      <c r="A9486" s="189" t="str">
        <f t="shared" si="148"/>
        <v>WA-MD 6505.72N</v>
      </c>
      <c r="B9486" s="195" t="s">
        <v>541</v>
      </c>
      <c r="C9486" s="196">
        <v>0</v>
      </c>
      <c r="D9486" s="196">
        <v>5.72</v>
      </c>
      <c r="E9486" s="195" t="s">
        <v>583</v>
      </c>
      <c r="F9486" s="195" t="s">
        <v>430</v>
      </c>
    </row>
    <row r="9487" spans="1:6" x14ac:dyDescent="0.25">
      <c r="A9487" s="189" t="str">
        <f t="shared" si="148"/>
        <v>WA-MD 6505.72S</v>
      </c>
      <c r="B9487" s="195" t="s">
        <v>541</v>
      </c>
      <c r="C9487" s="196">
        <v>0</v>
      </c>
      <c r="D9487" s="196">
        <v>5.72</v>
      </c>
      <c r="E9487" s="195" t="s">
        <v>583</v>
      </c>
      <c r="F9487" s="195" t="s">
        <v>438</v>
      </c>
    </row>
    <row r="9488" spans="1:6" x14ac:dyDescent="0.25">
      <c r="A9488" s="189" t="str">
        <f t="shared" si="148"/>
        <v>WA-MD 655.726.77N</v>
      </c>
      <c r="B9488" s="195" t="s">
        <v>541</v>
      </c>
      <c r="C9488" s="196">
        <v>5.72</v>
      </c>
      <c r="D9488" s="196">
        <v>6.77</v>
      </c>
      <c r="E9488" s="195" t="s">
        <v>583</v>
      </c>
      <c r="F9488" s="195" t="s">
        <v>430</v>
      </c>
    </row>
    <row r="9489" spans="1:6" x14ac:dyDescent="0.25">
      <c r="A9489" s="189" t="str">
        <f t="shared" si="148"/>
        <v>WA-MD 655.726.77S</v>
      </c>
      <c r="B9489" s="195" t="s">
        <v>541</v>
      </c>
      <c r="C9489" s="196">
        <v>5.72</v>
      </c>
      <c r="D9489" s="196">
        <v>6.77</v>
      </c>
      <c r="E9489" s="195" t="s">
        <v>583</v>
      </c>
      <c r="F9489" s="195" t="s">
        <v>438</v>
      </c>
    </row>
    <row r="9490" spans="1:6" x14ac:dyDescent="0.25">
      <c r="A9490" s="189" t="str">
        <f t="shared" si="148"/>
        <v>WA-MD 656.779.76N</v>
      </c>
      <c r="B9490" s="195" t="s">
        <v>541</v>
      </c>
      <c r="C9490" s="196">
        <v>6.77</v>
      </c>
      <c r="D9490" s="196">
        <v>9.76</v>
      </c>
      <c r="E9490" s="195" t="s">
        <v>583</v>
      </c>
      <c r="F9490" s="195" t="s">
        <v>430</v>
      </c>
    </row>
    <row r="9491" spans="1:6" x14ac:dyDescent="0.25">
      <c r="A9491" s="189" t="str">
        <f t="shared" si="148"/>
        <v>WA-MD 656.779.76S</v>
      </c>
      <c r="B9491" s="195" t="s">
        <v>541</v>
      </c>
      <c r="C9491" s="196">
        <v>6.77</v>
      </c>
      <c r="D9491" s="196">
        <v>9.76</v>
      </c>
      <c r="E9491" s="195" t="s">
        <v>583</v>
      </c>
      <c r="F9491" s="195" t="s">
        <v>438</v>
      </c>
    </row>
    <row r="9492" spans="1:6" x14ac:dyDescent="0.25">
      <c r="A9492" s="189" t="str">
        <f t="shared" si="148"/>
        <v>WA-MD 659.7610.55N</v>
      </c>
      <c r="B9492" s="195" t="s">
        <v>541</v>
      </c>
      <c r="C9492" s="196">
        <v>9.76</v>
      </c>
      <c r="D9492" s="196">
        <v>10.55</v>
      </c>
      <c r="E9492" s="195" t="s">
        <v>583</v>
      </c>
      <c r="F9492" s="195" t="s">
        <v>430</v>
      </c>
    </row>
    <row r="9493" spans="1:6" x14ac:dyDescent="0.25">
      <c r="A9493" s="189" t="str">
        <f t="shared" si="148"/>
        <v>WA-MD 659.7610.55S</v>
      </c>
      <c r="B9493" s="195" t="s">
        <v>541</v>
      </c>
      <c r="C9493" s="196">
        <v>9.76</v>
      </c>
      <c r="D9493" s="196">
        <v>10.55</v>
      </c>
      <c r="E9493" s="195" t="s">
        <v>583</v>
      </c>
      <c r="F9493" s="195" t="s">
        <v>438</v>
      </c>
    </row>
    <row r="9494" spans="1:6" x14ac:dyDescent="0.25">
      <c r="A9494" s="189" t="str">
        <f t="shared" si="148"/>
        <v>WA-MD 6511.2511.75N</v>
      </c>
      <c r="B9494" s="195" t="s">
        <v>541</v>
      </c>
      <c r="C9494" s="196">
        <v>11.25</v>
      </c>
      <c r="D9494" s="196">
        <v>11.75</v>
      </c>
      <c r="E9494" s="195" t="s">
        <v>583</v>
      </c>
      <c r="F9494" s="195" t="s">
        <v>430</v>
      </c>
    </row>
    <row r="9495" spans="1:6" x14ac:dyDescent="0.25">
      <c r="A9495" s="189" t="str">
        <f t="shared" si="148"/>
        <v>WA-MD 6511.2511.75S</v>
      </c>
      <c r="B9495" s="195" t="s">
        <v>541</v>
      </c>
      <c r="C9495" s="196">
        <v>11.25</v>
      </c>
      <c r="D9495" s="196">
        <v>11.75</v>
      </c>
      <c r="E9495" s="195" t="s">
        <v>583</v>
      </c>
      <c r="F9495" s="195" t="s">
        <v>438</v>
      </c>
    </row>
    <row r="9496" spans="1:6" x14ac:dyDescent="0.25">
      <c r="A9496" s="189" t="str">
        <f t="shared" si="148"/>
        <v>WA-MD 65A00.35E</v>
      </c>
      <c r="B9496" s="195" t="s">
        <v>4296</v>
      </c>
      <c r="C9496" s="196">
        <v>0</v>
      </c>
      <c r="D9496" s="196">
        <v>0.35</v>
      </c>
      <c r="E9496" s="195" t="s">
        <v>598</v>
      </c>
      <c r="F9496" s="195" t="s">
        <v>19</v>
      </c>
    </row>
    <row r="9497" spans="1:6" x14ac:dyDescent="0.25">
      <c r="A9497" s="189" t="str">
        <f t="shared" si="148"/>
        <v>WA-MD 65A00.35W</v>
      </c>
      <c r="B9497" s="195" t="s">
        <v>4296</v>
      </c>
      <c r="C9497" s="196">
        <v>0</v>
      </c>
      <c r="D9497" s="196">
        <v>0.35</v>
      </c>
      <c r="E9497" s="195" t="s">
        <v>593</v>
      </c>
      <c r="F9497" s="195" t="s">
        <v>432</v>
      </c>
    </row>
    <row r="9498" spans="1:6" x14ac:dyDescent="0.25">
      <c r="A9498" s="189" t="str">
        <f t="shared" si="148"/>
        <v>WA-MD 6601.8N</v>
      </c>
      <c r="B9498" s="195" t="s">
        <v>542</v>
      </c>
      <c r="C9498" s="196">
        <v>0</v>
      </c>
      <c r="D9498" s="196">
        <v>1.8</v>
      </c>
      <c r="E9498" s="195" t="s">
        <v>583</v>
      </c>
      <c r="F9498" s="195" t="s">
        <v>430</v>
      </c>
    </row>
    <row r="9499" spans="1:6" x14ac:dyDescent="0.25">
      <c r="A9499" s="189" t="str">
        <f t="shared" si="148"/>
        <v>WA-MD 6601.8S</v>
      </c>
      <c r="B9499" s="195" t="s">
        <v>542</v>
      </c>
      <c r="C9499" s="196">
        <v>0</v>
      </c>
      <c r="D9499" s="196">
        <v>1.8</v>
      </c>
      <c r="E9499" s="195" t="s">
        <v>583</v>
      </c>
      <c r="F9499" s="195" t="s">
        <v>438</v>
      </c>
    </row>
    <row r="9500" spans="1:6" x14ac:dyDescent="0.25">
      <c r="A9500" s="189" t="str">
        <f t="shared" si="148"/>
        <v>WA-MD 661.82.15N</v>
      </c>
      <c r="B9500" s="195" t="s">
        <v>542</v>
      </c>
      <c r="C9500" s="196">
        <v>1.8</v>
      </c>
      <c r="D9500" s="196">
        <v>2.15</v>
      </c>
      <c r="E9500" s="195" t="s">
        <v>583</v>
      </c>
      <c r="F9500" s="195" t="s">
        <v>430</v>
      </c>
    </row>
    <row r="9501" spans="1:6" x14ac:dyDescent="0.25">
      <c r="A9501" s="189" t="str">
        <f t="shared" si="148"/>
        <v>WA-MD 661.82.15S</v>
      </c>
      <c r="B9501" s="195" t="s">
        <v>542</v>
      </c>
      <c r="C9501" s="196">
        <v>1.8</v>
      </c>
      <c r="D9501" s="196">
        <v>2.15</v>
      </c>
      <c r="E9501" s="195" t="s">
        <v>583</v>
      </c>
      <c r="F9501" s="195" t="s">
        <v>438</v>
      </c>
    </row>
    <row r="9502" spans="1:6" x14ac:dyDescent="0.25">
      <c r="A9502" s="189" t="str">
        <f t="shared" si="148"/>
        <v>WA-MD 662.152.88N</v>
      </c>
      <c r="B9502" s="195" t="s">
        <v>542</v>
      </c>
      <c r="C9502" s="196">
        <v>2.15</v>
      </c>
      <c r="D9502" s="196">
        <v>2.88</v>
      </c>
      <c r="E9502" s="195" t="s">
        <v>583</v>
      </c>
      <c r="F9502" s="195" t="s">
        <v>430</v>
      </c>
    </row>
    <row r="9503" spans="1:6" x14ac:dyDescent="0.25">
      <c r="A9503" s="189" t="str">
        <f t="shared" si="148"/>
        <v>WA-MD 662.152.88S</v>
      </c>
      <c r="B9503" s="195" t="s">
        <v>542</v>
      </c>
      <c r="C9503" s="196">
        <v>2.15</v>
      </c>
      <c r="D9503" s="196">
        <v>2.88</v>
      </c>
      <c r="E9503" s="195" t="s">
        <v>583</v>
      </c>
      <c r="F9503" s="195" t="s">
        <v>438</v>
      </c>
    </row>
    <row r="9504" spans="1:6" x14ac:dyDescent="0.25">
      <c r="A9504" s="189" t="str">
        <f t="shared" si="148"/>
        <v>WA-MD 662.883.6N</v>
      </c>
      <c r="B9504" s="195" t="s">
        <v>542</v>
      </c>
      <c r="C9504" s="196">
        <v>2.88</v>
      </c>
      <c r="D9504" s="196">
        <v>3.6</v>
      </c>
      <c r="E9504" s="195" t="s">
        <v>583</v>
      </c>
      <c r="F9504" s="195" t="s">
        <v>430</v>
      </c>
    </row>
    <row r="9505" spans="1:6" x14ac:dyDescent="0.25">
      <c r="A9505" s="189" t="str">
        <f t="shared" si="148"/>
        <v>WA-MD 662.883.6S</v>
      </c>
      <c r="B9505" s="195" t="s">
        <v>542</v>
      </c>
      <c r="C9505" s="196">
        <v>2.88</v>
      </c>
      <c r="D9505" s="196">
        <v>3.6</v>
      </c>
      <c r="E9505" s="195" t="s">
        <v>583</v>
      </c>
      <c r="F9505" s="195" t="s">
        <v>438</v>
      </c>
    </row>
    <row r="9506" spans="1:6" x14ac:dyDescent="0.25">
      <c r="A9506" s="189" t="str">
        <f t="shared" si="148"/>
        <v>WA-MD 663.64.14N</v>
      </c>
      <c r="B9506" s="195" t="s">
        <v>542</v>
      </c>
      <c r="C9506" s="196">
        <v>3.6</v>
      </c>
      <c r="D9506" s="196">
        <v>4.1399999999999997</v>
      </c>
      <c r="E9506" s="195" t="s">
        <v>583</v>
      </c>
      <c r="F9506" s="195" t="s">
        <v>430</v>
      </c>
    </row>
    <row r="9507" spans="1:6" x14ac:dyDescent="0.25">
      <c r="A9507" s="189" t="str">
        <f t="shared" si="148"/>
        <v>WA-MD 663.64.14S</v>
      </c>
      <c r="B9507" s="195" t="s">
        <v>542</v>
      </c>
      <c r="C9507" s="196">
        <v>3.6</v>
      </c>
      <c r="D9507" s="196">
        <v>4.1399999999999997</v>
      </c>
      <c r="E9507" s="195" t="s">
        <v>583</v>
      </c>
      <c r="F9507" s="195" t="s">
        <v>438</v>
      </c>
    </row>
    <row r="9508" spans="1:6" x14ac:dyDescent="0.25">
      <c r="A9508" s="189" t="str">
        <f t="shared" si="148"/>
        <v>WA-MD 664.144.43N</v>
      </c>
      <c r="B9508" s="195" t="s">
        <v>542</v>
      </c>
      <c r="C9508" s="196">
        <v>4.1399999999999997</v>
      </c>
      <c r="D9508" s="196">
        <v>4.43</v>
      </c>
      <c r="E9508" s="195" t="s">
        <v>583</v>
      </c>
      <c r="F9508" s="195" t="s">
        <v>430</v>
      </c>
    </row>
    <row r="9509" spans="1:6" x14ac:dyDescent="0.25">
      <c r="A9509" s="189" t="str">
        <f t="shared" si="148"/>
        <v>WA-MD 664.144.43S</v>
      </c>
      <c r="B9509" s="195" t="s">
        <v>542</v>
      </c>
      <c r="C9509" s="196">
        <v>4.1399999999999997</v>
      </c>
      <c r="D9509" s="196">
        <v>4.43</v>
      </c>
      <c r="E9509" s="195" t="s">
        <v>583</v>
      </c>
      <c r="F9509" s="195" t="s">
        <v>438</v>
      </c>
    </row>
    <row r="9510" spans="1:6" x14ac:dyDescent="0.25">
      <c r="A9510" s="189" t="str">
        <f t="shared" si="148"/>
        <v>WA-MD 664.434.9N</v>
      </c>
      <c r="B9510" s="195" t="s">
        <v>542</v>
      </c>
      <c r="C9510" s="196">
        <v>4.43</v>
      </c>
      <c r="D9510" s="196">
        <v>4.9000000000000004</v>
      </c>
      <c r="E9510" s="195" t="s">
        <v>583</v>
      </c>
      <c r="F9510" s="195" t="s">
        <v>430</v>
      </c>
    </row>
    <row r="9511" spans="1:6" x14ac:dyDescent="0.25">
      <c r="A9511" s="189" t="str">
        <f t="shared" si="148"/>
        <v>WA-MD 664.434.9S</v>
      </c>
      <c r="B9511" s="195" t="s">
        <v>542</v>
      </c>
      <c r="C9511" s="196">
        <v>4.43</v>
      </c>
      <c r="D9511" s="196">
        <v>4.9000000000000004</v>
      </c>
      <c r="E9511" s="195" t="s">
        <v>583</v>
      </c>
      <c r="F9511" s="195" t="s">
        <v>438</v>
      </c>
    </row>
    <row r="9512" spans="1:6" x14ac:dyDescent="0.25">
      <c r="A9512" s="189" t="str">
        <f t="shared" si="148"/>
        <v>WA-MD 665.545.8N</v>
      </c>
      <c r="B9512" s="195" t="s">
        <v>542</v>
      </c>
      <c r="C9512" s="196">
        <v>5.54</v>
      </c>
      <c r="D9512" s="196">
        <v>5.8</v>
      </c>
      <c r="E9512" s="195" t="s">
        <v>589</v>
      </c>
      <c r="F9512" s="195" t="s">
        <v>430</v>
      </c>
    </row>
    <row r="9513" spans="1:6" x14ac:dyDescent="0.25">
      <c r="A9513" s="189" t="str">
        <f t="shared" si="148"/>
        <v>WA-MD 665.555.8S</v>
      </c>
      <c r="B9513" s="195" t="s">
        <v>542</v>
      </c>
      <c r="C9513" s="196">
        <v>5.55</v>
      </c>
      <c r="D9513" s="196">
        <v>5.8</v>
      </c>
      <c r="E9513" s="195" t="s">
        <v>595</v>
      </c>
      <c r="F9513" s="195" t="s">
        <v>438</v>
      </c>
    </row>
    <row r="9514" spans="1:6" x14ac:dyDescent="0.25">
      <c r="A9514" s="189" t="str">
        <f t="shared" si="148"/>
        <v>WA-MD 665.86N</v>
      </c>
      <c r="B9514" s="195" t="s">
        <v>542</v>
      </c>
      <c r="C9514" s="196">
        <v>5.8</v>
      </c>
      <c r="D9514" s="196">
        <v>6</v>
      </c>
      <c r="E9514" s="195" t="s">
        <v>583</v>
      </c>
      <c r="F9514" s="195" t="s">
        <v>430</v>
      </c>
    </row>
    <row r="9515" spans="1:6" x14ac:dyDescent="0.25">
      <c r="A9515" s="189" t="str">
        <f t="shared" si="148"/>
        <v>WA-MD 665.86S</v>
      </c>
      <c r="B9515" s="195" t="s">
        <v>542</v>
      </c>
      <c r="C9515" s="196">
        <v>5.8</v>
      </c>
      <c r="D9515" s="196">
        <v>6</v>
      </c>
      <c r="E9515" s="195" t="s">
        <v>583</v>
      </c>
      <c r="F9515" s="195" t="s">
        <v>438</v>
      </c>
    </row>
    <row r="9516" spans="1:6" x14ac:dyDescent="0.25">
      <c r="A9516" s="189" t="str">
        <f t="shared" si="148"/>
        <v>WA-MD 6666.5N</v>
      </c>
      <c r="B9516" s="195" t="s">
        <v>542</v>
      </c>
      <c r="C9516" s="196">
        <v>6</v>
      </c>
      <c r="D9516" s="196">
        <v>6.5</v>
      </c>
      <c r="E9516" s="195" t="s">
        <v>583</v>
      </c>
      <c r="F9516" s="195" t="s">
        <v>430</v>
      </c>
    </row>
    <row r="9517" spans="1:6" x14ac:dyDescent="0.25">
      <c r="A9517" s="189" t="str">
        <f t="shared" si="148"/>
        <v>WA-MD 6666.5S</v>
      </c>
      <c r="B9517" s="195" t="s">
        <v>542</v>
      </c>
      <c r="C9517" s="196">
        <v>6</v>
      </c>
      <c r="D9517" s="196">
        <v>6.5</v>
      </c>
      <c r="E9517" s="195" t="s">
        <v>583</v>
      </c>
      <c r="F9517" s="195" t="s">
        <v>438</v>
      </c>
    </row>
    <row r="9518" spans="1:6" x14ac:dyDescent="0.25">
      <c r="A9518" s="189" t="str">
        <f t="shared" si="148"/>
        <v>WA-MD 666.510.32N</v>
      </c>
      <c r="B9518" s="195" t="s">
        <v>542</v>
      </c>
      <c r="C9518" s="196">
        <v>6.5</v>
      </c>
      <c r="D9518" s="196">
        <v>10.32</v>
      </c>
      <c r="E9518" s="195" t="s">
        <v>583</v>
      </c>
      <c r="F9518" s="195" t="s">
        <v>430</v>
      </c>
    </row>
    <row r="9519" spans="1:6" x14ac:dyDescent="0.25">
      <c r="A9519" s="189" t="str">
        <f t="shared" si="148"/>
        <v>WA-MD 666.510.32S</v>
      </c>
      <c r="B9519" s="195" t="s">
        <v>542</v>
      </c>
      <c r="C9519" s="196">
        <v>6.5</v>
      </c>
      <c r="D9519" s="196">
        <v>10.32</v>
      </c>
      <c r="E9519" s="195" t="s">
        <v>583</v>
      </c>
      <c r="F9519" s="195" t="s">
        <v>438</v>
      </c>
    </row>
    <row r="9520" spans="1:6" x14ac:dyDescent="0.25">
      <c r="A9520" s="189" t="str">
        <f t="shared" si="148"/>
        <v>WA-MD 6610.3210.37N</v>
      </c>
      <c r="B9520" s="195" t="s">
        <v>542</v>
      </c>
      <c r="C9520" s="196">
        <v>10.32</v>
      </c>
      <c r="D9520" s="196">
        <v>10.37</v>
      </c>
      <c r="E9520" s="195" t="s">
        <v>583</v>
      </c>
      <c r="F9520" s="195" t="s">
        <v>430</v>
      </c>
    </row>
    <row r="9521" spans="1:6" x14ac:dyDescent="0.25">
      <c r="A9521" s="189" t="str">
        <f t="shared" si="148"/>
        <v>WA-MD 6610.3210.37S</v>
      </c>
      <c r="B9521" s="195" t="s">
        <v>542</v>
      </c>
      <c r="C9521" s="196">
        <v>10.32</v>
      </c>
      <c r="D9521" s="196">
        <v>10.37</v>
      </c>
      <c r="E9521" s="195" t="s">
        <v>583</v>
      </c>
      <c r="F9521" s="195" t="s">
        <v>438</v>
      </c>
    </row>
    <row r="9522" spans="1:6" x14ac:dyDescent="0.25">
      <c r="A9522" s="189" t="str">
        <f t="shared" si="148"/>
        <v>WA-MD 6610.3711.07N</v>
      </c>
      <c r="B9522" s="195" t="s">
        <v>542</v>
      </c>
      <c r="C9522" s="196">
        <v>10.37</v>
      </c>
      <c r="D9522" s="196">
        <v>11.07</v>
      </c>
      <c r="E9522" s="195" t="s">
        <v>583</v>
      </c>
      <c r="F9522" s="195" t="s">
        <v>430</v>
      </c>
    </row>
    <row r="9523" spans="1:6" x14ac:dyDescent="0.25">
      <c r="A9523" s="189" t="str">
        <f t="shared" si="148"/>
        <v>WA-MD 6610.3711.07S</v>
      </c>
      <c r="B9523" s="195" t="s">
        <v>542</v>
      </c>
      <c r="C9523" s="196">
        <v>10.37</v>
      </c>
      <c r="D9523" s="196">
        <v>11.07</v>
      </c>
      <c r="E9523" s="195" t="s">
        <v>583</v>
      </c>
      <c r="F9523" s="195" t="s">
        <v>438</v>
      </c>
    </row>
    <row r="9524" spans="1:6" x14ac:dyDescent="0.25">
      <c r="A9524" s="189" t="str">
        <f t="shared" si="148"/>
        <v>WA-MD 6611.0711.1N</v>
      </c>
      <c r="B9524" s="195" t="s">
        <v>542</v>
      </c>
      <c r="C9524" s="196">
        <v>11.07</v>
      </c>
      <c r="D9524" s="196">
        <v>11.1</v>
      </c>
      <c r="E9524" s="195" t="s">
        <v>583</v>
      </c>
      <c r="F9524" s="195" t="s">
        <v>430</v>
      </c>
    </row>
    <row r="9525" spans="1:6" x14ac:dyDescent="0.25">
      <c r="A9525" s="189" t="str">
        <f t="shared" si="148"/>
        <v>WA-MD 6611.0711.1S</v>
      </c>
      <c r="B9525" s="195" t="s">
        <v>542</v>
      </c>
      <c r="C9525" s="196">
        <v>11.07</v>
      </c>
      <c r="D9525" s="196">
        <v>11.1</v>
      </c>
      <c r="E9525" s="195" t="s">
        <v>583</v>
      </c>
      <c r="F9525" s="195" t="s">
        <v>438</v>
      </c>
    </row>
    <row r="9526" spans="1:6" x14ac:dyDescent="0.25">
      <c r="A9526" s="189" t="str">
        <f t="shared" si="148"/>
        <v>WA-MD 6611.111.66N</v>
      </c>
      <c r="B9526" s="195" t="s">
        <v>542</v>
      </c>
      <c r="C9526" s="196">
        <v>11.1</v>
      </c>
      <c r="D9526" s="196">
        <v>11.66</v>
      </c>
      <c r="E9526" s="195" t="s">
        <v>583</v>
      </c>
      <c r="F9526" s="195" t="s">
        <v>430</v>
      </c>
    </row>
    <row r="9527" spans="1:6" x14ac:dyDescent="0.25">
      <c r="A9527" s="189" t="str">
        <f t="shared" si="148"/>
        <v>WA-MD 6611.111.66S</v>
      </c>
      <c r="B9527" s="195" t="s">
        <v>542</v>
      </c>
      <c r="C9527" s="196">
        <v>11.1</v>
      </c>
      <c r="D9527" s="196">
        <v>11.66</v>
      </c>
      <c r="E9527" s="195" t="s">
        <v>583</v>
      </c>
      <c r="F9527" s="195" t="s">
        <v>438</v>
      </c>
    </row>
    <row r="9528" spans="1:6" x14ac:dyDescent="0.25">
      <c r="A9528" s="189" t="str">
        <f t="shared" si="148"/>
        <v>WA-MD 6611.6611.75N</v>
      </c>
      <c r="B9528" s="195" t="s">
        <v>542</v>
      </c>
      <c r="C9528" s="196">
        <v>11.66</v>
      </c>
      <c r="D9528" s="196">
        <v>11.75</v>
      </c>
      <c r="E9528" s="195" t="s">
        <v>583</v>
      </c>
      <c r="F9528" s="195" t="s">
        <v>430</v>
      </c>
    </row>
    <row r="9529" spans="1:6" x14ac:dyDescent="0.25">
      <c r="A9529" s="189" t="str">
        <f t="shared" si="148"/>
        <v>WA-MD 6611.6611.75S</v>
      </c>
      <c r="B9529" s="195" t="s">
        <v>542</v>
      </c>
      <c r="C9529" s="196">
        <v>11.66</v>
      </c>
      <c r="D9529" s="196">
        <v>11.75</v>
      </c>
      <c r="E9529" s="195" t="s">
        <v>583</v>
      </c>
      <c r="F9529" s="195" t="s">
        <v>438</v>
      </c>
    </row>
    <row r="9530" spans="1:6" x14ac:dyDescent="0.25">
      <c r="A9530" s="189" t="str">
        <f t="shared" si="148"/>
        <v>WA-MD 6611.7511.79N</v>
      </c>
      <c r="B9530" s="195" t="s">
        <v>542</v>
      </c>
      <c r="C9530" s="196">
        <v>11.75</v>
      </c>
      <c r="D9530" s="196">
        <v>11.79</v>
      </c>
      <c r="E9530" s="195" t="s">
        <v>583</v>
      </c>
      <c r="F9530" s="195" t="s">
        <v>430</v>
      </c>
    </row>
    <row r="9531" spans="1:6" x14ac:dyDescent="0.25">
      <c r="A9531" s="189" t="str">
        <f t="shared" si="148"/>
        <v>WA-MD 6611.7511.79S</v>
      </c>
      <c r="B9531" s="195" t="s">
        <v>542</v>
      </c>
      <c r="C9531" s="196">
        <v>11.75</v>
      </c>
      <c r="D9531" s="196">
        <v>11.79</v>
      </c>
      <c r="E9531" s="195" t="s">
        <v>583</v>
      </c>
      <c r="F9531" s="195" t="s">
        <v>438</v>
      </c>
    </row>
    <row r="9532" spans="1:6" x14ac:dyDescent="0.25">
      <c r="A9532" s="189" t="str">
        <f t="shared" si="148"/>
        <v>WA-MD 6611.7912.84N</v>
      </c>
      <c r="B9532" s="195" t="s">
        <v>542</v>
      </c>
      <c r="C9532" s="196">
        <v>11.79</v>
      </c>
      <c r="D9532" s="196">
        <v>12.84</v>
      </c>
      <c r="E9532" s="195" t="s">
        <v>583</v>
      </c>
      <c r="F9532" s="195" t="s">
        <v>430</v>
      </c>
    </row>
    <row r="9533" spans="1:6" x14ac:dyDescent="0.25">
      <c r="A9533" s="189" t="str">
        <f t="shared" si="148"/>
        <v>WA-MD 6611.7912.84S</v>
      </c>
      <c r="B9533" s="195" t="s">
        <v>542</v>
      </c>
      <c r="C9533" s="196">
        <v>11.79</v>
      </c>
      <c r="D9533" s="196">
        <v>12.84</v>
      </c>
      <c r="E9533" s="195" t="s">
        <v>583</v>
      </c>
      <c r="F9533" s="195" t="s">
        <v>438</v>
      </c>
    </row>
    <row r="9534" spans="1:6" x14ac:dyDescent="0.25">
      <c r="A9534" s="189" t="str">
        <f t="shared" si="148"/>
        <v>WA-MD 6705.1N</v>
      </c>
      <c r="B9534" s="195" t="s">
        <v>4297</v>
      </c>
      <c r="C9534" s="196">
        <v>0</v>
      </c>
      <c r="D9534" s="196">
        <v>5.0999999999999996</v>
      </c>
      <c r="E9534" s="195" t="s">
        <v>583</v>
      </c>
      <c r="F9534" s="195" t="s">
        <v>430</v>
      </c>
    </row>
    <row r="9535" spans="1:6" x14ac:dyDescent="0.25">
      <c r="A9535" s="189" t="str">
        <f t="shared" si="148"/>
        <v>WA-MD 6705.1S</v>
      </c>
      <c r="B9535" s="195" t="s">
        <v>4297</v>
      </c>
      <c r="C9535" s="196">
        <v>0</v>
      </c>
      <c r="D9535" s="196">
        <v>5.0999999999999996</v>
      </c>
      <c r="E9535" s="195" t="s">
        <v>583</v>
      </c>
      <c r="F9535" s="195" t="s">
        <v>438</v>
      </c>
    </row>
    <row r="9536" spans="1:6" x14ac:dyDescent="0.25">
      <c r="A9536" s="189" t="str">
        <f t="shared" si="148"/>
        <v>WA-MD 675.112.2N</v>
      </c>
      <c r="B9536" s="195" t="s">
        <v>4297</v>
      </c>
      <c r="C9536" s="196">
        <v>5.0999999999999996</v>
      </c>
      <c r="D9536" s="196">
        <v>12.2</v>
      </c>
      <c r="E9536" s="195" t="s">
        <v>583</v>
      </c>
      <c r="F9536" s="195" t="s">
        <v>430</v>
      </c>
    </row>
    <row r="9537" spans="1:6" x14ac:dyDescent="0.25">
      <c r="A9537" s="189" t="str">
        <f t="shared" si="148"/>
        <v>WA-MD 675.112.2S</v>
      </c>
      <c r="B9537" s="195" t="s">
        <v>4297</v>
      </c>
      <c r="C9537" s="196">
        <v>5.0999999999999996</v>
      </c>
      <c r="D9537" s="196">
        <v>12.2</v>
      </c>
      <c r="E9537" s="195" t="s">
        <v>583</v>
      </c>
      <c r="F9537" s="195" t="s">
        <v>438</v>
      </c>
    </row>
    <row r="9538" spans="1:6" x14ac:dyDescent="0.25">
      <c r="A9538" s="189" t="str">
        <f t="shared" si="148"/>
        <v>WA-MD 67A00.08E</v>
      </c>
      <c r="B9538" s="195" t="s">
        <v>4298</v>
      </c>
      <c r="C9538" s="196">
        <v>0</v>
      </c>
      <c r="D9538" s="196">
        <v>0.08</v>
      </c>
      <c r="E9538" s="195" t="s">
        <v>598</v>
      </c>
      <c r="F9538" s="195" t="s">
        <v>19</v>
      </c>
    </row>
    <row r="9539" spans="1:6" x14ac:dyDescent="0.25">
      <c r="A9539" s="189" t="str">
        <f t="shared" si="148"/>
        <v>WA-MD 67A00.08W</v>
      </c>
      <c r="B9539" s="195" t="s">
        <v>4298</v>
      </c>
      <c r="C9539" s="196">
        <v>0</v>
      </c>
      <c r="D9539" s="196">
        <v>0.08</v>
      </c>
      <c r="E9539" s="195" t="s">
        <v>593</v>
      </c>
      <c r="F9539" s="195" t="s">
        <v>432</v>
      </c>
    </row>
    <row r="9540" spans="1:6" x14ac:dyDescent="0.25">
      <c r="A9540" s="189" t="str">
        <f t="shared" si="148"/>
        <v>WA-MD 67B00.09N</v>
      </c>
      <c r="B9540" s="195" t="s">
        <v>4299</v>
      </c>
      <c r="C9540" s="196">
        <v>0</v>
      </c>
      <c r="D9540" s="196">
        <v>0.09</v>
      </c>
      <c r="E9540" s="195" t="s">
        <v>589</v>
      </c>
      <c r="F9540" s="195" t="s">
        <v>430</v>
      </c>
    </row>
    <row r="9541" spans="1:6" x14ac:dyDescent="0.25">
      <c r="A9541" s="189" t="str">
        <f t="shared" si="148"/>
        <v>WA-MD 67B00.09S</v>
      </c>
      <c r="B9541" s="195" t="s">
        <v>4299</v>
      </c>
      <c r="C9541" s="196">
        <v>0</v>
      </c>
      <c r="D9541" s="196">
        <v>0.09</v>
      </c>
      <c r="E9541" s="195" t="s">
        <v>595</v>
      </c>
      <c r="F9541" s="195" t="s">
        <v>438</v>
      </c>
    </row>
    <row r="9542" spans="1:6" x14ac:dyDescent="0.25">
      <c r="A9542" s="189" t="str">
        <f t="shared" si="148"/>
        <v>WA-MD 67C00.03E</v>
      </c>
      <c r="B9542" s="195" t="s">
        <v>4300</v>
      </c>
      <c r="C9542" s="196">
        <v>0</v>
      </c>
      <c r="D9542" s="196">
        <v>0.03</v>
      </c>
      <c r="E9542" s="195" t="s">
        <v>598</v>
      </c>
      <c r="F9542" s="195" t="s">
        <v>19</v>
      </c>
    </row>
    <row r="9543" spans="1:6" x14ac:dyDescent="0.25">
      <c r="A9543" s="189" t="str">
        <f t="shared" si="148"/>
        <v>WA-MD 67C00.03W</v>
      </c>
      <c r="B9543" s="195" t="s">
        <v>4300</v>
      </c>
      <c r="C9543" s="196">
        <v>0</v>
      </c>
      <c r="D9543" s="196">
        <v>0.03</v>
      </c>
      <c r="E9543" s="195" t="s">
        <v>593</v>
      </c>
      <c r="F9543" s="195" t="s">
        <v>432</v>
      </c>
    </row>
    <row r="9544" spans="1:6" x14ac:dyDescent="0.25">
      <c r="A9544" s="189" t="str">
        <f t="shared" ref="A9544:A9607" si="149">B9544&amp;C9544&amp;D9544&amp;F9544</f>
        <v>WA-MD 67D00.31E</v>
      </c>
      <c r="B9544" s="195" t="s">
        <v>4301</v>
      </c>
      <c r="C9544" s="196">
        <v>0</v>
      </c>
      <c r="D9544" s="196">
        <v>0.31</v>
      </c>
      <c r="E9544" s="195" t="s">
        <v>598</v>
      </c>
      <c r="F9544" s="195" t="s">
        <v>19</v>
      </c>
    </row>
    <row r="9545" spans="1:6" x14ac:dyDescent="0.25">
      <c r="A9545" s="189" t="str">
        <f t="shared" si="149"/>
        <v>WA-MD 67D00.31W</v>
      </c>
      <c r="B9545" s="195" t="s">
        <v>4301</v>
      </c>
      <c r="C9545" s="196">
        <v>0</v>
      </c>
      <c r="D9545" s="196">
        <v>0.31</v>
      </c>
      <c r="E9545" s="195" t="s">
        <v>593</v>
      </c>
      <c r="F9545" s="195" t="s">
        <v>432</v>
      </c>
    </row>
    <row r="9546" spans="1:6" x14ac:dyDescent="0.25">
      <c r="A9546" s="189" t="str">
        <f t="shared" si="149"/>
        <v>WA-MD 67E00.04E</v>
      </c>
      <c r="B9546" s="195" t="s">
        <v>4302</v>
      </c>
      <c r="C9546" s="196">
        <v>0</v>
      </c>
      <c r="D9546" s="196">
        <v>0.04</v>
      </c>
      <c r="E9546" s="195" t="s">
        <v>598</v>
      </c>
      <c r="F9546" s="195" t="s">
        <v>19</v>
      </c>
    </row>
    <row r="9547" spans="1:6" x14ac:dyDescent="0.25">
      <c r="A9547" s="189" t="str">
        <f t="shared" si="149"/>
        <v>WA-MD 67E00.04W</v>
      </c>
      <c r="B9547" s="195" t="s">
        <v>4302</v>
      </c>
      <c r="C9547" s="196">
        <v>0</v>
      </c>
      <c r="D9547" s="196">
        <v>0.04</v>
      </c>
      <c r="E9547" s="195" t="s">
        <v>593</v>
      </c>
      <c r="F9547" s="195" t="s">
        <v>432</v>
      </c>
    </row>
    <row r="9548" spans="1:6" x14ac:dyDescent="0.25">
      <c r="A9548" s="189" t="str">
        <f t="shared" si="149"/>
        <v>WA-MD 67F00.09E</v>
      </c>
      <c r="B9548" s="195" t="s">
        <v>4303</v>
      </c>
      <c r="C9548" s="196">
        <v>0</v>
      </c>
      <c r="D9548" s="196">
        <v>0.09</v>
      </c>
      <c r="E9548" s="195" t="s">
        <v>598</v>
      </c>
      <c r="F9548" s="195" t="s">
        <v>19</v>
      </c>
    </row>
    <row r="9549" spans="1:6" x14ac:dyDescent="0.25">
      <c r="A9549" s="189" t="str">
        <f t="shared" si="149"/>
        <v>WA-MD 67F00.09W</v>
      </c>
      <c r="B9549" s="195" t="s">
        <v>4303</v>
      </c>
      <c r="C9549" s="196">
        <v>0</v>
      </c>
      <c r="D9549" s="196">
        <v>0.09</v>
      </c>
      <c r="E9549" s="195" t="s">
        <v>593</v>
      </c>
      <c r="F9549" s="195" t="s">
        <v>432</v>
      </c>
    </row>
    <row r="9550" spans="1:6" x14ac:dyDescent="0.25">
      <c r="A9550" s="189" t="str">
        <f t="shared" si="149"/>
        <v>WA-MD 6800.16E</v>
      </c>
      <c r="B9550" s="195" t="s">
        <v>4304</v>
      </c>
      <c r="C9550" s="196">
        <v>0</v>
      </c>
      <c r="D9550" s="196">
        <v>0.16</v>
      </c>
      <c r="E9550" s="195" t="s">
        <v>598</v>
      </c>
      <c r="F9550" s="195" t="s">
        <v>19</v>
      </c>
    </row>
    <row r="9551" spans="1:6" x14ac:dyDescent="0.25">
      <c r="A9551" s="189" t="str">
        <f t="shared" si="149"/>
        <v>WA-MD 6800.47W</v>
      </c>
      <c r="B9551" s="195" t="s">
        <v>4304</v>
      </c>
      <c r="C9551" s="196">
        <v>0</v>
      </c>
      <c r="D9551" s="196">
        <v>0.47</v>
      </c>
      <c r="E9551" s="195" t="s">
        <v>593</v>
      </c>
      <c r="F9551" s="195" t="s">
        <v>432</v>
      </c>
    </row>
    <row r="9552" spans="1:6" x14ac:dyDescent="0.25">
      <c r="A9552" s="189" t="str">
        <f t="shared" si="149"/>
        <v>WA-MD 680.160.47E</v>
      </c>
      <c r="B9552" s="195" t="s">
        <v>4304</v>
      </c>
      <c r="C9552" s="196">
        <v>0.16</v>
      </c>
      <c r="D9552" s="196">
        <v>0.47</v>
      </c>
      <c r="E9552" s="195" t="s">
        <v>598</v>
      </c>
      <c r="F9552" s="195" t="s">
        <v>19</v>
      </c>
    </row>
    <row r="9553" spans="1:6" x14ac:dyDescent="0.25">
      <c r="A9553" s="189" t="str">
        <f t="shared" si="149"/>
        <v>WA-MD 680.476.78E</v>
      </c>
      <c r="B9553" s="195" t="s">
        <v>4304</v>
      </c>
      <c r="C9553" s="196">
        <v>0.47</v>
      </c>
      <c r="D9553" s="196">
        <v>6.78</v>
      </c>
      <c r="E9553" s="195" t="s">
        <v>583</v>
      </c>
      <c r="F9553" s="195" t="s">
        <v>19</v>
      </c>
    </row>
    <row r="9554" spans="1:6" x14ac:dyDescent="0.25">
      <c r="A9554" s="189" t="str">
        <f t="shared" si="149"/>
        <v>WA-MD 680.476.78W</v>
      </c>
      <c r="B9554" s="195" t="s">
        <v>4304</v>
      </c>
      <c r="C9554" s="196">
        <v>0.47</v>
      </c>
      <c r="D9554" s="196">
        <v>6.78</v>
      </c>
      <c r="E9554" s="195" t="s">
        <v>583</v>
      </c>
      <c r="F9554" s="195" t="s">
        <v>432</v>
      </c>
    </row>
    <row r="9555" spans="1:6" x14ac:dyDescent="0.25">
      <c r="A9555" s="189" t="str">
        <f t="shared" si="149"/>
        <v>WA-MD 686.786.94E</v>
      </c>
      <c r="B9555" s="195" t="s">
        <v>4304</v>
      </c>
      <c r="C9555" s="196">
        <v>6.78</v>
      </c>
      <c r="D9555" s="196">
        <v>6.94</v>
      </c>
      <c r="E9555" s="195" t="s">
        <v>583</v>
      </c>
      <c r="F9555" s="195" t="s">
        <v>19</v>
      </c>
    </row>
    <row r="9556" spans="1:6" x14ac:dyDescent="0.25">
      <c r="A9556" s="189" t="str">
        <f t="shared" si="149"/>
        <v>WA-MD 686.786.94W</v>
      </c>
      <c r="B9556" s="195" t="s">
        <v>4304</v>
      </c>
      <c r="C9556" s="196">
        <v>6.78</v>
      </c>
      <c r="D9556" s="196">
        <v>6.94</v>
      </c>
      <c r="E9556" s="195" t="s">
        <v>583</v>
      </c>
      <c r="F9556" s="195" t="s">
        <v>432</v>
      </c>
    </row>
    <row r="9557" spans="1:6" x14ac:dyDescent="0.25">
      <c r="A9557" s="189" t="str">
        <f t="shared" si="149"/>
        <v>WA-MD 686.947.13E</v>
      </c>
      <c r="B9557" s="195" t="s">
        <v>4304</v>
      </c>
      <c r="C9557" s="196">
        <v>6.94</v>
      </c>
      <c r="D9557" s="196">
        <v>7.13</v>
      </c>
      <c r="E9557" s="195" t="s">
        <v>583</v>
      </c>
      <c r="F9557" s="195" t="s">
        <v>19</v>
      </c>
    </row>
    <row r="9558" spans="1:6" x14ac:dyDescent="0.25">
      <c r="A9558" s="189" t="str">
        <f t="shared" si="149"/>
        <v>WA-MD 686.947.13W</v>
      </c>
      <c r="B9558" s="195" t="s">
        <v>4304</v>
      </c>
      <c r="C9558" s="196">
        <v>6.94</v>
      </c>
      <c r="D9558" s="196">
        <v>7.13</v>
      </c>
      <c r="E9558" s="195" t="s">
        <v>583</v>
      </c>
      <c r="F9558" s="195" t="s">
        <v>432</v>
      </c>
    </row>
    <row r="9559" spans="1:6" x14ac:dyDescent="0.25">
      <c r="A9559" s="189" t="str">
        <f t="shared" si="149"/>
        <v>WA-MD 687.138.12E</v>
      </c>
      <c r="B9559" s="195" t="s">
        <v>4304</v>
      </c>
      <c r="C9559" s="196">
        <v>7.13</v>
      </c>
      <c r="D9559" s="196">
        <v>8.1199999999999992</v>
      </c>
      <c r="E9559" s="195" t="s">
        <v>583</v>
      </c>
      <c r="F9559" s="195" t="s">
        <v>19</v>
      </c>
    </row>
    <row r="9560" spans="1:6" x14ac:dyDescent="0.25">
      <c r="A9560" s="189" t="str">
        <f t="shared" si="149"/>
        <v>WA-MD 687.138.12W</v>
      </c>
      <c r="B9560" s="195" t="s">
        <v>4304</v>
      </c>
      <c r="C9560" s="196">
        <v>7.13</v>
      </c>
      <c r="D9560" s="196">
        <v>8.1199999999999992</v>
      </c>
      <c r="E9560" s="195" t="s">
        <v>583</v>
      </c>
      <c r="F9560" s="195" t="s">
        <v>432</v>
      </c>
    </row>
    <row r="9561" spans="1:6" x14ac:dyDescent="0.25">
      <c r="A9561" s="189" t="str">
        <f t="shared" si="149"/>
        <v>WA-MD 688.2910.48E</v>
      </c>
      <c r="B9561" s="195" t="s">
        <v>4304</v>
      </c>
      <c r="C9561" s="196">
        <v>8.2899999999999991</v>
      </c>
      <c r="D9561" s="196">
        <v>10.48</v>
      </c>
      <c r="E9561" s="195" t="s">
        <v>583</v>
      </c>
      <c r="F9561" s="195" t="s">
        <v>19</v>
      </c>
    </row>
    <row r="9562" spans="1:6" x14ac:dyDescent="0.25">
      <c r="A9562" s="189" t="str">
        <f t="shared" si="149"/>
        <v>WA-MD 688.2910.48W</v>
      </c>
      <c r="B9562" s="195" t="s">
        <v>4304</v>
      </c>
      <c r="C9562" s="196">
        <v>8.2899999999999991</v>
      </c>
      <c r="D9562" s="196">
        <v>10.48</v>
      </c>
      <c r="E9562" s="195" t="s">
        <v>583</v>
      </c>
      <c r="F9562" s="195" t="s">
        <v>432</v>
      </c>
    </row>
    <row r="9563" spans="1:6" x14ac:dyDescent="0.25">
      <c r="A9563" s="189" t="str">
        <f t="shared" si="149"/>
        <v>WA-MD 6810.4812.1E</v>
      </c>
      <c r="B9563" s="195" t="s">
        <v>4304</v>
      </c>
      <c r="C9563" s="196">
        <v>10.48</v>
      </c>
      <c r="D9563" s="196">
        <v>12.1</v>
      </c>
      <c r="E9563" s="195" t="s">
        <v>583</v>
      </c>
      <c r="F9563" s="195" t="s">
        <v>19</v>
      </c>
    </row>
    <row r="9564" spans="1:6" x14ac:dyDescent="0.25">
      <c r="A9564" s="189" t="str">
        <f t="shared" si="149"/>
        <v>WA-MD 6810.4812.1W</v>
      </c>
      <c r="B9564" s="195" t="s">
        <v>4304</v>
      </c>
      <c r="C9564" s="196">
        <v>10.48</v>
      </c>
      <c r="D9564" s="196">
        <v>12.1</v>
      </c>
      <c r="E9564" s="195" t="s">
        <v>583</v>
      </c>
      <c r="F9564" s="195" t="s">
        <v>432</v>
      </c>
    </row>
    <row r="9565" spans="1:6" x14ac:dyDescent="0.25">
      <c r="A9565" s="189" t="str">
        <f t="shared" si="149"/>
        <v>WA-MD 6812.112.2E</v>
      </c>
      <c r="B9565" s="195" t="s">
        <v>4304</v>
      </c>
      <c r="C9565" s="196">
        <v>12.1</v>
      </c>
      <c r="D9565" s="196">
        <v>12.2</v>
      </c>
      <c r="E9565" s="195" t="s">
        <v>583</v>
      </c>
      <c r="F9565" s="195" t="s">
        <v>19</v>
      </c>
    </row>
    <row r="9566" spans="1:6" x14ac:dyDescent="0.25">
      <c r="A9566" s="189" t="str">
        <f t="shared" si="149"/>
        <v>WA-MD 6812.112.2W</v>
      </c>
      <c r="B9566" s="195" t="s">
        <v>4304</v>
      </c>
      <c r="C9566" s="196">
        <v>12.1</v>
      </c>
      <c r="D9566" s="196">
        <v>12.2</v>
      </c>
      <c r="E9566" s="195" t="s">
        <v>583</v>
      </c>
      <c r="F9566" s="195" t="s">
        <v>432</v>
      </c>
    </row>
    <row r="9567" spans="1:6" x14ac:dyDescent="0.25">
      <c r="A9567" s="189" t="str">
        <f t="shared" si="149"/>
        <v>WA-MD 6812.213.35E</v>
      </c>
      <c r="B9567" s="195" t="s">
        <v>4304</v>
      </c>
      <c r="C9567" s="196">
        <v>12.2</v>
      </c>
      <c r="D9567" s="196">
        <v>13.35</v>
      </c>
      <c r="E9567" s="195" t="s">
        <v>583</v>
      </c>
      <c r="F9567" s="195" t="s">
        <v>19</v>
      </c>
    </row>
    <row r="9568" spans="1:6" x14ac:dyDescent="0.25">
      <c r="A9568" s="189" t="str">
        <f t="shared" si="149"/>
        <v>WA-MD 6812.213.35W</v>
      </c>
      <c r="B9568" s="195" t="s">
        <v>4304</v>
      </c>
      <c r="C9568" s="196">
        <v>12.2</v>
      </c>
      <c r="D9568" s="196">
        <v>13.35</v>
      </c>
      <c r="E9568" s="195" t="s">
        <v>583</v>
      </c>
      <c r="F9568" s="195" t="s">
        <v>432</v>
      </c>
    </row>
    <row r="9569" spans="1:6" x14ac:dyDescent="0.25">
      <c r="A9569" s="189" t="str">
        <f t="shared" si="149"/>
        <v>WA-MD 6813.3514.46E</v>
      </c>
      <c r="B9569" s="195" t="s">
        <v>4304</v>
      </c>
      <c r="C9569" s="196">
        <v>13.35</v>
      </c>
      <c r="D9569" s="196">
        <v>14.46</v>
      </c>
      <c r="E9569" s="195" t="s">
        <v>583</v>
      </c>
      <c r="F9569" s="195" t="s">
        <v>19</v>
      </c>
    </row>
    <row r="9570" spans="1:6" x14ac:dyDescent="0.25">
      <c r="A9570" s="189" t="str">
        <f t="shared" si="149"/>
        <v>WA-MD 6813.3514.46W</v>
      </c>
      <c r="B9570" s="195" t="s">
        <v>4304</v>
      </c>
      <c r="C9570" s="196">
        <v>13.35</v>
      </c>
      <c r="D9570" s="196">
        <v>14.46</v>
      </c>
      <c r="E9570" s="195" t="s">
        <v>583</v>
      </c>
      <c r="F9570" s="195" t="s">
        <v>432</v>
      </c>
    </row>
    <row r="9571" spans="1:6" x14ac:dyDescent="0.25">
      <c r="A9571" s="189" t="str">
        <f t="shared" si="149"/>
        <v>WA-MD 6814.4615.05E</v>
      </c>
      <c r="B9571" s="195" t="s">
        <v>4304</v>
      </c>
      <c r="C9571" s="196">
        <v>14.46</v>
      </c>
      <c r="D9571" s="196">
        <v>15.05</v>
      </c>
      <c r="E9571" s="195" t="s">
        <v>583</v>
      </c>
      <c r="F9571" s="195" t="s">
        <v>19</v>
      </c>
    </row>
    <row r="9572" spans="1:6" x14ac:dyDescent="0.25">
      <c r="A9572" s="189" t="str">
        <f t="shared" si="149"/>
        <v>WA-MD 6814.4615.05W</v>
      </c>
      <c r="B9572" s="195" t="s">
        <v>4304</v>
      </c>
      <c r="C9572" s="196">
        <v>14.46</v>
      </c>
      <c r="D9572" s="196">
        <v>15.05</v>
      </c>
      <c r="E9572" s="195" t="s">
        <v>583</v>
      </c>
      <c r="F9572" s="195" t="s">
        <v>432</v>
      </c>
    </row>
    <row r="9573" spans="1:6" x14ac:dyDescent="0.25">
      <c r="A9573" s="189" t="str">
        <f t="shared" si="149"/>
        <v>WA-MD 6815.0515.25E</v>
      </c>
      <c r="B9573" s="195" t="s">
        <v>4304</v>
      </c>
      <c r="C9573" s="196">
        <v>15.05</v>
      </c>
      <c r="D9573" s="196">
        <v>15.25</v>
      </c>
      <c r="E9573" s="195" t="s">
        <v>583</v>
      </c>
      <c r="F9573" s="195" t="s">
        <v>19</v>
      </c>
    </row>
    <row r="9574" spans="1:6" x14ac:dyDescent="0.25">
      <c r="A9574" s="189" t="str">
        <f t="shared" si="149"/>
        <v>WA-MD 6815.0515.25W</v>
      </c>
      <c r="B9574" s="195" t="s">
        <v>4304</v>
      </c>
      <c r="C9574" s="196">
        <v>15.05</v>
      </c>
      <c r="D9574" s="196">
        <v>15.25</v>
      </c>
      <c r="E9574" s="195" t="s">
        <v>583</v>
      </c>
      <c r="F9574" s="195" t="s">
        <v>432</v>
      </c>
    </row>
    <row r="9575" spans="1:6" x14ac:dyDescent="0.25">
      <c r="A9575" s="189" t="str">
        <f t="shared" si="149"/>
        <v>WA-MD 6815.2516.55E</v>
      </c>
      <c r="B9575" s="195" t="s">
        <v>4304</v>
      </c>
      <c r="C9575" s="196">
        <v>15.25</v>
      </c>
      <c r="D9575" s="196">
        <v>16.55</v>
      </c>
      <c r="E9575" s="195" t="s">
        <v>583</v>
      </c>
      <c r="F9575" s="195" t="s">
        <v>19</v>
      </c>
    </row>
    <row r="9576" spans="1:6" x14ac:dyDescent="0.25">
      <c r="A9576" s="189" t="str">
        <f t="shared" si="149"/>
        <v>WA-MD 6815.2516.55W</v>
      </c>
      <c r="B9576" s="195" t="s">
        <v>4304</v>
      </c>
      <c r="C9576" s="196">
        <v>15.25</v>
      </c>
      <c r="D9576" s="196">
        <v>16.55</v>
      </c>
      <c r="E9576" s="195" t="s">
        <v>583</v>
      </c>
      <c r="F9576" s="195" t="s">
        <v>432</v>
      </c>
    </row>
    <row r="9577" spans="1:6" x14ac:dyDescent="0.25">
      <c r="A9577" s="189" t="str">
        <f t="shared" si="149"/>
        <v>WA-MD 6816.5518.5E</v>
      </c>
      <c r="B9577" s="195" t="s">
        <v>4304</v>
      </c>
      <c r="C9577" s="196">
        <v>16.55</v>
      </c>
      <c r="D9577" s="196">
        <v>18.5</v>
      </c>
      <c r="E9577" s="195" t="s">
        <v>583</v>
      </c>
      <c r="F9577" s="195" t="s">
        <v>19</v>
      </c>
    </row>
    <row r="9578" spans="1:6" x14ac:dyDescent="0.25">
      <c r="A9578" s="189" t="str">
        <f t="shared" si="149"/>
        <v>WA-MD 6816.5518.5W</v>
      </c>
      <c r="B9578" s="195" t="s">
        <v>4304</v>
      </c>
      <c r="C9578" s="196">
        <v>16.55</v>
      </c>
      <c r="D9578" s="196">
        <v>18.5</v>
      </c>
      <c r="E9578" s="195" t="s">
        <v>583</v>
      </c>
      <c r="F9578" s="195" t="s">
        <v>432</v>
      </c>
    </row>
    <row r="9579" spans="1:6" x14ac:dyDescent="0.25">
      <c r="A9579" s="189" t="str">
        <f t="shared" si="149"/>
        <v>WA-MD 73500.06E</v>
      </c>
      <c r="B9579" s="195" t="s">
        <v>4305</v>
      </c>
      <c r="C9579" s="196">
        <v>0</v>
      </c>
      <c r="D9579" s="196">
        <v>0.06</v>
      </c>
      <c r="E9579" s="195" t="s">
        <v>598</v>
      </c>
      <c r="F9579" s="195" t="s">
        <v>19</v>
      </c>
    </row>
    <row r="9580" spans="1:6" x14ac:dyDescent="0.25">
      <c r="A9580" s="189" t="str">
        <f t="shared" si="149"/>
        <v>WA-MD 73500.06W</v>
      </c>
      <c r="B9580" s="195" t="s">
        <v>4305</v>
      </c>
      <c r="C9580" s="196">
        <v>0</v>
      </c>
      <c r="D9580" s="196">
        <v>0.06</v>
      </c>
      <c r="E9580" s="195" t="s">
        <v>593</v>
      </c>
      <c r="F9580" s="195" t="s">
        <v>432</v>
      </c>
    </row>
    <row r="9581" spans="1:6" x14ac:dyDescent="0.25">
      <c r="A9581" s="189" t="str">
        <f t="shared" si="149"/>
        <v>WA-MD 74100.06N</v>
      </c>
      <c r="B9581" s="195" t="s">
        <v>4306</v>
      </c>
      <c r="C9581" s="196">
        <v>0</v>
      </c>
      <c r="D9581" s="196">
        <v>0.06</v>
      </c>
      <c r="E9581" s="195" t="s">
        <v>589</v>
      </c>
      <c r="F9581" s="195" t="s">
        <v>430</v>
      </c>
    </row>
    <row r="9582" spans="1:6" x14ac:dyDescent="0.25">
      <c r="A9582" s="189" t="str">
        <f t="shared" si="149"/>
        <v>WA-MD 74100.06S</v>
      </c>
      <c r="B9582" s="195" t="s">
        <v>4306</v>
      </c>
      <c r="C9582" s="196">
        <v>0</v>
      </c>
      <c r="D9582" s="196">
        <v>0.06</v>
      </c>
      <c r="E9582" s="195" t="s">
        <v>595</v>
      </c>
      <c r="F9582" s="195" t="s">
        <v>438</v>
      </c>
    </row>
    <row r="9583" spans="1:6" x14ac:dyDescent="0.25">
      <c r="A9583" s="189" t="str">
        <f t="shared" si="149"/>
        <v>WA-MD 7703.02E</v>
      </c>
      <c r="B9583" s="195" t="s">
        <v>4307</v>
      </c>
      <c r="C9583" s="196">
        <v>0</v>
      </c>
      <c r="D9583" s="196">
        <v>3.02</v>
      </c>
      <c r="E9583" s="195" t="s">
        <v>583</v>
      </c>
      <c r="F9583" s="195" t="s">
        <v>19</v>
      </c>
    </row>
    <row r="9584" spans="1:6" x14ac:dyDescent="0.25">
      <c r="A9584" s="189" t="str">
        <f t="shared" si="149"/>
        <v>WA-MD 7703.02W</v>
      </c>
      <c r="B9584" s="195" t="s">
        <v>4307</v>
      </c>
      <c r="C9584" s="196">
        <v>0</v>
      </c>
      <c r="D9584" s="196">
        <v>3.02</v>
      </c>
      <c r="E9584" s="195" t="s">
        <v>583</v>
      </c>
      <c r="F9584" s="195" t="s">
        <v>432</v>
      </c>
    </row>
    <row r="9585" spans="1:6" x14ac:dyDescent="0.25">
      <c r="A9585" s="189" t="str">
        <f t="shared" si="149"/>
        <v>WA-MD 804B00.79E</v>
      </c>
      <c r="B9585" s="195" t="s">
        <v>4308</v>
      </c>
      <c r="C9585" s="196">
        <v>0</v>
      </c>
      <c r="D9585" s="196">
        <v>0.79</v>
      </c>
      <c r="E9585" s="195" t="s">
        <v>598</v>
      </c>
      <c r="F9585" s="195" t="s">
        <v>19</v>
      </c>
    </row>
    <row r="9586" spans="1:6" x14ac:dyDescent="0.25">
      <c r="A9586" s="189" t="str">
        <f t="shared" si="149"/>
        <v>WA-MD 804B00.79W</v>
      </c>
      <c r="B9586" s="195" t="s">
        <v>4308</v>
      </c>
      <c r="C9586" s="196">
        <v>0</v>
      </c>
      <c r="D9586" s="196">
        <v>0.79</v>
      </c>
      <c r="E9586" s="195" t="s">
        <v>593</v>
      </c>
      <c r="F9586" s="195" t="s">
        <v>432</v>
      </c>
    </row>
    <row r="9587" spans="1:6" x14ac:dyDescent="0.25">
      <c r="A9587" s="189" t="str">
        <f t="shared" si="149"/>
        <v>WA-MD 805B00.15N</v>
      </c>
      <c r="B9587" s="195" t="s">
        <v>4309</v>
      </c>
      <c r="C9587" s="196">
        <v>0</v>
      </c>
      <c r="D9587" s="196">
        <v>0.15</v>
      </c>
      <c r="E9587" s="195" t="s">
        <v>589</v>
      </c>
      <c r="F9587" s="195" t="s">
        <v>430</v>
      </c>
    </row>
    <row r="9588" spans="1:6" x14ac:dyDescent="0.25">
      <c r="A9588" s="189" t="str">
        <f t="shared" si="149"/>
        <v>WA-MD 805B00.15S</v>
      </c>
      <c r="B9588" s="195" t="s">
        <v>4309</v>
      </c>
      <c r="C9588" s="196">
        <v>0</v>
      </c>
      <c r="D9588" s="196">
        <v>0.15</v>
      </c>
      <c r="E9588" s="195" t="s">
        <v>595</v>
      </c>
      <c r="F9588" s="195" t="s">
        <v>438</v>
      </c>
    </row>
    <row r="9589" spans="1:6" x14ac:dyDescent="0.25">
      <c r="A9589" s="189" t="str">
        <f t="shared" si="149"/>
        <v>WA-MD 843B00.12N</v>
      </c>
      <c r="B9589" s="195" t="s">
        <v>4310</v>
      </c>
      <c r="C9589" s="196">
        <v>0</v>
      </c>
      <c r="D9589" s="196">
        <v>0.12</v>
      </c>
      <c r="E9589" s="195" t="s">
        <v>589</v>
      </c>
      <c r="F9589" s="195" t="s">
        <v>430</v>
      </c>
    </row>
    <row r="9590" spans="1:6" x14ac:dyDescent="0.25">
      <c r="A9590" s="189" t="str">
        <f t="shared" si="149"/>
        <v>WA-MD 843B00.12S</v>
      </c>
      <c r="B9590" s="195" t="s">
        <v>4310</v>
      </c>
      <c r="C9590" s="196">
        <v>0</v>
      </c>
      <c r="D9590" s="196">
        <v>0.12</v>
      </c>
      <c r="E9590" s="195" t="s">
        <v>595</v>
      </c>
      <c r="F9590" s="195" t="s">
        <v>438</v>
      </c>
    </row>
    <row r="9591" spans="1:6" x14ac:dyDescent="0.25">
      <c r="A9591" s="189" t="str">
        <f t="shared" si="149"/>
        <v>WA-MD 843D00.16N</v>
      </c>
      <c r="B9591" s="195" t="s">
        <v>4311</v>
      </c>
      <c r="C9591" s="196">
        <v>0</v>
      </c>
      <c r="D9591" s="196">
        <v>0.16</v>
      </c>
      <c r="E9591" s="195" t="s">
        <v>589</v>
      </c>
      <c r="F9591" s="195" t="s">
        <v>430</v>
      </c>
    </row>
    <row r="9592" spans="1:6" x14ac:dyDescent="0.25">
      <c r="A9592" s="189" t="str">
        <f t="shared" si="149"/>
        <v>WA-MD 843D00.16S</v>
      </c>
      <c r="B9592" s="195" t="s">
        <v>4311</v>
      </c>
      <c r="C9592" s="196">
        <v>0</v>
      </c>
      <c r="D9592" s="196">
        <v>0.16</v>
      </c>
      <c r="E9592" s="195" t="s">
        <v>595</v>
      </c>
      <c r="F9592" s="195" t="s">
        <v>438</v>
      </c>
    </row>
    <row r="9593" spans="1:6" x14ac:dyDescent="0.25">
      <c r="A9593" s="189" t="str">
        <f t="shared" si="149"/>
        <v>WA-MD 843F00.06N</v>
      </c>
      <c r="B9593" s="195" t="s">
        <v>4312</v>
      </c>
      <c r="C9593" s="196">
        <v>0</v>
      </c>
      <c r="D9593" s="196">
        <v>0.06</v>
      </c>
      <c r="E9593" s="195" t="s">
        <v>589</v>
      </c>
      <c r="F9593" s="195" t="s">
        <v>430</v>
      </c>
    </row>
    <row r="9594" spans="1:6" x14ac:dyDescent="0.25">
      <c r="A9594" s="189" t="str">
        <f t="shared" si="149"/>
        <v>WA-MD 843F00.06S</v>
      </c>
      <c r="B9594" s="195" t="s">
        <v>4312</v>
      </c>
      <c r="C9594" s="196">
        <v>0</v>
      </c>
      <c r="D9594" s="196">
        <v>0.06</v>
      </c>
      <c r="E9594" s="195" t="s">
        <v>595</v>
      </c>
      <c r="F9594" s="195" t="s">
        <v>438</v>
      </c>
    </row>
    <row r="9595" spans="1:6" x14ac:dyDescent="0.25">
      <c r="A9595" s="189" t="str">
        <f t="shared" si="149"/>
        <v>WA-MD 843I00.04E</v>
      </c>
      <c r="B9595" s="195" t="s">
        <v>4313</v>
      </c>
      <c r="C9595" s="196">
        <v>0</v>
      </c>
      <c r="D9595" s="196">
        <v>0.04</v>
      </c>
      <c r="E9595" s="195" t="s">
        <v>598</v>
      </c>
      <c r="F9595" s="195" t="s">
        <v>19</v>
      </c>
    </row>
    <row r="9596" spans="1:6" x14ac:dyDescent="0.25">
      <c r="A9596" s="189" t="str">
        <f t="shared" si="149"/>
        <v>WA-MD 843I00.04W</v>
      </c>
      <c r="B9596" s="195" t="s">
        <v>4313</v>
      </c>
      <c r="C9596" s="196">
        <v>0</v>
      </c>
      <c r="D9596" s="196">
        <v>0.04</v>
      </c>
      <c r="E9596" s="195" t="s">
        <v>593</v>
      </c>
      <c r="F9596" s="195" t="s">
        <v>432</v>
      </c>
    </row>
    <row r="9597" spans="1:6" x14ac:dyDescent="0.25">
      <c r="A9597" s="189" t="str">
        <f t="shared" si="149"/>
        <v>WA-MD 84400.22E</v>
      </c>
      <c r="B9597" s="195" t="s">
        <v>4314</v>
      </c>
      <c r="C9597" s="196">
        <v>0</v>
      </c>
      <c r="D9597" s="196">
        <v>0.22</v>
      </c>
      <c r="E9597" s="195" t="s">
        <v>598</v>
      </c>
      <c r="F9597" s="195" t="s">
        <v>19</v>
      </c>
    </row>
    <row r="9598" spans="1:6" x14ac:dyDescent="0.25">
      <c r="A9598" s="189" t="str">
        <f t="shared" si="149"/>
        <v>WA-MD 84400.22W</v>
      </c>
      <c r="B9598" s="195" t="s">
        <v>4314</v>
      </c>
      <c r="C9598" s="196">
        <v>0</v>
      </c>
      <c r="D9598" s="196">
        <v>0.22</v>
      </c>
      <c r="E9598" s="195" t="s">
        <v>593</v>
      </c>
      <c r="F9598" s="195" t="s">
        <v>432</v>
      </c>
    </row>
    <row r="9599" spans="1:6" x14ac:dyDescent="0.25">
      <c r="A9599" s="189" t="str">
        <f t="shared" si="149"/>
        <v>WA-MD 8440.220.29E</v>
      </c>
      <c r="B9599" s="195" t="s">
        <v>4314</v>
      </c>
      <c r="C9599" s="196">
        <v>0.22</v>
      </c>
      <c r="D9599" s="196">
        <v>0.28999999999999998</v>
      </c>
      <c r="E9599" s="195" t="s">
        <v>598</v>
      </c>
      <c r="F9599" s="195" t="s">
        <v>19</v>
      </c>
    </row>
    <row r="9600" spans="1:6" x14ac:dyDescent="0.25">
      <c r="A9600" s="189" t="str">
        <f t="shared" si="149"/>
        <v>WA-MD 8440.220.29W</v>
      </c>
      <c r="B9600" s="195" t="s">
        <v>4314</v>
      </c>
      <c r="C9600" s="196">
        <v>0.22</v>
      </c>
      <c r="D9600" s="196">
        <v>0.28999999999999998</v>
      </c>
      <c r="E9600" s="195" t="s">
        <v>593</v>
      </c>
      <c r="F9600" s="195" t="s">
        <v>432</v>
      </c>
    </row>
    <row r="9601" spans="1:6" x14ac:dyDescent="0.25">
      <c r="A9601" s="189" t="str">
        <f t="shared" si="149"/>
        <v>WA-MD 845A00.06N</v>
      </c>
      <c r="B9601" s="195" t="s">
        <v>4315</v>
      </c>
      <c r="C9601" s="196">
        <v>0</v>
      </c>
      <c r="D9601" s="196">
        <v>0.06</v>
      </c>
      <c r="E9601" s="195" t="s">
        <v>583</v>
      </c>
      <c r="F9601" s="195" t="s">
        <v>430</v>
      </c>
    </row>
    <row r="9602" spans="1:6" x14ac:dyDescent="0.25">
      <c r="A9602" s="189" t="str">
        <f t="shared" si="149"/>
        <v>WA-MD 845A00.06S</v>
      </c>
      <c r="B9602" s="195" t="s">
        <v>4315</v>
      </c>
      <c r="C9602" s="196">
        <v>0</v>
      </c>
      <c r="D9602" s="196">
        <v>0.06</v>
      </c>
      <c r="E9602" s="195" t="s">
        <v>583</v>
      </c>
      <c r="F9602" s="195" t="s">
        <v>438</v>
      </c>
    </row>
    <row r="9603" spans="1:6" x14ac:dyDescent="0.25">
      <c r="A9603" s="189" t="str">
        <f t="shared" si="149"/>
        <v>WA-MD 845A0.061.15N</v>
      </c>
      <c r="B9603" s="195" t="s">
        <v>4315</v>
      </c>
      <c r="C9603" s="196">
        <v>0.06</v>
      </c>
      <c r="D9603" s="196">
        <v>1.1499999999999999</v>
      </c>
      <c r="E9603" s="195" t="s">
        <v>583</v>
      </c>
      <c r="F9603" s="195" t="s">
        <v>430</v>
      </c>
    </row>
    <row r="9604" spans="1:6" x14ac:dyDescent="0.25">
      <c r="A9604" s="189" t="str">
        <f t="shared" si="149"/>
        <v>WA-MD 845A0.061.15S</v>
      </c>
      <c r="B9604" s="195" t="s">
        <v>4315</v>
      </c>
      <c r="C9604" s="196">
        <v>0.06</v>
      </c>
      <c r="D9604" s="196">
        <v>1.1499999999999999</v>
      </c>
      <c r="E9604" s="195" t="s">
        <v>583</v>
      </c>
      <c r="F9604" s="195" t="s">
        <v>438</v>
      </c>
    </row>
    <row r="9605" spans="1:6" x14ac:dyDescent="0.25">
      <c r="A9605" s="189" t="str">
        <f t="shared" si="149"/>
        <v>WA-MD 845A1.151.23N</v>
      </c>
      <c r="B9605" s="195" t="s">
        <v>4315</v>
      </c>
      <c r="C9605" s="196">
        <v>1.1499999999999999</v>
      </c>
      <c r="D9605" s="196">
        <v>1.23</v>
      </c>
      <c r="E9605" s="195" t="s">
        <v>583</v>
      </c>
      <c r="F9605" s="195" t="s">
        <v>430</v>
      </c>
    </row>
    <row r="9606" spans="1:6" x14ac:dyDescent="0.25">
      <c r="A9606" s="189" t="str">
        <f t="shared" si="149"/>
        <v>WA-MD 845A1.151.23S</v>
      </c>
      <c r="B9606" s="195" t="s">
        <v>4315</v>
      </c>
      <c r="C9606" s="196">
        <v>1.1499999999999999</v>
      </c>
      <c r="D9606" s="196">
        <v>1.23</v>
      </c>
      <c r="E9606" s="195" t="s">
        <v>583</v>
      </c>
      <c r="F9606" s="195" t="s">
        <v>438</v>
      </c>
    </row>
    <row r="9607" spans="1:6" x14ac:dyDescent="0.25">
      <c r="A9607" s="189" t="str">
        <f t="shared" si="149"/>
        <v>WA-MD 846B00.1E</v>
      </c>
      <c r="B9607" s="195" t="s">
        <v>4316</v>
      </c>
      <c r="C9607" s="196">
        <v>0</v>
      </c>
      <c r="D9607" s="196">
        <v>0.1</v>
      </c>
      <c r="E9607" s="195" t="s">
        <v>598</v>
      </c>
      <c r="F9607" s="195" t="s">
        <v>19</v>
      </c>
    </row>
    <row r="9608" spans="1:6" x14ac:dyDescent="0.25">
      <c r="A9608" s="189" t="str">
        <f t="shared" ref="A9608:A9671" si="150">B9608&amp;C9608&amp;D9608&amp;F9608</f>
        <v>WA-MD 846B00.1W</v>
      </c>
      <c r="B9608" s="195" t="s">
        <v>4316</v>
      </c>
      <c r="C9608" s="196">
        <v>0</v>
      </c>
      <c r="D9608" s="196">
        <v>0.1</v>
      </c>
      <c r="E9608" s="195" t="s">
        <v>593</v>
      </c>
      <c r="F9608" s="195" t="s">
        <v>432</v>
      </c>
    </row>
    <row r="9609" spans="1:6" x14ac:dyDescent="0.25">
      <c r="A9609" s="189" t="str">
        <f t="shared" si="150"/>
        <v>WA-MD 846D00.04N</v>
      </c>
      <c r="B9609" s="195" t="s">
        <v>4317</v>
      </c>
      <c r="C9609" s="196">
        <v>0</v>
      </c>
      <c r="D9609" s="196">
        <v>0.04</v>
      </c>
      <c r="E9609" s="195" t="s">
        <v>589</v>
      </c>
      <c r="F9609" s="195" t="s">
        <v>430</v>
      </c>
    </row>
    <row r="9610" spans="1:6" x14ac:dyDescent="0.25">
      <c r="A9610" s="189" t="str">
        <f t="shared" si="150"/>
        <v>WA-MD 846D00.04S</v>
      </c>
      <c r="B9610" s="195" t="s">
        <v>4317</v>
      </c>
      <c r="C9610" s="196">
        <v>0</v>
      </c>
      <c r="D9610" s="196">
        <v>0.04</v>
      </c>
      <c r="E9610" s="195" t="s">
        <v>595</v>
      </c>
      <c r="F9610" s="195" t="s">
        <v>438</v>
      </c>
    </row>
    <row r="9611" spans="1:6" x14ac:dyDescent="0.25">
      <c r="A9611" s="189" t="str">
        <f t="shared" si="150"/>
        <v>WA-MD 847D00.14N</v>
      </c>
      <c r="B9611" s="195" t="s">
        <v>4318</v>
      </c>
      <c r="C9611" s="196">
        <v>0</v>
      </c>
      <c r="D9611" s="196">
        <v>0.14000000000000001</v>
      </c>
      <c r="E9611" s="195" t="s">
        <v>589</v>
      </c>
      <c r="F9611" s="195" t="s">
        <v>430</v>
      </c>
    </row>
    <row r="9612" spans="1:6" x14ac:dyDescent="0.25">
      <c r="A9612" s="189" t="str">
        <f t="shared" si="150"/>
        <v>WA-MD 847D00.14S</v>
      </c>
      <c r="B9612" s="195" t="s">
        <v>4318</v>
      </c>
      <c r="C9612" s="196">
        <v>0</v>
      </c>
      <c r="D9612" s="196">
        <v>0.14000000000000001</v>
      </c>
      <c r="E9612" s="195" t="s">
        <v>595</v>
      </c>
      <c r="F9612" s="195" t="s">
        <v>438</v>
      </c>
    </row>
    <row r="9613" spans="1:6" x14ac:dyDescent="0.25">
      <c r="A9613" s="189" t="str">
        <f t="shared" si="150"/>
        <v>WA-MD 858A00.02N</v>
      </c>
      <c r="B9613" s="195" t="s">
        <v>4319</v>
      </c>
      <c r="C9613" s="196">
        <v>0</v>
      </c>
      <c r="D9613" s="196">
        <v>0.02</v>
      </c>
      <c r="E9613" s="195" t="s">
        <v>589</v>
      </c>
      <c r="F9613" s="195" t="s">
        <v>430</v>
      </c>
    </row>
    <row r="9614" spans="1:6" x14ac:dyDescent="0.25">
      <c r="A9614" s="189" t="str">
        <f t="shared" si="150"/>
        <v>WA-MD 858A00.02S</v>
      </c>
      <c r="B9614" s="195" t="s">
        <v>4319</v>
      </c>
      <c r="C9614" s="196">
        <v>0</v>
      </c>
      <c r="D9614" s="196">
        <v>0.02</v>
      </c>
      <c r="E9614" s="195" t="s">
        <v>595</v>
      </c>
      <c r="F9614" s="195" t="s">
        <v>438</v>
      </c>
    </row>
    <row r="9615" spans="1:6" x14ac:dyDescent="0.25">
      <c r="A9615" s="189" t="str">
        <f t="shared" si="150"/>
        <v>WA-MD 858E00.29N</v>
      </c>
      <c r="B9615" s="195" t="s">
        <v>4320</v>
      </c>
      <c r="C9615" s="196">
        <v>0</v>
      </c>
      <c r="D9615" s="196">
        <v>0.28999999999999998</v>
      </c>
      <c r="E9615" s="195" t="s">
        <v>589</v>
      </c>
      <c r="F9615" s="195" t="s">
        <v>430</v>
      </c>
    </row>
    <row r="9616" spans="1:6" x14ac:dyDescent="0.25">
      <c r="A9616" s="189" t="str">
        <f t="shared" si="150"/>
        <v>WA-MD 858E00.29S</v>
      </c>
      <c r="B9616" s="195" t="s">
        <v>4320</v>
      </c>
      <c r="C9616" s="196">
        <v>0</v>
      </c>
      <c r="D9616" s="196">
        <v>0.28999999999999998</v>
      </c>
      <c r="E9616" s="195" t="s">
        <v>595</v>
      </c>
      <c r="F9616" s="195" t="s">
        <v>438</v>
      </c>
    </row>
    <row r="9617" spans="1:6" x14ac:dyDescent="0.25">
      <c r="A9617" s="189" t="str">
        <f t="shared" si="150"/>
        <v>WA-MD 858F01N</v>
      </c>
      <c r="B9617" s="195" t="s">
        <v>4321</v>
      </c>
      <c r="C9617" s="196">
        <v>0</v>
      </c>
      <c r="D9617" s="196">
        <v>1</v>
      </c>
      <c r="E9617" s="195" t="s">
        <v>583</v>
      </c>
      <c r="F9617" s="195" t="s">
        <v>430</v>
      </c>
    </row>
    <row r="9618" spans="1:6" x14ac:dyDescent="0.25">
      <c r="A9618" s="189" t="str">
        <f t="shared" si="150"/>
        <v>WA-MD 858F01S</v>
      </c>
      <c r="B9618" s="195" t="s">
        <v>4321</v>
      </c>
      <c r="C9618" s="196">
        <v>0</v>
      </c>
      <c r="D9618" s="196">
        <v>1</v>
      </c>
      <c r="E9618" s="195" t="s">
        <v>583</v>
      </c>
      <c r="F9618" s="195" t="s">
        <v>438</v>
      </c>
    </row>
    <row r="9619" spans="1:6" x14ac:dyDescent="0.25">
      <c r="A9619" s="189" t="str">
        <f t="shared" si="150"/>
        <v>WA-MD 858G0.220.29N</v>
      </c>
      <c r="B9619" s="195" t="s">
        <v>4322</v>
      </c>
      <c r="C9619" s="196">
        <v>0.22</v>
      </c>
      <c r="D9619" s="196">
        <v>0.28999999999999998</v>
      </c>
      <c r="E9619" s="195" t="s">
        <v>589</v>
      </c>
      <c r="F9619" s="195" t="s">
        <v>430</v>
      </c>
    </row>
    <row r="9620" spans="1:6" x14ac:dyDescent="0.25">
      <c r="A9620" s="189" t="str">
        <f t="shared" si="150"/>
        <v>WA-MD 858G0.220.29S</v>
      </c>
      <c r="B9620" s="195" t="s">
        <v>4322</v>
      </c>
      <c r="C9620" s="196">
        <v>0.22</v>
      </c>
      <c r="D9620" s="196">
        <v>0.28999999999999998</v>
      </c>
      <c r="E9620" s="195" t="s">
        <v>595</v>
      </c>
      <c r="F9620" s="195" t="s">
        <v>438</v>
      </c>
    </row>
    <row r="9621" spans="1:6" x14ac:dyDescent="0.25">
      <c r="A9621" s="189" t="str">
        <f t="shared" si="150"/>
        <v>WA-MD 87800.1E</v>
      </c>
      <c r="B9621" s="195" t="s">
        <v>4323</v>
      </c>
      <c r="C9621" s="196">
        <v>0</v>
      </c>
      <c r="D9621" s="196">
        <v>0.1</v>
      </c>
      <c r="E9621" s="195" t="s">
        <v>598</v>
      </c>
      <c r="F9621" s="195" t="s">
        <v>19</v>
      </c>
    </row>
    <row r="9622" spans="1:6" x14ac:dyDescent="0.25">
      <c r="A9622" s="189" t="str">
        <f t="shared" si="150"/>
        <v>WA-MD 87800.1W</v>
      </c>
      <c r="B9622" s="195" t="s">
        <v>4323</v>
      </c>
      <c r="C9622" s="196">
        <v>0</v>
      </c>
      <c r="D9622" s="196">
        <v>0.1</v>
      </c>
      <c r="E9622" s="195" t="s">
        <v>593</v>
      </c>
      <c r="F9622" s="195" t="s">
        <v>432</v>
      </c>
    </row>
    <row r="9623" spans="1:6" x14ac:dyDescent="0.25">
      <c r="A9623" s="189" t="str">
        <f t="shared" si="150"/>
        <v>WA-MD 89400.1N</v>
      </c>
      <c r="B9623" s="195" t="s">
        <v>4324</v>
      </c>
      <c r="C9623" s="196">
        <v>0</v>
      </c>
      <c r="D9623" s="196">
        <v>0.1</v>
      </c>
      <c r="E9623" s="195" t="s">
        <v>589</v>
      </c>
      <c r="F9623" s="195" t="s">
        <v>430</v>
      </c>
    </row>
    <row r="9624" spans="1:6" x14ac:dyDescent="0.25">
      <c r="A9624" s="189" t="str">
        <f t="shared" si="150"/>
        <v>WA-MD 89400.1S</v>
      </c>
      <c r="B9624" s="195" t="s">
        <v>4324</v>
      </c>
      <c r="C9624" s="196">
        <v>0</v>
      </c>
      <c r="D9624" s="196">
        <v>0.1</v>
      </c>
      <c r="E9624" s="195" t="s">
        <v>595</v>
      </c>
      <c r="F9624" s="195" t="s">
        <v>438</v>
      </c>
    </row>
    <row r="9625" spans="1:6" x14ac:dyDescent="0.25">
      <c r="A9625" s="189" t="str">
        <f t="shared" si="150"/>
        <v>WA-MD 9030.251.16N</v>
      </c>
      <c r="B9625" s="195" t="s">
        <v>4325</v>
      </c>
      <c r="C9625" s="196">
        <v>0.25</v>
      </c>
      <c r="D9625" s="196">
        <v>1.1599999999999999</v>
      </c>
      <c r="E9625" s="195" t="s">
        <v>589</v>
      </c>
      <c r="F9625" s="195" t="s">
        <v>430</v>
      </c>
    </row>
    <row r="9626" spans="1:6" x14ac:dyDescent="0.25">
      <c r="A9626" s="189" t="str">
        <f t="shared" si="150"/>
        <v>WA-MD 9030.251.16S</v>
      </c>
      <c r="B9626" s="195" t="s">
        <v>4325</v>
      </c>
      <c r="C9626" s="196">
        <v>0.25</v>
      </c>
      <c r="D9626" s="196">
        <v>1.1599999999999999</v>
      </c>
      <c r="E9626" s="195" t="s">
        <v>595</v>
      </c>
      <c r="F9626" s="195" t="s">
        <v>438</v>
      </c>
    </row>
    <row r="9627" spans="1:6" x14ac:dyDescent="0.25">
      <c r="A9627" s="189" t="str">
        <f t="shared" si="150"/>
        <v>WA-MD 910B00.14N</v>
      </c>
      <c r="B9627" s="195" t="s">
        <v>4326</v>
      </c>
      <c r="C9627" s="196">
        <v>0</v>
      </c>
      <c r="D9627" s="196">
        <v>0.14000000000000001</v>
      </c>
      <c r="E9627" s="195" t="s">
        <v>589</v>
      </c>
      <c r="F9627" s="195" t="s">
        <v>430</v>
      </c>
    </row>
    <row r="9628" spans="1:6" x14ac:dyDescent="0.25">
      <c r="A9628" s="189" t="str">
        <f t="shared" si="150"/>
        <v>WA-MD 910B00.14S</v>
      </c>
      <c r="B9628" s="195" t="s">
        <v>4326</v>
      </c>
      <c r="C9628" s="196">
        <v>0</v>
      </c>
      <c r="D9628" s="196">
        <v>0.14000000000000001</v>
      </c>
      <c r="E9628" s="195" t="s">
        <v>595</v>
      </c>
      <c r="F9628" s="195" t="s">
        <v>438</v>
      </c>
    </row>
    <row r="9629" spans="1:6" x14ac:dyDescent="0.25">
      <c r="A9629" s="189" t="str">
        <f t="shared" si="150"/>
        <v>WA-MD 910C1.191.78N</v>
      </c>
      <c r="B9629" s="195" t="s">
        <v>4327</v>
      </c>
      <c r="C9629" s="196">
        <v>1.19</v>
      </c>
      <c r="D9629" s="196">
        <v>1.78</v>
      </c>
      <c r="E9629" s="195" t="s">
        <v>589</v>
      </c>
      <c r="F9629" s="195" t="s">
        <v>430</v>
      </c>
    </row>
    <row r="9630" spans="1:6" x14ac:dyDescent="0.25">
      <c r="A9630" s="189" t="str">
        <f t="shared" si="150"/>
        <v>WA-MD 910C1.191.78S</v>
      </c>
      <c r="B9630" s="195" t="s">
        <v>4327</v>
      </c>
      <c r="C9630" s="196">
        <v>1.19</v>
      </c>
      <c r="D9630" s="196">
        <v>1.78</v>
      </c>
      <c r="E9630" s="195" t="s">
        <v>595</v>
      </c>
      <c r="F9630" s="195" t="s">
        <v>438</v>
      </c>
    </row>
    <row r="9631" spans="1:6" x14ac:dyDescent="0.25">
      <c r="A9631" s="189" t="str">
        <f t="shared" si="150"/>
        <v>WA-MU 143000.51N</v>
      </c>
      <c r="B9631" s="195" t="s">
        <v>4328</v>
      </c>
      <c r="C9631" s="196">
        <v>0</v>
      </c>
      <c r="D9631" s="196">
        <v>0.51</v>
      </c>
      <c r="E9631" s="195" t="s">
        <v>589</v>
      </c>
      <c r="F9631" s="195" t="s">
        <v>430</v>
      </c>
    </row>
    <row r="9632" spans="1:6" x14ac:dyDescent="0.25">
      <c r="A9632" s="189" t="str">
        <f t="shared" si="150"/>
        <v>WA-MU 143100.73N</v>
      </c>
      <c r="B9632" s="195" t="s">
        <v>4329</v>
      </c>
      <c r="C9632" s="196">
        <v>0</v>
      </c>
      <c r="D9632" s="196">
        <v>0.73</v>
      </c>
      <c r="E9632" s="195" t="s">
        <v>589</v>
      </c>
      <c r="F9632" s="195" t="s">
        <v>430</v>
      </c>
    </row>
    <row r="9633" spans="1:6" x14ac:dyDescent="0.25">
      <c r="A9633" s="189" t="str">
        <f t="shared" si="150"/>
        <v>WA-MU 200001.02N</v>
      </c>
      <c r="B9633" s="195" t="s">
        <v>4330</v>
      </c>
      <c r="C9633" s="196">
        <v>0</v>
      </c>
      <c r="D9633" s="196">
        <v>1.02</v>
      </c>
      <c r="E9633" s="195" t="s">
        <v>589</v>
      </c>
      <c r="F9633" s="195" t="s">
        <v>430</v>
      </c>
    </row>
    <row r="9634" spans="1:6" x14ac:dyDescent="0.25">
      <c r="A9634" s="189" t="str">
        <f t="shared" si="150"/>
        <v>WA-MU 200001.12S</v>
      </c>
      <c r="B9634" s="195" t="s">
        <v>4330</v>
      </c>
      <c r="C9634" s="196">
        <v>0</v>
      </c>
      <c r="D9634" s="196">
        <v>1.1200000000000001</v>
      </c>
      <c r="E9634" s="195" t="s">
        <v>595</v>
      </c>
      <c r="F9634" s="195" t="s">
        <v>438</v>
      </c>
    </row>
    <row r="9635" spans="1:6" x14ac:dyDescent="0.25">
      <c r="A9635" s="189" t="str">
        <f t="shared" si="150"/>
        <v>WA-MU 200502.11S</v>
      </c>
      <c r="B9635" s="195" t="s">
        <v>4331</v>
      </c>
      <c r="C9635" s="196">
        <v>0</v>
      </c>
      <c r="D9635" s="196">
        <v>2.11</v>
      </c>
      <c r="E9635" s="195" t="s">
        <v>595</v>
      </c>
      <c r="F9635" s="195" t="s">
        <v>438</v>
      </c>
    </row>
    <row r="9636" spans="1:6" x14ac:dyDescent="0.25">
      <c r="A9636" s="189" t="str">
        <f t="shared" si="150"/>
        <v>WA-MU 20051.172.11N</v>
      </c>
      <c r="B9636" s="195" t="s">
        <v>4331</v>
      </c>
      <c r="C9636" s="196">
        <v>1.17</v>
      </c>
      <c r="D9636" s="196">
        <v>2.11</v>
      </c>
      <c r="E9636" s="195" t="s">
        <v>589</v>
      </c>
      <c r="F9636" s="195" t="s">
        <v>430</v>
      </c>
    </row>
    <row r="9637" spans="1:6" x14ac:dyDescent="0.25">
      <c r="A9637" s="189" t="str">
        <f t="shared" si="150"/>
        <v>WA-MU 7050.831.73N</v>
      </c>
      <c r="B9637" s="195" t="s">
        <v>4332</v>
      </c>
      <c r="C9637" s="196">
        <v>0.83</v>
      </c>
      <c r="D9637" s="196">
        <v>1.73</v>
      </c>
      <c r="E9637" s="195" t="s">
        <v>583</v>
      </c>
      <c r="F9637" s="195" t="s">
        <v>430</v>
      </c>
    </row>
    <row r="9638" spans="1:6" x14ac:dyDescent="0.25">
      <c r="A9638" s="189" t="str">
        <f t="shared" si="150"/>
        <v>WA-MU 7050.831.73S</v>
      </c>
      <c r="B9638" s="195" t="s">
        <v>4332</v>
      </c>
      <c r="C9638" s="196">
        <v>0.83</v>
      </c>
      <c r="D9638" s="196">
        <v>1.73</v>
      </c>
      <c r="E9638" s="195" t="s">
        <v>583</v>
      </c>
      <c r="F9638" s="195" t="s">
        <v>438</v>
      </c>
    </row>
    <row r="9639" spans="1:6" x14ac:dyDescent="0.25">
      <c r="A9639" s="189" t="str">
        <f t="shared" si="150"/>
        <v>WA-MU 7100.471.05N</v>
      </c>
      <c r="B9639" s="195" t="s">
        <v>4333</v>
      </c>
      <c r="C9639" s="196">
        <v>0.47</v>
      </c>
      <c r="D9639" s="196">
        <v>1.05</v>
      </c>
      <c r="E9639" s="195" t="s">
        <v>583</v>
      </c>
      <c r="F9639" s="195" t="s">
        <v>430</v>
      </c>
    </row>
    <row r="9640" spans="1:6" x14ac:dyDescent="0.25">
      <c r="A9640" s="189" t="str">
        <f t="shared" si="150"/>
        <v>WA-MU 7100.471.05S</v>
      </c>
      <c r="B9640" s="195" t="s">
        <v>4333</v>
      </c>
      <c r="C9640" s="196">
        <v>0.47</v>
      </c>
      <c r="D9640" s="196">
        <v>1.05</v>
      </c>
      <c r="E9640" s="195" t="s">
        <v>583</v>
      </c>
      <c r="F9640" s="195" t="s">
        <v>438</v>
      </c>
    </row>
    <row r="9641" spans="1:6" x14ac:dyDescent="0.25">
      <c r="A9641" s="189" t="str">
        <f t="shared" si="150"/>
        <v>WA-MU 7800.140.24W</v>
      </c>
      <c r="B9641" s="195" t="s">
        <v>4334</v>
      </c>
      <c r="C9641" s="196">
        <v>0.14000000000000001</v>
      </c>
      <c r="D9641" s="196">
        <v>0.24</v>
      </c>
      <c r="E9641" s="195" t="s">
        <v>593</v>
      </c>
      <c r="F9641" s="195" t="s">
        <v>432</v>
      </c>
    </row>
    <row r="9642" spans="1:6" x14ac:dyDescent="0.25">
      <c r="A9642" s="189" t="str">
        <f t="shared" si="150"/>
        <v>WA-MU 901.151.38N</v>
      </c>
      <c r="B9642" s="195" t="s">
        <v>4335</v>
      </c>
      <c r="C9642" s="196">
        <v>1.1499999999999999</v>
      </c>
      <c r="D9642" s="196">
        <v>1.38</v>
      </c>
      <c r="E9642" s="195" t="s">
        <v>583</v>
      </c>
      <c r="F9642" s="195" t="s">
        <v>430</v>
      </c>
    </row>
    <row r="9643" spans="1:6" x14ac:dyDescent="0.25">
      <c r="A9643" s="189" t="str">
        <f t="shared" si="150"/>
        <v>WA-MU 901.151.38S</v>
      </c>
      <c r="B9643" s="195" t="s">
        <v>4335</v>
      </c>
      <c r="C9643" s="196">
        <v>1.1499999999999999</v>
      </c>
      <c r="D9643" s="196">
        <v>1.38</v>
      </c>
      <c r="E9643" s="195" t="s">
        <v>583</v>
      </c>
      <c r="F9643" s="195" t="s">
        <v>438</v>
      </c>
    </row>
    <row r="9644" spans="1:6" x14ac:dyDescent="0.25">
      <c r="A9644" s="189" t="str">
        <f t="shared" si="150"/>
        <v>WA-US 1100.33N</v>
      </c>
      <c r="B9644" s="195" t="s">
        <v>543</v>
      </c>
      <c r="C9644" s="196">
        <v>0</v>
      </c>
      <c r="D9644" s="196">
        <v>0.33</v>
      </c>
      <c r="E9644" s="195" t="s">
        <v>583</v>
      </c>
      <c r="F9644" s="195" t="s">
        <v>430</v>
      </c>
    </row>
    <row r="9645" spans="1:6" x14ac:dyDescent="0.25">
      <c r="A9645" s="189" t="str">
        <f t="shared" si="150"/>
        <v>WA-US 1100.33S</v>
      </c>
      <c r="B9645" s="195" t="s">
        <v>543</v>
      </c>
      <c r="C9645" s="196">
        <v>0</v>
      </c>
      <c r="D9645" s="196">
        <v>0.33</v>
      </c>
      <c r="E9645" s="195" t="s">
        <v>583</v>
      </c>
      <c r="F9645" s="195" t="s">
        <v>438</v>
      </c>
    </row>
    <row r="9646" spans="1:6" x14ac:dyDescent="0.25">
      <c r="A9646" s="189" t="str">
        <f t="shared" si="150"/>
        <v>WA-US 110.330.9N</v>
      </c>
      <c r="B9646" s="195" t="s">
        <v>543</v>
      </c>
      <c r="C9646" s="196">
        <v>0.33</v>
      </c>
      <c r="D9646" s="196">
        <v>0.9</v>
      </c>
      <c r="E9646" s="195" t="s">
        <v>583</v>
      </c>
      <c r="F9646" s="195" t="s">
        <v>430</v>
      </c>
    </row>
    <row r="9647" spans="1:6" x14ac:dyDescent="0.25">
      <c r="A9647" s="189" t="str">
        <f t="shared" si="150"/>
        <v>WA-US 110.330.9S</v>
      </c>
      <c r="B9647" s="195" t="s">
        <v>543</v>
      </c>
      <c r="C9647" s="196">
        <v>0.33</v>
      </c>
      <c r="D9647" s="196">
        <v>0.9</v>
      </c>
      <c r="E9647" s="195" t="s">
        <v>583</v>
      </c>
      <c r="F9647" s="195" t="s">
        <v>438</v>
      </c>
    </row>
    <row r="9648" spans="1:6" x14ac:dyDescent="0.25">
      <c r="A9648" s="189" t="str">
        <f t="shared" si="150"/>
        <v>WA-US 110.91.46N</v>
      </c>
      <c r="B9648" s="195" t="s">
        <v>543</v>
      </c>
      <c r="C9648" s="196">
        <v>0.9</v>
      </c>
      <c r="D9648" s="196">
        <v>1.46</v>
      </c>
      <c r="E9648" s="195" t="s">
        <v>583</v>
      </c>
      <c r="F9648" s="195" t="s">
        <v>430</v>
      </c>
    </row>
    <row r="9649" spans="1:6" x14ac:dyDescent="0.25">
      <c r="A9649" s="189" t="str">
        <f t="shared" si="150"/>
        <v>WA-US 110.91.46S</v>
      </c>
      <c r="B9649" s="195" t="s">
        <v>543</v>
      </c>
      <c r="C9649" s="196">
        <v>0.9</v>
      </c>
      <c r="D9649" s="196">
        <v>1.46</v>
      </c>
      <c r="E9649" s="195" t="s">
        <v>583</v>
      </c>
      <c r="F9649" s="195" t="s">
        <v>438</v>
      </c>
    </row>
    <row r="9650" spans="1:6" x14ac:dyDescent="0.25">
      <c r="A9650" s="189" t="str">
        <f t="shared" si="150"/>
        <v>WA-US 111.683.49N</v>
      </c>
      <c r="B9650" s="195" t="s">
        <v>543</v>
      </c>
      <c r="C9650" s="196">
        <v>1.68</v>
      </c>
      <c r="D9650" s="196">
        <v>3.49</v>
      </c>
      <c r="E9650" s="195" t="s">
        <v>583</v>
      </c>
      <c r="F9650" s="195" t="s">
        <v>430</v>
      </c>
    </row>
    <row r="9651" spans="1:6" x14ac:dyDescent="0.25">
      <c r="A9651" s="189" t="str">
        <f t="shared" si="150"/>
        <v>WA-US 111.683.49S</v>
      </c>
      <c r="B9651" s="195" t="s">
        <v>543</v>
      </c>
      <c r="C9651" s="196">
        <v>1.68</v>
      </c>
      <c r="D9651" s="196">
        <v>3.49</v>
      </c>
      <c r="E9651" s="195" t="s">
        <v>583</v>
      </c>
      <c r="F9651" s="195" t="s">
        <v>438</v>
      </c>
    </row>
    <row r="9652" spans="1:6" x14ac:dyDescent="0.25">
      <c r="A9652" s="189" t="str">
        <f t="shared" si="150"/>
        <v>WA-US 113.495.4N</v>
      </c>
      <c r="B9652" s="195" t="s">
        <v>543</v>
      </c>
      <c r="C9652" s="196">
        <v>3.49</v>
      </c>
      <c r="D9652" s="196">
        <v>5.4</v>
      </c>
      <c r="E9652" s="195" t="s">
        <v>583</v>
      </c>
      <c r="F9652" s="195" t="s">
        <v>430</v>
      </c>
    </row>
    <row r="9653" spans="1:6" x14ac:dyDescent="0.25">
      <c r="A9653" s="189" t="str">
        <f t="shared" si="150"/>
        <v>WA-US 113.495.4S</v>
      </c>
      <c r="B9653" s="195" t="s">
        <v>543</v>
      </c>
      <c r="C9653" s="196">
        <v>3.49</v>
      </c>
      <c r="D9653" s="196">
        <v>5.4</v>
      </c>
      <c r="E9653" s="195" t="s">
        <v>583</v>
      </c>
      <c r="F9653" s="195" t="s">
        <v>438</v>
      </c>
    </row>
    <row r="9654" spans="1:6" x14ac:dyDescent="0.25">
      <c r="A9654" s="189" t="str">
        <f t="shared" si="150"/>
        <v>WA-US 115.46.3N</v>
      </c>
      <c r="B9654" s="195" t="s">
        <v>543</v>
      </c>
      <c r="C9654" s="196">
        <v>5.4</v>
      </c>
      <c r="D9654" s="196">
        <v>6.3</v>
      </c>
      <c r="E9654" s="195" t="s">
        <v>583</v>
      </c>
      <c r="F9654" s="195" t="s">
        <v>430</v>
      </c>
    </row>
    <row r="9655" spans="1:6" x14ac:dyDescent="0.25">
      <c r="A9655" s="189" t="str">
        <f t="shared" si="150"/>
        <v>WA-US 115.46.3S</v>
      </c>
      <c r="B9655" s="195" t="s">
        <v>543</v>
      </c>
      <c r="C9655" s="196">
        <v>5.4</v>
      </c>
      <c r="D9655" s="196">
        <v>6.3</v>
      </c>
      <c r="E9655" s="195" t="s">
        <v>583</v>
      </c>
      <c r="F9655" s="195" t="s">
        <v>438</v>
      </c>
    </row>
    <row r="9656" spans="1:6" x14ac:dyDescent="0.25">
      <c r="A9656" s="189" t="str">
        <f t="shared" si="150"/>
        <v>WA-US 116.38.3N</v>
      </c>
      <c r="B9656" s="195" t="s">
        <v>543</v>
      </c>
      <c r="C9656" s="196">
        <v>6.3</v>
      </c>
      <c r="D9656" s="196">
        <v>8.3000000000000007</v>
      </c>
      <c r="E9656" s="195" t="s">
        <v>583</v>
      </c>
      <c r="F9656" s="195" t="s">
        <v>430</v>
      </c>
    </row>
    <row r="9657" spans="1:6" x14ac:dyDescent="0.25">
      <c r="A9657" s="189" t="str">
        <f t="shared" si="150"/>
        <v>WA-US 116.38.3S</v>
      </c>
      <c r="B9657" s="195" t="s">
        <v>543</v>
      </c>
      <c r="C9657" s="196">
        <v>6.3</v>
      </c>
      <c r="D9657" s="196">
        <v>8.3000000000000007</v>
      </c>
      <c r="E9657" s="195" t="s">
        <v>583</v>
      </c>
      <c r="F9657" s="195" t="s">
        <v>438</v>
      </c>
    </row>
    <row r="9658" spans="1:6" x14ac:dyDescent="0.25">
      <c r="A9658" s="189" t="str">
        <f t="shared" si="150"/>
        <v>WA-US 118.8310.23N</v>
      </c>
      <c r="B9658" s="195" t="s">
        <v>543</v>
      </c>
      <c r="C9658" s="196">
        <v>8.83</v>
      </c>
      <c r="D9658" s="196">
        <v>10.23</v>
      </c>
      <c r="E9658" s="195" t="s">
        <v>583</v>
      </c>
      <c r="F9658" s="195" t="s">
        <v>430</v>
      </c>
    </row>
    <row r="9659" spans="1:6" x14ac:dyDescent="0.25">
      <c r="A9659" s="189" t="str">
        <f t="shared" si="150"/>
        <v>WA-US 118.8310.23S</v>
      </c>
      <c r="B9659" s="195" t="s">
        <v>543</v>
      </c>
      <c r="C9659" s="196">
        <v>8.83</v>
      </c>
      <c r="D9659" s="196">
        <v>10.23</v>
      </c>
      <c r="E9659" s="195" t="s">
        <v>583</v>
      </c>
      <c r="F9659" s="195" t="s">
        <v>438</v>
      </c>
    </row>
    <row r="9660" spans="1:6" x14ac:dyDescent="0.25">
      <c r="A9660" s="189" t="str">
        <f t="shared" si="150"/>
        <v>WA-US 1110.2311.35N</v>
      </c>
      <c r="B9660" s="195" t="s">
        <v>543</v>
      </c>
      <c r="C9660" s="196">
        <v>10.23</v>
      </c>
      <c r="D9660" s="196">
        <v>11.35</v>
      </c>
      <c r="E9660" s="195" t="s">
        <v>583</v>
      </c>
      <c r="F9660" s="195" t="s">
        <v>430</v>
      </c>
    </row>
    <row r="9661" spans="1:6" x14ac:dyDescent="0.25">
      <c r="A9661" s="189" t="str">
        <f t="shared" si="150"/>
        <v>WA-US 1110.2311.35S</v>
      </c>
      <c r="B9661" s="195" t="s">
        <v>543</v>
      </c>
      <c r="C9661" s="196">
        <v>10.23</v>
      </c>
      <c r="D9661" s="196">
        <v>11.35</v>
      </c>
      <c r="E9661" s="195" t="s">
        <v>583</v>
      </c>
      <c r="F9661" s="195" t="s">
        <v>438</v>
      </c>
    </row>
    <row r="9662" spans="1:6" x14ac:dyDescent="0.25">
      <c r="A9662" s="189" t="str">
        <f t="shared" si="150"/>
        <v>WA-US 1111.3511.87N</v>
      </c>
      <c r="B9662" s="195" t="s">
        <v>543</v>
      </c>
      <c r="C9662" s="196">
        <v>11.35</v>
      </c>
      <c r="D9662" s="196">
        <v>11.87</v>
      </c>
      <c r="E9662" s="195" t="s">
        <v>583</v>
      </c>
      <c r="F9662" s="195" t="s">
        <v>430</v>
      </c>
    </row>
    <row r="9663" spans="1:6" x14ac:dyDescent="0.25">
      <c r="A9663" s="189" t="str">
        <f t="shared" si="150"/>
        <v>WA-US 1111.3511.87S</v>
      </c>
      <c r="B9663" s="195" t="s">
        <v>543</v>
      </c>
      <c r="C9663" s="196">
        <v>11.35</v>
      </c>
      <c r="D9663" s="196">
        <v>11.87</v>
      </c>
      <c r="E9663" s="195" t="s">
        <v>583</v>
      </c>
      <c r="F9663" s="195" t="s">
        <v>438</v>
      </c>
    </row>
    <row r="9664" spans="1:6" x14ac:dyDescent="0.25">
      <c r="A9664" s="189" t="str">
        <f t="shared" si="150"/>
        <v>WA-US 1112.2112.83N</v>
      </c>
      <c r="B9664" s="195" t="s">
        <v>543</v>
      </c>
      <c r="C9664" s="196">
        <v>12.21</v>
      </c>
      <c r="D9664" s="196">
        <v>12.83</v>
      </c>
      <c r="E9664" s="195" t="s">
        <v>583</v>
      </c>
      <c r="F9664" s="195" t="s">
        <v>430</v>
      </c>
    </row>
    <row r="9665" spans="1:6" x14ac:dyDescent="0.25">
      <c r="A9665" s="189" t="str">
        <f t="shared" si="150"/>
        <v>WA-US 1112.2112.83S</v>
      </c>
      <c r="B9665" s="195" t="s">
        <v>543</v>
      </c>
      <c r="C9665" s="196">
        <v>12.21</v>
      </c>
      <c r="D9665" s="196">
        <v>12.83</v>
      </c>
      <c r="E9665" s="195" t="s">
        <v>583</v>
      </c>
      <c r="F9665" s="195" t="s">
        <v>438</v>
      </c>
    </row>
    <row r="9666" spans="1:6" x14ac:dyDescent="0.25">
      <c r="A9666" s="189" t="str">
        <f t="shared" si="150"/>
        <v>WA-US 34000.43E</v>
      </c>
      <c r="B9666" s="195" t="s">
        <v>4510</v>
      </c>
      <c r="C9666" s="196">
        <v>0</v>
      </c>
      <c r="D9666" s="196">
        <v>0.43</v>
      </c>
      <c r="E9666" s="195" t="s">
        <v>583</v>
      </c>
      <c r="F9666" s="195" t="s">
        <v>19</v>
      </c>
    </row>
    <row r="9667" spans="1:6" x14ac:dyDescent="0.25">
      <c r="A9667" s="189" t="str">
        <f t="shared" si="150"/>
        <v>WA-US 34000.43W</v>
      </c>
      <c r="B9667" s="195" t="s">
        <v>4510</v>
      </c>
      <c r="C9667" s="196">
        <v>0</v>
      </c>
      <c r="D9667" s="196">
        <v>0.43</v>
      </c>
      <c r="E9667" s="195" t="s">
        <v>583</v>
      </c>
      <c r="F9667" s="195" t="s">
        <v>432</v>
      </c>
    </row>
    <row r="9668" spans="1:6" x14ac:dyDescent="0.25">
      <c r="A9668" s="189" t="str">
        <f t="shared" si="150"/>
        <v>WA-US 340 RP2-100.16W</v>
      </c>
      <c r="B9668" s="195" t="s">
        <v>4336</v>
      </c>
      <c r="C9668" s="196">
        <v>0</v>
      </c>
      <c r="D9668" s="196">
        <v>0.16</v>
      </c>
      <c r="E9668" s="195" t="s">
        <v>593</v>
      </c>
      <c r="F9668" s="195" t="s">
        <v>432</v>
      </c>
    </row>
    <row r="9669" spans="1:6" x14ac:dyDescent="0.25">
      <c r="A9669" s="189" t="str">
        <f t="shared" si="150"/>
        <v>WA-US 340 RP3-100.4E</v>
      </c>
      <c r="B9669" s="195" t="s">
        <v>4337</v>
      </c>
      <c r="C9669" s="196">
        <v>0</v>
      </c>
      <c r="D9669" s="196">
        <v>0.4</v>
      </c>
      <c r="E9669" s="195" t="s">
        <v>598</v>
      </c>
      <c r="F9669" s="195" t="s">
        <v>19</v>
      </c>
    </row>
    <row r="9670" spans="1:6" x14ac:dyDescent="0.25">
      <c r="A9670" s="189" t="str">
        <f t="shared" si="150"/>
        <v>WA-US 340 RP3-10.390.45W</v>
      </c>
      <c r="B9670" s="195" t="s">
        <v>4337</v>
      </c>
      <c r="C9670" s="196">
        <v>0.39</v>
      </c>
      <c r="D9670" s="196">
        <v>0.45</v>
      </c>
      <c r="E9670" s="195" t="s">
        <v>593</v>
      </c>
      <c r="F9670" s="195" t="s">
        <v>432</v>
      </c>
    </row>
    <row r="9671" spans="1:6" x14ac:dyDescent="0.25">
      <c r="A9671" s="189" t="str">
        <f t="shared" si="150"/>
        <v>WA-US 340 RP3-10.40.45E</v>
      </c>
      <c r="B9671" s="195" t="s">
        <v>4337</v>
      </c>
      <c r="C9671" s="196">
        <v>0.4</v>
      </c>
      <c r="D9671" s="196">
        <v>0.45</v>
      </c>
      <c r="E9671" s="195" t="s">
        <v>598</v>
      </c>
      <c r="F9671" s="195" t="s">
        <v>19</v>
      </c>
    </row>
    <row r="9672" spans="1:6" x14ac:dyDescent="0.25">
      <c r="A9672" s="189" t="str">
        <f t="shared" ref="A9672:A9735" si="151">B9672&amp;C9672&amp;D9672&amp;F9672</f>
        <v>WA-US 340 RP5-100.3S</v>
      </c>
      <c r="B9672" s="195" t="s">
        <v>4338</v>
      </c>
      <c r="C9672" s="196">
        <v>0</v>
      </c>
      <c r="D9672" s="196">
        <v>0.3</v>
      </c>
      <c r="E9672" s="195" t="s">
        <v>595</v>
      </c>
      <c r="F9672" s="195" t="s">
        <v>438</v>
      </c>
    </row>
    <row r="9673" spans="1:6" x14ac:dyDescent="0.25">
      <c r="A9673" s="189" t="str">
        <f t="shared" si="151"/>
        <v>WA-US 340 RP6-100.03W</v>
      </c>
      <c r="B9673" s="195" t="s">
        <v>4339</v>
      </c>
      <c r="C9673" s="196">
        <v>0</v>
      </c>
      <c r="D9673" s="196">
        <v>0.03</v>
      </c>
      <c r="E9673" s="195" t="s">
        <v>593</v>
      </c>
      <c r="F9673" s="195" t="s">
        <v>432</v>
      </c>
    </row>
    <row r="9674" spans="1:6" x14ac:dyDescent="0.25">
      <c r="A9674" s="189" t="str">
        <f t="shared" si="151"/>
        <v>WA-US 340 RP8-100.25S</v>
      </c>
      <c r="B9674" s="195" t="s">
        <v>4340</v>
      </c>
      <c r="C9674" s="196">
        <v>0</v>
      </c>
      <c r="D9674" s="196">
        <v>0.25</v>
      </c>
      <c r="E9674" s="195" t="s">
        <v>595</v>
      </c>
      <c r="F9674" s="195" t="s">
        <v>438</v>
      </c>
    </row>
    <row r="9675" spans="1:6" x14ac:dyDescent="0.25">
      <c r="A9675" s="189" t="str">
        <f t="shared" si="151"/>
        <v>WA-US 4017.5518.05E</v>
      </c>
      <c r="B9675" s="195" t="s">
        <v>544</v>
      </c>
      <c r="C9675" s="196">
        <v>17.55</v>
      </c>
      <c r="D9675" s="196">
        <v>18.05</v>
      </c>
      <c r="E9675" s="195" t="s">
        <v>583</v>
      </c>
      <c r="F9675" s="195" t="s">
        <v>19</v>
      </c>
    </row>
    <row r="9676" spans="1:6" x14ac:dyDescent="0.25">
      <c r="A9676" s="189" t="str">
        <f t="shared" si="151"/>
        <v>WA-US 4017.5518.05W</v>
      </c>
      <c r="B9676" s="195" t="s">
        <v>544</v>
      </c>
      <c r="C9676" s="196">
        <v>17.55</v>
      </c>
      <c r="D9676" s="196">
        <v>18.05</v>
      </c>
      <c r="E9676" s="195" t="s">
        <v>583</v>
      </c>
      <c r="F9676" s="195" t="s">
        <v>432</v>
      </c>
    </row>
    <row r="9677" spans="1:6" x14ac:dyDescent="0.25">
      <c r="A9677" s="189" t="str">
        <f t="shared" si="151"/>
        <v>WA-US 4018.0524.3E</v>
      </c>
      <c r="B9677" s="195" t="s">
        <v>544</v>
      </c>
      <c r="C9677" s="196">
        <v>18.05</v>
      </c>
      <c r="D9677" s="196">
        <v>24.3</v>
      </c>
      <c r="E9677" s="195" t="s">
        <v>583</v>
      </c>
      <c r="F9677" s="195" t="s">
        <v>19</v>
      </c>
    </row>
    <row r="9678" spans="1:6" x14ac:dyDescent="0.25">
      <c r="A9678" s="189" t="str">
        <f t="shared" si="151"/>
        <v>WA-US 4018.0524.3W</v>
      </c>
      <c r="B9678" s="195" t="s">
        <v>544</v>
      </c>
      <c r="C9678" s="196">
        <v>18.05</v>
      </c>
      <c r="D9678" s="196">
        <v>24.3</v>
      </c>
      <c r="E9678" s="195" t="s">
        <v>583</v>
      </c>
      <c r="F9678" s="195" t="s">
        <v>432</v>
      </c>
    </row>
    <row r="9679" spans="1:6" x14ac:dyDescent="0.25">
      <c r="A9679" s="189" t="str">
        <f t="shared" si="151"/>
        <v>WA-US 4024.324.6E</v>
      </c>
      <c r="B9679" s="195" t="s">
        <v>544</v>
      </c>
      <c r="C9679" s="196">
        <v>24.3</v>
      </c>
      <c r="D9679" s="196">
        <v>24.6</v>
      </c>
      <c r="E9679" s="195" t="s">
        <v>583</v>
      </c>
      <c r="F9679" s="195" t="s">
        <v>19</v>
      </c>
    </row>
    <row r="9680" spans="1:6" x14ac:dyDescent="0.25">
      <c r="A9680" s="189" t="str">
        <f t="shared" si="151"/>
        <v>WA-US 4024.324.6W</v>
      </c>
      <c r="B9680" s="195" t="s">
        <v>544</v>
      </c>
      <c r="C9680" s="196">
        <v>24.3</v>
      </c>
      <c r="D9680" s="196">
        <v>24.6</v>
      </c>
      <c r="E9680" s="195" t="s">
        <v>583</v>
      </c>
      <c r="F9680" s="195" t="s">
        <v>432</v>
      </c>
    </row>
    <row r="9681" spans="1:6" x14ac:dyDescent="0.25">
      <c r="A9681" s="189" t="str">
        <f t="shared" si="151"/>
        <v>WA-US 4024.626.95E</v>
      </c>
      <c r="B9681" s="195" t="s">
        <v>544</v>
      </c>
      <c r="C9681" s="196">
        <v>24.6</v>
      </c>
      <c r="D9681" s="196">
        <v>26.95</v>
      </c>
      <c r="E9681" s="195" t="s">
        <v>583</v>
      </c>
      <c r="F9681" s="195" t="s">
        <v>19</v>
      </c>
    </row>
    <row r="9682" spans="1:6" x14ac:dyDescent="0.25">
      <c r="A9682" s="189" t="str">
        <f t="shared" si="151"/>
        <v>WA-US 4024.626.95W</v>
      </c>
      <c r="B9682" s="195" t="s">
        <v>544</v>
      </c>
      <c r="C9682" s="196">
        <v>24.6</v>
      </c>
      <c r="D9682" s="196">
        <v>26.95</v>
      </c>
      <c r="E9682" s="195" t="s">
        <v>583</v>
      </c>
      <c r="F9682" s="195" t="s">
        <v>432</v>
      </c>
    </row>
    <row r="9683" spans="1:6" x14ac:dyDescent="0.25">
      <c r="A9683" s="189" t="str">
        <f t="shared" si="151"/>
        <v>WA-US 4026.9527.3E</v>
      </c>
      <c r="B9683" s="195" t="s">
        <v>544</v>
      </c>
      <c r="C9683" s="196">
        <v>26.95</v>
      </c>
      <c r="D9683" s="196">
        <v>27.3</v>
      </c>
      <c r="E9683" s="195" t="s">
        <v>583</v>
      </c>
      <c r="F9683" s="195" t="s">
        <v>19</v>
      </c>
    </row>
    <row r="9684" spans="1:6" x14ac:dyDescent="0.25">
      <c r="A9684" s="189" t="str">
        <f t="shared" si="151"/>
        <v>WA-US 4026.9527.3W</v>
      </c>
      <c r="B9684" s="195" t="s">
        <v>544</v>
      </c>
      <c r="C9684" s="196">
        <v>26.95</v>
      </c>
      <c r="D9684" s="196">
        <v>27.3</v>
      </c>
      <c r="E9684" s="195" t="s">
        <v>583</v>
      </c>
      <c r="F9684" s="195" t="s">
        <v>432</v>
      </c>
    </row>
    <row r="9685" spans="1:6" x14ac:dyDescent="0.25">
      <c r="A9685" s="189" t="str">
        <f t="shared" si="151"/>
        <v>WA-US 4027.328.57E</v>
      </c>
      <c r="B9685" s="195" t="s">
        <v>544</v>
      </c>
      <c r="C9685" s="196">
        <v>27.3</v>
      </c>
      <c r="D9685" s="196">
        <v>28.57</v>
      </c>
      <c r="E9685" s="195" t="s">
        <v>583</v>
      </c>
      <c r="F9685" s="195" t="s">
        <v>19</v>
      </c>
    </row>
    <row r="9686" spans="1:6" x14ac:dyDescent="0.25">
      <c r="A9686" s="189" t="str">
        <f t="shared" si="151"/>
        <v>WA-US 4027.328.57W</v>
      </c>
      <c r="B9686" s="195" t="s">
        <v>544</v>
      </c>
      <c r="C9686" s="196">
        <v>27.3</v>
      </c>
      <c r="D9686" s="196">
        <v>28.57</v>
      </c>
      <c r="E9686" s="195" t="s">
        <v>583</v>
      </c>
      <c r="F9686" s="195" t="s">
        <v>432</v>
      </c>
    </row>
    <row r="9687" spans="1:6" x14ac:dyDescent="0.25">
      <c r="A9687" s="189" t="str">
        <f t="shared" si="151"/>
        <v>WA-US 4028.5731.45E</v>
      </c>
      <c r="B9687" s="195" t="s">
        <v>544</v>
      </c>
      <c r="C9687" s="196">
        <v>28.57</v>
      </c>
      <c r="D9687" s="196">
        <v>31.45</v>
      </c>
      <c r="E9687" s="195" t="s">
        <v>583</v>
      </c>
      <c r="F9687" s="195" t="s">
        <v>19</v>
      </c>
    </row>
    <row r="9688" spans="1:6" x14ac:dyDescent="0.25">
      <c r="A9688" s="189" t="str">
        <f t="shared" si="151"/>
        <v>WA-US 4028.5731.45W</v>
      </c>
      <c r="B9688" s="195" t="s">
        <v>544</v>
      </c>
      <c r="C9688" s="196">
        <v>28.57</v>
      </c>
      <c r="D9688" s="196">
        <v>31.45</v>
      </c>
      <c r="E9688" s="195" t="s">
        <v>583</v>
      </c>
      <c r="F9688" s="195" t="s">
        <v>432</v>
      </c>
    </row>
    <row r="9689" spans="1:6" x14ac:dyDescent="0.25">
      <c r="A9689" s="189" t="str">
        <f t="shared" si="151"/>
        <v>WA-US 4031.4532.55E</v>
      </c>
      <c r="B9689" s="195" t="s">
        <v>544</v>
      </c>
      <c r="C9689" s="196">
        <v>31.45</v>
      </c>
      <c r="D9689" s="196">
        <v>32.549999999999997</v>
      </c>
      <c r="E9689" s="195" t="s">
        <v>583</v>
      </c>
      <c r="F9689" s="195" t="s">
        <v>19</v>
      </c>
    </row>
    <row r="9690" spans="1:6" x14ac:dyDescent="0.25">
      <c r="A9690" s="189" t="str">
        <f t="shared" si="151"/>
        <v>WA-US 4031.4532.55W</v>
      </c>
      <c r="B9690" s="195" t="s">
        <v>544</v>
      </c>
      <c r="C9690" s="196">
        <v>31.45</v>
      </c>
      <c r="D9690" s="196">
        <v>32.549999999999997</v>
      </c>
      <c r="E9690" s="195" t="s">
        <v>583</v>
      </c>
      <c r="F9690" s="195" t="s">
        <v>432</v>
      </c>
    </row>
    <row r="9691" spans="1:6" x14ac:dyDescent="0.25">
      <c r="A9691" s="189" t="str">
        <f t="shared" si="151"/>
        <v>WA-US 4034.6434.67W</v>
      </c>
      <c r="B9691" s="195" t="s">
        <v>544</v>
      </c>
      <c r="C9691" s="196">
        <v>34.64</v>
      </c>
      <c r="D9691" s="196">
        <v>34.67</v>
      </c>
      <c r="E9691" s="195" t="s">
        <v>593</v>
      </c>
      <c r="F9691" s="195" t="s">
        <v>432</v>
      </c>
    </row>
    <row r="9692" spans="1:6" x14ac:dyDescent="0.25">
      <c r="A9692" s="189" t="str">
        <f t="shared" si="151"/>
        <v>WA-US 4034.6736.53W</v>
      </c>
      <c r="B9692" s="195" t="s">
        <v>544</v>
      </c>
      <c r="C9692" s="196">
        <v>34.67</v>
      </c>
      <c r="D9692" s="196">
        <v>36.53</v>
      </c>
      <c r="E9692" s="195" t="s">
        <v>593</v>
      </c>
      <c r="F9692" s="195" t="s">
        <v>432</v>
      </c>
    </row>
    <row r="9693" spans="1:6" x14ac:dyDescent="0.25">
      <c r="A9693" s="189" t="str">
        <f t="shared" si="151"/>
        <v>WA-US 4034.935.75E</v>
      </c>
      <c r="B9693" s="195" t="s">
        <v>544</v>
      </c>
      <c r="C9693" s="196">
        <v>34.9</v>
      </c>
      <c r="D9693" s="196">
        <v>35.75</v>
      </c>
      <c r="E9693" s="195" t="s">
        <v>598</v>
      </c>
      <c r="F9693" s="195" t="s">
        <v>19</v>
      </c>
    </row>
    <row r="9694" spans="1:6" x14ac:dyDescent="0.25">
      <c r="A9694" s="189" t="str">
        <f t="shared" si="151"/>
        <v>WA-US 4035.7536.45E</v>
      </c>
      <c r="B9694" s="195" t="s">
        <v>544</v>
      </c>
      <c r="C9694" s="196">
        <v>35.75</v>
      </c>
      <c r="D9694" s="196">
        <v>36.450000000000003</v>
      </c>
      <c r="E9694" s="195" t="s">
        <v>598</v>
      </c>
      <c r="F9694" s="195" t="s">
        <v>19</v>
      </c>
    </row>
    <row r="9695" spans="1:6" x14ac:dyDescent="0.25">
      <c r="A9695" s="189" t="str">
        <f t="shared" si="151"/>
        <v>WA-US 4040.3641.85E</v>
      </c>
      <c r="B9695" s="195" t="s">
        <v>544</v>
      </c>
      <c r="C9695" s="196">
        <v>40.36</v>
      </c>
      <c r="D9695" s="196">
        <v>41.85</v>
      </c>
      <c r="E9695" s="195" t="s">
        <v>583</v>
      </c>
      <c r="F9695" s="195" t="s">
        <v>19</v>
      </c>
    </row>
    <row r="9696" spans="1:6" x14ac:dyDescent="0.25">
      <c r="A9696" s="189" t="str">
        <f t="shared" si="151"/>
        <v>WA-US 4040.3641.85W</v>
      </c>
      <c r="B9696" s="195" t="s">
        <v>544</v>
      </c>
      <c r="C9696" s="196">
        <v>40.36</v>
      </c>
      <c r="D9696" s="196">
        <v>41.85</v>
      </c>
      <c r="E9696" s="195" t="s">
        <v>583</v>
      </c>
      <c r="F9696" s="195" t="s">
        <v>432</v>
      </c>
    </row>
    <row r="9697" spans="1:6" x14ac:dyDescent="0.25">
      <c r="A9697" s="189" t="str">
        <f t="shared" si="151"/>
        <v>WA-US 4041.8543.45E</v>
      </c>
      <c r="B9697" s="195" t="s">
        <v>544</v>
      </c>
      <c r="C9697" s="196">
        <v>41.85</v>
      </c>
      <c r="D9697" s="196">
        <v>43.45</v>
      </c>
      <c r="E9697" s="195" t="s">
        <v>583</v>
      </c>
      <c r="F9697" s="195" t="s">
        <v>19</v>
      </c>
    </row>
    <row r="9698" spans="1:6" x14ac:dyDescent="0.25">
      <c r="A9698" s="189" t="str">
        <f t="shared" si="151"/>
        <v>WA-US 4041.8543.45W</v>
      </c>
      <c r="B9698" s="195" t="s">
        <v>544</v>
      </c>
      <c r="C9698" s="196">
        <v>41.85</v>
      </c>
      <c r="D9698" s="196">
        <v>43.45</v>
      </c>
      <c r="E9698" s="195" t="s">
        <v>583</v>
      </c>
      <c r="F9698" s="195" t="s">
        <v>432</v>
      </c>
    </row>
    <row r="9699" spans="1:6" x14ac:dyDescent="0.25">
      <c r="A9699" s="189" t="str">
        <f t="shared" si="151"/>
        <v>WA-US 4043.4545.88E</v>
      </c>
      <c r="B9699" s="195" t="s">
        <v>544</v>
      </c>
      <c r="C9699" s="196">
        <v>43.45</v>
      </c>
      <c r="D9699" s="196">
        <v>45.88</v>
      </c>
      <c r="E9699" s="195" t="s">
        <v>583</v>
      </c>
      <c r="F9699" s="195" t="s">
        <v>19</v>
      </c>
    </row>
    <row r="9700" spans="1:6" x14ac:dyDescent="0.25">
      <c r="A9700" s="189" t="str">
        <f t="shared" si="151"/>
        <v>WA-US 4043.4545.88W</v>
      </c>
      <c r="B9700" s="195" t="s">
        <v>544</v>
      </c>
      <c r="C9700" s="196">
        <v>43.45</v>
      </c>
      <c r="D9700" s="196">
        <v>45.88</v>
      </c>
      <c r="E9700" s="195" t="s">
        <v>583</v>
      </c>
      <c r="F9700" s="195" t="s">
        <v>432</v>
      </c>
    </row>
    <row r="9701" spans="1:6" x14ac:dyDescent="0.25">
      <c r="A9701" s="189" t="str">
        <f t="shared" si="151"/>
        <v>WA-US 4045.8845.95E</v>
      </c>
      <c r="B9701" s="195" t="s">
        <v>544</v>
      </c>
      <c r="C9701" s="196">
        <v>45.88</v>
      </c>
      <c r="D9701" s="196">
        <v>45.95</v>
      </c>
      <c r="E9701" s="195" t="s">
        <v>583</v>
      </c>
      <c r="F9701" s="195" t="s">
        <v>19</v>
      </c>
    </row>
    <row r="9702" spans="1:6" x14ac:dyDescent="0.25">
      <c r="A9702" s="189" t="str">
        <f t="shared" si="151"/>
        <v>WA-US 4045.8845.95W</v>
      </c>
      <c r="B9702" s="195" t="s">
        <v>544</v>
      </c>
      <c r="C9702" s="196">
        <v>45.88</v>
      </c>
      <c r="D9702" s="196">
        <v>45.95</v>
      </c>
      <c r="E9702" s="195" t="s">
        <v>583</v>
      </c>
      <c r="F9702" s="195" t="s">
        <v>432</v>
      </c>
    </row>
    <row r="9703" spans="1:6" x14ac:dyDescent="0.25">
      <c r="A9703" s="189" t="str">
        <f t="shared" si="151"/>
        <v>WA-US 40AL1.62.02E</v>
      </c>
      <c r="B9703" s="195" t="s">
        <v>545</v>
      </c>
      <c r="C9703" s="196">
        <v>1.6</v>
      </c>
      <c r="D9703" s="196">
        <v>2.02</v>
      </c>
      <c r="E9703" s="195" t="s">
        <v>583</v>
      </c>
      <c r="F9703" s="195" t="s">
        <v>19</v>
      </c>
    </row>
    <row r="9704" spans="1:6" x14ac:dyDescent="0.25">
      <c r="A9704" s="189" t="str">
        <f t="shared" si="151"/>
        <v>WA-US 40AL1.62.02W</v>
      </c>
      <c r="B9704" s="195" t="s">
        <v>545</v>
      </c>
      <c r="C9704" s="196">
        <v>1.6</v>
      </c>
      <c r="D9704" s="196">
        <v>2.02</v>
      </c>
      <c r="E9704" s="195" t="s">
        <v>583</v>
      </c>
      <c r="F9704" s="195" t="s">
        <v>432</v>
      </c>
    </row>
    <row r="9705" spans="1:6" x14ac:dyDescent="0.25">
      <c r="A9705" s="189" t="str">
        <f t="shared" si="151"/>
        <v>WA-US 40AL2.022.2E</v>
      </c>
      <c r="B9705" s="195" t="s">
        <v>545</v>
      </c>
      <c r="C9705" s="196">
        <v>2.02</v>
      </c>
      <c r="D9705" s="196">
        <v>2.2000000000000002</v>
      </c>
      <c r="E9705" s="195" t="s">
        <v>583</v>
      </c>
      <c r="F9705" s="195" t="s">
        <v>19</v>
      </c>
    </row>
    <row r="9706" spans="1:6" x14ac:dyDescent="0.25">
      <c r="A9706" s="189" t="str">
        <f t="shared" si="151"/>
        <v>WA-US 40AL2.022.2W</v>
      </c>
      <c r="B9706" s="195" t="s">
        <v>545</v>
      </c>
      <c r="C9706" s="196">
        <v>2.02</v>
      </c>
      <c r="D9706" s="196">
        <v>2.2000000000000002</v>
      </c>
      <c r="E9706" s="195" t="s">
        <v>583</v>
      </c>
      <c r="F9706" s="195" t="s">
        <v>432</v>
      </c>
    </row>
    <row r="9707" spans="1:6" x14ac:dyDescent="0.25">
      <c r="A9707" s="189" t="str">
        <f t="shared" si="151"/>
        <v>WA-US 40AL2.22.4E</v>
      </c>
      <c r="B9707" s="195" t="s">
        <v>545</v>
      </c>
      <c r="C9707" s="196">
        <v>2.2000000000000002</v>
      </c>
      <c r="D9707" s="196">
        <v>2.4</v>
      </c>
      <c r="E9707" s="195" t="s">
        <v>583</v>
      </c>
      <c r="F9707" s="195" t="s">
        <v>19</v>
      </c>
    </row>
    <row r="9708" spans="1:6" x14ac:dyDescent="0.25">
      <c r="A9708" s="189" t="str">
        <f t="shared" si="151"/>
        <v>WA-US 40AL2.22.4W</v>
      </c>
      <c r="B9708" s="195" t="s">
        <v>545</v>
      </c>
      <c r="C9708" s="196">
        <v>2.2000000000000002</v>
      </c>
      <c r="D9708" s="196">
        <v>2.4</v>
      </c>
      <c r="E9708" s="195" t="s">
        <v>583</v>
      </c>
      <c r="F9708" s="195" t="s">
        <v>432</v>
      </c>
    </row>
    <row r="9709" spans="1:6" x14ac:dyDescent="0.25">
      <c r="A9709" s="189" t="str">
        <f t="shared" si="151"/>
        <v>WA-US 40AL2.42.48E</v>
      </c>
      <c r="B9709" s="195" t="s">
        <v>545</v>
      </c>
      <c r="C9709" s="196">
        <v>2.4</v>
      </c>
      <c r="D9709" s="196">
        <v>2.48</v>
      </c>
      <c r="E9709" s="195" t="s">
        <v>583</v>
      </c>
      <c r="F9709" s="195" t="s">
        <v>19</v>
      </c>
    </row>
    <row r="9710" spans="1:6" x14ac:dyDescent="0.25">
      <c r="A9710" s="189" t="str">
        <f t="shared" si="151"/>
        <v>WA-US 40AL2.42.48W</v>
      </c>
      <c r="B9710" s="195" t="s">
        <v>545</v>
      </c>
      <c r="C9710" s="196">
        <v>2.4</v>
      </c>
      <c r="D9710" s="196">
        <v>2.48</v>
      </c>
      <c r="E9710" s="195" t="s">
        <v>583</v>
      </c>
      <c r="F9710" s="195" t="s">
        <v>432</v>
      </c>
    </row>
    <row r="9711" spans="1:6" x14ac:dyDescent="0.25">
      <c r="A9711" s="189" t="str">
        <f t="shared" si="151"/>
        <v>WA-US 40AL2.482.67E</v>
      </c>
      <c r="B9711" s="195" t="s">
        <v>545</v>
      </c>
      <c r="C9711" s="196">
        <v>2.48</v>
      </c>
      <c r="D9711" s="196">
        <v>2.67</v>
      </c>
      <c r="E9711" s="195" t="s">
        <v>583</v>
      </c>
      <c r="F9711" s="195" t="s">
        <v>19</v>
      </c>
    </row>
    <row r="9712" spans="1:6" x14ac:dyDescent="0.25">
      <c r="A9712" s="189" t="str">
        <f t="shared" si="151"/>
        <v>WA-US 40AL2.482.67W</v>
      </c>
      <c r="B9712" s="195" t="s">
        <v>545</v>
      </c>
      <c r="C9712" s="196">
        <v>2.48</v>
      </c>
      <c r="D9712" s="196">
        <v>2.67</v>
      </c>
      <c r="E9712" s="195" t="s">
        <v>583</v>
      </c>
      <c r="F9712" s="195" t="s">
        <v>432</v>
      </c>
    </row>
    <row r="9713" spans="1:6" x14ac:dyDescent="0.25">
      <c r="A9713" s="189" t="str">
        <f t="shared" si="151"/>
        <v>WA-US 40AL2.673.14E</v>
      </c>
      <c r="B9713" s="195" t="s">
        <v>545</v>
      </c>
      <c r="C9713" s="196">
        <v>2.67</v>
      </c>
      <c r="D9713" s="196">
        <v>3.14</v>
      </c>
      <c r="E9713" s="195" t="s">
        <v>583</v>
      </c>
      <c r="F9713" s="195" t="s">
        <v>19</v>
      </c>
    </row>
    <row r="9714" spans="1:6" x14ac:dyDescent="0.25">
      <c r="A9714" s="189" t="str">
        <f t="shared" si="151"/>
        <v>WA-US 40AL2.673.14W</v>
      </c>
      <c r="B9714" s="195" t="s">
        <v>545</v>
      </c>
      <c r="C9714" s="196">
        <v>2.67</v>
      </c>
      <c r="D9714" s="196">
        <v>3.14</v>
      </c>
      <c r="E9714" s="195" t="s">
        <v>583</v>
      </c>
      <c r="F9714" s="195" t="s">
        <v>432</v>
      </c>
    </row>
    <row r="9715" spans="1:6" x14ac:dyDescent="0.25">
      <c r="A9715" s="189" t="str">
        <f t="shared" si="151"/>
        <v>WA-US 40AL3.143.35W</v>
      </c>
      <c r="B9715" s="195" t="s">
        <v>545</v>
      </c>
      <c r="C9715" s="196">
        <v>3.14</v>
      </c>
      <c r="D9715" s="196">
        <v>3.35</v>
      </c>
      <c r="E9715" s="195" t="s">
        <v>593</v>
      </c>
      <c r="F9715" s="195" t="s">
        <v>432</v>
      </c>
    </row>
    <row r="9716" spans="1:6" x14ac:dyDescent="0.25">
      <c r="A9716" s="189" t="str">
        <f t="shared" si="151"/>
        <v>WA-US 40AL3.143.52E</v>
      </c>
      <c r="B9716" s="195" t="s">
        <v>545</v>
      </c>
      <c r="C9716" s="196">
        <v>3.14</v>
      </c>
      <c r="D9716" s="196">
        <v>3.52</v>
      </c>
      <c r="E9716" s="195" t="s">
        <v>598</v>
      </c>
      <c r="F9716" s="195" t="s">
        <v>19</v>
      </c>
    </row>
    <row r="9717" spans="1:6" x14ac:dyDescent="0.25">
      <c r="A9717" s="189" t="str">
        <f t="shared" si="151"/>
        <v>WA-US 40AL3.359.18W</v>
      </c>
      <c r="B9717" s="195" t="s">
        <v>545</v>
      </c>
      <c r="C9717" s="196">
        <v>3.35</v>
      </c>
      <c r="D9717" s="196">
        <v>9.18</v>
      </c>
      <c r="E9717" s="195" t="s">
        <v>593</v>
      </c>
      <c r="F9717" s="195" t="s">
        <v>432</v>
      </c>
    </row>
    <row r="9718" spans="1:6" x14ac:dyDescent="0.25">
      <c r="A9718" s="189" t="str">
        <f t="shared" si="151"/>
        <v>WA-US 40AL3.529.18E</v>
      </c>
      <c r="B9718" s="195" t="s">
        <v>545</v>
      </c>
      <c r="C9718" s="196">
        <v>3.52</v>
      </c>
      <c r="D9718" s="196">
        <v>9.18</v>
      </c>
      <c r="E9718" s="195" t="s">
        <v>598</v>
      </c>
      <c r="F9718" s="195" t="s">
        <v>19</v>
      </c>
    </row>
    <row r="9719" spans="1:6" x14ac:dyDescent="0.25">
      <c r="A9719" s="189" t="str">
        <f t="shared" si="151"/>
        <v>WA-US 40AL9.1812.64E</v>
      </c>
      <c r="B9719" s="195" t="s">
        <v>545</v>
      </c>
      <c r="C9719" s="196">
        <v>9.18</v>
      </c>
      <c r="D9719" s="196">
        <v>12.64</v>
      </c>
      <c r="E9719" s="195" t="s">
        <v>583</v>
      </c>
      <c r="F9719" s="195" t="s">
        <v>19</v>
      </c>
    </row>
    <row r="9720" spans="1:6" x14ac:dyDescent="0.25">
      <c r="A9720" s="189" t="str">
        <f t="shared" si="151"/>
        <v>WA-US 40AL9.1812.64W</v>
      </c>
      <c r="B9720" s="195" t="s">
        <v>545</v>
      </c>
      <c r="C9720" s="196">
        <v>9.18</v>
      </c>
      <c r="D9720" s="196">
        <v>12.64</v>
      </c>
      <c r="E9720" s="195" t="s">
        <v>583</v>
      </c>
      <c r="F9720" s="195" t="s">
        <v>432</v>
      </c>
    </row>
    <row r="9721" spans="1:6" x14ac:dyDescent="0.25">
      <c r="A9721" s="189" t="str">
        <f t="shared" si="151"/>
        <v>WA-US 40H00.02N</v>
      </c>
      <c r="B9721" s="195" t="s">
        <v>4341</v>
      </c>
      <c r="C9721" s="196">
        <v>0</v>
      </c>
      <c r="D9721" s="196">
        <v>0.02</v>
      </c>
      <c r="E9721" s="195" t="s">
        <v>589</v>
      </c>
      <c r="F9721" s="195" t="s">
        <v>430</v>
      </c>
    </row>
    <row r="9722" spans="1:6" x14ac:dyDescent="0.25">
      <c r="A9722" s="189" t="str">
        <f t="shared" si="151"/>
        <v>WA-US 40H00.05S</v>
      </c>
      <c r="B9722" s="195" t="s">
        <v>4341</v>
      </c>
      <c r="C9722" s="196">
        <v>0</v>
      </c>
      <c r="D9722" s="196">
        <v>0.05</v>
      </c>
      <c r="E9722" s="195" t="s">
        <v>595</v>
      </c>
      <c r="F9722" s="195" t="s">
        <v>438</v>
      </c>
    </row>
    <row r="9723" spans="1:6" x14ac:dyDescent="0.25">
      <c r="A9723" s="189" t="str">
        <f t="shared" si="151"/>
        <v>WA-US 52200N</v>
      </c>
      <c r="B9723" s="195" t="s">
        <v>4342</v>
      </c>
      <c r="C9723" s="196">
        <v>0</v>
      </c>
      <c r="D9723" s="196">
        <v>0</v>
      </c>
      <c r="E9723" s="195" t="s">
        <v>589</v>
      </c>
      <c r="F9723" s="195" t="s">
        <v>430</v>
      </c>
    </row>
    <row r="9724" spans="1:6" x14ac:dyDescent="0.25">
      <c r="A9724" s="189" t="str">
        <f t="shared" si="151"/>
        <v>WA-US 52200.48S</v>
      </c>
      <c r="B9724" s="195" t="s">
        <v>4342</v>
      </c>
      <c r="C9724" s="196">
        <v>0</v>
      </c>
      <c r="D9724" s="196">
        <v>0.48</v>
      </c>
      <c r="E9724" s="195" t="s">
        <v>595</v>
      </c>
      <c r="F9724" s="195" t="s">
        <v>438</v>
      </c>
    </row>
    <row r="9725" spans="1:6" x14ac:dyDescent="0.25">
      <c r="A9725" s="189" t="str">
        <f t="shared" si="151"/>
        <v>WA-US 52200.49N</v>
      </c>
      <c r="B9725" s="195" t="s">
        <v>4342</v>
      </c>
      <c r="C9725" s="196">
        <v>0</v>
      </c>
      <c r="D9725" s="196">
        <v>0.49</v>
      </c>
      <c r="E9725" s="195" t="s">
        <v>589</v>
      </c>
      <c r="F9725" s="195" t="s">
        <v>430</v>
      </c>
    </row>
    <row r="9726" spans="1:6" x14ac:dyDescent="0.25">
      <c r="A9726" s="189" t="str">
        <f t="shared" si="151"/>
        <v>WA-US 5220.480.5S</v>
      </c>
      <c r="B9726" s="195" t="s">
        <v>4342</v>
      </c>
      <c r="C9726" s="196">
        <v>0.48</v>
      </c>
      <c r="D9726" s="196">
        <v>0.5</v>
      </c>
      <c r="E9726" s="195" t="s">
        <v>595</v>
      </c>
      <c r="F9726" s="195" t="s">
        <v>438</v>
      </c>
    </row>
    <row r="9727" spans="1:6" x14ac:dyDescent="0.25">
      <c r="A9727" s="189" t="str">
        <f t="shared" si="151"/>
        <v>WA-US 5220.490.5N</v>
      </c>
      <c r="B9727" s="195" t="s">
        <v>4342</v>
      </c>
      <c r="C9727" s="196">
        <v>0.49</v>
      </c>
      <c r="D9727" s="196">
        <v>0.5</v>
      </c>
      <c r="E9727" s="195" t="s">
        <v>589</v>
      </c>
      <c r="F9727" s="195" t="s">
        <v>430</v>
      </c>
    </row>
    <row r="9728" spans="1:6" x14ac:dyDescent="0.25">
      <c r="A9728" s="189" t="str">
        <f t="shared" si="151"/>
        <v>WA-US 5220.50.56N</v>
      </c>
      <c r="B9728" s="195" t="s">
        <v>4342</v>
      </c>
      <c r="C9728" s="196">
        <v>0.5</v>
      </c>
      <c r="D9728" s="196">
        <v>0.56000000000000005</v>
      </c>
      <c r="E9728" s="195" t="s">
        <v>583</v>
      </c>
      <c r="F9728" s="195" t="s">
        <v>430</v>
      </c>
    </row>
    <row r="9729" spans="1:6" x14ac:dyDescent="0.25">
      <c r="A9729" s="189" t="str">
        <f t="shared" si="151"/>
        <v>WA-US 5220.50.56S</v>
      </c>
      <c r="B9729" s="195" t="s">
        <v>4342</v>
      </c>
      <c r="C9729" s="196">
        <v>0.5</v>
      </c>
      <c r="D9729" s="196">
        <v>0.56000000000000005</v>
      </c>
      <c r="E9729" s="195" t="s">
        <v>583</v>
      </c>
      <c r="F9729" s="195" t="s">
        <v>438</v>
      </c>
    </row>
    <row r="9730" spans="1:6" x14ac:dyDescent="0.25">
      <c r="A9730" s="189" t="str">
        <f t="shared" si="151"/>
        <v>WA-US 5220.560.67N</v>
      </c>
      <c r="B9730" s="195" t="s">
        <v>4342</v>
      </c>
      <c r="C9730" s="196">
        <v>0.56000000000000005</v>
      </c>
      <c r="D9730" s="196">
        <v>0.67</v>
      </c>
      <c r="E9730" s="195" t="s">
        <v>583</v>
      </c>
      <c r="F9730" s="195" t="s">
        <v>430</v>
      </c>
    </row>
    <row r="9731" spans="1:6" x14ac:dyDescent="0.25">
      <c r="A9731" s="189" t="str">
        <f t="shared" si="151"/>
        <v>WA-US 5220.560.67S</v>
      </c>
      <c r="B9731" s="195" t="s">
        <v>4342</v>
      </c>
      <c r="C9731" s="196">
        <v>0.56000000000000005</v>
      </c>
      <c r="D9731" s="196">
        <v>0.67</v>
      </c>
      <c r="E9731" s="195" t="s">
        <v>583</v>
      </c>
      <c r="F9731" s="195" t="s">
        <v>438</v>
      </c>
    </row>
    <row r="9732" spans="1:6" x14ac:dyDescent="0.25">
      <c r="A9732" s="189" t="str">
        <f t="shared" si="151"/>
        <v>WA-US 5221.311.32N</v>
      </c>
      <c r="B9732" s="195" t="s">
        <v>4342</v>
      </c>
      <c r="C9732" s="196">
        <v>1.31</v>
      </c>
      <c r="D9732" s="196">
        <v>1.32</v>
      </c>
      <c r="E9732" s="195" t="s">
        <v>589</v>
      </c>
      <c r="F9732" s="195" t="s">
        <v>430</v>
      </c>
    </row>
    <row r="9733" spans="1:6" x14ac:dyDescent="0.25">
      <c r="A9733" s="189" t="str">
        <f t="shared" si="151"/>
        <v>WA-US 522A00.34S</v>
      </c>
      <c r="B9733" s="195" t="s">
        <v>4343</v>
      </c>
      <c r="C9733" s="196">
        <v>0</v>
      </c>
      <c r="D9733" s="196">
        <v>0.34</v>
      </c>
      <c r="E9733" s="195" t="s">
        <v>595</v>
      </c>
      <c r="F9733" s="195" t="s">
        <v>438</v>
      </c>
    </row>
    <row r="9734" spans="1:6" x14ac:dyDescent="0.25">
      <c r="A9734" s="189" t="str">
        <f t="shared" si="151"/>
        <v>WA-US 522A0.340.4S</v>
      </c>
      <c r="B9734" s="195" t="s">
        <v>4343</v>
      </c>
      <c r="C9734" s="196">
        <v>0.34</v>
      </c>
      <c r="D9734" s="196">
        <v>0.4</v>
      </c>
      <c r="E9734" s="195" t="s">
        <v>595</v>
      </c>
      <c r="F9734" s="195" t="s">
        <v>438</v>
      </c>
    </row>
    <row r="9735" spans="1:6" x14ac:dyDescent="0.25">
      <c r="A9735" s="189" t="str">
        <f t="shared" si="151"/>
        <v>WA-US 522B00.14E</v>
      </c>
      <c r="B9735" s="195" t="s">
        <v>4344</v>
      </c>
      <c r="C9735" s="196">
        <v>0</v>
      </c>
      <c r="D9735" s="196">
        <v>0.14000000000000001</v>
      </c>
      <c r="E9735" s="195" t="s">
        <v>598</v>
      </c>
      <c r="F9735" s="195" t="s">
        <v>19</v>
      </c>
    </row>
    <row r="9736" spans="1:6" x14ac:dyDescent="0.25">
      <c r="A9736" s="189" t="str">
        <f t="shared" ref="A9736:A9799" si="152">B9736&amp;C9736&amp;D9736&amp;F9736</f>
        <v>WA-US 522B00.14W</v>
      </c>
      <c r="B9736" s="195" t="s">
        <v>4344</v>
      </c>
      <c r="C9736" s="196">
        <v>0</v>
      </c>
      <c r="D9736" s="196">
        <v>0.14000000000000001</v>
      </c>
      <c r="E9736" s="195" t="s">
        <v>593</v>
      </c>
      <c r="F9736" s="195" t="s">
        <v>432</v>
      </c>
    </row>
    <row r="9737" spans="1:6" x14ac:dyDescent="0.25">
      <c r="A9737" s="189" t="str">
        <f t="shared" si="152"/>
        <v>WA-US 522C00.2E</v>
      </c>
      <c r="B9737" s="195" t="s">
        <v>4345</v>
      </c>
      <c r="C9737" s="196">
        <v>0</v>
      </c>
      <c r="D9737" s="196">
        <v>0.2</v>
      </c>
      <c r="E9737" s="195" t="s">
        <v>598</v>
      </c>
      <c r="F9737" s="195" t="s">
        <v>19</v>
      </c>
    </row>
    <row r="9738" spans="1:6" x14ac:dyDescent="0.25">
      <c r="A9738" s="189" t="str">
        <f t="shared" si="152"/>
        <v>WA-US 522C00.2W</v>
      </c>
      <c r="B9738" s="195" t="s">
        <v>4345</v>
      </c>
      <c r="C9738" s="196">
        <v>0</v>
      </c>
      <c r="D9738" s="196">
        <v>0.2</v>
      </c>
      <c r="E9738" s="195" t="s">
        <v>593</v>
      </c>
      <c r="F9738" s="195" t="s">
        <v>432</v>
      </c>
    </row>
    <row r="9739" spans="1:6" x14ac:dyDescent="0.25">
      <c r="A9739" s="189" t="str">
        <f t="shared" si="152"/>
        <v>WI-MD 1200.89N</v>
      </c>
      <c r="B9739" s="195" t="s">
        <v>435</v>
      </c>
      <c r="C9739" s="196">
        <v>0</v>
      </c>
      <c r="D9739" s="196">
        <v>0.89</v>
      </c>
      <c r="E9739" s="195" t="s">
        <v>583</v>
      </c>
      <c r="F9739" s="195" t="s">
        <v>430</v>
      </c>
    </row>
    <row r="9740" spans="1:6" x14ac:dyDescent="0.25">
      <c r="A9740" s="189" t="str">
        <f t="shared" si="152"/>
        <v>WI-MD 1200.89S</v>
      </c>
      <c r="B9740" s="195" t="s">
        <v>435</v>
      </c>
      <c r="C9740" s="196">
        <v>0</v>
      </c>
      <c r="D9740" s="196">
        <v>0.89</v>
      </c>
      <c r="E9740" s="195" t="s">
        <v>583</v>
      </c>
      <c r="F9740" s="195" t="s">
        <v>438</v>
      </c>
    </row>
    <row r="9741" spans="1:6" x14ac:dyDescent="0.25">
      <c r="A9741" s="189" t="str">
        <f t="shared" si="152"/>
        <v>WI-MD 120.892.5N</v>
      </c>
      <c r="B9741" s="195" t="s">
        <v>435</v>
      </c>
      <c r="C9741" s="196">
        <v>0.89</v>
      </c>
      <c r="D9741" s="196">
        <v>2.5</v>
      </c>
      <c r="E9741" s="195" t="s">
        <v>583</v>
      </c>
      <c r="F9741" s="195" t="s">
        <v>430</v>
      </c>
    </row>
    <row r="9742" spans="1:6" x14ac:dyDescent="0.25">
      <c r="A9742" s="189" t="str">
        <f t="shared" si="152"/>
        <v>WI-MD 120.892.5S</v>
      </c>
      <c r="B9742" s="195" t="s">
        <v>435</v>
      </c>
      <c r="C9742" s="196">
        <v>0.89</v>
      </c>
      <c r="D9742" s="196">
        <v>2.5</v>
      </c>
      <c r="E9742" s="195" t="s">
        <v>583</v>
      </c>
      <c r="F9742" s="195" t="s">
        <v>438</v>
      </c>
    </row>
    <row r="9743" spans="1:6" x14ac:dyDescent="0.25">
      <c r="A9743" s="189" t="str">
        <f t="shared" si="152"/>
        <v>WI-MD 122.53.71N</v>
      </c>
      <c r="B9743" s="195" t="s">
        <v>435</v>
      </c>
      <c r="C9743" s="196">
        <v>2.5</v>
      </c>
      <c r="D9743" s="196">
        <v>3.71</v>
      </c>
      <c r="E9743" s="195" t="s">
        <v>583</v>
      </c>
      <c r="F9743" s="195" t="s">
        <v>430</v>
      </c>
    </row>
    <row r="9744" spans="1:6" x14ac:dyDescent="0.25">
      <c r="A9744" s="189" t="str">
        <f t="shared" si="152"/>
        <v>WI-MD 122.53.71S</v>
      </c>
      <c r="B9744" s="195" t="s">
        <v>435</v>
      </c>
      <c r="C9744" s="196">
        <v>2.5</v>
      </c>
      <c r="D9744" s="196">
        <v>3.71</v>
      </c>
      <c r="E9744" s="195" t="s">
        <v>583</v>
      </c>
      <c r="F9744" s="195" t="s">
        <v>438</v>
      </c>
    </row>
    <row r="9745" spans="1:6" x14ac:dyDescent="0.25">
      <c r="A9745" s="189" t="str">
        <f t="shared" si="152"/>
        <v>WI-MD 123.714.1S</v>
      </c>
      <c r="B9745" s="195" t="s">
        <v>435</v>
      </c>
      <c r="C9745" s="196">
        <v>3.71</v>
      </c>
      <c r="D9745" s="196">
        <v>4.0999999999999996</v>
      </c>
      <c r="E9745" s="195" t="s">
        <v>595</v>
      </c>
      <c r="F9745" s="195" t="s">
        <v>438</v>
      </c>
    </row>
    <row r="9746" spans="1:6" x14ac:dyDescent="0.25">
      <c r="A9746" s="189" t="str">
        <f t="shared" si="152"/>
        <v>WI-MD 123.715.6N</v>
      </c>
      <c r="B9746" s="195" t="s">
        <v>435</v>
      </c>
      <c r="C9746" s="196">
        <v>3.71</v>
      </c>
      <c r="D9746" s="196">
        <v>5.6</v>
      </c>
      <c r="E9746" s="195" t="s">
        <v>589</v>
      </c>
      <c r="F9746" s="195" t="s">
        <v>430</v>
      </c>
    </row>
    <row r="9747" spans="1:6" x14ac:dyDescent="0.25">
      <c r="A9747" s="189" t="str">
        <f t="shared" si="152"/>
        <v>WI-MD 124.95.6S</v>
      </c>
      <c r="B9747" s="195" t="s">
        <v>435</v>
      </c>
      <c r="C9747" s="196">
        <v>4.9000000000000004</v>
      </c>
      <c r="D9747" s="196">
        <v>5.6</v>
      </c>
      <c r="E9747" s="195" t="s">
        <v>595</v>
      </c>
      <c r="F9747" s="195" t="s">
        <v>438</v>
      </c>
    </row>
    <row r="9748" spans="1:6" x14ac:dyDescent="0.25">
      <c r="A9748" s="189" t="str">
        <f t="shared" si="152"/>
        <v>WI-MD 125.66.53N</v>
      </c>
      <c r="B9748" s="195" t="s">
        <v>435</v>
      </c>
      <c r="C9748" s="196">
        <v>5.6</v>
      </c>
      <c r="D9748" s="196">
        <v>6.53</v>
      </c>
      <c r="E9748" s="195" t="s">
        <v>583</v>
      </c>
      <c r="F9748" s="195" t="s">
        <v>430</v>
      </c>
    </row>
    <row r="9749" spans="1:6" x14ac:dyDescent="0.25">
      <c r="A9749" s="189" t="str">
        <f t="shared" si="152"/>
        <v>WI-MD 125.66.53S</v>
      </c>
      <c r="B9749" s="195" t="s">
        <v>435</v>
      </c>
      <c r="C9749" s="196">
        <v>5.6</v>
      </c>
      <c r="D9749" s="196">
        <v>6.53</v>
      </c>
      <c r="E9749" s="195" t="s">
        <v>583</v>
      </c>
      <c r="F9749" s="195" t="s">
        <v>438</v>
      </c>
    </row>
    <row r="9750" spans="1:6" x14ac:dyDescent="0.25">
      <c r="A9750" s="189" t="str">
        <f t="shared" si="152"/>
        <v>WI-MD 126.536.55N</v>
      </c>
      <c r="B9750" s="195" t="s">
        <v>435</v>
      </c>
      <c r="C9750" s="196">
        <v>6.53</v>
      </c>
      <c r="D9750" s="196">
        <v>6.55</v>
      </c>
      <c r="E9750" s="195" t="s">
        <v>583</v>
      </c>
      <c r="F9750" s="195" t="s">
        <v>430</v>
      </c>
    </row>
    <row r="9751" spans="1:6" x14ac:dyDescent="0.25">
      <c r="A9751" s="189" t="str">
        <f t="shared" si="152"/>
        <v>WI-MD 126.536.55S</v>
      </c>
      <c r="B9751" s="195" t="s">
        <v>435</v>
      </c>
      <c r="C9751" s="196">
        <v>6.53</v>
      </c>
      <c r="D9751" s="196">
        <v>6.55</v>
      </c>
      <c r="E9751" s="195" t="s">
        <v>583</v>
      </c>
      <c r="F9751" s="195" t="s">
        <v>438</v>
      </c>
    </row>
    <row r="9752" spans="1:6" x14ac:dyDescent="0.25">
      <c r="A9752" s="189" t="str">
        <f t="shared" si="152"/>
        <v>WI-MD 126.557.26N</v>
      </c>
      <c r="B9752" s="195" t="s">
        <v>435</v>
      </c>
      <c r="C9752" s="196">
        <v>6.55</v>
      </c>
      <c r="D9752" s="196">
        <v>7.26</v>
      </c>
      <c r="E9752" s="195" t="s">
        <v>583</v>
      </c>
      <c r="F9752" s="195" t="s">
        <v>430</v>
      </c>
    </row>
    <row r="9753" spans="1:6" x14ac:dyDescent="0.25">
      <c r="A9753" s="189" t="str">
        <f t="shared" si="152"/>
        <v>WI-MD 126.557.26S</v>
      </c>
      <c r="B9753" s="195" t="s">
        <v>435</v>
      </c>
      <c r="C9753" s="196">
        <v>6.55</v>
      </c>
      <c r="D9753" s="196">
        <v>7.26</v>
      </c>
      <c r="E9753" s="195" t="s">
        <v>583</v>
      </c>
      <c r="F9753" s="195" t="s">
        <v>438</v>
      </c>
    </row>
    <row r="9754" spans="1:6" x14ac:dyDescent="0.25">
      <c r="A9754" s="189" t="str">
        <f t="shared" si="152"/>
        <v>WI-MD 31303.72N</v>
      </c>
      <c r="B9754" s="195" t="s">
        <v>4346</v>
      </c>
      <c r="C9754" s="196">
        <v>0</v>
      </c>
      <c r="D9754" s="196">
        <v>3.72</v>
      </c>
      <c r="E9754" s="195" t="s">
        <v>583</v>
      </c>
      <c r="F9754" s="195" t="s">
        <v>430</v>
      </c>
    </row>
    <row r="9755" spans="1:6" x14ac:dyDescent="0.25">
      <c r="A9755" s="189" t="str">
        <f t="shared" si="152"/>
        <v>WI-MD 31303.72S</v>
      </c>
      <c r="B9755" s="195" t="s">
        <v>4346</v>
      </c>
      <c r="C9755" s="196">
        <v>0</v>
      </c>
      <c r="D9755" s="196">
        <v>3.72</v>
      </c>
      <c r="E9755" s="195" t="s">
        <v>583</v>
      </c>
      <c r="F9755" s="195" t="s">
        <v>438</v>
      </c>
    </row>
    <row r="9756" spans="1:6" x14ac:dyDescent="0.25">
      <c r="A9756" s="189" t="str">
        <f t="shared" si="152"/>
        <v>WI-MD 3133.727.15N</v>
      </c>
      <c r="B9756" s="195" t="s">
        <v>4346</v>
      </c>
      <c r="C9756" s="196">
        <v>3.72</v>
      </c>
      <c r="D9756" s="196">
        <v>7.15</v>
      </c>
      <c r="E9756" s="195" t="s">
        <v>589</v>
      </c>
      <c r="F9756" s="195" t="s">
        <v>430</v>
      </c>
    </row>
    <row r="9757" spans="1:6" x14ac:dyDescent="0.25">
      <c r="A9757" s="189" t="str">
        <f t="shared" si="152"/>
        <v>WI-MD 3133.727.31S</v>
      </c>
      <c r="B9757" s="195" t="s">
        <v>4346</v>
      </c>
      <c r="C9757" s="196">
        <v>3.72</v>
      </c>
      <c r="D9757" s="196">
        <v>7.31</v>
      </c>
      <c r="E9757" s="195" t="s">
        <v>595</v>
      </c>
      <c r="F9757" s="195" t="s">
        <v>438</v>
      </c>
    </row>
    <row r="9758" spans="1:6" x14ac:dyDescent="0.25">
      <c r="A9758" s="189" t="str">
        <f t="shared" si="152"/>
        <v>WI-MD 3137.157.31N</v>
      </c>
      <c r="B9758" s="195" t="s">
        <v>4346</v>
      </c>
      <c r="C9758" s="196">
        <v>7.15</v>
      </c>
      <c r="D9758" s="196">
        <v>7.31</v>
      </c>
      <c r="E9758" s="195" t="s">
        <v>589</v>
      </c>
      <c r="F9758" s="195" t="s">
        <v>430</v>
      </c>
    </row>
    <row r="9759" spans="1:6" x14ac:dyDescent="0.25">
      <c r="A9759" s="189" t="str">
        <f t="shared" si="152"/>
        <v>WI-MD 3460.674.61E</v>
      </c>
      <c r="B9759" s="195" t="s">
        <v>436</v>
      </c>
      <c r="C9759" s="196">
        <v>0.67</v>
      </c>
      <c r="D9759" s="196">
        <v>4.6100000000000003</v>
      </c>
      <c r="E9759" s="195" t="s">
        <v>583</v>
      </c>
      <c r="F9759" s="195" t="s">
        <v>19</v>
      </c>
    </row>
    <row r="9760" spans="1:6" x14ac:dyDescent="0.25">
      <c r="A9760" s="189" t="str">
        <f t="shared" si="152"/>
        <v>WI-MD 3460.674.61W</v>
      </c>
      <c r="B9760" s="195" t="s">
        <v>436</v>
      </c>
      <c r="C9760" s="196">
        <v>0.67</v>
      </c>
      <c r="D9760" s="196">
        <v>4.6100000000000003</v>
      </c>
      <c r="E9760" s="195" t="s">
        <v>583</v>
      </c>
      <c r="F9760" s="195" t="s">
        <v>432</v>
      </c>
    </row>
    <row r="9761" spans="1:6" x14ac:dyDescent="0.25">
      <c r="A9761" s="189" t="str">
        <f t="shared" si="152"/>
        <v>WI-MD 3464.617.8E</v>
      </c>
      <c r="B9761" s="195" t="s">
        <v>436</v>
      </c>
      <c r="C9761" s="196">
        <v>4.6100000000000003</v>
      </c>
      <c r="D9761" s="196">
        <v>7.8</v>
      </c>
      <c r="E9761" s="195" t="s">
        <v>583</v>
      </c>
      <c r="F9761" s="195" t="s">
        <v>19</v>
      </c>
    </row>
    <row r="9762" spans="1:6" x14ac:dyDescent="0.25">
      <c r="A9762" s="189" t="str">
        <f t="shared" si="152"/>
        <v>WI-MD 3464.617.8W</v>
      </c>
      <c r="B9762" s="195" t="s">
        <v>436</v>
      </c>
      <c r="C9762" s="196">
        <v>4.6100000000000003</v>
      </c>
      <c r="D9762" s="196">
        <v>7.8</v>
      </c>
      <c r="E9762" s="195" t="s">
        <v>583</v>
      </c>
      <c r="F9762" s="195" t="s">
        <v>432</v>
      </c>
    </row>
    <row r="9763" spans="1:6" x14ac:dyDescent="0.25">
      <c r="A9763" s="189" t="str">
        <f t="shared" si="152"/>
        <v>WI-MD 3467.812.94E</v>
      </c>
      <c r="B9763" s="195" t="s">
        <v>436</v>
      </c>
      <c r="C9763" s="196">
        <v>7.8</v>
      </c>
      <c r="D9763" s="196">
        <v>12.94</v>
      </c>
      <c r="E9763" s="195" t="s">
        <v>583</v>
      </c>
      <c r="F9763" s="195" t="s">
        <v>19</v>
      </c>
    </row>
    <row r="9764" spans="1:6" x14ac:dyDescent="0.25">
      <c r="A9764" s="189" t="str">
        <f t="shared" si="152"/>
        <v>WI-MD 3467.812.94W</v>
      </c>
      <c r="B9764" s="195" t="s">
        <v>436</v>
      </c>
      <c r="C9764" s="196">
        <v>7.8</v>
      </c>
      <c r="D9764" s="196">
        <v>12.94</v>
      </c>
      <c r="E9764" s="195" t="s">
        <v>583</v>
      </c>
      <c r="F9764" s="195" t="s">
        <v>432</v>
      </c>
    </row>
    <row r="9765" spans="1:6" x14ac:dyDescent="0.25">
      <c r="A9765" s="189" t="str">
        <f t="shared" si="152"/>
        <v>WI-MD 34612.9413.63E</v>
      </c>
      <c r="B9765" s="195" t="s">
        <v>436</v>
      </c>
      <c r="C9765" s="196">
        <v>12.94</v>
      </c>
      <c r="D9765" s="196">
        <v>13.63</v>
      </c>
      <c r="E9765" s="195" t="s">
        <v>583</v>
      </c>
      <c r="F9765" s="195" t="s">
        <v>19</v>
      </c>
    </row>
    <row r="9766" spans="1:6" x14ac:dyDescent="0.25">
      <c r="A9766" s="189" t="str">
        <f t="shared" si="152"/>
        <v>WI-MD 34612.9413.63W</v>
      </c>
      <c r="B9766" s="195" t="s">
        <v>436</v>
      </c>
      <c r="C9766" s="196">
        <v>12.94</v>
      </c>
      <c r="D9766" s="196">
        <v>13.63</v>
      </c>
      <c r="E9766" s="195" t="s">
        <v>583</v>
      </c>
      <c r="F9766" s="195" t="s">
        <v>432</v>
      </c>
    </row>
    <row r="9767" spans="1:6" x14ac:dyDescent="0.25">
      <c r="A9767" s="189" t="str">
        <f t="shared" si="152"/>
        <v>WI-MD 34613.6314.46E</v>
      </c>
      <c r="B9767" s="195" t="s">
        <v>436</v>
      </c>
      <c r="C9767" s="196">
        <v>13.63</v>
      </c>
      <c r="D9767" s="196">
        <v>14.46</v>
      </c>
      <c r="E9767" s="195" t="s">
        <v>583</v>
      </c>
      <c r="F9767" s="195" t="s">
        <v>19</v>
      </c>
    </row>
    <row r="9768" spans="1:6" x14ac:dyDescent="0.25">
      <c r="A9768" s="189" t="str">
        <f t="shared" si="152"/>
        <v>WI-MD 34613.6314.46W</v>
      </c>
      <c r="B9768" s="195" t="s">
        <v>436</v>
      </c>
      <c r="C9768" s="196">
        <v>13.63</v>
      </c>
      <c r="D9768" s="196">
        <v>14.46</v>
      </c>
      <c r="E9768" s="195" t="s">
        <v>583</v>
      </c>
      <c r="F9768" s="195" t="s">
        <v>432</v>
      </c>
    </row>
    <row r="9769" spans="1:6" x14ac:dyDescent="0.25">
      <c r="A9769" s="189" t="str">
        <f t="shared" si="152"/>
        <v>WI-MD 34700.78N</v>
      </c>
      <c r="B9769" s="195" t="s">
        <v>4347</v>
      </c>
      <c r="C9769" s="196">
        <v>0</v>
      </c>
      <c r="D9769" s="196">
        <v>0.78</v>
      </c>
      <c r="E9769" s="195" t="s">
        <v>583</v>
      </c>
      <c r="F9769" s="195" t="s">
        <v>430</v>
      </c>
    </row>
    <row r="9770" spans="1:6" x14ac:dyDescent="0.25">
      <c r="A9770" s="189" t="str">
        <f t="shared" si="152"/>
        <v>WI-MD 34700.78S</v>
      </c>
      <c r="B9770" s="195" t="s">
        <v>4347</v>
      </c>
      <c r="C9770" s="196">
        <v>0</v>
      </c>
      <c r="D9770" s="196">
        <v>0.78</v>
      </c>
      <c r="E9770" s="195" t="s">
        <v>583</v>
      </c>
      <c r="F9770" s="195" t="s">
        <v>438</v>
      </c>
    </row>
    <row r="9771" spans="1:6" x14ac:dyDescent="0.25">
      <c r="A9771" s="189" t="str">
        <f t="shared" si="152"/>
        <v>WI-MD 3470.781.02N</v>
      </c>
      <c r="B9771" s="195" t="s">
        <v>4347</v>
      </c>
      <c r="C9771" s="196">
        <v>0.78</v>
      </c>
      <c r="D9771" s="196">
        <v>1.02</v>
      </c>
      <c r="E9771" s="195" t="s">
        <v>583</v>
      </c>
      <c r="F9771" s="195" t="s">
        <v>430</v>
      </c>
    </row>
    <row r="9772" spans="1:6" x14ac:dyDescent="0.25">
      <c r="A9772" s="189" t="str">
        <f t="shared" si="152"/>
        <v>WI-MD 3470.781.02S</v>
      </c>
      <c r="B9772" s="195" t="s">
        <v>4347</v>
      </c>
      <c r="C9772" s="196">
        <v>0.78</v>
      </c>
      <c r="D9772" s="196">
        <v>1.02</v>
      </c>
      <c r="E9772" s="195" t="s">
        <v>583</v>
      </c>
      <c r="F9772" s="195" t="s">
        <v>438</v>
      </c>
    </row>
    <row r="9773" spans="1:6" x14ac:dyDescent="0.25">
      <c r="A9773" s="189" t="str">
        <f t="shared" si="152"/>
        <v>WI-MD 3471.021.15N</v>
      </c>
      <c r="B9773" s="195" t="s">
        <v>4347</v>
      </c>
      <c r="C9773" s="196">
        <v>1.02</v>
      </c>
      <c r="D9773" s="196">
        <v>1.1499999999999999</v>
      </c>
      <c r="E9773" s="195" t="s">
        <v>583</v>
      </c>
      <c r="F9773" s="195" t="s">
        <v>430</v>
      </c>
    </row>
    <row r="9774" spans="1:6" x14ac:dyDescent="0.25">
      <c r="A9774" s="189" t="str">
        <f t="shared" si="152"/>
        <v>WI-MD 3471.021.15S</v>
      </c>
      <c r="B9774" s="195" t="s">
        <v>4347</v>
      </c>
      <c r="C9774" s="196">
        <v>1.02</v>
      </c>
      <c r="D9774" s="196">
        <v>1.1499999999999999</v>
      </c>
      <c r="E9774" s="195" t="s">
        <v>583</v>
      </c>
      <c r="F9774" s="195" t="s">
        <v>438</v>
      </c>
    </row>
    <row r="9775" spans="1:6" x14ac:dyDescent="0.25">
      <c r="A9775" s="189" t="str">
        <f t="shared" si="152"/>
        <v>WI-MD 3471.151.5N</v>
      </c>
      <c r="B9775" s="195" t="s">
        <v>4347</v>
      </c>
      <c r="C9775" s="196">
        <v>1.1499999999999999</v>
      </c>
      <c r="D9775" s="196">
        <v>1.5</v>
      </c>
      <c r="E9775" s="195" t="s">
        <v>583</v>
      </c>
      <c r="F9775" s="195" t="s">
        <v>430</v>
      </c>
    </row>
    <row r="9776" spans="1:6" x14ac:dyDescent="0.25">
      <c r="A9776" s="189" t="str">
        <f t="shared" si="152"/>
        <v>WI-MD 3471.151.5S</v>
      </c>
      <c r="B9776" s="195" t="s">
        <v>4347</v>
      </c>
      <c r="C9776" s="196">
        <v>1.1499999999999999</v>
      </c>
      <c r="D9776" s="196">
        <v>1.5</v>
      </c>
      <c r="E9776" s="195" t="s">
        <v>583</v>
      </c>
      <c r="F9776" s="195" t="s">
        <v>438</v>
      </c>
    </row>
    <row r="9777" spans="1:6" x14ac:dyDescent="0.25">
      <c r="A9777" s="189" t="str">
        <f t="shared" si="152"/>
        <v>WI-MD 3471.51.52N</v>
      </c>
      <c r="B9777" s="195" t="s">
        <v>4347</v>
      </c>
      <c r="C9777" s="196">
        <v>1.5</v>
      </c>
      <c r="D9777" s="196">
        <v>1.52</v>
      </c>
      <c r="E9777" s="195" t="s">
        <v>583</v>
      </c>
      <c r="F9777" s="195" t="s">
        <v>430</v>
      </c>
    </row>
    <row r="9778" spans="1:6" x14ac:dyDescent="0.25">
      <c r="A9778" s="189" t="str">
        <f t="shared" si="152"/>
        <v>WI-MD 3471.51.52S</v>
      </c>
      <c r="B9778" s="195" t="s">
        <v>4347</v>
      </c>
      <c r="C9778" s="196">
        <v>1.5</v>
      </c>
      <c r="D9778" s="196">
        <v>1.52</v>
      </c>
      <c r="E9778" s="195" t="s">
        <v>583</v>
      </c>
      <c r="F9778" s="195" t="s">
        <v>438</v>
      </c>
    </row>
    <row r="9779" spans="1:6" x14ac:dyDescent="0.25">
      <c r="A9779" s="189" t="str">
        <f t="shared" si="152"/>
        <v>WI-MD 3471.525.32N</v>
      </c>
      <c r="B9779" s="195" t="s">
        <v>4347</v>
      </c>
      <c r="C9779" s="196">
        <v>1.52</v>
      </c>
      <c r="D9779" s="196">
        <v>5.32</v>
      </c>
      <c r="E9779" s="195" t="s">
        <v>583</v>
      </c>
      <c r="F9779" s="195" t="s">
        <v>430</v>
      </c>
    </row>
    <row r="9780" spans="1:6" x14ac:dyDescent="0.25">
      <c r="A9780" s="189" t="str">
        <f t="shared" si="152"/>
        <v>WI-MD 3471.525.32S</v>
      </c>
      <c r="B9780" s="195" t="s">
        <v>4347</v>
      </c>
      <c r="C9780" s="196">
        <v>1.52</v>
      </c>
      <c r="D9780" s="196">
        <v>5.32</v>
      </c>
      <c r="E9780" s="195" t="s">
        <v>583</v>
      </c>
      <c r="F9780" s="195" t="s">
        <v>438</v>
      </c>
    </row>
    <row r="9781" spans="1:6" x14ac:dyDescent="0.25">
      <c r="A9781" s="189" t="str">
        <f t="shared" si="152"/>
        <v>WI-MD 3475.325.75N</v>
      </c>
      <c r="B9781" s="195" t="s">
        <v>4347</v>
      </c>
      <c r="C9781" s="196">
        <v>5.32</v>
      </c>
      <c r="D9781" s="196">
        <v>5.75</v>
      </c>
      <c r="E9781" s="195" t="s">
        <v>583</v>
      </c>
      <c r="F9781" s="195" t="s">
        <v>430</v>
      </c>
    </row>
    <row r="9782" spans="1:6" x14ac:dyDescent="0.25">
      <c r="A9782" s="189" t="str">
        <f t="shared" si="152"/>
        <v>WI-MD 3475.325.75S</v>
      </c>
      <c r="B9782" s="195" t="s">
        <v>4347</v>
      </c>
      <c r="C9782" s="196">
        <v>5.32</v>
      </c>
      <c r="D9782" s="196">
        <v>5.75</v>
      </c>
      <c r="E9782" s="195" t="s">
        <v>583</v>
      </c>
      <c r="F9782" s="195" t="s">
        <v>438</v>
      </c>
    </row>
    <row r="9783" spans="1:6" x14ac:dyDescent="0.25">
      <c r="A9783" s="189" t="str">
        <f t="shared" si="152"/>
        <v>WI-MD 3475.755.88N</v>
      </c>
      <c r="B9783" s="195" t="s">
        <v>4347</v>
      </c>
      <c r="C9783" s="196">
        <v>5.75</v>
      </c>
      <c r="D9783" s="196">
        <v>5.88</v>
      </c>
      <c r="E9783" s="195" t="s">
        <v>583</v>
      </c>
      <c r="F9783" s="195" t="s">
        <v>430</v>
      </c>
    </row>
    <row r="9784" spans="1:6" x14ac:dyDescent="0.25">
      <c r="A9784" s="189" t="str">
        <f t="shared" si="152"/>
        <v>WI-MD 3475.755.88S</v>
      </c>
      <c r="B9784" s="195" t="s">
        <v>4347</v>
      </c>
      <c r="C9784" s="196">
        <v>5.75</v>
      </c>
      <c r="D9784" s="196">
        <v>5.88</v>
      </c>
      <c r="E9784" s="195" t="s">
        <v>583</v>
      </c>
      <c r="F9784" s="195" t="s">
        <v>438</v>
      </c>
    </row>
    <row r="9785" spans="1:6" x14ac:dyDescent="0.25">
      <c r="A9785" s="189" t="str">
        <f t="shared" si="152"/>
        <v>WI-MD 3475.886.4N</v>
      </c>
      <c r="B9785" s="195" t="s">
        <v>4347</v>
      </c>
      <c r="C9785" s="196">
        <v>5.88</v>
      </c>
      <c r="D9785" s="196">
        <v>6.4</v>
      </c>
      <c r="E9785" s="195" t="s">
        <v>583</v>
      </c>
      <c r="F9785" s="195" t="s">
        <v>430</v>
      </c>
    </row>
    <row r="9786" spans="1:6" x14ac:dyDescent="0.25">
      <c r="A9786" s="189" t="str">
        <f t="shared" si="152"/>
        <v>WI-MD 3475.886.4S</v>
      </c>
      <c r="B9786" s="195" t="s">
        <v>4347</v>
      </c>
      <c r="C9786" s="196">
        <v>5.88</v>
      </c>
      <c r="D9786" s="196">
        <v>6.4</v>
      </c>
      <c r="E9786" s="195" t="s">
        <v>583</v>
      </c>
      <c r="F9786" s="195" t="s">
        <v>438</v>
      </c>
    </row>
    <row r="9787" spans="1:6" x14ac:dyDescent="0.25">
      <c r="A9787" s="189" t="str">
        <f t="shared" si="152"/>
        <v>WI-MD 3476.46.92N</v>
      </c>
      <c r="B9787" s="195" t="s">
        <v>4347</v>
      </c>
      <c r="C9787" s="196">
        <v>6.4</v>
      </c>
      <c r="D9787" s="196">
        <v>6.92</v>
      </c>
      <c r="E9787" s="195" t="s">
        <v>583</v>
      </c>
      <c r="F9787" s="195" t="s">
        <v>430</v>
      </c>
    </row>
    <row r="9788" spans="1:6" x14ac:dyDescent="0.25">
      <c r="A9788" s="189" t="str">
        <f t="shared" si="152"/>
        <v>WI-MD 3476.46.92S</v>
      </c>
      <c r="B9788" s="195" t="s">
        <v>4347</v>
      </c>
      <c r="C9788" s="196">
        <v>6.4</v>
      </c>
      <c r="D9788" s="196">
        <v>6.92</v>
      </c>
      <c r="E9788" s="195" t="s">
        <v>583</v>
      </c>
      <c r="F9788" s="195" t="s">
        <v>438</v>
      </c>
    </row>
    <row r="9789" spans="1:6" x14ac:dyDescent="0.25">
      <c r="A9789" s="189" t="str">
        <f t="shared" si="152"/>
        <v>WI-MD 34800.04E</v>
      </c>
      <c r="B9789" s="195" t="s">
        <v>4348</v>
      </c>
      <c r="C9789" s="196">
        <v>0</v>
      </c>
      <c r="D9789" s="196">
        <v>0.04</v>
      </c>
      <c r="E9789" s="195" t="s">
        <v>583</v>
      </c>
      <c r="F9789" s="195" t="s">
        <v>19</v>
      </c>
    </row>
    <row r="9790" spans="1:6" x14ac:dyDescent="0.25">
      <c r="A9790" s="189" t="str">
        <f t="shared" si="152"/>
        <v>WI-MD 34800.04W</v>
      </c>
      <c r="B9790" s="195" t="s">
        <v>4348</v>
      </c>
      <c r="C9790" s="196">
        <v>0</v>
      </c>
      <c r="D9790" s="196">
        <v>0.04</v>
      </c>
      <c r="E9790" s="195" t="s">
        <v>583</v>
      </c>
      <c r="F9790" s="195" t="s">
        <v>432</v>
      </c>
    </row>
    <row r="9791" spans="1:6" x14ac:dyDescent="0.25">
      <c r="A9791" s="189" t="str">
        <f t="shared" si="152"/>
        <v>WI-MD 3480.041.1E</v>
      </c>
      <c r="B9791" s="195" t="s">
        <v>4348</v>
      </c>
      <c r="C9791" s="196">
        <v>0.04</v>
      </c>
      <c r="D9791" s="196">
        <v>1.1000000000000001</v>
      </c>
      <c r="E9791" s="195" t="s">
        <v>583</v>
      </c>
      <c r="F9791" s="195" t="s">
        <v>19</v>
      </c>
    </row>
    <row r="9792" spans="1:6" x14ac:dyDescent="0.25">
      <c r="A9792" s="189" t="str">
        <f t="shared" si="152"/>
        <v>WI-MD 3480.041.1W</v>
      </c>
      <c r="B9792" s="195" t="s">
        <v>4348</v>
      </c>
      <c r="C9792" s="196">
        <v>0.04</v>
      </c>
      <c r="D9792" s="196">
        <v>1.1000000000000001</v>
      </c>
      <c r="E9792" s="195" t="s">
        <v>583</v>
      </c>
      <c r="F9792" s="195" t="s">
        <v>432</v>
      </c>
    </row>
    <row r="9793" spans="1:6" x14ac:dyDescent="0.25">
      <c r="A9793" s="189" t="str">
        <f t="shared" si="152"/>
        <v>WI-MD 3481.11.39E</v>
      </c>
      <c r="B9793" s="195" t="s">
        <v>4348</v>
      </c>
      <c r="C9793" s="196">
        <v>1.1000000000000001</v>
      </c>
      <c r="D9793" s="196">
        <v>1.39</v>
      </c>
      <c r="E9793" s="195" t="s">
        <v>583</v>
      </c>
      <c r="F9793" s="195" t="s">
        <v>19</v>
      </c>
    </row>
    <row r="9794" spans="1:6" x14ac:dyDescent="0.25">
      <c r="A9794" s="189" t="str">
        <f t="shared" si="152"/>
        <v>WI-MD 3481.11.39W</v>
      </c>
      <c r="B9794" s="195" t="s">
        <v>4348</v>
      </c>
      <c r="C9794" s="196">
        <v>1.1000000000000001</v>
      </c>
      <c r="D9794" s="196">
        <v>1.39</v>
      </c>
      <c r="E9794" s="195" t="s">
        <v>583</v>
      </c>
      <c r="F9794" s="195" t="s">
        <v>432</v>
      </c>
    </row>
    <row r="9795" spans="1:6" x14ac:dyDescent="0.25">
      <c r="A9795" s="189" t="str">
        <f t="shared" si="152"/>
        <v>WI-MD 34900.4E</v>
      </c>
      <c r="B9795" s="195" t="s">
        <v>4349</v>
      </c>
      <c r="C9795" s="196">
        <v>0</v>
      </c>
      <c r="D9795" s="196">
        <v>0.4</v>
      </c>
      <c r="E9795" s="195" t="s">
        <v>583</v>
      </c>
      <c r="F9795" s="195" t="s">
        <v>19</v>
      </c>
    </row>
    <row r="9796" spans="1:6" x14ac:dyDescent="0.25">
      <c r="A9796" s="189" t="str">
        <f t="shared" si="152"/>
        <v>WI-MD 34900.4W</v>
      </c>
      <c r="B9796" s="195" t="s">
        <v>4349</v>
      </c>
      <c r="C9796" s="196">
        <v>0</v>
      </c>
      <c r="D9796" s="196">
        <v>0.4</v>
      </c>
      <c r="E9796" s="195" t="s">
        <v>583</v>
      </c>
      <c r="F9796" s="195" t="s">
        <v>432</v>
      </c>
    </row>
    <row r="9797" spans="1:6" x14ac:dyDescent="0.25">
      <c r="A9797" s="189" t="str">
        <f t="shared" si="152"/>
        <v>WI-MD 3490.41.29E</v>
      </c>
      <c r="B9797" s="195" t="s">
        <v>4349</v>
      </c>
      <c r="C9797" s="196">
        <v>0.4</v>
      </c>
      <c r="D9797" s="196">
        <v>1.29</v>
      </c>
      <c r="E9797" s="195" t="s">
        <v>583</v>
      </c>
      <c r="F9797" s="195" t="s">
        <v>19</v>
      </c>
    </row>
    <row r="9798" spans="1:6" x14ac:dyDescent="0.25">
      <c r="A9798" s="189" t="str">
        <f t="shared" si="152"/>
        <v>WI-MD 3490.41.29W</v>
      </c>
      <c r="B9798" s="195" t="s">
        <v>4349</v>
      </c>
      <c r="C9798" s="196">
        <v>0.4</v>
      </c>
      <c r="D9798" s="196">
        <v>1.29</v>
      </c>
      <c r="E9798" s="195" t="s">
        <v>583</v>
      </c>
      <c r="F9798" s="195" t="s">
        <v>432</v>
      </c>
    </row>
    <row r="9799" spans="1:6" x14ac:dyDescent="0.25">
      <c r="A9799" s="189" t="str">
        <f t="shared" si="152"/>
        <v>WI-MD 3491.297.58E</v>
      </c>
      <c r="B9799" s="195" t="s">
        <v>4349</v>
      </c>
      <c r="C9799" s="196">
        <v>1.29</v>
      </c>
      <c r="D9799" s="196">
        <v>7.58</v>
      </c>
      <c r="E9799" s="195" t="s">
        <v>583</v>
      </c>
      <c r="F9799" s="195" t="s">
        <v>19</v>
      </c>
    </row>
    <row r="9800" spans="1:6" x14ac:dyDescent="0.25">
      <c r="A9800" s="189" t="str">
        <f t="shared" ref="A9800:A9863" si="153">B9800&amp;C9800&amp;D9800&amp;F9800</f>
        <v>WI-MD 3491.297.58W</v>
      </c>
      <c r="B9800" s="195" t="s">
        <v>4349</v>
      </c>
      <c r="C9800" s="196">
        <v>1.29</v>
      </c>
      <c r="D9800" s="196">
        <v>7.58</v>
      </c>
      <c r="E9800" s="195" t="s">
        <v>583</v>
      </c>
      <c r="F9800" s="195" t="s">
        <v>432</v>
      </c>
    </row>
    <row r="9801" spans="1:6" x14ac:dyDescent="0.25">
      <c r="A9801" s="189" t="str">
        <f t="shared" si="153"/>
        <v>WI-MD 3497.5815.12E</v>
      </c>
      <c r="B9801" s="195" t="s">
        <v>4349</v>
      </c>
      <c r="C9801" s="196">
        <v>7.58</v>
      </c>
      <c r="D9801" s="196">
        <v>15.12</v>
      </c>
      <c r="E9801" s="195" t="s">
        <v>583</v>
      </c>
      <c r="F9801" s="195" t="s">
        <v>19</v>
      </c>
    </row>
    <row r="9802" spans="1:6" x14ac:dyDescent="0.25">
      <c r="A9802" s="189" t="str">
        <f t="shared" si="153"/>
        <v>WI-MD 3497.5815.12W</v>
      </c>
      <c r="B9802" s="195" t="s">
        <v>4349</v>
      </c>
      <c r="C9802" s="196">
        <v>7.58</v>
      </c>
      <c r="D9802" s="196">
        <v>15.12</v>
      </c>
      <c r="E9802" s="195" t="s">
        <v>583</v>
      </c>
      <c r="F9802" s="195" t="s">
        <v>432</v>
      </c>
    </row>
    <row r="9803" spans="1:6" x14ac:dyDescent="0.25">
      <c r="A9803" s="189" t="str">
        <f t="shared" si="153"/>
        <v>WI-MD 34915.1215.14E</v>
      </c>
      <c r="B9803" s="195" t="s">
        <v>4349</v>
      </c>
      <c r="C9803" s="196">
        <v>15.12</v>
      </c>
      <c r="D9803" s="196">
        <v>15.14</v>
      </c>
      <c r="E9803" s="195" t="s">
        <v>583</v>
      </c>
      <c r="F9803" s="195" t="s">
        <v>19</v>
      </c>
    </row>
    <row r="9804" spans="1:6" x14ac:dyDescent="0.25">
      <c r="A9804" s="189" t="str">
        <f t="shared" si="153"/>
        <v>WI-MD 34915.1215.14W</v>
      </c>
      <c r="B9804" s="195" t="s">
        <v>4349</v>
      </c>
      <c r="C9804" s="196">
        <v>15.12</v>
      </c>
      <c r="D9804" s="196">
        <v>15.14</v>
      </c>
      <c r="E9804" s="195" t="s">
        <v>583</v>
      </c>
      <c r="F9804" s="195" t="s">
        <v>432</v>
      </c>
    </row>
    <row r="9805" spans="1:6" x14ac:dyDescent="0.25">
      <c r="A9805" s="189" t="str">
        <f t="shared" si="153"/>
        <v>WI-MD 34915.1417.74E</v>
      </c>
      <c r="B9805" s="195" t="s">
        <v>4349</v>
      </c>
      <c r="C9805" s="196">
        <v>15.14</v>
      </c>
      <c r="D9805" s="196">
        <v>17.739999999999998</v>
      </c>
      <c r="E9805" s="195" t="s">
        <v>583</v>
      </c>
      <c r="F9805" s="195" t="s">
        <v>19</v>
      </c>
    </row>
    <row r="9806" spans="1:6" x14ac:dyDescent="0.25">
      <c r="A9806" s="189" t="str">
        <f t="shared" si="153"/>
        <v>WI-MD 34915.1417.74W</v>
      </c>
      <c r="B9806" s="195" t="s">
        <v>4349</v>
      </c>
      <c r="C9806" s="196">
        <v>15.14</v>
      </c>
      <c r="D9806" s="196">
        <v>17.739999999999998</v>
      </c>
      <c r="E9806" s="195" t="s">
        <v>583</v>
      </c>
      <c r="F9806" s="195" t="s">
        <v>432</v>
      </c>
    </row>
    <row r="9807" spans="1:6" x14ac:dyDescent="0.25">
      <c r="A9807" s="189" t="str">
        <f t="shared" si="153"/>
        <v>WI-MD 34917.7418.74E</v>
      </c>
      <c r="B9807" s="195" t="s">
        <v>4349</v>
      </c>
      <c r="C9807" s="196">
        <v>17.739999999999998</v>
      </c>
      <c r="D9807" s="196">
        <v>18.739999999999998</v>
      </c>
      <c r="E9807" s="195" t="s">
        <v>583</v>
      </c>
      <c r="F9807" s="195" t="s">
        <v>19</v>
      </c>
    </row>
    <row r="9808" spans="1:6" x14ac:dyDescent="0.25">
      <c r="A9808" s="189" t="str">
        <f t="shared" si="153"/>
        <v>WI-MD 34917.7418.74W</v>
      </c>
      <c r="B9808" s="195" t="s">
        <v>4349</v>
      </c>
      <c r="C9808" s="196">
        <v>17.739999999999998</v>
      </c>
      <c r="D9808" s="196">
        <v>18.739999999999998</v>
      </c>
      <c r="E9808" s="195" t="s">
        <v>583</v>
      </c>
      <c r="F9808" s="195" t="s">
        <v>432</v>
      </c>
    </row>
    <row r="9809" spans="1:6" x14ac:dyDescent="0.25">
      <c r="A9809" s="189" t="str">
        <f t="shared" si="153"/>
        <v>WI-MD 34918.7421.6E</v>
      </c>
      <c r="B9809" s="195" t="s">
        <v>4349</v>
      </c>
      <c r="C9809" s="196">
        <v>18.739999999999998</v>
      </c>
      <c r="D9809" s="196">
        <v>21.6</v>
      </c>
      <c r="E9809" s="195" t="s">
        <v>583</v>
      </c>
      <c r="F9809" s="195" t="s">
        <v>19</v>
      </c>
    </row>
    <row r="9810" spans="1:6" x14ac:dyDescent="0.25">
      <c r="A9810" s="189" t="str">
        <f t="shared" si="153"/>
        <v>WI-MD 34918.7421.6W</v>
      </c>
      <c r="B9810" s="195" t="s">
        <v>4349</v>
      </c>
      <c r="C9810" s="196">
        <v>18.739999999999998</v>
      </c>
      <c r="D9810" s="196">
        <v>21.6</v>
      </c>
      <c r="E9810" s="195" t="s">
        <v>583</v>
      </c>
      <c r="F9810" s="195" t="s">
        <v>432</v>
      </c>
    </row>
    <row r="9811" spans="1:6" x14ac:dyDescent="0.25">
      <c r="A9811" s="189" t="str">
        <f t="shared" si="153"/>
        <v>WI-MD 34921.621.63E</v>
      </c>
      <c r="B9811" s="195" t="s">
        <v>4349</v>
      </c>
      <c r="C9811" s="196">
        <v>21.6</v>
      </c>
      <c r="D9811" s="196">
        <v>21.63</v>
      </c>
      <c r="E9811" s="195" t="s">
        <v>583</v>
      </c>
      <c r="F9811" s="195" t="s">
        <v>19</v>
      </c>
    </row>
    <row r="9812" spans="1:6" x14ac:dyDescent="0.25">
      <c r="A9812" s="189" t="str">
        <f t="shared" si="153"/>
        <v>WI-MD 34921.621.63W</v>
      </c>
      <c r="B9812" s="195" t="s">
        <v>4349</v>
      </c>
      <c r="C9812" s="196">
        <v>21.6</v>
      </c>
      <c r="D9812" s="196">
        <v>21.63</v>
      </c>
      <c r="E9812" s="195" t="s">
        <v>583</v>
      </c>
      <c r="F9812" s="195" t="s">
        <v>432</v>
      </c>
    </row>
    <row r="9813" spans="1:6" x14ac:dyDescent="0.25">
      <c r="A9813" s="189" t="str">
        <f t="shared" si="153"/>
        <v>WI-MD 34921.6322.21E</v>
      </c>
      <c r="B9813" s="195" t="s">
        <v>4349</v>
      </c>
      <c r="C9813" s="196">
        <v>21.63</v>
      </c>
      <c r="D9813" s="196">
        <v>22.21</v>
      </c>
      <c r="E9813" s="195" t="s">
        <v>583</v>
      </c>
      <c r="F9813" s="195" t="s">
        <v>19</v>
      </c>
    </row>
    <row r="9814" spans="1:6" x14ac:dyDescent="0.25">
      <c r="A9814" s="189" t="str">
        <f t="shared" si="153"/>
        <v>WI-MD 34921.6322.21W</v>
      </c>
      <c r="B9814" s="195" t="s">
        <v>4349</v>
      </c>
      <c r="C9814" s="196">
        <v>21.63</v>
      </c>
      <c r="D9814" s="196">
        <v>22.21</v>
      </c>
      <c r="E9814" s="195" t="s">
        <v>583</v>
      </c>
      <c r="F9814" s="195" t="s">
        <v>432</v>
      </c>
    </row>
    <row r="9815" spans="1:6" x14ac:dyDescent="0.25">
      <c r="A9815" s="189" t="str">
        <f t="shared" si="153"/>
        <v>WI-MD 34922.2122.32E</v>
      </c>
      <c r="B9815" s="195" t="s">
        <v>4349</v>
      </c>
      <c r="C9815" s="196">
        <v>22.21</v>
      </c>
      <c r="D9815" s="196">
        <v>22.32</v>
      </c>
      <c r="E9815" s="195" t="s">
        <v>583</v>
      </c>
      <c r="F9815" s="195" t="s">
        <v>19</v>
      </c>
    </row>
    <row r="9816" spans="1:6" x14ac:dyDescent="0.25">
      <c r="A9816" s="189" t="str">
        <f t="shared" si="153"/>
        <v>WI-MD 34922.2122.32W</v>
      </c>
      <c r="B9816" s="195" t="s">
        <v>4349</v>
      </c>
      <c r="C9816" s="196">
        <v>22.21</v>
      </c>
      <c r="D9816" s="196">
        <v>22.32</v>
      </c>
      <c r="E9816" s="195" t="s">
        <v>583</v>
      </c>
      <c r="F9816" s="195" t="s">
        <v>432</v>
      </c>
    </row>
    <row r="9817" spans="1:6" x14ac:dyDescent="0.25">
      <c r="A9817" s="189" t="str">
        <f t="shared" si="153"/>
        <v>WI-MD 3500.181.56E</v>
      </c>
      <c r="B9817" s="195" t="s">
        <v>4350</v>
      </c>
      <c r="C9817" s="196">
        <v>0.18</v>
      </c>
      <c r="D9817" s="196">
        <v>1.56</v>
      </c>
      <c r="E9817" s="195" t="s">
        <v>583</v>
      </c>
      <c r="F9817" s="195" t="s">
        <v>19</v>
      </c>
    </row>
    <row r="9818" spans="1:6" x14ac:dyDescent="0.25">
      <c r="A9818" s="189" t="str">
        <f t="shared" si="153"/>
        <v>WI-MD 3500.181.56W</v>
      </c>
      <c r="B9818" s="195" t="s">
        <v>4350</v>
      </c>
      <c r="C9818" s="196">
        <v>0.18</v>
      </c>
      <c r="D9818" s="196">
        <v>1.56</v>
      </c>
      <c r="E9818" s="195" t="s">
        <v>583</v>
      </c>
      <c r="F9818" s="195" t="s">
        <v>432</v>
      </c>
    </row>
    <row r="9819" spans="1:6" x14ac:dyDescent="0.25">
      <c r="A9819" s="189" t="str">
        <f t="shared" si="153"/>
        <v>WI-MD 3501.562.9E</v>
      </c>
      <c r="B9819" s="195" t="s">
        <v>4350</v>
      </c>
      <c r="C9819" s="196">
        <v>1.56</v>
      </c>
      <c r="D9819" s="196">
        <v>2.9</v>
      </c>
      <c r="E9819" s="195" t="s">
        <v>583</v>
      </c>
      <c r="F9819" s="195" t="s">
        <v>19</v>
      </c>
    </row>
    <row r="9820" spans="1:6" x14ac:dyDescent="0.25">
      <c r="A9820" s="189" t="str">
        <f t="shared" si="153"/>
        <v>WI-MD 3501.562.9W</v>
      </c>
      <c r="B9820" s="195" t="s">
        <v>4350</v>
      </c>
      <c r="C9820" s="196">
        <v>1.56</v>
      </c>
      <c r="D9820" s="196">
        <v>2.9</v>
      </c>
      <c r="E9820" s="195" t="s">
        <v>583</v>
      </c>
      <c r="F9820" s="195" t="s">
        <v>432</v>
      </c>
    </row>
    <row r="9821" spans="1:6" x14ac:dyDescent="0.25">
      <c r="A9821" s="189" t="str">
        <f t="shared" si="153"/>
        <v>WI-MD 3502.94.43E</v>
      </c>
      <c r="B9821" s="195" t="s">
        <v>4350</v>
      </c>
      <c r="C9821" s="196">
        <v>2.9</v>
      </c>
      <c r="D9821" s="196">
        <v>4.43</v>
      </c>
      <c r="E9821" s="195" t="s">
        <v>583</v>
      </c>
      <c r="F9821" s="195" t="s">
        <v>19</v>
      </c>
    </row>
    <row r="9822" spans="1:6" x14ac:dyDescent="0.25">
      <c r="A9822" s="189" t="str">
        <f t="shared" si="153"/>
        <v>WI-MD 3502.94.43W</v>
      </c>
      <c r="B9822" s="195" t="s">
        <v>4350</v>
      </c>
      <c r="C9822" s="196">
        <v>2.9</v>
      </c>
      <c r="D9822" s="196">
        <v>4.43</v>
      </c>
      <c r="E9822" s="195" t="s">
        <v>583</v>
      </c>
      <c r="F9822" s="195" t="s">
        <v>432</v>
      </c>
    </row>
    <row r="9823" spans="1:6" x14ac:dyDescent="0.25">
      <c r="A9823" s="189" t="str">
        <f t="shared" si="153"/>
        <v>WI-MD 3504.4311.8E</v>
      </c>
      <c r="B9823" s="195" t="s">
        <v>4350</v>
      </c>
      <c r="C9823" s="196">
        <v>4.43</v>
      </c>
      <c r="D9823" s="196">
        <v>11.8</v>
      </c>
      <c r="E9823" s="195" t="s">
        <v>583</v>
      </c>
      <c r="F9823" s="195" t="s">
        <v>19</v>
      </c>
    </row>
    <row r="9824" spans="1:6" x14ac:dyDescent="0.25">
      <c r="A9824" s="189" t="str">
        <f t="shared" si="153"/>
        <v>WI-MD 3504.4311.8W</v>
      </c>
      <c r="B9824" s="195" t="s">
        <v>4350</v>
      </c>
      <c r="C9824" s="196">
        <v>4.43</v>
      </c>
      <c r="D9824" s="196">
        <v>11.8</v>
      </c>
      <c r="E9824" s="195" t="s">
        <v>583</v>
      </c>
      <c r="F9824" s="195" t="s">
        <v>432</v>
      </c>
    </row>
    <row r="9825" spans="1:6" x14ac:dyDescent="0.25">
      <c r="A9825" s="189" t="str">
        <f t="shared" si="153"/>
        <v>WI-MD 35203.44E</v>
      </c>
      <c r="B9825" s="195" t="s">
        <v>4351</v>
      </c>
      <c r="C9825" s="196">
        <v>0</v>
      </c>
      <c r="D9825" s="196">
        <v>3.44</v>
      </c>
      <c r="E9825" s="195" t="s">
        <v>583</v>
      </c>
      <c r="F9825" s="195" t="s">
        <v>19</v>
      </c>
    </row>
    <row r="9826" spans="1:6" x14ac:dyDescent="0.25">
      <c r="A9826" s="189" t="str">
        <f t="shared" si="153"/>
        <v>WI-MD 35203.44W</v>
      </c>
      <c r="B9826" s="195" t="s">
        <v>4351</v>
      </c>
      <c r="C9826" s="196">
        <v>0</v>
      </c>
      <c r="D9826" s="196">
        <v>3.44</v>
      </c>
      <c r="E9826" s="195" t="s">
        <v>583</v>
      </c>
      <c r="F9826" s="195" t="s">
        <v>432</v>
      </c>
    </row>
    <row r="9827" spans="1:6" x14ac:dyDescent="0.25">
      <c r="A9827" s="189" t="str">
        <f t="shared" si="153"/>
        <v>WI-MD 3523.445.9E</v>
      </c>
      <c r="B9827" s="195" t="s">
        <v>4351</v>
      </c>
      <c r="C9827" s="196">
        <v>3.44</v>
      </c>
      <c r="D9827" s="196">
        <v>5.9</v>
      </c>
      <c r="E9827" s="195" t="s">
        <v>583</v>
      </c>
      <c r="F9827" s="195" t="s">
        <v>19</v>
      </c>
    </row>
    <row r="9828" spans="1:6" x14ac:dyDescent="0.25">
      <c r="A9828" s="189" t="str">
        <f t="shared" si="153"/>
        <v>WI-MD 3523.445.9W</v>
      </c>
      <c r="B9828" s="195" t="s">
        <v>4351</v>
      </c>
      <c r="C9828" s="196">
        <v>3.44</v>
      </c>
      <c r="D9828" s="196">
        <v>5.9</v>
      </c>
      <c r="E9828" s="195" t="s">
        <v>583</v>
      </c>
      <c r="F9828" s="195" t="s">
        <v>432</v>
      </c>
    </row>
    <row r="9829" spans="1:6" x14ac:dyDescent="0.25">
      <c r="A9829" s="189" t="str">
        <f t="shared" si="153"/>
        <v>WI-MD 3525.910.03E</v>
      </c>
      <c r="B9829" s="195" t="s">
        <v>4351</v>
      </c>
      <c r="C9829" s="196">
        <v>5.9</v>
      </c>
      <c r="D9829" s="196">
        <v>10.029999999999999</v>
      </c>
      <c r="E9829" s="195" t="s">
        <v>583</v>
      </c>
      <c r="F9829" s="195" t="s">
        <v>19</v>
      </c>
    </row>
    <row r="9830" spans="1:6" x14ac:dyDescent="0.25">
      <c r="A9830" s="189" t="str">
        <f t="shared" si="153"/>
        <v>WI-MD 3525.910.03W</v>
      </c>
      <c r="B9830" s="195" t="s">
        <v>4351</v>
      </c>
      <c r="C9830" s="196">
        <v>5.9</v>
      </c>
      <c r="D9830" s="196">
        <v>10.029999999999999</v>
      </c>
      <c r="E9830" s="195" t="s">
        <v>583</v>
      </c>
      <c r="F9830" s="195" t="s">
        <v>432</v>
      </c>
    </row>
    <row r="9831" spans="1:6" x14ac:dyDescent="0.25">
      <c r="A9831" s="189" t="str">
        <f t="shared" si="153"/>
        <v>WI-MD 35304.6N</v>
      </c>
      <c r="B9831" s="195" t="s">
        <v>4352</v>
      </c>
      <c r="C9831" s="196">
        <v>0</v>
      </c>
      <c r="D9831" s="196">
        <v>4.5999999999999996</v>
      </c>
      <c r="E9831" s="195" t="s">
        <v>583</v>
      </c>
      <c r="F9831" s="195" t="s">
        <v>430</v>
      </c>
    </row>
    <row r="9832" spans="1:6" x14ac:dyDescent="0.25">
      <c r="A9832" s="189" t="str">
        <f t="shared" si="153"/>
        <v>WI-MD 35304.6S</v>
      </c>
      <c r="B9832" s="195" t="s">
        <v>4352</v>
      </c>
      <c r="C9832" s="196">
        <v>0</v>
      </c>
      <c r="D9832" s="196">
        <v>4.5999999999999996</v>
      </c>
      <c r="E9832" s="195" t="s">
        <v>583</v>
      </c>
      <c r="F9832" s="195" t="s">
        <v>438</v>
      </c>
    </row>
    <row r="9833" spans="1:6" x14ac:dyDescent="0.25">
      <c r="A9833" s="189" t="str">
        <f t="shared" si="153"/>
        <v>WI-MD 35403.05N</v>
      </c>
      <c r="B9833" s="195" t="s">
        <v>4353</v>
      </c>
      <c r="C9833" s="196">
        <v>0</v>
      </c>
      <c r="D9833" s="196">
        <v>3.05</v>
      </c>
      <c r="E9833" s="195" t="s">
        <v>583</v>
      </c>
      <c r="F9833" s="195" t="s">
        <v>430</v>
      </c>
    </row>
    <row r="9834" spans="1:6" x14ac:dyDescent="0.25">
      <c r="A9834" s="189" t="str">
        <f t="shared" si="153"/>
        <v>WI-MD 35403.05S</v>
      </c>
      <c r="B9834" s="195" t="s">
        <v>4353</v>
      </c>
      <c r="C9834" s="196">
        <v>0</v>
      </c>
      <c r="D9834" s="196">
        <v>3.05</v>
      </c>
      <c r="E9834" s="195" t="s">
        <v>583</v>
      </c>
      <c r="F9834" s="195" t="s">
        <v>438</v>
      </c>
    </row>
    <row r="9835" spans="1:6" x14ac:dyDescent="0.25">
      <c r="A9835" s="189" t="str">
        <f t="shared" si="153"/>
        <v>WI-MD 3543.053.15N</v>
      </c>
      <c r="B9835" s="195" t="s">
        <v>4353</v>
      </c>
      <c r="C9835" s="196">
        <v>3.05</v>
      </c>
      <c r="D9835" s="196">
        <v>3.15</v>
      </c>
      <c r="E9835" s="195" t="s">
        <v>583</v>
      </c>
      <c r="F9835" s="195" t="s">
        <v>430</v>
      </c>
    </row>
    <row r="9836" spans="1:6" x14ac:dyDescent="0.25">
      <c r="A9836" s="189" t="str">
        <f t="shared" si="153"/>
        <v>WI-MD 3543.053.15S</v>
      </c>
      <c r="B9836" s="195" t="s">
        <v>4353</v>
      </c>
      <c r="C9836" s="196">
        <v>3.05</v>
      </c>
      <c r="D9836" s="196">
        <v>3.15</v>
      </c>
      <c r="E9836" s="195" t="s">
        <v>583</v>
      </c>
      <c r="F9836" s="195" t="s">
        <v>438</v>
      </c>
    </row>
    <row r="9837" spans="1:6" x14ac:dyDescent="0.25">
      <c r="A9837" s="189" t="str">
        <f t="shared" si="153"/>
        <v>WI-MD 3543.157.34N</v>
      </c>
      <c r="B9837" s="195" t="s">
        <v>4353</v>
      </c>
      <c r="C9837" s="196">
        <v>3.15</v>
      </c>
      <c r="D9837" s="196">
        <v>7.34</v>
      </c>
      <c r="E9837" s="195" t="s">
        <v>583</v>
      </c>
      <c r="F9837" s="195" t="s">
        <v>430</v>
      </c>
    </row>
    <row r="9838" spans="1:6" x14ac:dyDescent="0.25">
      <c r="A9838" s="189" t="str">
        <f t="shared" si="153"/>
        <v>WI-MD 3543.157.34S</v>
      </c>
      <c r="B9838" s="195" t="s">
        <v>4353</v>
      </c>
      <c r="C9838" s="196">
        <v>3.15</v>
      </c>
      <c r="D9838" s="196">
        <v>7.34</v>
      </c>
      <c r="E9838" s="195" t="s">
        <v>583</v>
      </c>
      <c r="F9838" s="195" t="s">
        <v>438</v>
      </c>
    </row>
    <row r="9839" spans="1:6" x14ac:dyDescent="0.25">
      <c r="A9839" s="189" t="str">
        <f t="shared" si="153"/>
        <v>WI-MD 37401.28E</v>
      </c>
      <c r="B9839" s="195" t="s">
        <v>4354</v>
      </c>
      <c r="C9839" s="196">
        <v>0</v>
      </c>
      <c r="D9839" s="196">
        <v>1.28</v>
      </c>
      <c r="E9839" s="195" t="s">
        <v>583</v>
      </c>
      <c r="F9839" s="195" t="s">
        <v>19</v>
      </c>
    </row>
    <row r="9840" spans="1:6" x14ac:dyDescent="0.25">
      <c r="A9840" s="189" t="str">
        <f t="shared" si="153"/>
        <v>WI-MD 37401.28W</v>
      </c>
      <c r="B9840" s="195" t="s">
        <v>4354</v>
      </c>
      <c r="C9840" s="196">
        <v>0</v>
      </c>
      <c r="D9840" s="196">
        <v>1.28</v>
      </c>
      <c r="E9840" s="195" t="s">
        <v>583</v>
      </c>
      <c r="F9840" s="195" t="s">
        <v>432</v>
      </c>
    </row>
    <row r="9841" spans="1:6" x14ac:dyDescent="0.25">
      <c r="A9841" s="189" t="str">
        <f t="shared" si="153"/>
        <v>WI-MD 51300.6N</v>
      </c>
      <c r="B9841" s="195" t="s">
        <v>437</v>
      </c>
      <c r="C9841" s="196">
        <v>0</v>
      </c>
      <c r="D9841" s="196">
        <v>0.6</v>
      </c>
      <c r="E9841" s="195" t="s">
        <v>583</v>
      </c>
      <c r="F9841" s="195" t="s">
        <v>430</v>
      </c>
    </row>
    <row r="9842" spans="1:6" x14ac:dyDescent="0.25">
      <c r="A9842" s="189" t="str">
        <f t="shared" si="153"/>
        <v>WI-MD 51300.6S</v>
      </c>
      <c r="B9842" s="195" t="s">
        <v>437</v>
      </c>
      <c r="C9842" s="196">
        <v>0</v>
      </c>
      <c r="D9842" s="196">
        <v>0.6</v>
      </c>
      <c r="E9842" s="195" t="s">
        <v>583</v>
      </c>
      <c r="F9842" s="195" t="s">
        <v>438</v>
      </c>
    </row>
    <row r="9843" spans="1:6" x14ac:dyDescent="0.25">
      <c r="A9843" s="189" t="str">
        <f t="shared" si="153"/>
        <v>WI-MD 5130.61.57N</v>
      </c>
      <c r="B9843" s="195" t="s">
        <v>437</v>
      </c>
      <c r="C9843" s="196">
        <v>0.6</v>
      </c>
      <c r="D9843" s="196">
        <v>1.57</v>
      </c>
      <c r="E9843" s="195" t="s">
        <v>583</v>
      </c>
      <c r="F9843" s="195" t="s">
        <v>430</v>
      </c>
    </row>
    <row r="9844" spans="1:6" x14ac:dyDescent="0.25">
      <c r="A9844" s="189" t="str">
        <f t="shared" si="153"/>
        <v>WI-MD 5130.61.57S</v>
      </c>
      <c r="B9844" s="195" t="s">
        <v>437</v>
      </c>
      <c r="C9844" s="196">
        <v>0.6</v>
      </c>
      <c r="D9844" s="196">
        <v>1.57</v>
      </c>
      <c r="E9844" s="195" t="s">
        <v>583</v>
      </c>
      <c r="F9844" s="195" t="s">
        <v>438</v>
      </c>
    </row>
    <row r="9845" spans="1:6" x14ac:dyDescent="0.25">
      <c r="A9845" s="189" t="str">
        <f t="shared" si="153"/>
        <v>WI-MD 5131.571.77N</v>
      </c>
      <c r="B9845" s="195" t="s">
        <v>437</v>
      </c>
      <c r="C9845" s="196">
        <v>1.57</v>
      </c>
      <c r="D9845" s="196">
        <v>1.77</v>
      </c>
      <c r="E9845" s="195" t="s">
        <v>583</v>
      </c>
      <c r="F9845" s="195" t="s">
        <v>430</v>
      </c>
    </row>
    <row r="9846" spans="1:6" x14ac:dyDescent="0.25">
      <c r="A9846" s="189" t="str">
        <f t="shared" si="153"/>
        <v>WI-MD 5131.571.77S</v>
      </c>
      <c r="B9846" s="195" t="s">
        <v>437</v>
      </c>
      <c r="C9846" s="196">
        <v>1.57</v>
      </c>
      <c r="D9846" s="196">
        <v>1.77</v>
      </c>
      <c r="E9846" s="195" t="s">
        <v>583</v>
      </c>
      <c r="F9846" s="195" t="s">
        <v>438</v>
      </c>
    </row>
    <row r="9847" spans="1:6" x14ac:dyDescent="0.25">
      <c r="A9847" s="189" t="str">
        <f t="shared" si="153"/>
        <v>WI-MD 5402.29E</v>
      </c>
      <c r="B9847" s="195" t="s">
        <v>439</v>
      </c>
      <c r="C9847" s="196">
        <v>0</v>
      </c>
      <c r="D9847" s="196">
        <v>2.29</v>
      </c>
      <c r="E9847" s="195" t="s">
        <v>583</v>
      </c>
      <c r="F9847" s="195" t="s">
        <v>19</v>
      </c>
    </row>
    <row r="9848" spans="1:6" x14ac:dyDescent="0.25">
      <c r="A9848" s="189" t="str">
        <f t="shared" si="153"/>
        <v>WI-MD 5402.29W</v>
      </c>
      <c r="B9848" s="195" t="s">
        <v>439</v>
      </c>
      <c r="C9848" s="196">
        <v>0</v>
      </c>
      <c r="D9848" s="196">
        <v>2.29</v>
      </c>
      <c r="E9848" s="195" t="s">
        <v>583</v>
      </c>
      <c r="F9848" s="195" t="s">
        <v>432</v>
      </c>
    </row>
    <row r="9849" spans="1:6" x14ac:dyDescent="0.25">
      <c r="A9849" s="189" t="str">
        <f t="shared" si="153"/>
        <v>WI-MD 542.293.25E</v>
      </c>
      <c r="B9849" s="195" t="s">
        <v>439</v>
      </c>
      <c r="C9849" s="196">
        <v>2.29</v>
      </c>
      <c r="D9849" s="196">
        <v>3.25</v>
      </c>
      <c r="E9849" s="195" t="s">
        <v>583</v>
      </c>
      <c r="F9849" s="195" t="s">
        <v>19</v>
      </c>
    </row>
    <row r="9850" spans="1:6" x14ac:dyDescent="0.25">
      <c r="A9850" s="189" t="str">
        <f t="shared" si="153"/>
        <v>WI-MD 542.293.25W</v>
      </c>
      <c r="B9850" s="195" t="s">
        <v>439</v>
      </c>
      <c r="C9850" s="196">
        <v>2.29</v>
      </c>
      <c r="D9850" s="196">
        <v>3.25</v>
      </c>
      <c r="E9850" s="195" t="s">
        <v>583</v>
      </c>
      <c r="F9850" s="195" t="s">
        <v>432</v>
      </c>
    </row>
    <row r="9851" spans="1:6" x14ac:dyDescent="0.25">
      <c r="A9851" s="189" t="str">
        <f t="shared" si="153"/>
        <v>WI-MD 543.259.51E</v>
      </c>
      <c r="B9851" s="195" t="s">
        <v>439</v>
      </c>
      <c r="C9851" s="196">
        <v>3.25</v>
      </c>
      <c r="D9851" s="196">
        <v>9.51</v>
      </c>
      <c r="E9851" s="195" t="s">
        <v>583</v>
      </c>
      <c r="F9851" s="195" t="s">
        <v>19</v>
      </c>
    </row>
    <row r="9852" spans="1:6" x14ac:dyDescent="0.25">
      <c r="A9852" s="189" t="str">
        <f t="shared" si="153"/>
        <v>WI-MD 543.259.51W</v>
      </c>
      <c r="B9852" s="195" t="s">
        <v>439</v>
      </c>
      <c r="C9852" s="196">
        <v>3.25</v>
      </c>
      <c r="D9852" s="196">
        <v>9.51</v>
      </c>
      <c r="E9852" s="195" t="s">
        <v>583</v>
      </c>
      <c r="F9852" s="195" t="s">
        <v>432</v>
      </c>
    </row>
    <row r="9853" spans="1:6" x14ac:dyDescent="0.25">
      <c r="A9853" s="189" t="str">
        <f t="shared" si="153"/>
        <v>WI-MD 549.519.97E</v>
      </c>
      <c r="B9853" s="195" t="s">
        <v>439</v>
      </c>
      <c r="C9853" s="196">
        <v>9.51</v>
      </c>
      <c r="D9853" s="196">
        <v>9.9700000000000006</v>
      </c>
      <c r="E9853" s="195" t="s">
        <v>583</v>
      </c>
      <c r="F9853" s="195" t="s">
        <v>19</v>
      </c>
    </row>
    <row r="9854" spans="1:6" x14ac:dyDescent="0.25">
      <c r="A9854" s="189" t="str">
        <f t="shared" si="153"/>
        <v>WI-MD 549.519.97W</v>
      </c>
      <c r="B9854" s="195" t="s">
        <v>439</v>
      </c>
      <c r="C9854" s="196">
        <v>9.51</v>
      </c>
      <c r="D9854" s="196">
        <v>9.9700000000000006</v>
      </c>
      <c r="E9854" s="195" t="s">
        <v>583</v>
      </c>
      <c r="F9854" s="195" t="s">
        <v>432</v>
      </c>
    </row>
    <row r="9855" spans="1:6" x14ac:dyDescent="0.25">
      <c r="A9855" s="189" t="str">
        <f t="shared" si="153"/>
        <v>WI-MD 549.9710.84E</v>
      </c>
      <c r="B9855" s="195" t="s">
        <v>439</v>
      </c>
      <c r="C9855" s="196">
        <v>9.9700000000000006</v>
      </c>
      <c r="D9855" s="196">
        <v>10.84</v>
      </c>
      <c r="E9855" s="195" t="s">
        <v>583</v>
      </c>
      <c r="F9855" s="195" t="s">
        <v>19</v>
      </c>
    </row>
    <row r="9856" spans="1:6" x14ac:dyDescent="0.25">
      <c r="A9856" s="189" t="str">
        <f t="shared" si="153"/>
        <v>WI-MD 549.9710.84W</v>
      </c>
      <c r="B9856" s="195" t="s">
        <v>439</v>
      </c>
      <c r="C9856" s="196">
        <v>9.9700000000000006</v>
      </c>
      <c r="D9856" s="196">
        <v>10.84</v>
      </c>
      <c r="E9856" s="195" t="s">
        <v>583</v>
      </c>
      <c r="F9856" s="195" t="s">
        <v>432</v>
      </c>
    </row>
    <row r="9857" spans="1:6" x14ac:dyDescent="0.25">
      <c r="A9857" s="189" t="str">
        <f t="shared" si="153"/>
        <v>WI-MD 5410.8415.01E</v>
      </c>
      <c r="B9857" s="195" t="s">
        <v>439</v>
      </c>
      <c r="C9857" s="196">
        <v>10.84</v>
      </c>
      <c r="D9857" s="196">
        <v>15.01</v>
      </c>
      <c r="E9857" s="195" t="s">
        <v>583</v>
      </c>
      <c r="F9857" s="195" t="s">
        <v>19</v>
      </c>
    </row>
    <row r="9858" spans="1:6" x14ac:dyDescent="0.25">
      <c r="A9858" s="189" t="str">
        <f t="shared" si="153"/>
        <v>WI-MD 5410.8415.01W</v>
      </c>
      <c r="B9858" s="195" t="s">
        <v>439</v>
      </c>
      <c r="C9858" s="196">
        <v>10.84</v>
      </c>
      <c r="D9858" s="196">
        <v>15.01</v>
      </c>
      <c r="E9858" s="195" t="s">
        <v>583</v>
      </c>
      <c r="F9858" s="195" t="s">
        <v>432</v>
      </c>
    </row>
    <row r="9859" spans="1:6" x14ac:dyDescent="0.25">
      <c r="A9859" s="189" t="str">
        <f t="shared" si="153"/>
        <v>WI-MD 5415.0115.22E</v>
      </c>
      <c r="B9859" s="195" t="s">
        <v>439</v>
      </c>
      <c r="C9859" s="196">
        <v>15.01</v>
      </c>
      <c r="D9859" s="196">
        <v>15.22</v>
      </c>
      <c r="E9859" s="195" t="s">
        <v>583</v>
      </c>
      <c r="F9859" s="195" t="s">
        <v>19</v>
      </c>
    </row>
    <row r="9860" spans="1:6" x14ac:dyDescent="0.25">
      <c r="A9860" s="189" t="str">
        <f t="shared" si="153"/>
        <v>WI-MD 5415.0115.22W</v>
      </c>
      <c r="B9860" s="195" t="s">
        <v>439</v>
      </c>
      <c r="C9860" s="196">
        <v>15.01</v>
      </c>
      <c r="D9860" s="196">
        <v>15.22</v>
      </c>
      <c r="E9860" s="195" t="s">
        <v>583</v>
      </c>
      <c r="F9860" s="195" t="s">
        <v>432</v>
      </c>
    </row>
    <row r="9861" spans="1:6" x14ac:dyDescent="0.25">
      <c r="A9861" s="189" t="str">
        <f t="shared" si="153"/>
        <v>WI-MD 5415.2217.68E</v>
      </c>
      <c r="B9861" s="195" t="s">
        <v>439</v>
      </c>
      <c r="C9861" s="196">
        <v>15.22</v>
      </c>
      <c r="D9861" s="196">
        <v>17.68</v>
      </c>
      <c r="E9861" s="195" t="s">
        <v>583</v>
      </c>
      <c r="F9861" s="195" t="s">
        <v>19</v>
      </c>
    </row>
    <row r="9862" spans="1:6" x14ac:dyDescent="0.25">
      <c r="A9862" s="189" t="str">
        <f t="shared" si="153"/>
        <v>WI-MD 5415.2217.68W</v>
      </c>
      <c r="B9862" s="195" t="s">
        <v>439</v>
      </c>
      <c r="C9862" s="196">
        <v>15.22</v>
      </c>
      <c r="D9862" s="196">
        <v>17.68</v>
      </c>
      <c r="E9862" s="195" t="s">
        <v>583</v>
      </c>
      <c r="F9862" s="195" t="s">
        <v>432</v>
      </c>
    </row>
    <row r="9863" spans="1:6" x14ac:dyDescent="0.25">
      <c r="A9863" s="189" t="str">
        <f t="shared" si="153"/>
        <v>WI-MD 5417.6818.98E</v>
      </c>
      <c r="B9863" s="195" t="s">
        <v>439</v>
      </c>
      <c r="C9863" s="196">
        <v>17.68</v>
      </c>
      <c r="D9863" s="196">
        <v>18.98</v>
      </c>
      <c r="E9863" s="195" t="s">
        <v>583</v>
      </c>
      <c r="F9863" s="195" t="s">
        <v>19</v>
      </c>
    </row>
    <row r="9864" spans="1:6" x14ac:dyDescent="0.25">
      <c r="A9864" s="189" t="str">
        <f t="shared" ref="A9864:A9927" si="154">B9864&amp;C9864&amp;D9864&amp;F9864</f>
        <v>WI-MD 5417.6818.98W</v>
      </c>
      <c r="B9864" s="195" t="s">
        <v>439</v>
      </c>
      <c r="C9864" s="196">
        <v>17.68</v>
      </c>
      <c r="D9864" s="196">
        <v>18.98</v>
      </c>
      <c r="E9864" s="195" t="s">
        <v>583</v>
      </c>
      <c r="F9864" s="195" t="s">
        <v>432</v>
      </c>
    </row>
    <row r="9865" spans="1:6" x14ac:dyDescent="0.25">
      <c r="A9865" s="189" t="str">
        <f t="shared" si="154"/>
        <v>WI-MD 5418.9819.79E</v>
      </c>
      <c r="B9865" s="195" t="s">
        <v>439</v>
      </c>
      <c r="C9865" s="196">
        <v>18.98</v>
      </c>
      <c r="D9865" s="196">
        <v>19.79</v>
      </c>
      <c r="E9865" s="195" t="s">
        <v>583</v>
      </c>
      <c r="F9865" s="195" t="s">
        <v>19</v>
      </c>
    </row>
    <row r="9866" spans="1:6" x14ac:dyDescent="0.25">
      <c r="A9866" s="189" t="str">
        <f t="shared" si="154"/>
        <v>WI-MD 5418.9819.79W</v>
      </c>
      <c r="B9866" s="195" t="s">
        <v>439</v>
      </c>
      <c r="C9866" s="196">
        <v>18.98</v>
      </c>
      <c r="D9866" s="196">
        <v>19.79</v>
      </c>
      <c r="E9866" s="195" t="s">
        <v>583</v>
      </c>
      <c r="F9866" s="195" t="s">
        <v>432</v>
      </c>
    </row>
    <row r="9867" spans="1:6" x14ac:dyDescent="0.25">
      <c r="A9867" s="189" t="str">
        <f t="shared" si="154"/>
        <v>WI-MD 67001.44W</v>
      </c>
      <c r="B9867" s="195" t="s">
        <v>4355</v>
      </c>
      <c r="C9867" s="196">
        <v>0</v>
      </c>
      <c r="D9867" s="196">
        <v>1.44</v>
      </c>
      <c r="E9867" s="195" t="s">
        <v>593</v>
      </c>
      <c r="F9867" s="195" t="s">
        <v>432</v>
      </c>
    </row>
    <row r="9868" spans="1:6" x14ac:dyDescent="0.25">
      <c r="A9868" s="189" t="str">
        <f t="shared" si="154"/>
        <v>WI-MD 67001.48E</v>
      </c>
      <c r="B9868" s="195" t="s">
        <v>4355</v>
      </c>
      <c r="C9868" s="196">
        <v>0</v>
      </c>
      <c r="D9868" s="196">
        <v>1.48</v>
      </c>
      <c r="E9868" s="195" t="s">
        <v>598</v>
      </c>
      <c r="F9868" s="195" t="s">
        <v>19</v>
      </c>
    </row>
    <row r="9869" spans="1:6" x14ac:dyDescent="0.25">
      <c r="A9869" s="189" t="str">
        <f t="shared" si="154"/>
        <v>WI-MD 675B02.07E</v>
      </c>
      <c r="B9869" s="195" t="s">
        <v>440</v>
      </c>
      <c r="C9869" s="196">
        <v>0</v>
      </c>
      <c r="D9869" s="196">
        <v>2.0699999999999998</v>
      </c>
      <c r="E9869" s="195" t="s">
        <v>583</v>
      </c>
      <c r="F9869" s="195" t="s">
        <v>19</v>
      </c>
    </row>
    <row r="9870" spans="1:6" x14ac:dyDescent="0.25">
      <c r="A9870" s="189" t="str">
        <f t="shared" si="154"/>
        <v>WI-MD 675B02.07W</v>
      </c>
      <c r="B9870" s="195" t="s">
        <v>440</v>
      </c>
      <c r="C9870" s="196">
        <v>0</v>
      </c>
      <c r="D9870" s="196">
        <v>2.0699999999999998</v>
      </c>
      <c r="E9870" s="195" t="s">
        <v>583</v>
      </c>
      <c r="F9870" s="195" t="s">
        <v>432</v>
      </c>
    </row>
    <row r="9871" spans="1:6" x14ac:dyDescent="0.25">
      <c r="A9871" s="189" t="str">
        <f t="shared" si="154"/>
        <v>WI-MD 675B2.072.09E</v>
      </c>
      <c r="B9871" s="195" t="s">
        <v>440</v>
      </c>
      <c r="C9871" s="196">
        <v>2.0699999999999998</v>
      </c>
      <c r="D9871" s="196">
        <v>2.09</v>
      </c>
      <c r="E9871" s="195" t="s">
        <v>583</v>
      </c>
      <c r="F9871" s="195" t="s">
        <v>19</v>
      </c>
    </row>
    <row r="9872" spans="1:6" x14ac:dyDescent="0.25">
      <c r="A9872" s="189" t="str">
        <f t="shared" si="154"/>
        <v>WI-MD 675B2.072.09W</v>
      </c>
      <c r="B9872" s="195" t="s">
        <v>440</v>
      </c>
      <c r="C9872" s="196">
        <v>2.0699999999999998</v>
      </c>
      <c r="D9872" s="196">
        <v>2.09</v>
      </c>
      <c r="E9872" s="195" t="s">
        <v>583</v>
      </c>
      <c r="F9872" s="195" t="s">
        <v>432</v>
      </c>
    </row>
    <row r="9873" spans="1:6" x14ac:dyDescent="0.25">
      <c r="A9873" s="189" t="str">
        <f t="shared" si="154"/>
        <v>WI-MD 731A00.14W</v>
      </c>
      <c r="B9873" s="195" t="s">
        <v>4356</v>
      </c>
      <c r="C9873" s="196">
        <v>0</v>
      </c>
      <c r="D9873" s="196">
        <v>0.14000000000000001</v>
      </c>
      <c r="E9873" s="195" t="s">
        <v>593</v>
      </c>
      <c r="F9873" s="195" t="s">
        <v>432</v>
      </c>
    </row>
    <row r="9874" spans="1:6" x14ac:dyDescent="0.25">
      <c r="A9874" s="189" t="str">
        <f t="shared" si="154"/>
        <v>WI-MD 731A00.37E</v>
      </c>
      <c r="B9874" s="195" t="s">
        <v>4356</v>
      </c>
      <c r="C9874" s="196">
        <v>0</v>
      </c>
      <c r="D9874" s="196">
        <v>0.37</v>
      </c>
      <c r="E9874" s="195" t="s">
        <v>598</v>
      </c>
      <c r="F9874" s="195" t="s">
        <v>19</v>
      </c>
    </row>
    <row r="9875" spans="1:6" x14ac:dyDescent="0.25">
      <c r="A9875" s="189" t="str">
        <f t="shared" si="154"/>
        <v>WI-MD 731A0.370.38E</v>
      </c>
      <c r="B9875" s="195" t="s">
        <v>4356</v>
      </c>
      <c r="C9875" s="196">
        <v>0.37</v>
      </c>
      <c r="D9875" s="196">
        <v>0.38</v>
      </c>
      <c r="E9875" s="195" t="s">
        <v>598</v>
      </c>
      <c r="F9875" s="195" t="s">
        <v>19</v>
      </c>
    </row>
    <row r="9876" spans="1:6" x14ac:dyDescent="0.25">
      <c r="A9876" s="189" t="str">
        <f t="shared" si="154"/>
        <v>WI-MD 731C00.13N</v>
      </c>
      <c r="B9876" s="195" t="s">
        <v>4357</v>
      </c>
      <c r="C9876" s="196">
        <v>0</v>
      </c>
      <c r="D9876" s="196">
        <v>0.13</v>
      </c>
      <c r="E9876" s="195" t="s">
        <v>589</v>
      </c>
      <c r="F9876" s="195" t="s">
        <v>430</v>
      </c>
    </row>
    <row r="9877" spans="1:6" x14ac:dyDescent="0.25">
      <c r="A9877" s="189" t="str">
        <f t="shared" si="154"/>
        <v>WI-MD 731C00.13S</v>
      </c>
      <c r="B9877" s="195" t="s">
        <v>4357</v>
      </c>
      <c r="C9877" s="196">
        <v>0</v>
      </c>
      <c r="D9877" s="196">
        <v>0.13</v>
      </c>
      <c r="E9877" s="195" t="s">
        <v>595</v>
      </c>
      <c r="F9877" s="195" t="s">
        <v>438</v>
      </c>
    </row>
    <row r="9878" spans="1:6" x14ac:dyDescent="0.25">
      <c r="A9878" s="189" t="str">
        <f t="shared" si="154"/>
        <v>WI-MD 813F00.11N</v>
      </c>
      <c r="B9878" s="195" t="s">
        <v>4358</v>
      </c>
      <c r="C9878" s="196">
        <v>0</v>
      </c>
      <c r="D9878" s="196">
        <v>0.11</v>
      </c>
      <c r="E9878" s="195" t="s">
        <v>589</v>
      </c>
      <c r="F9878" s="195" t="s">
        <v>430</v>
      </c>
    </row>
    <row r="9879" spans="1:6" x14ac:dyDescent="0.25">
      <c r="A9879" s="189" t="str">
        <f t="shared" si="154"/>
        <v>WI-MD 813F00.11S</v>
      </c>
      <c r="B9879" s="195" t="s">
        <v>4358</v>
      </c>
      <c r="C9879" s="196">
        <v>0</v>
      </c>
      <c r="D9879" s="196">
        <v>0.11</v>
      </c>
      <c r="E9879" s="195" t="s">
        <v>595</v>
      </c>
      <c r="F9879" s="195" t="s">
        <v>438</v>
      </c>
    </row>
    <row r="9880" spans="1:6" x14ac:dyDescent="0.25">
      <c r="A9880" s="189" t="str">
        <f t="shared" si="154"/>
        <v>WI-MD 813F0.110.12N</v>
      </c>
      <c r="B9880" s="195" t="s">
        <v>4358</v>
      </c>
      <c r="C9880" s="196">
        <v>0.11</v>
      </c>
      <c r="D9880" s="196">
        <v>0.12</v>
      </c>
      <c r="E9880" s="195" t="s">
        <v>589</v>
      </c>
      <c r="F9880" s="195" t="s">
        <v>430</v>
      </c>
    </row>
    <row r="9881" spans="1:6" x14ac:dyDescent="0.25">
      <c r="A9881" s="189" t="str">
        <f t="shared" si="154"/>
        <v>WI-MD 813F0.110.12S</v>
      </c>
      <c r="B9881" s="195" t="s">
        <v>4358</v>
      </c>
      <c r="C9881" s="196">
        <v>0.11</v>
      </c>
      <c r="D9881" s="196">
        <v>0.12</v>
      </c>
      <c r="E9881" s="195" t="s">
        <v>595</v>
      </c>
      <c r="F9881" s="195" t="s">
        <v>438</v>
      </c>
    </row>
    <row r="9882" spans="1:6" x14ac:dyDescent="0.25">
      <c r="A9882" s="189" t="str">
        <f t="shared" si="154"/>
        <v>WI-MD 81500.72W</v>
      </c>
      <c r="B9882" s="195" t="s">
        <v>4359</v>
      </c>
      <c r="C9882" s="196">
        <v>0</v>
      </c>
      <c r="D9882" s="196">
        <v>0.72</v>
      </c>
      <c r="E9882" s="195" t="s">
        <v>593</v>
      </c>
      <c r="F9882" s="195" t="s">
        <v>432</v>
      </c>
    </row>
    <row r="9883" spans="1:6" x14ac:dyDescent="0.25">
      <c r="A9883" s="189" t="str">
        <f t="shared" si="154"/>
        <v>WI-MD 8150.030.72E</v>
      </c>
      <c r="B9883" s="195" t="s">
        <v>4359</v>
      </c>
      <c r="C9883" s="196">
        <v>0.03</v>
      </c>
      <c r="D9883" s="196">
        <v>0.72</v>
      </c>
      <c r="E9883" s="195" t="s">
        <v>598</v>
      </c>
      <c r="F9883" s="195" t="s">
        <v>19</v>
      </c>
    </row>
    <row r="9884" spans="1:6" x14ac:dyDescent="0.25">
      <c r="A9884" s="189" t="str">
        <f t="shared" si="154"/>
        <v>WI-MD 9910.70.72E</v>
      </c>
      <c r="B9884" s="195" t="s">
        <v>4360</v>
      </c>
      <c r="C9884" s="196">
        <v>0.7</v>
      </c>
      <c r="D9884" s="196">
        <v>0.72</v>
      </c>
      <c r="E9884" s="195" t="s">
        <v>598</v>
      </c>
      <c r="F9884" s="195" t="s">
        <v>19</v>
      </c>
    </row>
    <row r="9885" spans="1:6" x14ac:dyDescent="0.25">
      <c r="A9885" s="189" t="str">
        <f t="shared" si="154"/>
        <v>WI-MD 9910.70.72W</v>
      </c>
      <c r="B9885" s="195" t="s">
        <v>4360</v>
      </c>
      <c r="C9885" s="196">
        <v>0.7</v>
      </c>
      <c r="D9885" s="196">
        <v>0.72</v>
      </c>
      <c r="E9885" s="195" t="s">
        <v>593</v>
      </c>
      <c r="F9885" s="195" t="s">
        <v>432</v>
      </c>
    </row>
    <row r="9886" spans="1:6" x14ac:dyDescent="0.25">
      <c r="A9886" s="189" t="str">
        <f t="shared" si="154"/>
        <v>WI-MD 992A00.74E</v>
      </c>
      <c r="B9886" s="195" t="s">
        <v>4361</v>
      </c>
      <c r="C9886" s="196">
        <v>0</v>
      </c>
      <c r="D9886" s="196">
        <v>0.74</v>
      </c>
      <c r="E9886" s="195" t="s">
        <v>598</v>
      </c>
      <c r="F9886" s="195" t="s">
        <v>19</v>
      </c>
    </row>
    <row r="9887" spans="1:6" x14ac:dyDescent="0.25">
      <c r="A9887" s="189" t="str">
        <f t="shared" si="154"/>
        <v>WI-MD 992A00.74W</v>
      </c>
      <c r="B9887" s="195" t="s">
        <v>4361</v>
      </c>
      <c r="C9887" s="196">
        <v>0</v>
      </c>
      <c r="D9887" s="196">
        <v>0.74</v>
      </c>
      <c r="E9887" s="195" t="s">
        <v>593</v>
      </c>
      <c r="F9887" s="195" t="s">
        <v>432</v>
      </c>
    </row>
    <row r="9888" spans="1:6" x14ac:dyDescent="0.25">
      <c r="A9888" s="189" t="str">
        <f t="shared" si="154"/>
        <v>WI-MD 992B00.08N</v>
      </c>
      <c r="B9888" s="195" t="s">
        <v>4362</v>
      </c>
      <c r="C9888" s="196">
        <v>0</v>
      </c>
      <c r="D9888" s="196">
        <v>0.08</v>
      </c>
      <c r="E9888" s="195" t="s">
        <v>589</v>
      </c>
      <c r="F9888" s="195" t="s">
        <v>430</v>
      </c>
    </row>
    <row r="9889" spans="1:6" x14ac:dyDescent="0.25">
      <c r="A9889" s="189" t="str">
        <f t="shared" si="154"/>
        <v>WI-MD 992B00.08S</v>
      </c>
      <c r="B9889" s="195" t="s">
        <v>4362</v>
      </c>
      <c r="C9889" s="196">
        <v>0</v>
      </c>
      <c r="D9889" s="196">
        <v>0.08</v>
      </c>
      <c r="E9889" s="195" t="s">
        <v>595</v>
      </c>
      <c r="F9889" s="195" t="s">
        <v>438</v>
      </c>
    </row>
    <row r="9890" spans="1:6" x14ac:dyDescent="0.25">
      <c r="A9890" s="189" t="str">
        <f t="shared" si="154"/>
        <v>WI-MD 992C00.07E</v>
      </c>
      <c r="B9890" s="195" t="s">
        <v>4363</v>
      </c>
      <c r="C9890" s="196">
        <v>0</v>
      </c>
      <c r="D9890" s="196">
        <v>7.0000000000000007E-2</v>
      </c>
      <c r="E9890" s="195" t="s">
        <v>598</v>
      </c>
      <c r="F9890" s="195" t="s">
        <v>19</v>
      </c>
    </row>
    <row r="9891" spans="1:6" x14ac:dyDescent="0.25">
      <c r="A9891" s="189" t="str">
        <f t="shared" si="154"/>
        <v>WI-MD 992C00.07W</v>
      </c>
      <c r="B9891" s="195" t="s">
        <v>4363</v>
      </c>
      <c r="C9891" s="196">
        <v>0</v>
      </c>
      <c r="D9891" s="196">
        <v>7.0000000000000007E-2</v>
      </c>
      <c r="E9891" s="195" t="s">
        <v>593</v>
      </c>
      <c r="F9891" s="195" t="s">
        <v>432</v>
      </c>
    </row>
    <row r="9892" spans="1:6" x14ac:dyDescent="0.25">
      <c r="A9892" s="189" t="str">
        <f t="shared" si="154"/>
        <v>WI-MD 992D00.21E</v>
      </c>
      <c r="B9892" s="195" t="s">
        <v>4364</v>
      </c>
      <c r="C9892" s="196">
        <v>0</v>
      </c>
      <c r="D9892" s="196">
        <v>0.21</v>
      </c>
      <c r="E9892" s="195" t="s">
        <v>598</v>
      </c>
      <c r="F9892" s="195" t="s">
        <v>19</v>
      </c>
    </row>
    <row r="9893" spans="1:6" x14ac:dyDescent="0.25">
      <c r="A9893" s="189" t="str">
        <f t="shared" si="154"/>
        <v>WI-MD 992D00.21W</v>
      </c>
      <c r="B9893" s="195" t="s">
        <v>4364</v>
      </c>
      <c r="C9893" s="196">
        <v>0</v>
      </c>
      <c r="D9893" s="196">
        <v>0.21</v>
      </c>
      <c r="E9893" s="195" t="s">
        <v>593</v>
      </c>
      <c r="F9893" s="195" t="s">
        <v>432</v>
      </c>
    </row>
    <row r="9894" spans="1:6" x14ac:dyDescent="0.25">
      <c r="A9894" s="189" t="str">
        <f t="shared" si="154"/>
        <v>WI-MD 992E00.37E</v>
      </c>
      <c r="B9894" s="195" t="s">
        <v>4365</v>
      </c>
      <c r="C9894" s="196">
        <v>0</v>
      </c>
      <c r="D9894" s="196">
        <v>0.37</v>
      </c>
      <c r="E9894" s="195" t="s">
        <v>598</v>
      </c>
      <c r="F9894" s="195" t="s">
        <v>19</v>
      </c>
    </row>
    <row r="9895" spans="1:6" x14ac:dyDescent="0.25">
      <c r="A9895" s="189" t="str">
        <f t="shared" si="154"/>
        <v>WI-MD 992E00.37W</v>
      </c>
      <c r="B9895" s="195" t="s">
        <v>4365</v>
      </c>
      <c r="C9895" s="196">
        <v>0</v>
      </c>
      <c r="D9895" s="196">
        <v>0.37</v>
      </c>
      <c r="E9895" s="195" t="s">
        <v>593</v>
      </c>
      <c r="F9895" s="195" t="s">
        <v>432</v>
      </c>
    </row>
    <row r="9896" spans="1:6" x14ac:dyDescent="0.25">
      <c r="A9896" s="189" t="str">
        <f t="shared" si="154"/>
        <v>WI-MU 16320.290.43E</v>
      </c>
      <c r="B9896" s="195" t="s">
        <v>4366</v>
      </c>
      <c r="C9896" s="196">
        <v>0.28999999999999998</v>
      </c>
      <c r="D9896" s="196">
        <v>0.43</v>
      </c>
      <c r="E9896" s="195" t="s">
        <v>598</v>
      </c>
      <c r="F9896" s="195" t="s">
        <v>19</v>
      </c>
    </row>
    <row r="9897" spans="1:6" x14ac:dyDescent="0.25">
      <c r="A9897" s="189" t="str">
        <f t="shared" si="154"/>
        <v>WI-MU 16320.290.43W</v>
      </c>
      <c r="B9897" s="195" t="s">
        <v>4366</v>
      </c>
      <c r="C9897" s="196">
        <v>0.28999999999999998</v>
      </c>
      <c r="D9897" s="196">
        <v>0.43</v>
      </c>
      <c r="E9897" s="195" t="s">
        <v>593</v>
      </c>
      <c r="F9897" s="195" t="s">
        <v>432</v>
      </c>
    </row>
    <row r="9898" spans="1:6" x14ac:dyDescent="0.25">
      <c r="A9898" s="189" t="str">
        <f t="shared" si="154"/>
        <v>WI-US 13 RP1-2900.07W</v>
      </c>
      <c r="B9898" s="195" t="s">
        <v>4367</v>
      </c>
      <c r="C9898" s="196">
        <v>0</v>
      </c>
      <c r="D9898" s="196">
        <v>7.0000000000000007E-2</v>
      </c>
      <c r="E9898" s="195" t="s">
        <v>593</v>
      </c>
      <c r="F9898" s="195" t="s">
        <v>432</v>
      </c>
    </row>
    <row r="9899" spans="1:6" x14ac:dyDescent="0.25">
      <c r="A9899" s="189" t="str">
        <f t="shared" si="154"/>
        <v>WI-US 13 RP1-3200.05W</v>
      </c>
      <c r="B9899" s="195" t="s">
        <v>4368</v>
      </c>
      <c r="C9899" s="196">
        <v>0</v>
      </c>
      <c r="D9899" s="196">
        <v>0.05</v>
      </c>
      <c r="E9899" s="195" t="s">
        <v>593</v>
      </c>
      <c r="F9899" s="195" t="s">
        <v>432</v>
      </c>
    </row>
    <row r="9900" spans="1:6" x14ac:dyDescent="0.25">
      <c r="A9900" s="189" t="str">
        <f t="shared" si="154"/>
        <v>WI-US 13 RP1-3500.24N</v>
      </c>
      <c r="B9900" s="195" t="s">
        <v>4369</v>
      </c>
      <c r="C9900" s="196">
        <v>0</v>
      </c>
      <c r="D9900" s="196">
        <v>0.24</v>
      </c>
      <c r="E9900" s="195" t="s">
        <v>589</v>
      </c>
      <c r="F9900" s="195" t="s">
        <v>430</v>
      </c>
    </row>
    <row r="9901" spans="1:6" x14ac:dyDescent="0.25">
      <c r="A9901" s="189" t="str">
        <f t="shared" si="154"/>
        <v>WI-US 13 RP2-2900.35W</v>
      </c>
      <c r="B9901" s="195" t="s">
        <v>4370</v>
      </c>
      <c r="C9901" s="196">
        <v>0</v>
      </c>
      <c r="D9901" s="196">
        <v>0.35</v>
      </c>
      <c r="E9901" s="195" t="s">
        <v>593</v>
      </c>
      <c r="F9901" s="195" t="s">
        <v>432</v>
      </c>
    </row>
    <row r="9902" spans="1:6" x14ac:dyDescent="0.25">
      <c r="A9902" s="189" t="str">
        <f t="shared" si="154"/>
        <v>WI-US 13 RP2-3200.3N</v>
      </c>
      <c r="B9902" s="195" t="s">
        <v>4371</v>
      </c>
      <c r="C9902" s="196">
        <v>0</v>
      </c>
      <c r="D9902" s="196">
        <v>0.3</v>
      </c>
      <c r="E9902" s="195" t="s">
        <v>589</v>
      </c>
      <c r="F9902" s="195" t="s">
        <v>430</v>
      </c>
    </row>
    <row r="9903" spans="1:6" x14ac:dyDescent="0.25">
      <c r="A9903" s="189" t="str">
        <f t="shared" si="154"/>
        <v>WI-US 13 RP2-3500.44W</v>
      </c>
      <c r="B9903" s="195" t="s">
        <v>4372</v>
      </c>
      <c r="C9903" s="196">
        <v>0</v>
      </c>
      <c r="D9903" s="196">
        <v>0.44</v>
      </c>
      <c r="E9903" s="195" t="s">
        <v>593</v>
      </c>
      <c r="F9903" s="195" t="s">
        <v>432</v>
      </c>
    </row>
    <row r="9904" spans="1:6" x14ac:dyDescent="0.25">
      <c r="A9904" s="189" t="str">
        <f t="shared" si="154"/>
        <v>WI-US 13 RP2-350.170.26E</v>
      </c>
      <c r="B9904" s="195" t="s">
        <v>4372</v>
      </c>
      <c r="C9904" s="196">
        <v>0.17</v>
      </c>
      <c r="D9904" s="196">
        <v>0.26</v>
      </c>
      <c r="E9904" s="195" t="s">
        <v>598</v>
      </c>
      <c r="F9904" s="195" t="s">
        <v>19</v>
      </c>
    </row>
    <row r="9905" spans="1:6" x14ac:dyDescent="0.25">
      <c r="A9905" s="189" t="str">
        <f t="shared" si="154"/>
        <v>WI-US 13 RP2-3800.39W</v>
      </c>
      <c r="B9905" s="195" t="s">
        <v>4373</v>
      </c>
      <c r="C9905" s="196">
        <v>0</v>
      </c>
      <c r="D9905" s="196">
        <v>0.39</v>
      </c>
      <c r="E9905" s="195" t="s">
        <v>593</v>
      </c>
      <c r="F9905" s="195" t="s">
        <v>432</v>
      </c>
    </row>
    <row r="9906" spans="1:6" x14ac:dyDescent="0.25">
      <c r="A9906" s="189" t="str">
        <f t="shared" si="154"/>
        <v>WI-US 13 RP2-380.20.27E</v>
      </c>
      <c r="B9906" s="195" t="s">
        <v>4373</v>
      </c>
      <c r="C9906" s="196">
        <v>0.2</v>
      </c>
      <c r="D9906" s="196">
        <v>0.27</v>
      </c>
      <c r="E9906" s="195" t="s">
        <v>598</v>
      </c>
      <c r="F9906" s="195" t="s">
        <v>19</v>
      </c>
    </row>
    <row r="9907" spans="1:6" x14ac:dyDescent="0.25">
      <c r="A9907" s="189" t="str">
        <f t="shared" si="154"/>
        <v>WI-US 13 RP3-2900.05E</v>
      </c>
      <c r="B9907" s="195" t="s">
        <v>4374</v>
      </c>
      <c r="C9907" s="196">
        <v>0</v>
      </c>
      <c r="D9907" s="196">
        <v>0.05</v>
      </c>
      <c r="E9907" s="195" t="s">
        <v>598</v>
      </c>
      <c r="F9907" s="195" t="s">
        <v>19</v>
      </c>
    </row>
    <row r="9908" spans="1:6" x14ac:dyDescent="0.25">
      <c r="A9908" s="189" t="str">
        <f t="shared" si="154"/>
        <v>WI-US 13 RP3-3200.24E</v>
      </c>
      <c r="B9908" s="195" t="s">
        <v>4375</v>
      </c>
      <c r="C9908" s="196">
        <v>0</v>
      </c>
      <c r="D9908" s="196">
        <v>0.24</v>
      </c>
      <c r="E9908" s="195" t="s">
        <v>598</v>
      </c>
      <c r="F9908" s="195" t="s">
        <v>19</v>
      </c>
    </row>
    <row r="9909" spans="1:6" x14ac:dyDescent="0.25">
      <c r="A9909" s="189" t="str">
        <f t="shared" si="154"/>
        <v>WI-US 13 RP3-3500.1N</v>
      </c>
      <c r="B9909" s="195" t="s">
        <v>4376</v>
      </c>
      <c r="C9909" s="196">
        <v>0</v>
      </c>
      <c r="D9909" s="196">
        <v>0.1</v>
      </c>
      <c r="E9909" s="195" t="s">
        <v>589</v>
      </c>
      <c r="F9909" s="195" t="s">
        <v>430</v>
      </c>
    </row>
    <row r="9910" spans="1:6" x14ac:dyDescent="0.25">
      <c r="A9910" s="189" t="str">
        <f t="shared" si="154"/>
        <v>WI-US 13 RP3-3800.27E</v>
      </c>
      <c r="B9910" s="195" t="s">
        <v>4377</v>
      </c>
      <c r="C9910" s="196">
        <v>0</v>
      </c>
      <c r="D9910" s="196">
        <v>0.27</v>
      </c>
      <c r="E9910" s="195" t="s">
        <v>598</v>
      </c>
      <c r="F9910" s="195" t="s">
        <v>19</v>
      </c>
    </row>
    <row r="9911" spans="1:6" x14ac:dyDescent="0.25">
      <c r="A9911" s="189" t="str">
        <f t="shared" si="154"/>
        <v>WI-US 13 RP4-2900.39N</v>
      </c>
      <c r="B9911" s="195" t="s">
        <v>4378</v>
      </c>
      <c r="C9911" s="196">
        <v>0</v>
      </c>
      <c r="D9911" s="196">
        <v>0.39</v>
      </c>
      <c r="E9911" s="195" t="s">
        <v>589</v>
      </c>
      <c r="F9911" s="195" t="s">
        <v>430</v>
      </c>
    </row>
    <row r="9912" spans="1:6" x14ac:dyDescent="0.25">
      <c r="A9912" s="189" t="str">
        <f t="shared" si="154"/>
        <v>WI-US 13 RP4-3200.59N</v>
      </c>
      <c r="B9912" s="195" t="s">
        <v>4379</v>
      </c>
      <c r="C9912" s="196">
        <v>0</v>
      </c>
      <c r="D9912" s="196">
        <v>0.59</v>
      </c>
      <c r="E9912" s="195" t="s">
        <v>589</v>
      </c>
      <c r="F9912" s="195" t="s">
        <v>430</v>
      </c>
    </row>
    <row r="9913" spans="1:6" x14ac:dyDescent="0.25">
      <c r="A9913" s="189" t="str">
        <f t="shared" si="154"/>
        <v>WI-US 13 RP4-3500.54N</v>
      </c>
      <c r="B9913" s="195" t="s">
        <v>4380</v>
      </c>
      <c r="C9913" s="196">
        <v>0</v>
      </c>
      <c r="D9913" s="196">
        <v>0.54</v>
      </c>
      <c r="E9913" s="195" t="s">
        <v>589</v>
      </c>
      <c r="F9913" s="195" t="s">
        <v>430</v>
      </c>
    </row>
    <row r="9914" spans="1:6" x14ac:dyDescent="0.25">
      <c r="A9914" s="189" t="str">
        <f t="shared" si="154"/>
        <v>WI-US 13 RP4-3800.22N</v>
      </c>
      <c r="B9914" s="195" t="s">
        <v>4381</v>
      </c>
      <c r="C9914" s="196">
        <v>0</v>
      </c>
      <c r="D9914" s="196">
        <v>0.22</v>
      </c>
      <c r="E9914" s="195" t="s">
        <v>589</v>
      </c>
      <c r="F9914" s="195" t="s">
        <v>430</v>
      </c>
    </row>
    <row r="9915" spans="1:6" x14ac:dyDescent="0.25">
      <c r="A9915" s="189" t="str">
        <f t="shared" si="154"/>
        <v>WI-US 13 RP5-2900.07E</v>
      </c>
      <c r="B9915" s="195" t="s">
        <v>4382</v>
      </c>
      <c r="C9915" s="196">
        <v>0</v>
      </c>
      <c r="D9915" s="196">
        <v>7.0000000000000007E-2</v>
      </c>
      <c r="E9915" s="195" t="s">
        <v>598</v>
      </c>
      <c r="F9915" s="195" t="s">
        <v>19</v>
      </c>
    </row>
    <row r="9916" spans="1:6" x14ac:dyDescent="0.25">
      <c r="A9916" s="189" t="str">
        <f t="shared" si="154"/>
        <v>WI-US 13 RP5-3200.23S</v>
      </c>
      <c r="B9916" s="195" t="s">
        <v>4383</v>
      </c>
      <c r="C9916" s="196">
        <v>0</v>
      </c>
      <c r="D9916" s="196">
        <v>0.23</v>
      </c>
      <c r="E9916" s="195" t="s">
        <v>595</v>
      </c>
      <c r="F9916" s="195" t="s">
        <v>438</v>
      </c>
    </row>
    <row r="9917" spans="1:6" x14ac:dyDescent="0.25">
      <c r="A9917" s="189" t="str">
        <f t="shared" si="154"/>
        <v>WI-US 13 RP5-3500.23S</v>
      </c>
      <c r="B9917" s="195" t="s">
        <v>4384</v>
      </c>
      <c r="C9917" s="196">
        <v>0</v>
      </c>
      <c r="D9917" s="196">
        <v>0.23</v>
      </c>
      <c r="E9917" s="195" t="s">
        <v>595</v>
      </c>
      <c r="F9917" s="195" t="s">
        <v>438</v>
      </c>
    </row>
    <row r="9918" spans="1:6" x14ac:dyDescent="0.25">
      <c r="A9918" s="189" t="str">
        <f t="shared" si="154"/>
        <v>WI-US 13 RP5-3800.84S</v>
      </c>
      <c r="B9918" s="195" t="s">
        <v>4385</v>
      </c>
      <c r="C9918" s="196">
        <v>0</v>
      </c>
      <c r="D9918" s="196">
        <v>0.84</v>
      </c>
      <c r="E9918" s="195" t="s">
        <v>595</v>
      </c>
      <c r="F9918" s="195" t="s">
        <v>438</v>
      </c>
    </row>
    <row r="9919" spans="1:6" x14ac:dyDescent="0.25">
      <c r="A9919" s="189" t="str">
        <f t="shared" si="154"/>
        <v>WI-US 13 RP6-2900.32S</v>
      </c>
      <c r="B9919" s="195" t="s">
        <v>4386</v>
      </c>
      <c r="C9919" s="196">
        <v>0</v>
      </c>
      <c r="D9919" s="196">
        <v>0.32</v>
      </c>
      <c r="E9919" s="195" t="s">
        <v>595</v>
      </c>
      <c r="F9919" s="195" t="s">
        <v>438</v>
      </c>
    </row>
    <row r="9920" spans="1:6" x14ac:dyDescent="0.25">
      <c r="A9920" s="189" t="str">
        <f t="shared" si="154"/>
        <v>WI-US 13 RP6-3200.04S</v>
      </c>
      <c r="B9920" s="195" t="s">
        <v>4387</v>
      </c>
      <c r="C9920" s="196">
        <v>0</v>
      </c>
      <c r="D9920" s="196">
        <v>0.04</v>
      </c>
      <c r="E9920" s="195" t="s">
        <v>595</v>
      </c>
      <c r="F9920" s="195" t="s">
        <v>438</v>
      </c>
    </row>
    <row r="9921" spans="1:6" x14ac:dyDescent="0.25">
      <c r="A9921" s="189" t="str">
        <f t="shared" si="154"/>
        <v>WI-US 13 RP6-3500.43E</v>
      </c>
      <c r="B9921" s="195" t="s">
        <v>4388</v>
      </c>
      <c r="C9921" s="196">
        <v>0</v>
      </c>
      <c r="D9921" s="196">
        <v>0.43</v>
      </c>
      <c r="E9921" s="195" t="s">
        <v>598</v>
      </c>
      <c r="F9921" s="195" t="s">
        <v>19</v>
      </c>
    </row>
    <row r="9922" spans="1:6" x14ac:dyDescent="0.25">
      <c r="A9922" s="189" t="str">
        <f t="shared" si="154"/>
        <v>WI-US 13 RP6-3800.08W</v>
      </c>
      <c r="B9922" s="195" t="s">
        <v>4389</v>
      </c>
      <c r="C9922" s="196">
        <v>0</v>
      </c>
      <c r="D9922" s="196">
        <v>0.08</v>
      </c>
      <c r="E9922" s="195" t="s">
        <v>593</v>
      </c>
      <c r="F9922" s="195" t="s">
        <v>432</v>
      </c>
    </row>
    <row r="9923" spans="1:6" x14ac:dyDescent="0.25">
      <c r="A9923" s="189" t="str">
        <f t="shared" si="154"/>
        <v>WI-US 13 RP7-2900.07W</v>
      </c>
      <c r="B9923" s="195" t="s">
        <v>4390</v>
      </c>
      <c r="C9923" s="196">
        <v>0</v>
      </c>
      <c r="D9923" s="196">
        <v>7.0000000000000007E-2</v>
      </c>
      <c r="E9923" s="195" t="s">
        <v>593</v>
      </c>
      <c r="F9923" s="195" t="s">
        <v>432</v>
      </c>
    </row>
    <row r="9924" spans="1:6" x14ac:dyDescent="0.25">
      <c r="A9924" s="189" t="str">
        <f t="shared" si="154"/>
        <v>WI-US 13 RP7-3200.06W</v>
      </c>
      <c r="B9924" s="195" t="s">
        <v>4391</v>
      </c>
      <c r="C9924" s="196">
        <v>0</v>
      </c>
      <c r="D9924" s="196">
        <v>0.06</v>
      </c>
      <c r="E9924" s="195" t="s">
        <v>593</v>
      </c>
      <c r="F9924" s="195" t="s">
        <v>432</v>
      </c>
    </row>
    <row r="9925" spans="1:6" x14ac:dyDescent="0.25">
      <c r="A9925" s="189" t="str">
        <f t="shared" si="154"/>
        <v>WI-US 13 RP7-3500.1S</v>
      </c>
      <c r="B9925" s="195" t="s">
        <v>4392</v>
      </c>
      <c r="C9925" s="196">
        <v>0</v>
      </c>
      <c r="D9925" s="196">
        <v>0.1</v>
      </c>
      <c r="E9925" s="195" t="s">
        <v>595</v>
      </c>
      <c r="F9925" s="195" t="s">
        <v>438</v>
      </c>
    </row>
    <row r="9926" spans="1:6" x14ac:dyDescent="0.25">
      <c r="A9926" s="189" t="str">
        <f t="shared" si="154"/>
        <v>WI-US 13 RP7-3800.09W</v>
      </c>
      <c r="B9926" s="195" t="s">
        <v>4393</v>
      </c>
      <c r="C9926" s="196">
        <v>0</v>
      </c>
      <c r="D9926" s="196">
        <v>0.09</v>
      </c>
      <c r="E9926" s="195" t="s">
        <v>593</v>
      </c>
      <c r="F9926" s="195" t="s">
        <v>432</v>
      </c>
    </row>
    <row r="9927" spans="1:6" x14ac:dyDescent="0.25">
      <c r="A9927" s="189" t="str">
        <f t="shared" si="154"/>
        <v>WI-US 13 RP8-2900.32S</v>
      </c>
      <c r="B9927" s="195" t="s">
        <v>4394</v>
      </c>
      <c r="C9927" s="196">
        <v>0</v>
      </c>
      <c r="D9927" s="196">
        <v>0.32</v>
      </c>
      <c r="E9927" s="195" t="s">
        <v>595</v>
      </c>
      <c r="F9927" s="195" t="s">
        <v>438</v>
      </c>
    </row>
    <row r="9928" spans="1:6" x14ac:dyDescent="0.25">
      <c r="A9928" s="189" t="str">
        <f t="shared" ref="A9928:A9991" si="155">B9928&amp;C9928&amp;D9928&amp;F9928</f>
        <v>WI-US 13 RP8-3200.31S</v>
      </c>
      <c r="B9928" s="195" t="s">
        <v>4395</v>
      </c>
      <c r="C9928" s="196">
        <v>0</v>
      </c>
      <c r="D9928" s="196">
        <v>0.31</v>
      </c>
      <c r="E9928" s="195" t="s">
        <v>595</v>
      </c>
      <c r="F9928" s="195" t="s">
        <v>438</v>
      </c>
    </row>
    <row r="9929" spans="1:6" x14ac:dyDescent="0.25">
      <c r="A9929" s="189" t="str">
        <f t="shared" si="155"/>
        <v>WI-US 13 RP8-3500.36S</v>
      </c>
      <c r="B9929" s="195" t="s">
        <v>4396</v>
      </c>
      <c r="C9929" s="196">
        <v>0</v>
      </c>
      <c r="D9929" s="196">
        <v>0.36</v>
      </c>
      <c r="E9929" s="195" t="s">
        <v>595</v>
      </c>
      <c r="F9929" s="195" t="s">
        <v>438</v>
      </c>
    </row>
    <row r="9930" spans="1:6" x14ac:dyDescent="0.25">
      <c r="A9930" s="189" t="str">
        <f t="shared" si="155"/>
        <v>WI-US 13 RP8-3800.3S</v>
      </c>
      <c r="B9930" s="195" t="s">
        <v>4397</v>
      </c>
      <c r="C9930" s="196">
        <v>0</v>
      </c>
      <c r="D9930" s="196">
        <v>0.3</v>
      </c>
      <c r="E9930" s="195" t="s">
        <v>595</v>
      </c>
      <c r="F9930" s="195" t="s">
        <v>438</v>
      </c>
    </row>
    <row r="9931" spans="1:6" x14ac:dyDescent="0.25">
      <c r="A9931" s="189" t="str">
        <f t="shared" si="155"/>
        <v>WI-US 13 RP9-3500.29E</v>
      </c>
      <c r="B9931" s="195" t="s">
        <v>4398</v>
      </c>
      <c r="C9931" s="196">
        <v>0</v>
      </c>
      <c r="D9931" s="196">
        <v>0.28999999999999998</v>
      </c>
      <c r="E9931" s="195" t="s">
        <v>598</v>
      </c>
      <c r="F9931" s="195" t="s">
        <v>19</v>
      </c>
    </row>
    <row r="9932" spans="1:6" x14ac:dyDescent="0.25">
      <c r="A9932" s="189" t="str">
        <f t="shared" si="155"/>
        <v>WI-US 13BU4.154.9N</v>
      </c>
      <c r="B9932" s="195" t="s">
        <v>441</v>
      </c>
      <c r="C9932" s="196">
        <v>4.1500000000000004</v>
      </c>
      <c r="D9932" s="196">
        <v>4.9000000000000004</v>
      </c>
      <c r="E9932" s="195" t="s">
        <v>583</v>
      </c>
      <c r="F9932" s="195" t="s">
        <v>430</v>
      </c>
    </row>
    <row r="9933" spans="1:6" x14ac:dyDescent="0.25">
      <c r="A9933" s="189" t="str">
        <f t="shared" si="155"/>
        <v>WI-US 13BU4.154.9S</v>
      </c>
      <c r="B9933" s="195" t="s">
        <v>441</v>
      </c>
      <c r="C9933" s="196">
        <v>4.1500000000000004</v>
      </c>
      <c r="D9933" s="196">
        <v>4.9000000000000004</v>
      </c>
      <c r="E9933" s="195" t="s">
        <v>583</v>
      </c>
      <c r="F9933" s="195" t="s">
        <v>438</v>
      </c>
    </row>
    <row r="9934" spans="1:6" x14ac:dyDescent="0.25">
      <c r="A9934" s="189" t="str">
        <f t="shared" si="155"/>
        <v>WI-US 13BU4.95.68N</v>
      </c>
      <c r="B9934" s="195" t="s">
        <v>441</v>
      </c>
      <c r="C9934" s="196">
        <v>4.9000000000000004</v>
      </c>
      <c r="D9934" s="196">
        <v>5.68</v>
      </c>
      <c r="E9934" s="195" t="s">
        <v>583</v>
      </c>
      <c r="F9934" s="195" t="s">
        <v>430</v>
      </c>
    </row>
    <row r="9935" spans="1:6" x14ac:dyDescent="0.25">
      <c r="A9935" s="189" t="str">
        <f t="shared" si="155"/>
        <v>WI-US 13BU4.95.68S</v>
      </c>
      <c r="B9935" s="195" t="s">
        <v>441</v>
      </c>
      <c r="C9935" s="196">
        <v>4.9000000000000004</v>
      </c>
      <c r="D9935" s="196">
        <v>5.68</v>
      </c>
      <c r="E9935" s="195" t="s">
        <v>583</v>
      </c>
      <c r="F9935" s="195" t="s">
        <v>438</v>
      </c>
    </row>
    <row r="9936" spans="1:6" x14ac:dyDescent="0.25">
      <c r="A9936" s="189" t="str">
        <f t="shared" si="155"/>
        <v>WI-US 13BU5.686.45N</v>
      </c>
      <c r="B9936" s="195" t="s">
        <v>441</v>
      </c>
      <c r="C9936" s="196">
        <v>5.68</v>
      </c>
      <c r="D9936" s="196">
        <v>6.45</v>
      </c>
      <c r="E9936" s="195" t="s">
        <v>583</v>
      </c>
      <c r="F9936" s="195" t="s">
        <v>430</v>
      </c>
    </row>
    <row r="9937" spans="1:6" x14ac:dyDescent="0.25">
      <c r="A9937" s="189" t="str">
        <f t="shared" si="155"/>
        <v>WI-US 13BU5.686.45S</v>
      </c>
      <c r="B9937" s="195" t="s">
        <v>441</v>
      </c>
      <c r="C9937" s="196">
        <v>5.68</v>
      </c>
      <c r="D9937" s="196">
        <v>6.45</v>
      </c>
      <c r="E9937" s="195" t="s">
        <v>583</v>
      </c>
      <c r="F9937" s="195" t="s">
        <v>438</v>
      </c>
    </row>
    <row r="9938" spans="1:6" x14ac:dyDescent="0.25">
      <c r="A9938" s="189" t="str">
        <f t="shared" si="155"/>
        <v>WI-US 13BU6.458.13N</v>
      </c>
      <c r="B9938" s="195" t="s">
        <v>441</v>
      </c>
      <c r="C9938" s="196">
        <v>6.45</v>
      </c>
      <c r="D9938" s="196">
        <v>8.1300000000000008</v>
      </c>
      <c r="E9938" s="195" t="s">
        <v>583</v>
      </c>
      <c r="F9938" s="195" t="s">
        <v>430</v>
      </c>
    </row>
    <row r="9939" spans="1:6" x14ac:dyDescent="0.25">
      <c r="A9939" s="189" t="str">
        <f t="shared" si="155"/>
        <v>WI-US 13BU6.458.13S</v>
      </c>
      <c r="B9939" s="195" t="s">
        <v>441</v>
      </c>
      <c r="C9939" s="196">
        <v>6.45</v>
      </c>
      <c r="D9939" s="196">
        <v>8.1300000000000008</v>
      </c>
      <c r="E9939" s="195" t="s">
        <v>583</v>
      </c>
      <c r="F9939" s="195" t="s">
        <v>438</v>
      </c>
    </row>
    <row r="9940" spans="1:6" x14ac:dyDescent="0.25">
      <c r="A9940" s="189" t="str">
        <f t="shared" si="155"/>
        <v>WI-US 50 RP2-10900.23W</v>
      </c>
      <c r="B9940" s="195" t="s">
        <v>4399</v>
      </c>
      <c r="C9940" s="196">
        <v>0</v>
      </c>
      <c r="D9940" s="196">
        <v>0.23</v>
      </c>
      <c r="E9940" s="195" t="s">
        <v>593</v>
      </c>
      <c r="F9940" s="195" t="s">
        <v>432</v>
      </c>
    </row>
    <row r="9941" spans="1:6" x14ac:dyDescent="0.25">
      <c r="A9941" s="189" t="str">
        <f t="shared" si="155"/>
        <v>WI-US 50 RP4-10900.3E</v>
      </c>
      <c r="B9941" s="195" t="s">
        <v>4400</v>
      </c>
      <c r="C9941" s="196">
        <v>0</v>
      </c>
      <c r="D9941" s="196">
        <v>0.3</v>
      </c>
      <c r="E9941" s="195" t="s">
        <v>598</v>
      </c>
      <c r="F9941" s="195" t="s">
        <v>19</v>
      </c>
    </row>
    <row r="9942" spans="1:6" x14ac:dyDescent="0.25">
      <c r="A9942" s="189" t="str">
        <f t="shared" si="155"/>
        <v>WI-US 50 RP6-10900.24E</v>
      </c>
      <c r="B9942" s="195" t="s">
        <v>4401</v>
      </c>
      <c r="C9942" s="196">
        <v>0</v>
      </c>
      <c r="D9942" s="196">
        <v>0.24</v>
      </c>
      <c r="E9942" s="195" t="s">
        <v>598</v>
      </c>
      <c r="F9942" s="195" t="s">
        <v>19</v>
      </c>
    </row>
    <row r="9943" spans="1:6" x14ac:dyDescent="0.25">
      <c r="A9943" s="189" t="str">
        <f t="shared" si="155"/>
        <v>WI-US 50 RP6-11100.23E</v>
      </c>
      <c r="B9943" s="195" t="s">
        <v>4402</v>
      </c>
      <c r="C9943" s="196">
        <v>0</v>
      </c>
      <c r="D9943" s="196">
        <v>0.23</v>
      </c>
      <c r="E9943" s="195" t="s">
        <v>598</v>
      </c>
      <c r="F9943" s="195" t="s">
        <v>19</v>
      </c>
    </row>
    <row r="9944" spans="1:6" x14ac:dyDescent="0.25">
      <c r="A9944" s="189" t="str">
        <f t="shared" si="155"/>
        <v>WI-US 50 RP8-10900.32W</v>
      </c>
      <c r="B9944" s="195" t="s">
        <v>4403</v>
      </c>
      <c r="C9944" s="196">
        <v>0</v>
      </c>
      <c r="D9944" s="196">
        <v>0.32</v>
      </c>
      <c r="E9944" s="195" t="s">
        <v>593</v>
      </c>
      <c r="F9944" s="195" t="s">
        <v>432</v>
      </c>
    </row>
    <row r="9945" spans="1:6" x14ac:dyDescent="0.25">
      <c r="A9945" s="189" t="str">
        <f t="shared" si="155"/>
        <v>WI-US 50 RP8-11100.28W</v>
      </c>
      <c r="B9945" s="195" t="s">
        <v>4404</v>
      </c>
      <c r="C9945" s="196">
        <v>0</v>
      </c>
      <c r="D9945" s="196">
        <v>0.28000000000000003</v>
      </c>
      <c r="E9945" s="195" t="s">
        <v>593</v>
      </c>
      <c r="F9945" s="195" t="s">
        <v>432</v>
      </c>
    </row>
    <row r="9946" spans="1:6" x14ac:dyDescent="0.25">
      <c r="A9946" s="189" t="str">
        <f t="shared" si="155"/>
        <v>WI-US 50UA3.033.39E</v>
      </c>
      <c r="B9946" s="195" t="s">
        <v>4405</v>
      </c>
      <c r="C9946" s="196">
        <v>3.03</v>
      </c>
      <c r="D9946" s="196">
        <v>3.39</v>
      </c>
      <c r="E9946" s="195" t="s">
        <v>598</v>
      </c>
      <c r="F9946" s="195" t="s">
        <v>19</v>
      </c>
    </row>
    <row r="9947" spans="1:6" x14ac:dyDescent="0.25">
      <c r="A9947" s="189" t="str">
        <f t="shared" si="155"/>
        <v>WI-US 50UA3.033.39W</v>
      </c>
      <c r="B9947" s="195" t="s">
        <v>4405</v>
      </c>
      <c r="C9947" s="196">
        <v>3.03</v>
      </c>
      <c r="D9947" s="196">
        <v>3.39</v>
      </c>
      <c r="E9947" s="195" t="s">
        <v>593</v>
      </c>
      <c r="F9947" s="195" t="s">
        <v>432</v>
      </c>
    </row>
    <row r="9948" spans="1:6" x14ac:dyDescent="0.25">
      <c r="A9948" s="189" t="str">
        <f t="shared" si="155"/>
        <v>WO-MD 1202.6N</v>
      </c>
      <c r="B9948" s="195" t="s">
        <v>442</v>
      </c>
      <c r="C9948" s="196">
        <v>0</v>
      </c>
      <c r="D9948" s="196">
        <v>2.6</v>
      </c>
      <c r="E9948" s="195" t="s">
        <v>583</v>
      </c>
      <c r="F9948" s="195" t="s">
        <v>430</v>
      </c>
    </row>
    <row r="9949" spans="1:6" x14ac:dyDescent="0.25">
      <c r="A9949" s="189" t="str">
        <f t="shared" si="155"/>
        <v>WO-MD 1202.6S</v>
      </c>
      <c r="B9949" s="195" t="s">
        <v>442</v>
      </c>
      <c r="C9949" s="196">
        <v>0</v>
      </c>
      <c r="D9949" s="196">
        <v>2.6</v>
      </c>
      <c r="E9949" s="195" t="s">
        <v>583</v>
      </c>
      <c r="F9949" s="195" t="s">
        <v>438</v>
      </c>
    </row>
    <row r="9950" spans="1:6" x14ac:dyDescent="0.25">
      <c r="A9950" s="189" t="str">
        <f t="shared" si="155"/>
        <v>WO-MD 122.63.3N</v>
      </c>
      <c r="B9950" s="195" t="s">
        <v>442</v>
      </c>
      <c r="C9950" s="196">
        <v>2.6</v>
      </c>
      <c r="D9950" s="196">
        <v>3.3</v>
      </c>
      <c r="E9950" s="195" t="s">
        <v>583</v>
      </c>
      <c r="F9950" s="195" t="s">
        <v>430</v>
      </c>
    </row>
    <row r="9951" spans="1:6" x14ac:dyDescent="0.25">
      <c r="A9951" s="189" t="str">
        <f t="shared" si="155"/>
        <v>WO-MD 122.63.3S</v>
      </c>
      <c r="B9951" s="195" t="s">
        <v>442</v>
      </c>
      <c r="C9951" s="196">
        <v>2.6</v>
      </c>
      <c r="D9951" s="196">
        <v>3.3</v>
      </c>
      <c r="E9951" s="195" t="s">
        <v>583</v>
      </c>
      <c r="F9951" s="195" t="s">
        <v>438</v>
      </c>
    </row>
    <row r="9952" spans="1:6" x14ac:dyDescent="0.25">
      <c r="A9952" s="189" t="str">
        <f t="shared" si="155"/>
        <v>WO-MD 123.34.6N</v>
      </c>
      <c r="B9952" s="195" t="s">
        <v>442</v>
      </c>
      <c r="C9952" s="196">
        <v>3.3</v>
      </c>
      <c r="D9952" s="196">
        <v>4.5999999999999996</v>
      </c>
      <c r="E9952" s="195" t="s">
        <v>583</v>
      </c>
      <c r="F9952" s="195" t="s">
        <v>430</v>
      </c>
    </row>
    <row r="9953" spans="1:6" x14ac:dyDescent="0.25">
      <c r="A9953" s="189" t="str">
        <f t="shared" si="155"/>
        <v>WO-MD 123.34.6S</v>
      </c>
      <c r="B9953" s="195" t="s">
        <v>442</v>
      </c>
      <c r="C9953" s="196">
        <v>3.3</v>
      </c>
      <c r="D9953" s="196">
        <v>4.5999999999999996</v>
      </c>
      <c r="E9953" s="195" t="s">
        <v>583</v>
      </c>
      <c r="F9953" s="195" t="s">
        <v>438</v>
      </c>
    </row>
    <row r="9954" spans="1:6" x14ac:dyDescent="0.25">
      <c r="A9954" s="189" t="str">
        <f t="shared" si="155"/>
        <v>WO-MD 124.64.9N</v>
      </c>
      <c r="B9954" s="195" t="s">
        <v>442</v>
      </c>
      <c r="C9954" s="196">
        <v>4.5999999999999996</v>
      </c>
      <c r="D9954" s="196">
        <v>4.9000000000000004</v>
      </c>
      <c r="E9954" s="195" t="s">
        <v>583</v>
      </c>
      <c r="F9954" s="195" t="s">
        <v>430</v>
      </c>
    </row>
    <row r="9955" spans="1:6" x14ac:dyDescent="0.25">
      <c r="A9955" s="189" t="str">
        <f t="shared" si="155"/>
        <v>WO-MD 124.64.9S</v>
      </c>
      <c r="B9955" s="195" t="s">
        <v>442</v>
      </c>
      <c r="C9955" s="196">
        <v>4.5999999999999996</v>
      </c>
      <c r="D9955" s="196">
        <v>4.9000000000000004</v>
      </c>
      <c r="E9955" s="195" t="s">
        <v>583</v>
      </c>
      <c r="F9955" s="195" t="s">
        <v>438</v>
      </c>
    </row>
    <row r="9956" spans="1:6" x14ac:dyDescent="0.25">
      <c r="A9956" s="189" t="str">
        <f t="shared" si="155"/>
        <v>WO-MD 124.97.25N</v>
      </c>
      <c r="B9956" s="195" t="s">
        <v>442</v>
      </c>
      <c r="C9956" s="196">
        <v>4.9000000000000004</v>
      </c>
      <c r="D9956" s="196">
        <v>7.25</v>
      </c>
      <c r="E9956" s="195" t="s">
        <v>583</v>
      </c>
      <c r="F9956" s="195" t="s">
        <v>430</v>
      </c>
    </row>
    <row r="9957" spans="1:6" x14ac:dyDescent="0.25">
      <c r="A9957" s="189" t="str">
        <f t="shared" si="155"/>
        <v>WO-MD 124.97.25S</v>
      </c>
      <c r="B9957" s="195" t="s">
        <v>442</v>
      </c>
      <c r="C9957" s="196">
        <v>4.9000000000000004</v>
      </c>
      <c r="D9957" s="196">
        <v>7.25</v>
      </c>
      <c r="E9957" s="195" t="s">
        <v>583</v>
      </c>
      <c r="F9957" s="195" t="s">
        <v>438</v>
      </c>
    </row>
    <row r="9958" spans="1:6" x14ac:dyDescent="0.25">
      <c r="A9958" s="189" t="str">
        <f t="shared" si="155"/>
        <v>WO-MD 127.257.6N</v>
      </c>
      <c r="B9958" s="195" t="s">
        <v>442</v>
      </c>
      <c r="C9958" s="196">
        <v>7.25</v>
      </c>
      <c r="D9958" s="196">
        <v>7.6</v>
      </c>
      <c r="E9958" s="195" t="s">
        <v>583</v>
      </c>
      <c r="F9958" s="195" t="s">
        <v>430</v>
      </c>
    </row>
    <row r="9959" spans="1:6" x14ac:dyDescent="0.25">
      <c r="A9959" s="189" t="str">
        <f t="shared" si="155"/>
        <v>WO-MD 127.257.6S</v>
      </c>
      <c r="B9959" s="195" t="s">
        <v>442</v>
      </c>
      <c r="C9959" s="196">
        <v>7.25</v>
      </c>
      <c r="D9959" s="196">
        <v>7.6</v>
      </c>
      <c r="E9959" s="195" t="s">
        <v>583</v>
      </c>
      <c r="F9959" s="195" t="s">
        <v>438</v>
      </c>
    </row>
    <row r="9960" spans="1:6" x14ac:dyDescent="0.25">
      <c r="A9960" s="189" t="str">
        <f t="shared" si="155"/>
        <v>WO-MD 127.68N</v>
      </c>
      <c r="B9960" s="195" t="s">
        <v>442</v>
      </c>
      <c r="C9960" s="196">
        <v>7.6</v>
      </c>
      <c r="D9960" s="196">
        <v>8</v>
      </c>
      <c r="E9960" s="195" t="s">
        <v>583</v>
      </c>
      <c r="F9960" s="195" t="s">
        <v>430</v>
      </c>
    </row>
    <row r="9961" spans="1:6" x14ac:dyDescent="0.25">
      <c r="A9961" s="189" t="str">
        <f t="shared" si="155"/>
        <v>WO-MD 127.68S</v>
      </c>
      <c r="B9961" s="195" t="s">
        <v>442</v>
      </c>
      <c r="C9961" s="196">
        <v>7.6</v>
      </c>
      <c r="D9961" s="196">
        <v>8</v>
      </c>
      <c r="E9961" s="195" t="s">
        <v>583</v>
      </c>
      <c r="F9961" s="195" t="s">
        <v>438</v>
      </c>
    </row>
    <row r="9962" spans="1:6" x14ac:dyDescent="0.25">
      <c r="A9962" s="189" t="str">
        <f t="shared" si="155"/>
        <v>WO-MD 12811.04N</v>
      </c>
      <c r="B9962" s="195" t="s">
        <v>442</v>
      </c>
      <c r="C9962" s="196">
        <v>8</v>
      </c>
      <c r="D9962" s="196">
        <v>11.04</v>
      </c>
      <c r="E9962" s="195" t="s">
        <v>583</v>
      </c>
      <c r="F9962" s="195" t="s">
        <v>430</v>
      </c>
    </row>
    <row r="9963" spans="1:6" x14ac:dyDescent="0.25">
      <c r="A9963" s="189" t="str">
        <f t="shared" si="155"/>
        <v>WO-MD 12811.04S</v>
      </c>
      <c r="B9963" s="195" t="s">
        <v>442</v>
      </c>
      <c r="C9963" s="196">
        <v>8</v>
      </c>
      <c r="D9963" s="196">
        <v>11.04</v>
      </c>
      <c r="E9963" s="195" t="s">
        <v>583</v>
      </c>
      <c r="F9963" s="195" t="s">
        <v>438</v>
      </c>
    </row>
    <row r="9964" spans="1:6" x14ac:dyDescent="0.25">
      <c r="A9964" s="189" t="str">
        <f t="shared" si="155"/>
        <v>WO-MD 1211.0412.55N</v>
      </c>
      <c r="B9964" s="195" t="s">
        <v>442</v>
      </c>
      <c r="C9964" s="196">
        <v>11.04</v>
      </c>
      <c r="D9964" s="196">
        <v>12.55</v>
      </c>
      <c r="E9964" s="195" t="s">
        <v>583</v>
      </c>
      <c r="F9964" s="195" t="s">
        <v>430</v>
      </c>
    </row>
    <row r="9965" spans="1:6" x14ac:dyDescent="0.25">
      <c r="A9965" s="189" t="str">
        <f t="shared" si="155"/>
        <v>WO-MD 1211.0412.55S</v>
      </c>
      <c r="B9965" s="195" t="s">
        <v>442</v>
      </c>
      <c r="C9965" s="196">
        <v>11.04</v>
      </c>
      <c r="D9965" s="196">
        <v>12.55</v>
      </c>
      <c r="E9965" s="195" t="s">
        <v>583</v>
      </c>
      <c r="F9965" s="195" t="s">
        <v>438</v>
      </c>
    </row>
    <row r="9966" spans="1:6" x14ac:dyDescent="0.25">
      <c r="A9966" s="189" t="str">
        <f t="shared" si="155"/>
        <v>WO-MD 1212.5512.73N</v>
      </c>
      <c r="B9966" s="195" t="s">
        <v>442</v>
      </c>
      <c r="C9966" s="196">
        <v>12.55</v>
      </c>
      <c r="D9966" s="196">
        <v>12.73</v>
      </c>
      <c r="E9966" s="195" t="s">
        <v>583</v>
      </c>
      <c r="F9966" s="195" t="s">
        <v>430</v>
      </c>
    </row>
    <row r="9967" spans="1:6" x14ac:dyDescent="0.25">
      <c r="A9967" s="189" t="str">
        <f t="shared" si="155"/>
        <v>WO-MD 1212.5512.73S</v>
      </c>
      <c r="B9967" s="195" t="s">
        <v>442</v>
      </c>
      <c r="C9967" s="196">
        <v>12.55</v>
      </c>
      <c r="D9967" s="196">
        <v>12.73</v>
      </c>
      <c r="E9967" s="195" t="s">
        <v>583</v>
      </c>
      <c r="F9967" s="195" t="s">
        <v>438</v>
      </c>
    </row>
    <row r="9968" spans="1:6" x14ac:dyDescent="0.25">
      <c r="A9968" s="189" t="str">
        <f t="shared" si="155"/>
        <v>WO-MD 1212.7318.35N</v>
      </c>
      <c r="B9968" s="195" t="s">
        <v>442</v>
      </c>
      <c r="C9968" s="196">
        <v>12.73</v>
      </c>
      <c r="D9968" s="196">
        <v>18.350000000000001</v>
      </c>
      <c r="E9968" s="195" t="s">
        <v>583</v>
      </c>
      <c r="F9968" s="195" t="s">
        <v>430</v>
      </c>
    </row>
    <row r="9969" spans="1:6" x14ac:dyDescent="0.25">
      <c r="A9969" s="189" t="str">
        <f t="shared" si="155"/>
        <v>WO-MD 1212.7318.35S</v>
      </c>
      <c r="B9969" s="195" t="s">
        <v>442</v>
      </c>
      <c r="C9969" s="196">
        <v>12.73</v>
      </c>
      <c r="D9969" s="196">
        <v>18.350000000000001</v>
      </c>
      <c r="E9969" s="195" t="s">
        <v>583</v>
      </c>
      <c r="F9969" s="195" t="s">
        <v>438</v>
      </c>
    </row>
    <row r="9970" spans="1:6" x14ac:dyDescent="0.25">
      <c r="A9970" s="189" t="str">
        <f t="shared" si="155"/>
        <v>WO-MD 1218.3518.65N</v>
      </c>
      <c r="B9970" s="195" t="s">
        <v>442</v>
      </c>
      <c r="C9970" s="196">
        <v>18.350000000000001</v>
      </c>
      <c r="D9970" s="196">
        <v>18.649999999999999</v>
      </c>
      <c r="E9970" s="195" t="s">
        <v>583</v>
      </c>
      <c r="F9970" s="195" t="s">
        <v>430</v>
      </c>
    </row>
    <row r="9971" spans="1:6" x14ac:dyDescent="0.25">
      <c r="A9971" s="189" t="str">
        <f t="shared" si="155"/>
        <v>WO-MD 1218.3518.65S</v>
      </c>
      <c r="B9971" s="195" t="s">
        <v>442</v>
      </c>
      <c r="C9971" s="196">
        <v>18.350000000000001</v>
      </c>
      <c r="D9971" s="196">
        <v>18.649999999999999</v>
      </c>
      <c r="E9971" s="195" t="s">
        <v>583</v>
      </c>
      <c r="F9971" s="195" t="s">
        <v>438</v>
      </c>
    </row>
    <row r="9972" spans="1:6" x14ac:dyDescent="0.25">
      <c r="A9972" s="189" t="str">
        <f t="shared" si="155"/>
        <v>WO-MD 1218.6523.37N</v>
      </c>
      <c r="B9972" s="195" t="s">
        <v>442</v>
      </c>
      <c r="C9972" s="196">
        <v>18.649999999999999</v>
      </c>
      <c r="D9972" s="196">
        <v>23.37</v>
      </c>
      <c r="E9972" s="195" t="s">
        <v>583</v>
      </c>
      <c r="F9972" s="195" t="s">
        <v>430</v>
      </c>
    </row>
    <row r="9973" spans="1:6" x14ac:dyDescent="0.25">
      <c r="A9973" s="189" t="str">
        <f t="shared" si="155"/>
        <v>WO-MD 1218.6523.37S</v>
      </c>
      <c r="B9973" s="195" t="s">
        <v>442</v>
      </c>
      <c r="C9973" s="196">
        <v>18.649999999999999</v>
      </c>
      <c r="D9973" s="196">
        <v>23.37</v>
      </c>
      <c r="E9973" s="195" t="s">
        <v>583</v>
      </c>
      <c r="F9973" s="195" t="s">
        <v>438</v>
      </c>
    </row>
    <row r="9974" spans="1:6" x14ac:dyDescent="0.25">
      <c r="A9974" s="189" t="str">
        <f t="shared" si="155"/>
        <v>WO-MD 12A00.02E</v>
      </c>
      <c r="B9974" s="195" t="s">
        <v>4406</v>
      </c>
      <c r="C9974" s="196">
        <v>0</v>
      </c>
      <c r="D9974" s="196">
        <v>0.02</v>
      </c>
      <c r="E9974" s="195" t="s">
        <v>598</v>
      </c>
      <c r="F9974" s="195" t="s">
        <v>19</v>
      </c>
    </row>
    <row r="9975" spans="1:6" x14ac:dyDescent="0.25">
      <c r="A9975" s="189" t="str">
        <f t="shared" si="155"/>
        <v>WO-MD 12A00.02W</v>
      </c>
      <c r="B9975" s="195" t="s">
        <v>4406</v>
      </c>
      <c r="C9975" s="196">
        <v>0</v>
      </c>
      <c r="D9975" s="196">
        <v>0.02</v>
      </c>
      <c r="E9975" s="195" t="s">
        <v>593</v>
      </c>
      <c r="F9975" s="195" t="s">
        <v>432</v>
      </c>
    </row>
    <row r="9976" spans="1:6" x14ac:dyDescent="0.25">
      <c r="A9976" s="189" t="str">
        <f t="shared" si="155"/>
        <v>WO-MD 250A00.19E</v>
      </c>
      <c r="B9976" s="195" t="s">
        <v>4407</v>
      </c>
      <c r="C9976" s="196">
        <v>0</v>
      </c>
      <c r="D9976" s="196">
        <v>0.19</v>
      </c>
      <c r="E9976" s="195" t="s">
        <v>598</v>
      </c>
      <c r="F9976" s="195" t="s">
        <v>19</v>
      </c>
    </row>
    <row r="9977" spans="1:6" x14ac:dyDescent="0.25">
      <c r="A9977" s="189" t="str">
        <f t="shared" si="155"/>
        <v>WO-MD 250A00.19W</v>
      </c>
      <c r="B9977" s="195" t="s">
        <v>4407</v>
      </c>
      <c r="C9977" s="196">
        <v>0</v>
      </c>
      <c r="D9977" s="196">
        <v>0.19</v>
      </c>
      <c r="E9977" s="195" t="s">
        <v>593</v>
      </c>
      <c r="F9977" s="195" t="s">
        <v>432</v>
      </c>
    </row>
    <row r="9978" spans="1:6" x14ac:dyDescent="0.25">
      <c r="A9978" s="189" t="str">
        <f t="shared" si="155"/>
        <v>WO-MD 34604.1E</v>
      </c>
      <c r="B9978" s="195" t="s">
        <v>4408</v>
      </c>
      <c r="C9978" s="196">
        <v>0</v>
      </c>
      <c r="D9978" s="196">
        <v>4.0999999999999996</v>
      </c>
      <c r="E9978" s="195" t="s">
        <v>583</v>
      </c>
      <c r="F9978" s="195" t="s">
        <v>19</v>
      </c>
    </row>
    <row r="9979" spans="1:6" x14ac:dyDescent="0.25">
      <c r="A9979" s="189" t="str">
        <f t="shared" si="155"/>
        <v>WO-MD 34604.1W</v>
      </c>
      <c r="B9979" s="195" t="s">
        <v>4408</v>
      </c>
      <c r="C9979" s="196">
        <v>0</v>
      </c>
      <c r="D9979" s="196">
        <v>4.0999999999999996</v>
      </c>
      <c r="E9979" s="195" t="s">
        <v>583</v>
      </c>
      <c r="F9979" s="195" t="s">
        <v>432</v>
      </c>
    </row>
    <row r="9980" spans="1:6" x14ac:dyDescent="0.25">
      <c r="A9980" s="189" t="str">
        <f t="shared" si="155"/>
        <v>WO-MD 3464.14.55E</v>
      </c>
      <c r="B9980" s="195" t="s">
        <v>4408</v>
      </c>
      <c r="C9980" s="196">
        <v>4.0999999999999996</v>
      </c>
      <c r="D9980" s="196">
        <v>4.55</v>
      </c>
      <c r="E9980" s="195" t="s">
        <v>583</v>
      </c>
      <c r="F9980" s="195" t="s">
        <v>19</v>
      </c>
    </row>
    <row r="9981" spans="1:6" x14ac:dyDescent="0.25">
      <c r="A9981" s="189" t="str">
        <f t="shared" si="155"/>
        <v>WO-MD 3464.14.55W</v>
      </c>
      <c r="B9981" s="195" t="s">
        <v>4408</v>
      </c>
      <c r="C9981" s="196">
        <v>4.0999999999999996</v>
      </c>
      <c r="D9981" s="196">
        <v>4.55</v>
      </c>
      <c r="E9981" s="195" t="s">
        <v>583</v>
      </c>
      <c r="F9981" s="195" t="s">
        <v>432</v>
      </c>
    </row>
    <row r="9982" spans="1:6" x14ac:dyDescent="0.25">
      <c r="A9982" s="189" t="str">
        <f t="shared" si="155"/>
        <v>WO-MD 3464.555.62E</v>
      </c>
      <c r="B9982" s="195" t="s">
        <v>4408</v>
      </c>
      <c r="C9982" s="196">
        <v>4.55</v>
      </c>
      <c r="D9982" s="196">
        <v>5.62</v>
      </c>
      <c r="E9982" s="195" t="s">
        <v>583</v>
      </c>
      <c r="F9982" s="195" t="s">
        <v>19</v>
      </c>
    </row>
    <row r="9983" spans="1:6" x14ac:dyDescent="0.25">
      <c r="A9983" s="189" t="str">
        <f t="shared" si="155"/>
        <v>WO-MD 3464.555.62W</v>
      </c>
      <c r="B9983" s="195" t="s">
        <v>4408</v>
      </c>
      <c r="C9983" s="196">
        <v>4.55</v>
      </c>
      <c r="D9983" s="196">
        <v>5.62</v>
      </c>
      <c r="E9983" s="195" t="s">
        <v>583</v>
      </c>
      <c r="F9983" s="195" t="s">
        <v>432</v>
      </c>
    </row>
    <row r="9984" spans="1:6" x14ac:dyDescent="0.25">
      <c r="A9984" s="189" t="str">
        <f t="shared" si="155"/>
        <v>WO-MD 3465.625.67E</v>
      </c>
      <c r="B9984" s="195" t="s">
        <v>4408</v>
      </c>
      <c r="C9984" s="196">
        <v>5.62</v>
      </c>
      <c r="D9984" s="196">
        <v>5.67</v>
      </c>
      <c r="E9984" s="195" t="s">
        <v>583</v>
      </c>
      <c r="F9984" s="195" t="s">
        <v>19</v>
      </c>
    </row>
    <row r="9985" spans="1:6" x14ac:dyDescent="0.25">
      <c r="A9985" s="189" t="str">
        <f t="shared" si="155"/>
        <v>WO-MD 3465.625.67W</v>
      </c>
      <c r="B9985" s="195" t="s">
        <v>4408</v>
      </c>
      <c r="C9985" s="196">
        <v>5.62</v>
      </c>
      <c r="D9985" s="196">
        <v>5.67</v>
      </c>
      <c r="E9985" s="195" t="s">
        <v>583</v>
      </c>
      <c r="F9985" s="195" t="s">
        <v>432</v>
      </c>
    </row>
    <row r="9986" spans="1:6" x14ac:dyDescent="0.25">
      <c r="A9986" s="189" t="str">
        <f t="shared" si="155"/>
        <v>WO-MD 3465.675.85E</v>
      </c>
      <c r="B9986" s="195" t="s">
        <v>4408</v>
      </c>
      <c r="C9986" s="196">
        <v>5.67</v>
      </c>
      <c r="D9986" s="196">
        <v>5.85</v>
      </c>
      <c r="E9986" s="195" t="s">
        <v>583</v>
      </c>
      <c r="F9986" s="195" t="s">
        <v>19</v>
      </c>
    </row>
    <row r="9987" spans="1:6" x14ac:dyDescent="0.25">
      <c r="A9987" s="189" t="str">
        <f t="shared" si="155"/>
        <v>WO-MD 3465.675.85W</v>
      </c>
      <c r="B9987" s="195" t="s">
        <v>4408</v>
      </c>
      <c r="C9987" s="196">
        <v>5.67</v>
      </c>
      <c r="D9987" s="196">
        <v>5.85</v>
      </c>
      <c r="E9987" s="195" t="s">
        <v>583</v>
      </c>
      <c r="F9987" s="195" t="s">
        <v>432</v>
      </c>
    </row>
    <row r="9988" spans="1:6" x14ac:dyDescent="0.25">
      <c r="A9988" s="189" t="str">
        <f t="shared" si="155"/>
        <v>WO-MD 3465.857.47E</v>
      </c>
      <c r="B9988" s="195" t="s">
        <v>4408</v>
      </c>
      <c r="C9988" s="196">
        <v>5.85</v>
      </c>
      <c r="D9988" s="196">
        <v>7.47</v>
      </c>
      <c r="E9988" s="195" t="s">
        <v>583</v>
      </c>
      <c r="F9988" s="195" t="s">
        <v>19</v>
      </c>
    </row>
    <row r="9989" spans="1:6" x14ac:dyDescent="0.25">
      <c r="A9989" s="189" t="str">
        <f t="shared" si="155"/>
        <v>WO-MD 3465.857.47W</v>
      </c>
      <c r="B9989" s="195" t="s">
        <v>4408</v>
      </c>
      <c r="C9989" s="196">
        <v>5.85</v>
      </c>
      <c r="D9989" s="196">
        <v>7.47</v>
      </c>
      <c r="E9989" s="195" t="s">
        <v>583</v>
      </c>
      <c r="F9989" s="195" t="s">
        <v>432</v>
      </c>
    </row>
    <row r="9990" spans="1:6" x14ac:dyDescent="0.25">
      <c r="A9990" s="189" t="str">
        <f t="shared" si="155"/>
        <v>WO-MD 3467.478.35E</v>
      </c>
      <c r="B9990" s="195" t="s">
        <v>4408</v>
      </c>
      <c r="C9990" s="196">
        <v>7.47</v>
      </c>
      <c r="D9990" s="196">
        <v>8.35</v>
      </c>
      <c r="E9990" s="195" t="s">
        <v>583</v>
      </c>
      <c r="F9990" s="195" t="s">
        <v>19</v>
      </c>
    </row>
    <row r="9991" spans="1:6" x14ac:dyDescent="0.25">
      <c r="A9991" s="189" t="str">
        <f t="shared" si="155"/>
        <v>WO-MD 3467.478.35W</v>
      </c>
      <c r="B9991" s="195" t="s">
        <v>4408</v>
      </c>
      <c r="C9991" s="196">
        <v>7.47</v>
      </c>
      <c r="D9991" s="196">
        <v>8.35</v>
      </c>
      <c r="E9991" s="195" t="s">
        <v>583</v>
      </c>
      <c r="F9991" s="195" t="s">
        <v>432</v>
      </c>
    </row>
    <row r="9992" spans="1:6" x14ac:dyDescent="0.25">
      <c r="A9992" s="189" t="str">
        <f t="shared" ref="A9992:A10055" si="156">B9992&amp;C9992&amp;D9992&amp;F9992</f>
        <v>WO-MD 3468.358.36E</v>
      </c>
      <c r="B9992" s="195" t="s">
        <v>4408</v>
      </c>
      <c r="C9992" s="196">
        <v>8.35</v>
      </c>
      <c r="D9992" s="196">
        <v>8.36</v>
      </c>
      <c r="E9992" s="195" t="s">
        <v>583</v>
      </c>
      <c r="F9992" s="195" t="s">
        <v>19</v>
      </c>
    </row>
    <row r="9993" spans="1:6" x14ac:dyDescent="0.25">
      <c r="A9993" s="189" t="str">
        <f t="shared" si="156"/>
        <v>WO-MD 3468.358.36W</v>
      </c>
      <c r="B9993" s="195" t="s">
        <v>4408</v>
      </c>
      <c r="C9993" s="196">
        <v>8.35</v>
      </c>
      <c r="D9993" s="196">
        <v>8.36</v>
      </c>
      <c r="E9993" s="195" t="s">
        <v>583</v>
      </c>
      <c r="F9993" s="195" t="s">
        <v>432</v>
      </c>
    </row>
    <row r="9994" spans="1:6" x14ac:dyDescent="0.25">
      <c r="A9994" s="189" t="str">
        <f t="shared" si="156"/>
        <v>WO-MD 3468.369.26E</v>
      </c>
      <c r="B9994" s="195" t="s">
        <v>4408</v>
      </c>
      <c r="C9994" s="196">
        <v>8.36</v>
      </c>
      <c r="D9994" s="196">
        <v>9.26</v>
      </c>
      <c r="E9994" s="195" t="s">
        <v>583</v>
      </c>
      <c r="F9994" s="195" t="s">
        <v>19</v>
      </c>
    </row>
    <row r="9995" spans="1:6" x14ac:dyDescent="0.25">
      <c r="A9995" s="189" t="str">
        <f t="shared" si="156"/>
        <v>WO-MD 3468.369.26W</v>
      </c>
      <c r="B9995" s="195" t="s">
        <v>4408</v>
      </c>
      <c r="C9995" s="196">
        <v>8.36</v>
      </c>
      <c r="D9995" s="196">
        <v>9.26</v>
      </c>
      <c r="E9995" s="195" t="s">
        <v>583</v>
      </c>
      <c r="F9995" s="195" t="s">
        <v>432</v>
      </c>
    </row>
    <row r="9996" spans="1:6" x14ac:dyDescent="0.25">
      <c r="A9996" s="189" t="str">
        <f t="shared" si="156"/>
        <v>WO-MD 35407.64N</v>
      </c>
      <c r="B9996" s="195" t="s">
        <v>4409</v>
      </c>
      <c r="C9996" s="196">
        <v>0</v>
      </c>
      <c r="D9996" s="196">
        <v>7.64</v>
      </c>
      <c r="E9996" s="195" t="s">
        <v>583</v>
      </c>
      <c r="F9996" s="195" t="s">
        <v>430</v>
      </c>
    </row>
    <row r="9997" spans="1:6" x14ac:dyDescent="0.25">
      <c r="A9997" s="189" t="str">
        <f t="shared" si="156"/>
        <v>WO-MD 35407.64S</v>
      </c>
      <c r="B9997" s="195" t="s">
        <v>4409</v>
      </c>
      <c r="C9997" s="196">
        <v>0</v>
      </c>
      <c r="D9997" s="196">
        <v>7.64</v>
      </c>
      <c r="E9997" s="195" t="s">
        <v>583</v>
      </c>
      <c r="F9997" s="195" t="s">
        <v>438</v>
      </c>
    </row>
    <row r="9998" spans="1:6" x14ac:dyDescent="0.25">
      <c r="A9998" s="189" t="str">
        <f t="shared" si="156"/>
        <v>WO-MD 35901.09N</v>
      </c>
      <c r="B9998" s="195" t="s">
        <v>4410</v>
      </c>
      <c r="C9998" s="196">
        <v>0</v>
      </c>
      <c r="D9998" s="196">
        <v>1.0900000000000001</v>
      </c>
      <c r="E9998" s="195" t="s">
        <v>583</v>
      </c>
      <c r="F9998" s="195" t="s">
        <v>430</v>
      </c>
    </row>
    <row r="9999" spans="1:6" x14ac:dyDescent="0.25">
      <c r="A9999" s="189" t="str">
        <f t="shared" si="156"/>
        <v>WO-MD 35901.09S</v>
      </c>
      <c r="B9999" s="195" t="s">
        <v>4410</v>
      </c>
      <c r="C9999" s="196">
        <v>0</v>
      </c>
      <c r="D9999" s="196">
        <v>1.0900000000000001</v>
      </c>
      <c r="E9999" s="195" t="s">
        <v>583</v>
      </c>
      <c r="F9999" s="195" t="s">
        <v>438</v>
      </c>
    </row>
    <row r="10000" spans="1:6" x14ac:dyDescent="0.25">
      <c r="A10000" s="189" t="str">
        <f t="shared" si="156"/>
        <v>WO-MD 359A00.14N</v>
      </c>
      <c r="B10000" s="195" t="s">
        <v>4411</v>
      </c>
      <c r="C10000" s="196">
        <v>0</v>
      </c>
      <c r="D10000" s="196">
        <v>0.14000000000000001</v>
      </c>
      <c r="E10000" s="195" t="s">
        <v>589</v>
      </c>
      <c r="F10000" s="195" t="s">
        <v>430</v>
      </c>
    </row>
    <row r="10001" spans="1:6" x14ac:dyDescent="0.25">
      <c r="A10001" s="189" t="str">
        <f t="shared" si="156"/>
        <v>WO-MD 359A00.14S</v>
      </c>
      <c r="B10001" s="195" t="s">
        <v>4411</v>
      </c>
      <c r="C10001" s="196">
        <v>0</v>
      </c>
      <c r="D10001" s="196">
        <v>0.14000000000000001</v>
      </c>
      <c r="E10001" s="195" t="s">
        <v>595</v>
      </c>
      <c r="F10001" s="195" t="s">
        <v>438</v>
      </c>
    </row>
    <row r="10002" spans="1:6" x14ac:dyDescent="0.25">
      <c r="A10002" s="189" t="str">
        <f t="shared" si="156"/>
        <v>WO-MD 359B00.06N</v>
      </c>
      <c r="B10002" s="195" t="s">
        <v>4412</v>
      </c>
      <c r="C10002" s="196">
        <v>0</v>
      </c>
      <c r="D10002" s="196">
        <v>0.06</v>
      </c>
      <c r="E10002" s="195" t="s">
        <v>589</v>
      </c>
      <c r="F10002" s="195" t="s">
        <v>430</v>
      </c>
    </row>
    <row r="10003" spans="1:6" x14ac:dyDescent="0.25">
      <c r="A10003" s="189" t="str">
        <f t="shared" si="156"/>
        <v>WO-MD 359B00.06S</v>
      </c>
      <c r="B10003" s="195" t="s">
        <v>4412</v>
      </c>
      <c r="C10003" s="196">
        <v>0</v>
      </c>
      <c r="D10003" s="196">
        <v>0.06</v>
      </c>
      <c r="E10003" s="195" t="s">
        <v>595</v>
      </c>
      <c r="F10003" s="195" t="s">
        <v>438</v>
      </c>
    </row>
    <row r="10004" spans="1:6" x14ac:dyDescent="0.25">
      <c r="A10004" s="189" t="str">
        <f t="shared" si="156"/>
        <v>WO-MD 36402.71N</v>
      </c>
      <c r="B10004" s="195" t="s">
        <v>4413</v>
      </c>
      <c r="C10004" s="196">
        <v>0</v>
      </c>
      <c r="D10004" s="196">
        <v>2.71</v>
      </c>
      <c r="E10004" s="195" t="s">
        <v>583</v>
      </c>
      <c r="F10004" s="195" t="s">
        <v>430</v>
      </c>
    </row>
    <row r="10005" spans="1:6" x14ac:dyDescent="0.25">
      <c r="A10005" s="189" t="str">
        <f t="shared" si="156"/>
        <v>WO-MD 36402.71S</v>
      </c>
      <c r="B10005" s="195" t="s">
        <v>4413</v>
      </c>
      <c r="C10005" s="196">
        <v>0</v>
      </c>
      <c r="D10005" s="196">
        <v>2.71</v>
      </c>
      <c r="E10005" s="195" t="s">
        <v>583</v>
      </c>
      <c r="F10005" s="195" t="s">
        <v>438</v>
      </c>
    </row>
    <row r="10006" spans="1:6" x14ac:dyDescent="0.25">
      <c r="A10006" s="189" t="str">
        <f t="shared" si="156"/>
        <v>WO-MD 3642.712.72N</v>
      </c>
      <c r="B10006" s="195" t="s">
        <v>4413</v>
      </c>
      <c r="C10006" s="196">
        <v>2.71</v>
      </c>
      <c r="D10006" s="196">
        <v>2.72</v>
      </c>
      <c r="E10006" s="195" t="s">
        <v>583</v>
      </c>
      <c r="F10006" s="195" t="s">
        <v>430</v>
      </c>
    </row>
    <row r="10007" spans="1:6" x14ac:dyDescent="0.25">
      <c r="A10007" s="189" t="str">
        <f t="shared" si="156"/>
        <v>WO-MD 3642.712.72S</v>
      </c>
      <c r="B10007" s="195" t="s">
        <v>4413</v>
      </c>
      <c r="C10007" s="196">
        <v>2.71</v>
      </c>
      <c r="D10007" s="196">
        <v>2.72</v>
      </c>
      <c r="E10007" s="195" t="s">
        <v>583</v>
      </c>
      <c r="F10007" s="195" t="s">
        <v>438</v>
      </c>
    </row>
    <row r="10008" spans="1:6" x14ac:dyDescent="0.25">
      <c r="A10008" s="189" t="str">
        <f t="shared" si="156"/>
        <v>WO-MD 36500.3E</v>
      </c>
      <c r="B10008" s="195" t="s">
        <v>4414</v>
      </c>
      <c r="C10008" s="196">
        <v>0</v>
      </c>
      <c r="D10008" s="196">
        <v>0.3</v>
      </c>
      <c r="E10008" s="195" t="s">
        <v>583</v>
      </c>
      <c r="F10008" s="195" t="s">
        <v>19</v>
      </c>
    </row>
    <row r="10009" spans="1:6" x14ac:dyDescent="0.25">
      <c r="A10009" s="189" t="str">
        <f t="shared" si="156"/>
        <v>WO-MD 36500.3W</v>
      </c>
      <c r="B10009" s="195" t="s">
        <v>4414</v>
      </c>
      <c r="C10009" s="196">
        <v>0</v>
      </c>
      <c r="D10009" s="196">
        <v>0.3</v>
      </c>
      <c r="E10009" s="195" t="s">
        <v>583</v>
      </c>
      <c r="F10009" s="195" t="s">
        <v>432</v>
      </c>
    </row>
    <row r="10010" spans="1:6" x14ac:dyDescent="0.25">
      <c r="A10010" s="189" t="str">
        <f t="shared" si="156"/>
        <v>WO-MD 3650.31E</v>
      </c>
      <c r="B10010" s="195" t="s">
        <v>4414</v>
      </c>
      <c r="C10010" s="196">
        <v>0.3</v>
      </c>
      <c r="D10010" s="196">
        <v>1</v>
      </c>
      <c r="E10010" s="195" t="s">
        <v>583</v>
      </c>
      <c r="F10010" s="195" t="s">
        <v>19</v>
      </c>
    </row>
    <row r="10011" spans="1:6" x14ac:dyDescent="0.25">
      <c r="A10011" s="189" t="str">
        <f t="shared" si="156"/>
        <v>WO-MD 3650.31W</v>
      </c>
      <c r="B10011" s="195" t="s">
        <v>4414</v>
      </c>
      <c r="C10011" s="196">
        <v>0.3</v>
      </c>
      <c r="D10011" s="196">
        <v>1</v>
      </c>
      <c r="E10011" s="195" t="s">
        <v>583</v>
      </c>
      <c r="F10011" s="195" t="s">
        <v>432</v>
      </c>
    </row>
    <row r="10012" spans="1:6" x14ac:dyDescent="0.25">
      <c r="A10012" s="189" t="str">
        <f t="shared" si="156"/>
        <v>WO-MD 36514.71E</v>
      </c>
      <c r="B10012" s="195" t="s">
        <v>4414</v>
      </c>
      <c r="C10012" s="196">
        <v>1</v>
      </c>
      <c r="D10012" s="196">
        <v>4.71</v>
      </c>
      <c r="E10012" s="195" t="s">
        <v>583</v>
      </c>
      <c r="F10012" s="195" t="s">
        <v>19</v>
      </c>
    </row>
    <row r="10013" spans="1:6" x14ac:dyDescent="0.25">
      <c r="A10013" s="189" t="str">
        <f t="shared" si="156"/>
        <v>WO-MD 36514.71W</v>
      </c>
      <c r="B10013" s="195" t="s">
        <v>4414</v>
      </c>
      <c r="C10013" s="196">
        <v>1</v>
      </c>
      <c r="D10013" s="196">
        <v>4.71</v>
      </c>
      <c r="E10013" s="195" t="s">
        <v>583</v>
      </c>
      <c r="F10013" s="195" t="s">
        <v>432</v>
      </c>
    </row>
    <row r="10014" spans="1:6" x14ac:dyDescent="0.25">
      <c r="A10014" s="189" t="str">
        <f t="shared" si="156"/>
        <v>WO-MD 3654.715.5E</v>
      </c>
      <c r="B10014" s="195" t="s">
        <v>4414</v>
      </c>
      <c r="C10014" s="196">
        <v>4.71</v>
      </c>
      <c r="D10014" s="196">
        <v>5.5</v>
      </c>
      <c r="E10014" s="195" t="s">
        <v>583</v>
      </c>
      <c r="F10014" s="195" t="s">
        <v>19</v>
      </c>
    </row>
    <row r="10015" spans="1:6" x14ac:dyDescent="0.25">
      <c r="A10015" s="189" t="str">
        <f t="shared" si="156"/>
        <v>WO-MD 3654.715.5W</v>
      </c>
      <c r="B10015" s="195" t="s">
        <v>4414</v>
      </c>
      <c r="C10015" s="196">
        <v>4.71</v>
      </c>
      <c r="D10015" s="196">
        <v>5.5</v>
      </c>
      <c r="E10015" s="195" t="s">
        <v>583</v>
      </c>
      <c r="F10015" s="195" t="s">
        <v>432</v>
      </c>
    </row>
    <row r="10016" spans="1:6" x14ac:dyDescent="0.25">
      <c r="A10016" s="189" t="str">
        <f t="shared" si="156"/>
        <v>WO-MD 3655.56.29E</v>
      </c>
      <c r="B10016" s="195" t="s">
        <v>4414</v>
      </c>
      <c r="C10016" s="196">
        <v>5.5</v>
      </c>
      <c r="D10016" s="196">
        <v>6.29</v>
      </c>
      <c r="E10016" s="195" t="s">
        <v>583</v>
      </c>
      <c r="F10016" s="195" t="s">
        <v>19</v>
      </c>
    </row>
    <row r="10017" spans="1:6" x14ac:dyDescent="0.25">
      <c r="A10017" s="189" t="str">
        <f t="shared" si="156"/>
        <v>WO-MD 3655.56.29W</v>
      </c>
      <c r="B10017" s="195" t="s">
        <v>4414</v>
      </c>
      <c r="C10017" s="196">
        <v>5.5</v>
      </c>
      <c r="D10017" s="196">
        <v>6.29</v>
      </c>
      <c r="E10017" s="195" t="s">
        <v>583</v>
      </c>
      <c r="F10017" s="195" t="s">
        <v>432</v>
      </c>
    </row>
    <row r="10018" spans="1:6" x14ac:dyDescent="0.25">
      <c r="A10018" s="189" t="str">
        <f t="shared" si="156"/>
        <v>WO-MD 36600.9E</v>
      </c>
      <c r="B10018" s="195" t="s">
        <v>4415</v>
      </c>
      <c r="C10018" s="196">
        <v>0</v>
      </c>
      <c r="D10018" s="196">
        <v>0.9</v>
      </c>
      <c r="E10018" s="195" t="s">
        <v>583</v>
      </c>
      <c r="F10018" s="195" t="s">
        <v>19</v>
      </c>
    </row>
    <row r="10019" spans="1:6" x14ac:dyDescent="0.25">
      <c r="A10019" s="189" t="str">
        <f t="shared" si="156"/>
        <v>WO-MD 36600.9W</v>
      </c>
      <c r="B10019" s="195" t="s">
        <v>4415</v>
      </c>
      <c r="C10019" s="196">
        <v>0</v>
      </c>
      <c r="D10019" s="196">
        <v>0.9</v>
      </c>
      <c r="E10019" s="195" t="s">
        <v>583</v>
      </c>
      <c r="F10019" s="195" t="s">
        <v>432</v>
      </c>
    </row>
    <row r="10020" spans="1:6" x14ac:dyDescent="0.25">
      <c r="A10020" s="189" t="str">
        <f t="shared" si="156"/>
        <v>WO-MD 3660.93.95E</v>
      </c>
      <c r="B10020" s="195" t="s">
        <v>4415</v>
      </c>
      <c r="C10020" s="196">
        <v>0.9</v>
      </c>
      <c r="D10020" s="196">
        <v>3.95</v>
      </c>
      <c r="E10020" s="195" t="s">
        <v>583</v>
      </c>
      <c r="F10020" s="195" t="s">
        <v>19</v>
      </c>
    </row>
    <row r="10021" spans="1:6" x14ac:dyDescent="0.25">
      <c r="A10021" s="189" t="str">
        <f t="shared" si="156"/>
        <v>WO-MD 3660.93.95W</v>
      </c>
      <c r="B10021" s="195" t="s">
        <v>4415</v>
      </c>
      <c r="C10021" s="196">
        <v>0.9</v>
      </c>
      <c r="D10021" s="196">
        <v>3.95</v>
      </c>
      <c r="E10021" s="195" t="s">
        <v>583</v>
      </c>
      <c r="F10021" s="195" t="s">
        <v>432</v>
      </c>
    </row>
    <row r="10022" spans="1:6" x14ac:dyDescent="0.25">
      <c r="A10022" s="189" t="str">
        <f t="shared" si="156"/>
        <v>WO-MD 3663.954.09E</v>
      </c>
      <c r="B10022" s="195" t="s">
        <v>4415</v>
      </c>
      <c r="C10022" s="196">
        <v>3.95</v>
      </c>
      <c r="D10022" s="196">
        <v>4.09</v>
      </c>
      <c r="E10022" s="195" t="s">
        <v>583</v>
      </c>
      <c r="F10022" s="195" t="s">
        <v>19</v>
      </c>
    </row>
    <row r="10023" spans="1:6" x14ac:dyDescent="0.25">
      <c r="A10023" s="189" t="str">
        <f t="shared" si="156"/>
        <v>WO-MD 3663.954.09W</v>
      </c>
      <c r="B10023" s="195" t="s">
        <v>4415</v>
      </c>
      <c r="C10023" s="196">
        <v>3.95</v>
      </c>
      <c r="D10023" s="196">
        <v>4.09</v>
      </c>
      <c r="E10023" s="195" t="s">
        <v>583</v>
      </c>
      <c r="F10023" s="195" t="s">
        <v>432</v>
      </c>
    </row>
    <row r="10024" spans="1:6" x14ac:dyDescent="0.25">
      <c r="A10024" s="189" t="str">
        <f t="shared" si="156"/>
        <v>WO-MD 3664.094.3E</v>
      </c>
      <c r="B10024" s="195" t="s">
        <v>4415</v>
      </c>
      <c r="C10024" s="196">
        <v>4.09</v>
      </c>
      <c r="D10024" s="196">
        <v>4.3</v>
      </c>
      <c r="E10024" s="195" t="s">
        <v>583</v>
      </c>
      <c r="F10024" s="195" t="s">
        <v>19</v>
      </c>
    </row>
    <row r="10025" spans="1:6" x14ac:dyDescent="0.25">
      <c r="A10025" s="189" t="str">
        <f t="shared" si="156"/>
        <v>WO-MD 3664.094.3W</v>
      </c>
      <c r="B10025" s="195" t="s">
        <v>4415</v>
      </c>
      <c r="C10025" s="196">
        <v>4.09</v>
      </c>
      <c r="D10025" s="196">
        <v>4.3</v>
      </c>
      <c r="E10025" s="195" t="s">
        <v>583</v>
      </c>
      <c r="F10025" s="195" t="s">
        <v>432</v>
      </c>
    </row>
    <row r="10026" spans="1:6" x14ac:dyDescent="0.25">
      <c r="A10026" s="189" t="str">
        <f t="shared" si="156"/>
        <v>WO-MD 3664.38.1E</v>
      </c>
      <c r="B10026" s="195" t="s">
        <v>4415</v>
      </c>
      <c r="C10026" s="196">
        <v>4.3</v>
      </c>
      <c r="D10026" s="196">
        <v>8.1</v>
      </c>
      <c r="E10026" s="195" t="s">
        <v>598</v>
      </c>
      <c r="F10026" s="195" t="s">
        <v>19</v>
      </c>
    </row>
    <row r="10027" spans="1:6" x14ac:dyDescent="0.25">
      <c r="A10027" s="189" t="str">
        <f t="shared" si="156"/>
        <v>WO-MD 3664.38.39W</v>
      </c>
      <c r="B10027" s="195" t="s">
        <v>4415</v>
      </c>
      <c r="C10027" s="196">
        <v>4.3</v>
      </c>
      <c r="D10027" s="196">
        <v>8.39</v>
      </c>
      <c r="E10027" s="195" t="s">
        <v>593</v>
      </c>
      <c r="F10027" s="195" t="s">
        <v>432</v>
      </c>
    </row>
    <row r="10028" spans="1:6" x14ac:dyDescent="0.25">
      <c r="A10028" s="189" t="str">
        <f t="shared" si="156"/>
        <v>WO-MD 3668.18.39E</v>
      </c>
      <c r="B10028" s="195" t="s">
        <v>4415</v>
      </c>
      <c r="C10028" s="196">
        <v>8.1</v>
      </c>
      <c r="D10028" s="196">
        <v>8.39</v>
      </c>
      <c r="E10028" s="195" t="s">
        <v>598</v>
      </c>
      <c r="F10028" s="195" t="s">
        <v>19</v>
      </c>
    </row>
    <row r="10029" spans="1:6" x14ac:dyDescent="0.25">
      <c r="A10029" s="189" t="str">
        <f t="shared" si="156"/>
        <v>WO-MD 3668.3911.17E</v>
      </c>
      <c r="B10029" s="195" t="s">
        <v>4415</v>
      </c>
      <c r="C10029" s="196">
        <v>8.39</v>
      </c>
      <c r="D10029" s="196">
        <v>11.17</v>
      </c>
      <c r="E10029" s="195" t="s">
        <v>583</v>
      </c>
      <c r="F10029" s="195" t="s">
        <v>19</v>
      </c>
    </row>
    <row r="10030" spans="1:6" x14ac:dyDescent="0.25">
      <c r="A10030" s="189" t="str">
        <f t="shared" si="156"/>
        <v>WO-MD 3668.3911.17W</v>
      </c>
      <c r="B10030" s="195" t="s">
        <v>4415</v>
      </c>
      <c r="C10030" s="196">
        <v>8.39</v>
      </c>
      <c r="D10030" s="196">
        <v>11.17</v>
      </c>
      <c r="E10030" s="195" t="s">
        <v>583</v>
      </c>
      <c r="F10030" s="195" t="s">
        <v>432</v>
      </c>
    </row>
    <row r="10031" spans="1:6" x14ac:dyDescent="0.25">
      <c r="A10031" s="189" t="str">
        <f t="shared" si="156"/>
        <v>WO-MD 36700.09E</v>
      </c>
      <c r="B10031" s="195" t="s">
        <v>4416</v>
      </c>
      <c r="C10031" s="196">
        <v>0</v>
      </c>
      <c r="D10031" s="196">
        <v>0.09</v>
      </c>
      <c r="E10031" s="195" t="s">
        <v>583</v>
      </c>
      <c r="F10031" s="195" t="s">
        <v>19</v>
      </c>
    </row>
    <row r="10032" spans="1:6" x14ac:dyDescent="0.25">
      <c r="A10032" s="189" t="str">
        <f t="shared" si="156"/>
        <v>WO-MD 36700.09W</v>
      </c>
      <c r="B10032" s="195" t="s">
        <v>4416</v>
      </c>
      <c r="C10032" s="196">
        <v>0</v>
      </c>
      <c r="D10032" s="196">
        <v>0.09</v>
      </c>
      <c r="E10032" s="195" t="s">
        <v>583</v>
      </c>
      <c r="F10032" s="195" t="s">
        <v>432</v>
      </c>
    </row>
    <row r="10033" spans="1:6" x14ac:dyDescent="0.25">
      <c r="A10033" s="189" t="str">
        <f t="shared" si="156"/>
        <v>WO-MD 3670.091.75E</v>
      </c>
      <c r="B10033" s="195" t="s">
        <v>4416</v>
      </c>
      <c r="C10033" s="196">
        <v>0.09</v>
      </c>
      <c r="D10033" s="196">
        <v>1.75</v>
      </c>
      <c r="E10033" s="195" t="s">
        <v>583</v>
      </c>
      <c r="F10033" s="195" t="s">
        <v>19</v>
      </c>
    </row>
    <row r="10034" spans="1:6" x14ac:dyDescent="0.25">
      <c r="A10034" s="189" t="str">
        <f t="shared" si="156"/>
        <v>WO-MD 3670.091.75W</v>
      </c>
      <c r="B10034" s="195" t="s">
        <v>4416</v>
      </c>
      <c r="C10034" s="196">
        <v>0.09</v>
      </c>
      <c r="D10034" s="196">
        <v>1.75</v>
      </c>
      <c r="E10034" s="195" t="s">
        <v>583</v>
      </c>
      <c r="F10034" s="195" t="s">
        <v>432</v>
      </c>
    </row>
    <row r="10035" spans="1:6" x14ac:dyDescent="0.25">
      <c r="A10035" s="189" t="str">
        <f t="shared" si="156"/>
        <v>WO-MD 3671.752.6E</v>
      </c>
      <c r="B10035" s="195" t="s">
        <v>4416</v>
      </c>
      <c r="C10035" s="196">
        <v>1.75</v>
      </c>
      <c r="D10035" s="196">
        <v>2.6</v>
      </c>
      <c r="E10035" s="195" t="s">
        <v>583</v>
      </c>
      <c r="F10035" s="195" t="s">
        <v>19</v>
      </c>
    </row>
    <row r="10036" spans="1:6" x14ac:dyDescent="0.25">
      <c r="A10036" s="189" t="str">
        <f t="shared" si="156"/>
        <v>WO-MD 3671.752.6W</v>
      </c>
      <c r="B10036" s="195" t="s">
        <v>4416</v>
      </c>
      <c r="C10036" s="196">
        <v>1.75</v>
      </c>
      <c r="D10036" s="196">
        <v>2.6</v>
      </c>
      <c r="E10036" s="195" t="s">
        <v>583</v>
      </c>
      <c r="F10036" s="195" t="s">
        <v>432</v>
      </c>
    </row>
    <row r="10037" spans="1:6" x14ac:dyDescent="0.25">
      <c r="A10037" s="189" t="str">
        <f t="shared" si="156"/>
        <v>WO-MD 36800.28N</v>
      </c>
      <c r="B10037" s="195" t="s">
        <v>4417</v>
      </c>
      <c r="C10037" s="196">
        <v>0</v>
      </c>
      <c r="D10037" s="196">
        <v>0.28000000000000003</v>
      </c>
      <c r="E10037" s="195" t="s">
        <v>589</v>
      </c>
      <c r="F10037" s="195" t="s">
        <v>430</v>
      </c>
    </row>
    <row r="10038" spans="1:6" x14ac:dyDescent="0.25">
      <c r="A10038" s="189" t="str">
        <f t="shared" si="156"/>
        <v>WO-MD 36800.28S</v>
      </c>
      <c r="B10038" s="195" t="s">
        <v>4417</v>
      </c>
      <c r="C10038" s="196">
        <v>0</v>
      </c>
      <c r="D10038" s="196">
        <v>0.28000000000000003</v>
      </c>
      <c r="E10038" s="195" t="s">
        <v>595</v>
      </c>
      <c r="F10038" s="195" t="s">
        <v>438</v>
      </c>
    </row>
    <row r="10039" spans="1:6" x14ac:dyDescent="0.25">
      <c r="A10039" s="189" t="str">
        <f t="shared" si="156"/>
        <v>WO-MD 37100.07N</v>
      </c>
      <c r="B10039" s="195" t="s">
        <v>4418</v>
      </c>
      <c r="C10039" s="196">
        <v>0</v>
      </c>
      <c r="D10039" s="196">
        <v>7.0000000000000007E-2</v>
      </c>
      <c r="E10039" s="195" t="s">
        <v>583</v>
      </c>
      <c r="F10039" s="195" t="s">
        <v>430</v>
      </c>
    </row>
    <row r="10040" spans="1:6" x14ac:dyDescent="0.25">
      <c r="A10040" s="189" t="str">
        <f t="shared" si="156"/>
        <v>WO-MD 37100.07S</v>
      </c>
      <c r="B10040" s="195" t="s">
        <v>4418</v>
      </c>
      <c r="C10040" s="196">
        <v>0</v>
      </c>
      <c r="D10040" s="196">
        <v>7.0000000000000007E-2</v>
      </c>
      <c r="E10040" s="195" t="s">
        <v>583</v>
      </c>
      <c r="F10040" s="195" t="s">
        <v>438</v>
      </c>
    </row>
    <row r="10041" spans="1:6" x14ac:dyDescent="0.25">
      <c r="A10041" s="189" t="str">
        <f t="shared" si="156"/>
        <v>WO-MD 3710.071.06N</v>
      </c>
      <c r="B10041" s="195" t="s">
        <v>4418</v>
      </c>
      <c r="C10041" s="196">
        <v>7.0000000000000007E-2</v>
      </c>
      <c r="D10041" s="196">
        <v>1.06</v>
      </c>
      <c r="E10041" s="195" t="s">
        <v>583</v>
      </c>
      <c r="F10041" s="195" t="s">
        <v>430</v>
      </c>
    </row>
    <row r="10042" spans="1:6" x14ac:dyDescent="0.25">
      <c r="A10042" s="189" t="str">
        <f t="shared" si="156"/>
        <v>WO-MD 3710.071.06S</v>
      </c>
      <c r="B10042" s="195" t="s">
        <v>4418</v>
      </c>
      <c r="C10042" s="196">
        <v>7.0000000000000007E-2</v>
      </c>
      <c r="D10042" s="196">
        <v>1.06</v>
      </c>
      <c r="E10042" s="195" t="s">
        <v>583</v>
      </c>
      <c r="F10042" s="195" t="s">
        <v>438</v>
      </c>
    </row>
    <row r="10043" spans="1:6" x14ac:dyDescent="0.25">
      <c r="A10043" s="189" t="str">
        <f t="shared" si="156"/>
        <v>WO-MD 3711.062.4N</v>
      </c>
      <c r="B10043" s="195" t="s">
        <v>4418</v>
      </c>
      <c r="C10043" s="196">
        <v>1.06</v>
      </c>
      <c r="D10043" s="196">
        <v>2.4</v>
      </c>
      <c r="E10043" s="195" t="s">
        <v>583</v>
      </c>
      <c r="F10043" s="195" t="s">
        <v>430</v>
      </c>
    </row>
    <row r="10044" spans="1:6" x14ac:dyDescent="0.25">
      <c r="A10044" s="189" t="str">
        <f t="shared" si="156"/>
        <v>WO-MD 3711.062.4S</v>
      </c>
      <c r="B10044" s="195" t="s">
        <v>4418</v>
      </c>
      <c r="C10044" s="196">
        <v>1.06</v>
      </c>
      <c r="D10044" s="196">
        <v>2.4</v>
      </c>
      <c r="E10044" s="195" t="s">
        <v>583</v>
      </c>
      <c r="F10044" s="195" t="s">
        <v>438</v>
      </c>
    </row>
    <row r="10045" spans="1:6" x14ac:dyDescent="0.25">
      <c r="A10045" s="189" t="str">
        <f t="shared" si="156"/>
        <v>WO-MD 3712.44.27N</v>
      </c>
      <c r="B10045" s="195" t="s">
        <v>4418</v>
      </c>
      <c r="C10045" s="196">
        <v>2.4</v>
      </c>
      <c r="D10045" s="196">
        <v>4.2699999999999996</v>
      </c>
      <c r="E10045" s="195" t="s">
        <v>583</v>
      </c>
      <c r="F10045" s="195" t="s">
        <v>430</v>
      </c>
    </row>
    <row r="10046" spans="1:6" x14ac:dyDescent="0.25">
      <c r="A10046" s="189" t="str">
        <f t="shared" si="156"/>
        <v>WO-MD 3712.44.27S</v>
      </c>
      <c r="B10046" s="195" t="s">
        <v>4418</v>
      </c>
      <c r="C10046" s="196">
        <v>2.4</v>
      </c>
      <c r="D10046" s="196">
        <v>4.2699999999999996</v>
      </c>
      <c r="E10046" s="195" t="s">
        <v>583</v>
      </c>
      <c r="F10046" s="195" t="s">
        <v>438</v>
      </c>
    </row>
    <row r="10047" spans="1:6" x14ac:dyDescent="0.25">
      <c r="A10047" s="189" t="str">
        <f t="shared" si="156"/>
        <v>WO-MD 37408.02E</v>
      </c>
      <c r="B10047" s="195" t="s">
        <v>4419</v>
      </c>
      <c r="C10047" s="196">
        <v>0</v>
      </c>
      <c r="D10047" s="196">
        <v>8.02</v>
      </c>
      <c r="E10047" s="195" t="s">
        <v>583</v>
      </c>
      <c r="F10047" s="195" t="s">
        <v>19</v>
      </c>
    </row>
    <row r="10048" spans="1:6" x14ac:dyDescent="0.25">
      <c r="A10048" s="189" t="str">
        <f t="shared" si="156"/>
        <v>WO-MD 37408.02W</v>
      </c>
      <c r="B10048" s="195" t="s">
        <v>4419</v>
      </c>
      <c r="C10048" s="196">
        <v>0</v>
      </c>
      <c r="D10048" s="196">
        <v>8.02</v>
      </c>
      <c r="E10048" s="195" t="s">
        <v>583</v>
      </c>
      <c r="F10048" s="195" t="s">
        <v>432</v>
      </c>
    </row>
    <row r="10049" spans="1:6" x14ac:dyDescent="0.25">
      <c r="A10049" s="189" t="str">
        <f t="shared" si="156"/>
        <v>WO-MD 3748.028.7E</v>
      </c>
      <c r="B10049" s="195" t="s">
        <v>4419</v>
      </c>
      <c r="C10049" s="196">
        <v>8.02</v>
      </c>
      <c r="D10049" s="196">
        <v>8.6999999999999993</v>
      </c>
      <c r="E10049" s="195" t="s">
        <v>583</v>
      </c>
      <c r="F10049" s="195" t="s">
        <v>19</v>
      </c>
    </row>
    <row r="10050" spans="1:6" x14ac:dyDescent="0.25">
      <c r="A10050" s="189" t="str">
        <f t="shared" si="156"/>
        <v>WO-MD 3748.028.7W</v>
      </c>
      <c r="B10050" s="195" t="s">
        <v>4419</v>
      </c>
      <c r="C10050" s="196">
        <v>8.02</v>
      </c>
      <c r="D10050" s="196">
        <v>8.6999999999999993</v>
      </c>
      <c r="E10050" s="195" t="s">
        <v>583</v>
      </c>
      <c r="F10050" s="195" t="s">
        <v>432</v>
      </c>
    </row>
    <row r="10051" spans="1:6" x14ac:dyDescent="0.25">
      <c r="A10051" s="189" t="str">
        <f t="shared" si="156"/>
        <v>WO-MD 37500.06N</v>
      </c>
      <c r="B10051" s="195" t="s">
        <v>4420</v>
      </c>
      <c r="C10051" s="196">
        <v>0</v>
      </c>
      <c r="D10051" s="196">
        <v>0.06</v>
      </c>
      <c r="E10051" s="195" t="s">
        <v>589</v>
      </c>
      <c r="F10051" s="195" t="s">
        <v>430</v>
      </c>
    </row>
    <row r="10052" spans="1:6" x14ac:dyDescent="0.25">
      <c r="A10052" s="189" t="str">
        <f t="shared" si="156"/>
        <v>WO-MD 37600.7E</v>
      </c>
      <c r="B10052" s="195" t="s">
        <v>4421</v>
      </c>
      <c r="C10052" s="196">
        <v>0</v>
      </c>
      <c r="D10052" s="196">
        <v>0.7</v>
      </c>
      <c r="E10052" s="195" t="s">
        <v>583</v>
      </c>
      <c r="F10052" s="195" t="s">
        <v>19</v>
      </c>
    </row>
    <row r="10053" spans="1:6" x14ac:dyDescent="0.25">
      <c r="A10053" s="189" t="str">
        <f t="shared" si="156"/>
        <v>WO-MD 37600.7W</v>
      </c>
      <c r="B10053" s="195" t="s">
        <v>4421</v>
      </c>
      <c r="C10053" s="196">
        <v>0</v>
      </c>
      <c r="D10053" s="196">
        <v>0.7</v>
      </c>
      <c r="E10053" s="195" t="s">
        <v>583</v>
      </c>
      <c r="F10053" s="195" t="s">
        <v>432</v>
      </c>
    </row>
    <row r="10054" spans="1:6" x14ac:dyDescent="0.25">
      <c r="A10054" s="189" t="str">
        <f t="shared" si="156"/>
        <v>WO-MD 3760.71.6E</v>
      </c>
      <c r="B10054" s="195" t="s">
        <v>4421</v>
      </c>
      <c r="C10054" s="196">
        <v>0.7</v>
      </c>
      <c r="D10054" s="196">
        <v>1.6</v>
      </c>
      <c r="E10054" s="195" t="s">
        <v>583</v>
      </c>
      <c r="F10054" s="195" t="s">
        <v>19</v>
      </c>
    </row>
    <row r="10055" spans="1:6" x14ac:dyDescent="0.25">
      <c r="A10055" s="189" t="str">
        <f t="shared" si="156"/>
        <v>WO-MD 3760.71.6W</v>
      </c>
      <c r="B10055" s="195" t="s">
        <v>4421</v>
      </c>
      <c r="C10055" s="196">
        <v>0.7</v>
      </c>
      <c r="D10055" s="196">
        <v>1.6</v>
      </c>
      <c r="E10055" s="195" t="s">
        <v>583</v>
      </c>
      <c r="F10055" s="195" t="s">
        <v>432</v>
      </c>
    </row>
    <row r="10056" spans="1:6" x14ac:dyDescent="0.25">
      <c r="A10056" s="189" t="str">
        <f t="shared" ref="A10056:A10119" si="157">B10056&amp;C10056&amp;D10056&amp;F10056</f>
        <v>WO-MD 3761.61.75E</v>
      </c>
      <c r="B10056" s="195" t="s">
        <v>4421</v>
      </c>
      <c r="C10056" s="196">
        <v>1.6</v>
      </c>
      <c r="D10056" s="196">
        <v>1.75</v>
      </c>
      <c r="E10056" s="195" t="s">
        <v>583</v>
      </c>
      <c r="F10056" s="195" t="s">
        <v>19</v>
      </c>
    </row>
    <row r="10057" spans="1:6" x14ac:dyDescent="0.25">
      <c r="A10057" s="189" t="str">
        <f t="shared" si="157"/>
        <v>WO-MD 3761.61.75W</v>
      </c>
      <c r="B10057" s="195" t="s">
        <v>4421</v>
      </c>
      <c r="C10057" s="196">
        <v>1.6</v>
      </c>
      <c r="D10057" s="196">
        <v>1.75</v>
      </c>
      <c r="E10057" s="195" t="s">
        <v>583</v>
      </c>
      <c r="F10057" s="195" t="s">
        <v>432</v>
      </c>
    </row>
    <row r="10058" spans="1:6" x14ac:dyDescent="0.25">
      <c r="A10058" s="189" t="str">
        <f t="shared" si="157"/>
        <v>WO-MD 3761.751.9E</v>
      </c>
      <c r="B10058" s="195" t="s">
        <v>4421</v>
      </c>
      <c r="C10058" s="196">
        <v>1.75</v>
      </c>
      <c r="D10058" s="196">
        <v>1.9</v>
      </c>
      <c r="E10058" s="195" t="s">
        <v>583</v>
      </c>
      <c r="F10058" s="195" t="s">
        <v>19</v>
      </c>
    </row>
    <row r="10059" spans="1:6" x14ac:dyDescent="0.25">
      <c r="A10059" s="189" t="str">
        <f t="shared" si="157"/>
        <v>WO-MD 3761.751.9W</v>
      </c>
      <c r="B10059" s="195" t="s">
        <v>4421</v>
      </c>
      <c r="C10059" s="196">
        <v>1.75</v>
      </c>
      <c r="D10059" s="196">
        <v>1.9</v>
      </c>
      <c r="E10059" s="195" t="s">
        <v>583</v>
      </c>
      <c r="F10059" s="195" t="s">
        <v>432</v>
      </c>
    </row>
    <row r="10060" spans="1:6" x14ac:dyDescent="0.25">
      <c r="A10060" s="189" t="str">
        <f t="shared" si="157"/>
        <v>WO-MD 3761.93.8E</v>
      </c>
      <c r="B10060" s="195" t="s">
        <v>4421</v>
      </c>
      <c r="C10060" s="196">
        <v>1.9</v>
      </c>
      <c r="D10060" s="196">
        <v>3.8</v>
      </c>
      <c r="E10060" s="195" t="s">
        <v>583</v>
      </c>
      <c r="F10060" s="195" t="s">
        <v>19</v>
      </c>
    </row>
    <row r="10061" spans="1:6" x14ac:dyDescent="0.25">
      <c r="A10061" s="189" t="str">
        <f t="shared" si="157"/>
        <v>WO-MD 3761.93.8W</v>
      </c>
      <c r="B10061" s="195" t="s">
        <v>4421</v>
      </c>
      <c r="C10061" s="196">
        <v>1.9</v>
      </c>
      <c r="D10061" s="196">
        <v>3.8</v>
      </c>
      <c r="E10061" s="195" t="s">
        <v>583</v>
      </c>
      <c r="F10061" s="195" t="s">
        <v>432</v>
      </c>
    </row>
    <row r="10062" spans="1:6" x14ac:dyDescent="0.25">
      <c r="A10062" s="189" t="str">
        <f t="shared" si="157"/>
        <v>WO-MD 3763.84E</v>
      </c>
      <c r="B10062" s="195" t="s">
        <v>4421</v>
      </c>
      <c r="C10062" s="196">
        <v>3.8</v>
      </c>
      <c r="D10062" s="196">
        <v>4</v>
      </c>
      <c r="E10062" s="195" t="s">
        <v>583</v>
      </c>
      <c r="F10062" s="195" t="s">
        <v>19</v>
      </c>
    </row>
    <row r="10063" spans="1:6" x14ac:dyDescent="0.25">
      <c r="A10063" s="189" t="str">
        <f t="shared" si="157"/>
        <v>WO-MD 3763.84W</v>
      </c>
      <c r="B10063" s="195" t="s">
        <v>4421</v>
      </c>
      <c r="C10063" s="196">
        <v>3.8</v>
      </c>
      <c r="D10063" s="196">
        <v>4</v>
      </c>
      <c r="E10063" s="195" t="s">
        <v>583</v>
      </c>
      <c r="F10063" s="195" t="s">
        <v>432</v>
      </c>
    </row>
    <row r="10064" spans="1:6" x14ac:dyDescent="0.25">
      <c r="A10064" s="189" t="str">
        <f t="shared" si="157"/>
        <v>WO-MD 37644.56E</v>
      </c>
      <c r="B10064" s="195" t="s">
        <v>4421</v>
      </c>
      <c r="C10064" s="196">
        <v>4</v>
      </c>
      <c r="D10064" s="196">
        <v>4.5599999999999996</v>
      </c>
      <c r="E10064" s="195" t="s">
        <v>583</v>
      </c>
      <c r="F10064" s="195" t="s">
        <v>19</v>
      </c>
    </row>
    <row r="10065" spans="1:6" x14ac:dyDescent="0.25">
      <c r="A10065" s="189" t="str">
        <f t="shared" si="157"/>
        <v>WO-MD 37644.56W</v>
      </c>
      <c r="B10065" s="195" t="s">
        <v>4421</v>
      </c>
      <c r="C10065" s="196">
        <v>4</v>
      </c>
      <c r="D10065" s="196">
        <v>4.5599999999999996</v>
      </c>
      <c r="E10065" s="195" t="s">
        <v>583</v>
      </c>
      <c r="F10065" s="195" t="s">
        <v>432</v>
      </c>
    </row>
    <row r="10066" spans="1:6" x14ac:dyDescent="0.25">
      <c r="A10066" s="189" t="str">
        <f t="shared" si="157"/>
        <v>WO-MD 37700.78N</v>
      </c>
      <c r="B10066" s="195" t="s">
        <v>4422</v>
      </c>
      <c r="C10066" s="196">
        <v>0</v>
      </c>
      <c r="D10066" s="196">
        <v>0.78</v>
      </c>
      <c r="E10066" s="195" t="s">
        <v>589</v>
      </c>
      <c r="F10066" s="195" t="s">
        <v>430</v>
      </c>
    </row>
    <row r="10067" spans="1:6" x14ac:dyDescent="0.25">
      <c r="A10067" s="189" t="str">
        <f t="shared" si="157"/>
        <v>WO-MD 37700.78S</v>
      </c>
      <c r="B10067" s="195" t="s">
        <v>4422</v>
      </c>
      <c r="C10067" s="196">
        <v>0</v>
      </c>
      <c r="D10067" s="196">
        <v>0.78</v>
      </c>
      <c r="E10067" s="195" t="s">
        <v>595</v>
      </c>
      <c r="F10067" s="195" t="s">
        <v>438</v>
      </c>
    </row>
    <row r="10068" spans="1:6" x14ac:dyDescent="0.25">
      <c r="A10068" s="189" t="str">
        <f t="shared" si="157"/>
        <v>WO-MD 37800.39N</v>
      </c>
      <c r="B10068" s="195" t="s">
        <v>443</v>
      </c>
      <c r="C10068" s="196">
        <v>0</v>
      </c>
      <c r="D10068" s="196">
        <v>0.39</v>
      </c>
      <c r="E10068" s="195" t="s">
        <v>589</v>
      </c>
      <c r="F10068" s="195" t="s">
        <v>430</v>
      </c>
    </row>
    <row r="10069" spans="1:6" x14ac:dyDescent="0.25">
      <c r="A10069" s="189" t="str">
        <f t="shared" si="157"/>
        <v>WO-MD 3780.390.4N</v>
      </c>
      <c r="B10069" s="195" t="s">
        <v>443</v>
      </c>
      <c r="C10069" s="196">
        <v>0.39</v>
      </c>
      <c r="D10069" s="196">
        <v>0.4</v>
      </c>
      <c r="E10069" s="195" t="s">
        <v>589</v>
      </c>
      <c r="F10069" s="195" t="s">
        <v>430</v>
      </c>
    </row>
    <row r="10070" spans="1:6" x14ac:dyDescent="0.25">
      <c r="A10070" s="189" t="str">
        <f t="shared" si="157"/>
        <v>WO-MD 3780.41N</v>
      </c>
      <c r="B10070" s="195" t="s">
        <v>443</v>
      </c>
      <c r="C10070" s="196">
        <v>0.4</v>
      </c>
      <c r="D10070" s="196">
        <v>1</v>
      </c>
      <c r="E10070" s="195" t="s">
        <v>589</v>
      </c>
      <c r="F10070" s="195" t="s">
        <v>430</v>
      </c>
    </row>
    <row r="10071" spans="1:6" x14ac:dyDescent="0.25">
      <c r="A10071" s="189" t="str">
        <f t="shared" si="157"/>
        <v>WO-MD 37811.02N</v>
      </c>
      <c r="B10071" s="195" t="s">
        <v>443</v>
      </c>
      <c r="C10071" s="196">
        <v>1</v>
      </c>
      <c r="D10071" s="196">
        <v>1.02</v>
      </c>
      <c r="E10071" s="195" t="s">
        <v>589</v>
      </c>
      <c r="F10071" s="195" t="s">
        <v>430</v>
      </c>
    </row>
    <row r="10072" spans="1:6" x14ac:dyDescent="0.25">
      <c r="A10072" s="189" t="str">
        <f t="shared" si="157"/>
        <v>WO-MD 3781.021.49N</v>
      </c>
      <c r="B10072" s="195" t="s">
        <v>443</v>
      </c>
      <c r="C10072" s="196">
        <v>1.02</v>
      </c>
      <c r="D10072" s="196">
        <v>1.49</v>
      </c>
      <c r="E10072" s="195" t="s">
        <v>589</v>
      </c>
      <c r="F10072" s="195" t="s">
        <v>430</v>
      </c>
    </row>
    <row r="10073" spans="1:6" x14ac:dyDescent="0.25">
      <c r="A10073" s="189" t="str">
        <f t="shared" si="157"/>
        <v>WO-MD 378A00.07E</v>
      </c>
      <c r="B10073" s="195" t="s">
        <v>4423</v>
      </c>
      <c r="C10073" s="196">
        <v>0</v>
      </c>
      <c r="D10073" s="196">
        <v>7.0000000000000007E-2</v>
      </c>
      <c r="E10073" s="195" t="s">
        <v>598</v>
      </c>
      <c r="F10073" s="195" t="s">
        <v>19</v>
      </c>
    </row>
    <row r="10074" spans="1:6" x14ac:dyDescent="0.25">
      <c r="A10074" s="189" t="str">
        <f t="shared" si="157"/>
        <v>WO-MD 378B00.07E</v>
      </c>
      <c r="B10074" s="195" t="s">
        <v>4424</v>
      </c>
      <c r="C10074" s="196">
        <v>0</v>
      </c>
      <c r="D10074" s="196">
        <v>7.0000000000000007E-2</v>
      </c>
      <c r="E10074" s="195" t="s">
        <v>598</v>
      </c>
      <c r="F10074" s="195" t="s">
        <v>19</v>
      </c>
    </row>
    <row r="10075" spans="1:6" x14ac:dyDescent="0.25">
      <c r="A10075" s="189" t="str">
        <f t="shared" si="157"/>
        <v>WO-MD 45200.37N</v>
      </c>
      <c r="B10075" s="195" t="s">
        <v>4425</v>
      </c>
      <c r="C10075" s="196">
        <v>0</v>
      </c>
      <c r="D10075" s="196">
        <v>0.37</v>
      </c>
      <c r="E10075" s="195" t="s">
        <v>583</v>
      </c>
      <c r="F10075" s="195" t="s">
        <v>430</v>
      </c>
    </row>
    <row r="10076" spans="1:6" x14ac:dyDescent="0.25">
      <c r="A10076" s="189" t="str">
        <f t="shared" si="157"/>
        <v>WO-MD 45200.37S</v>
      </c>
      <c r="B10076" s="195" t="s">
        <v>4425</v>
      </c>
      <c r="C10076" s="196">
        <v>0</v>
      </c>
      <c r="D10076" s="196">
        <v>0.37</v>
      </c>
      <c r="E10076" s="195" t="s">
        <v>583</v>
      </c>
      <c r="F10076" s="195" t="s">
        <v>438</v>
      </c>
    </row>
    <row r="10077" spans="1:6" x14ac:dyDescent="0.25">
      <c r="A10077" s="189" t="str">
        <f t="shared" si="157"/>
        <v>WO-MD 4520.371.64N</v>
      </c>
      <c r="B10077" s="195" t="s">
        <v>4425</v>
      </c>
      <c r="C10077" s="196">
        <v>0.37</v>
      </c>
      <c r="D10077" s="196">
        <v>1.64</v>
      </c>
      <c r="E10077" s="195" t="s">
        <v>583</v>
      </c>
      <c r="F10077" s="195" t="s">
        <v>430</v>
      </c>
    </row>
    <row r="10078" spans="1:6" x14ac:dyDescent="0.25">
      <c r="A10078" s="189" t="str">
        <f t="shared" si="157"/>
        <v>WO-MD 4520.371.64S</v>
      </c>
      <c r="B10078" s="195" t="s">
        <v>4425</v>
      </c>
      <c r="C10078" s="196">
        <v>0.37</v>
      </c>
      <c r="D10078" s="196">
        <v>1.64</v>
      </c>
      <c r="E10078" s="195" t="s">
        <v>583</v>
      </c>
      <c r="F10078" s="195" t="s">
        <v>438</v>
      </c>
    </row>
    <row r="10079" spans="1:6" x14ac:dyDescent="0.25">
      <c r="A10079" s="189" t="str">
        <f t="shared" si="157"/>
        <v>WO-MD 5287.968.51S</v>
      </c>
      <c r="B10079" s="195" t="s">
        <v>444</v>
      </c>
      <c r="C10079" s="196">
        <v>7.96</v>
      </c>
      <c r="D10079" s="196">
        <v>8.51</v>
      </c>
      <c r="E10079" s="195" t="s">
        <v>595</v>
      </c>
      <c r="F10079" s="195" t="s">
        <v>438</v>
      </c>
    </row>
    <row r="10080" spans="1:6" x14ac:dyDescent="0.25">
      <c r="A10080" s="189" t="str">
        <f t="shared" si="157"/>
        <v>WO-MD 5288.518.61S</v>
      </c>
      <c r="B10080" s="195" t="s">
        <v>444</v>
      </c>
      <c r="C10080" s="196">
        <v>8.51</v>
      </c>
      <c r="D10080" s="196">
        <v>8.61</v>
      </c>
      <c r="E10080" s="195" t="s">
        <v>595</v>
      </c>
      <c r="F10080" s="195" t="s">
        <v>438</v>
      </c>
    </row>
    <row r="10081" spans="1:6" x14ac:dyDescent="0.25">
      <c r="A10081" s="189" t="str">
        <f t="shared" si="157"/>
        <v>WO-MD 5288.619.04S</v>
      </c>
      <c r="B10081" s="195" t="s">
        <v>444</v>
      </c>
      <c r="C10081" s="196">
        <v>8.61</v>
      </c>
      <c r="D10081" s="196">
        <v>9.0399999999999991</v>
      </c>
      <c r="E10081" s="195" t="s">
        <v>595</v>
      </c>
      <c r="F10081" s="195" t="s">
        <v>438</v>
      </c>
    </row>
    <row r="10082" spans="1:6" x14ac:dyDescent="0.25">
      <c r="A10082" s="189" t="str">
        <f t="shared" si="157"/>
        <v>WO-MD 56800.41N</v>
      </c>
      <c r="B10082" s="195" t="s">
        <v>4426</v>
      </c>
      <c r="C10082" s="196">
        <v>0</v>
      </c>
      <c r="D10082" s="196">
        <v>0.41</v>
      </c>
      <c r="E10082" s="195" t="s">
        <v>589</v>
      </c>
      <c r="F10082" s="195" t="s">
        <v>430</v>
      </c>
    </row>
    <row r="10083" spans="1:6" x14ac:dyDescent="0.25">
      <c r="A10083" s="189" t="str">
        <f t="shared" si="157"/>
        <v>WO-MD 56800.41S</v>
      </c>
      <c r="B10083" s="195" t="s">
        <v>4426</v>
      </c>
      <c r="C10083" s="196">
        <v>0</v>
      </c>
      <c r="D10083" s="196">
        <v>0.41</v>
      </c>
      <c r="E10083" s="195" t="s">
        <v>595</v>
      </c>
      <c r="F10083" s="195" t="s">
        <v>438</v>
      </c>
    </row>
    <row r="10084" spans="1:6" x14ac:dyDescent="0.25">
      <c r="A10084" s="189" t="str">
        <f t="shared" si="157"/>
        <v>WO-MD 57500.1E</v>
      </c>
      <c r="B10084" s="195" t="s">
        <v>4427</v>
      </c>
      <c r="C10084" s="196">
        <v>0</v>
      </c>
      <c r="D10084" s="196">
        <v>0.1</v>
      </c>
      <c r="E10084" s="195" t="s">
        <v>583</v>
      </c>
      <c r="F10084" s="195" t="s">
        <v>19</v>
      </c>
    </row>
    <row r="10085" spans="1:6" x14ac:dyDescent="0.25">
      <c r="A10085" s="189" t="str">
        <f t="shared" si="157"/>
        <v>WO-MD 57500.1W</v>
      </c>
      <c r="B10085" s="195" t="s">
        <v>4427</v>
      </c>
      <c r="C10085" s="196">
        <v>0</v>
      </c>
      <c r="D10085" s="196">
        <v>0.1</v>
      </c>
      <c r="E10085" s="195" t="s">
        <v>583</v>
      </c>
      <c r="F10085" s="195" t="s">
        <v>432</v>
      </c>
    </row>
    <row r="10086" spans="1:6" x14ac:dyDescent="0.25">
      <c r="A10086" s="189" t="str">
        <f t="shared" si="157"/>
        <v>WO-MD 5750.10.82E</v>
      </c>
      <c r="B10086" s="195" t="s">
        <v>4427</v>
      </c>
      <c r="C10086" s="196">
        <v>0.1</v>
      </c>
      <c r="D10086" s="196">
        <v>0.82</v>
      </c>
      <c r="E10086" s="195" t="s">
        <v>583</v>
      </c>
      <c r="F10086" s="195" t="s">
        <v>19</v>
      </c>
    </row>
    <row r="10087" spans="1:6" x14ac:dyDescent="0.25">
      <c r="A10087" s="189" t="str">
        <f t="shared" si="157"/>
        <v>WO-MD 5750.10.82W</v>
      </c>
      <c r="B10087" s="195" t="s">
        <v>4427</v>
      </c>
      <c r="C10087" s="196">
        <v>0.1</v>
      </c>
      <c r="D10087" s="196">
        <v>0.82</v>
      </c>
      <c r="E10087" s="195" t="s">
        <v>583</v>
      </c>
      <c r="F10087" s="195" t="s">
        <v>432</v>
      </c>
    </row>
    <row r="10088" spans="1:6" x14ac:dyDescent="0.25">
      <c r="A10088" s="189" t="str">
        <f t="shared" si="157"/>
        <v>WO-MD 5750.820.87E</v>
      </c>
      <c r="B10088" s="195" t="s">
        <v>4427</v>
      </c>
      <c r="C10088" s="196">
        <v>0.82</v>
      </c>
      <c r="D10088" s="196">
        <v>0.87</v>
      </c>
      <c r="E10088" s="195" t="s">
        <v>583</v>
      </c>
      <c r="F10088" s="195" t="s">
        <v>19</v>
      </c>
    </row>
    <row r="10089" spans="1:6" x14ac:dyDescent="0.25">
      <c r="A10089" s="189" t="str">
        <f t="shared" si="157"/>
        <v>WO-MD 5750.820.87W</v>
      </c>
      <c r="B10089" s="195" t="s">
        <v>4427</v>
      </c>
      <c r="C10089" s="196">
        <v>0.82</v>
      </c>
      <c r="D10089" s="196">
        <v>0.87</v>
      </c>
      <c r="E10089" s="195" t="s">
        <v>583</v>
      </c>
      <c r="F10089" s="195" t="s">
        <v>432</v>
      </c>
    </row>
    <row r="10090" spans="1:6" x14ac:dyDescent="0.25">
      <c r="A10090" s="189" t="str">
        <f t="shared" si="157"/>
        <v>WO-MD 5750.872.35E</v>
      </c>
      <c r="B10090" s="195" t="s">
        <v>4427</v>
      </c>
      <c r="C10090" s="196">
        <v>0.87</v>
      </c>
      <c r="D10090" s="196">
        <v>2.35</v>
      </c>
      <c r="E10090" s="195" t="s">
        <v>583</v>
      </c>
      <c r="F10090" s="195" t="s">
        <v>19</v>
      </c>
    </row>
    <row r="10091" spans="1:6" x14ac:dyDescent="0.25">
      <c r="A10091" s="189" t="str">
        <f t="shared" si="157"/>
        <v>WO-MD 5750.872.35W</v>
      </c>
      <c r="B10091" s="195" t="s">
        <v>4427</v>
      </c>
      <c r="C10091" s="196">
        <v>0.87</v>
      </c>
      <c r="D10091" s="196">
        <v>2.35</v>
      </c>
      <c r="E10091" s="195" t="s">
        <v>583</v>
      </c>
      <c r="F10091" s="195" t="s">
        <v>432</v>
      </c>
    </row>
    <row r="10092" spans="1:6" x14ac:dyDescent="0.25">
      <c r="A10092" s="189" t="str">
        <f t="shared" si="157"/>
        <v>WO-MD 5752.352.7E</v>
      </c>
      <c r="B10092" s="195" t="s">
        <v>4427</v>
      </c>
      <c r="C10092" s="196">
        <v>2.35</v>
      </c>
      <c r="D10092" s="196">
        <v>2.7</v>
      </c>
      <c r="E10092" s="195" t="s">
        <v>583</v>
      </c>
      <c r="F10092" s="195" t="s">
        <v>19</v>
      </c>
    </row>
    <row r="10093" spans="1:6" x14ac:dyDescent="0.25">
      <c r="A10093" s="189" t="str">
        <f t="shared" si="157"/>
        <v>WO-MD 5752.352.7W</v>
      </c>
      <c r="B10093" s="195" t="s">
        <v>4427</v>
      </c>
      <c r="C10093" s="196">
        <v>2.35</v>
      </c>
      <c r="D10093" s="196">
        <v>2.7</v>
      </c>
      <c r="E10093" s="195" t="s">
        <v>583</v>
      </c>
      <c r="F10093" s="195" t="s">
        <v>432</v>
      </c>
    </row>
    <row r="10094" spans="1:6" x14ac:dyDescent="0.25">
      <c r="A10094" s="189" t="str">
        <f t="shared" si="157"/>
        <v>WO-MD 575A00.15S</v>
      </c>
      <c r="B10094" s="195" t="s">
        <v>4428</v>
      </c>
      <c r="C10094" s="196">
        <v>0</v>
      </c>
      <c r="D10094" s="196">
        <v>0.15</v>
      </c>
      <c r="E10094" s="195" t="s">
        <v>595</v>
      </c>
      <c r="F10094" s="195" t="s">
        <v>438</v>
      </c>
    </row>
    <row r="10095" spans="1:6" x14ac:dyDescent="0.25">
      <c r="A10095" s="189" t="str">
        <f t="shared" si="157"/>
        <v>WO-MD 575A0.150.46S</v>
      </c>
      <c r="B10095" s="195" t="s">
        <v>4428</v>
      </c>
      <c r="C10095" s="196">
        <v>0.15</v>
      </c>
      <c r="D10095" s="196">
        <v>0.46</v>
      </c>
      <c r="E10095" s="195" t="s">
        <v>595</v>
      </c>
      <c r="F10095" s="195" t="s">
        <v>438</v>
      </c>
    </row>
    <row r="10096" spans="1:6" x14ac:dyDescent="0.25">
      <c r="A10096" s="189" t="str">
        <f t="shared" si="157"/>
        <v>WO-MD 575A0.160.44N</v>
      </c>
      <c r="B10096" s="195" t="s">
        <v>4428</v>
      </c>
      <c r="C10096" s="196">
        <v>0.16</v>
      </c>
      <c r="D10096" s="196">
        <v>0.44</v>
      </c>
      <c r="E10096" s="195" t="s">
        <v>589</v>
      </c>
      <c r="F10096" s="195" t="s">
        <v>430</v>
      </c>
    </row>
    <row r="10097" spans="1:6" x14ac:dyDescent="0.25">
      <c r="A10097" s="189" t="str">
        <f t="shared" si="157"/>
        <v>WO-MD 575A0.460.53S</v>
      </c>
      <c r="B10097" s="195" t="s">
        <v>4428</v>
      </c>
      <c r="C10097" s="196">
        <v>0.46</v>
      </c>
      <c r="D10097" s="196">
        <v>0.53</v>
      </c>
      <c r="E10097" s="195" t="s">
        <v>595</v>
      </c>
      <c r="F10097" s="195" t="s">
        <v>438</v>
      </c>
    </row>
    <row r="10098" spans="1:6" x14ac:dyDescent="0.25">
      <c r="A10098" s="189" t="str">
        <f t="shared" si="157"/>
        <v>WO-MD 575A0.530.53S</v>
      </c>
      <c r="B10098" s="195" t="s">
        <v>4428</v>
      </c>
      <c r="C10098" s="196">
        <v>0.53</v>
      </c>
      <c r="D10098" s="196">
        <v>0.53</v>
      </c>
      <c r="E10098" s="195" t="s">
        <v>595</v>
      </c>
      <c r="F10098" s="195" t="s">
        <v>438</v>
      </c>
    </row>
    <row r="10099" spans="1:6" x14ac:dyDescent="0.25">
      <c r="A10099" s="189" t="str">
        <f t="shared" si="157"/>
        <v>WO-MD 575B00.11N</v>
      </c>
      <c r="B10099" s="195" t="s">
        <v>4429</v>
      </c>
      <c r="C10099" s="196">
        <v>0</v>
      </c>
      <c r="D10099" s="196">
        <v>0.11</v>
      </c>
      <c r="E10099" s="195" t="s">
        <v>589</v>
      </c>
      <c r="F10099" s="195" t="s">
        <v>430</v>
      </c>
    </row>
    <row r="10100" spans="1:6" x14ac:dyDescent="0.25">
      <c r="A10100" s="189" t="str">
        <f t="shared" si="157"/>
        <v>WO-MD 575B0.020.11S</v>
      </c>
      <c r="B10100" s="195" t="s">
        <v>4429</v>
      </c>
      <c r="C10100" s="196">
        <v>0.02</v>
      </c>
      <c r="D10100" s="196">
        <v>0.11</v>
      </c>
      <c r="E10100" s="195" t="s">
        <v>595</v>
      </c>
      <c r="F10100" s="195" t="s">
        <v>438</v>
      </c>
    </row>
    <row r="10101" spans="1:6" x14ac:dyDescent="0.25">
      <c r="A10101" s="189" t="str">
        <f t="shared" si="157"/>
        <v>WO-MD 575B0.110.85N</v>
      </c>
      <c r="B10101" s="195" t="s">
        <v>4429</v>
      </c>
      <c r="C10101" s="196">
        <v>0.11</v>
      </c>
      <c r="D10101" s="196">
        <v>0.85</v>
      </c>
      <c r="E10101" s="195" t="s">
        <v>589</v>
      </c>
      <c r="F10101" s="195" t="s">
        <v>430</v>
      </c>
    </row>
    <row r="10102" spans="1:6" x14ac:dyDescent="0.25">
      <c r="A10102" s="189" t="str">
        <f t="shared" si="157"/>
        <v>WO-MD 575B0.110.85S</v>
      </c>
      <c r="B10102" s="195" t="s">
        <v>4429</v>
      </c>
      <c r="C10102" s="196">
        <v>0.11</v>
      </c>
      <c r="D10102" s="196">
        <v>0.85</v>
      </c>
      <c r="E10102" s="195" t="s">
        <v>595</v>
      </c>
      <c r="F10102" s="195" t="s">
        <v>438</v>
      </c>
    </row>
    <row r="10103" spans="1:6" x14ac:dyDescent="0.25">
      <c r="A10103" s="189" t="str">
        <f t="shared" si="157"/>
        <v>WO-MD 575B0.850.86N</v>
      </c>
      <c r="B10103" s="195" t="s">
        <v>4429</v>
      </c>
      <c r="C10103" s="196">
        <v>0.85</v>
      </c>
      <c r="D10103" s="196">
        <v>0.86</v>
      </c>
      <c r="E10103" s="195" t="s">
        <v>589</v>
      </c>
      <c r="F10103" s="195" t="s">
        <v>430</v>
      </c>
    </row>
    <row r="10104" spans="1:6" x14ac:dyDescent="0.25">
      <c r="A10104" s="189" t="str">
        <f t="shared" si="157"/>
        <v>WO-MD 575B0.850.86S</v>
      </c>
      <c r="B10104" s="195" t="s">
        <v>4429</v>
      </c>
      <c r="C10104" s="196">
        <v>0.85</v>
      </c>
      <c r="D10104" s="196">
        <v>0.86</v>
      </c>
      <c r="E10104" s="195" t="s">
        <v>595</v>
      </c>
      <c r="F10104" s="195" t="s">
        <v>438</v>
      </c>
    </row>
    <row r="10105" spans="1:6" x14ac:dyDescent="0.25">
      <c r="A10105" s="189" t="str">
        <f t="shared" si="157"/>
        <v>WO-MD 575C00.1E</v>
      </c>
      <c r="B10105" s="195" t="s">
        <v>4430</v>
      </c>
      <c r="C10105" s="196">
        <v>0</v>
      </c>
      <c r="D10105" s="196">
        <v>0.1</v>
      </c>
      <c r="E10105" s="195" t="s">
        <v>598</v>
      </c>
      <c r="F10105" s="195" t="s">
        <v>19</v>
      </c>
    </row>
    <row r="10106" spans="1:6" x14ac:dyDescent="0.25">
      <c r="A10106" s="189" t="str">
        <f t="shared" si="157"/>
        <v>WO-MD 575C00.1W</v>
      </c>
      <c r="B10106" s="195" t="s">
        <v>4430</v>
      </c>
      <c r="C10106" s="196">
        <v>0</v>
      </c>
      <c r="D10106" s="196">
        <v>0.1</v>
      </c>
      <c r="E10106" s="195" t="s">
        <v>593</v>
      </c>
      <c r="F10106" s="195" t="s">
        <v>432</v>
      </c>
    </row>
    <row r="10107" spans="1:6" x14ac:dyDescent="0.25">
      <c r="A10107" s="189" t="str">
        <f t="shared" si="157"/>
        <v>WO-MD 575D00.08E</v>
      </c>
      <c r="B10107" s="195" t="s">
        <v>4431</v>
      </c>
      <c r="C10107" s="196">
        <v>0</v>
      </c>
      <c r="D10107" s="196">
        <v>0.08</v>
      </c>
      <c r="E10107" s="195" t="s">
        <v>598</v>
      </c>
      <c r="F10107" s="195" t="s">
        <v>19</v>
      </c>
    </row>
    <row r="10108" spans="1:6" x14ac:dyDescent="0.25">
      <c r="A10108" s="189" t="str">
        <f t="shared" si="157"/>
        <v>WO-MD 575D00.08W</v>
      </c>
      <c r="B10108" s="195" t="s">
        <v>4431</v>
      </c>
      <c r="C10108" s="196">
        <v>0</v>
      </c>
      <c r="D10108" s="196">
        <v>0.08</v>
      </c>
      <c r="E10108" s="195" t="s">
        <v>593</v>
      </c>
      <c r="F10108" s="195" t="s">
        <v>432</v>
      </c>
    </row>
    <row r="10109" spans="1:6" x14ac:dyDescent="0.25">
      <c r="A10109" s="189" t="str">
        <f t="shared" si="157"/>
        <v>WO-MD 575E0.070.21N</v>
      </c>
      <c r="B10109" s="195" t="s">
        <v>4432</v>
      </c>
      <c r="C10109" s="196">
        <v>7.0000000000000007E-2</v>
      </c>
      <c r="D10109" s="196">
        <v>0.21</v>
      </c>
      <c r="E10109" s="195" t="s">
        <v>589</v>
      </c>
      <c r="F10109" s="195" t="s">
        <v>430</v>
      </c>
    </row>
    <row r="10110" spans="1:6" x14ac:dyDescent="0.25">
      <c r="A10110" s="189" t="str">
        <f t="shared" si="157"/>
        <v>WO-MD 575E0.070.21S</v>
      </c>
      <c r="B10110" s="195" t="s">
        <v>4432</v>
      </c>
      <c r="C10110" s="196">
        <v>7.0000000000000007E-2</v>
      </c>
      <c r="D10110" s="196">
        <v>0.21</v>
      </c>
      <c r="E10110" s="195" t="s">
        <v>595</v>
      </c>
      <c r="F10110" s="195" t="s">
        <v>438</v>
      </c>
    </row>
    <row r="10111" spans="1:6" x14ac:dyDescent="0.25">
      <c r="A10111" s="189" t="str">
        <f t="shared" si="157"/>
        <v>WO-MD 575F00.11N</v>
      </c>
      <c r="B10111" s="195" t="s">
        <v>4433</v>
      </c>
      <c r="C10111" s="196">
        <v>0</v>
      </c>
      <c r="D10111" s="196">
        <v>0.11</v>
      </c>
      <c r="E10111" s="195" t="s">
        <v>589</v>
      </c>
      <c r="F10111" s="195" t="s">
        <v>430</v>
      </c>
    </row>
    <row r="10112" spans="1:6" x14ac:dyDescent="0.25">
      <c r="A10112" s="189" t="str">
        <f t="shared" si="157"/>
        <v>WO-MD 575F00.11S</v>
      </c>
      <c r="B10112" s="195" t="s">
        <v>4433</v>
      </c>
      <c r="C10112" s="196">
        <v>0</v>
      </c>
      <c r="D10112" s="196">
        <v>0.11</v>
      </c>
      <c r="E10112" s="195" t="s">
        <v>595</v>
      </c>
      <c r="F10112" s="195" t="s">
        <v>438</v>
      </c>
    </row>
    <row r="10113" spans="1:6" x14ac:dyDescent="0.25">
      <c r="A10113" s="189" t="str">
        <f t="shared" si="157"/>
        <v>WO-MD 575G00.05E</v>
      </c>
      <c r="B10113" s="195" t="s">
        <v>4434</v>
      </c>
      <c r="C10113" s="196">
        <v>0</v>
      </c>
      <c r="D10113" s="196">
        <v>0.05</v>
      </c>
      <c r="E10113" s="195" t="s">
        <v>598</v>
      </c>
      <c r="F10113" s="195" t="s">
        <v>19</v>
      </c>
    </row>
    <row r="10114" spans="1:6" x14ac:dyDescent="0.25">
      <c r="A10114" s="189" t="str">
        <f t="shared" si="157"/>
        <v>WO-MD 575G00.05W</v>
      </c>
      <c r="B10114" s="195" t="s">
        <v>4434</v>
      </c>
      <c r="C10114" s="196">
        <v>0</v>
      </c>
      <c r="D10114" s="196">
        <v>0.05</v>
      </c>
      <c r="E10114" s="195" t="s">
        <v>593</v>
      </c>
      <c r="F10114" s="195" t="s">
        <v>432</v>
      </c>
    </row>
    <row r="10115" spans="1:6" x14ac:dyDescent="0.25">
      <c r="A10115" s="189" t="str">
        <f t="shared" si="157"/>
        <v>WO-MD 575H00.31N</v>
      </c>
      <c r="B10115" s="195" t="s">
        <v>4435</v>
      </c>
      <c r="C10115" s="196">
        <v>0</v>
      </c>
      <c r="D10115" s="196">
        <v>0.31</v>
      </c>
      <c r="E10115" s="195" t="s">
        <v>589</v>
      </c>
      <c r="F10115" s="195" t="s">
        <v>430</v>
      </c>
    </row>
    <row r="10116" spans="1:6" x14ac:dyDescent="0.25">
      <c r="A10116" s="189" t="str">
        <f t="shared" si="157"/>
        <v>WO-MD 575H00.31S</v>
      </c>
      <c r="B10116" s="195" t="s">
        <v>4435</v>
      </c>
      <c r="C10116" s="196">
        <v>0</v>
      </c>
      <c r="D10116" s="196">
        <v>0.31</v>
      </c>
      <c r="E10116" s="195" t="s">
        <v>595</v>
      </c>
      <c r="F10116" s="195" t="s">
        <v>438</v>
      </c>
    </row>
    <row r="10117" spans="1:6" x14ac:dyDescent="0.25">
      <c r="A10117" s="189" t="str">
        <f t="shared" si="157"/>
        <v>WO-MD 575H0.310.32N</v>
      </c>
      <c r="B10117" s="195" t="s">
        <v>4435</v>
      </c>
      <c r="C10117" s="196">
        <v>0.31</v>
      </c>
      <c r="D10117" s="196">
        <v>0.32</v>
      </c>
      <c r="E10117" s="195" t="s">
        <v>589</v>
      </c>
      <c r="F10117" s="195" t="s">
        <v>430</v>
      </c>
    </row>
    <row r="10118" spans="1:6" x14ac:dyDescent="0.25">
      <c r="A10118" s="189" t="str">
        <f t="shared" si="157"/>
        <v>WO-MD 575H0.310.32S</v>
      </c>
      <c r="B10118" s="195" t="s">
        <v>4435</v>
      </c>
      <c r="C10118" s="196">
        <v>0.31</v>
      </c>
      <c r="D10118" s="196">
        <v>0.32</v>
      </c>
      <c r="E10118" s="195" t="s">
        <v>595</v>
      </c>
      <c r="F10118" s="195" t="s">
        <v>438</v>
      </c>
    </row>
    <row r="10119" spans="1:6" x14ac:dyDescent="0.25">
      <c r="A10119" s="189" t="str">
        <f t="shared" si="157"/>
        <v>WO-MD 575I00.11E</v>
      </c>
      <c r="B10119" s="195" t="s">
        <v>4436</v>
      </c>
      <c r="C10119" s="196">
        <v>0</v>
      </c>
      <c r="D10119" s="196">
        <v>0.11</v>
      </c>
      <c r="E10119" s="195" t="s">
        <v>598</v>
      </c>
      <c r="F10119" s="195" t="s">
        <v>19</v>
      </c>
    </row>
    <row r="10120" spans="1:6" x14ac:dyDescent="0.25">
      <c r="A10120" s="189" t="str">
        <f t="shared" ref="A10120:A10183" si="158">B10120&amp;C10120&amp;D10120&amp;F10120</f>
        <v>WO-MD 575I00.11W</v>
      </c>
      <c r="B10120" s="195" t="s">
        <v>4436</v>
      </c>
      <c r="C10120" s="196">
        <v>0</v>
      </c>
      <c r="D10120" s="196">
        <v>0.11</v>
      </c>
      <c r="E10120" s="195" t="s">
        <v>593</v>
      </c>
      <c r="F10120" s="195" t="s">
        <v>432</v>
      </c>
    </row>
    <row r="10121" spans="1:6" x14ac:dyDescent="0.25">
      <c r="A10121" s="189" t="str">
        <f t="shared" si="158"/>
        <v>WO-MD 575I0.110.11E</v>
      </c>
      <c r="B10121" s="195" t="s">
        <v>4436</v>
      </c>
      <c r="C10121" s="196">
        <v>0.11</v>
      </c>
      <c r="D10121" s="196">
        <v>0.11</v>
      </c>
      <c r="E10121" s="195" t="s">
        <v>598</v>
      </c>
      <c r="F10121" s="195" t="s">
        <v>19</v>
      </c>
    </row>
    <row r="10122" spans="1:6" x14ac:dyDescent="0.25">
      <c r="A10122" s="189" t="str">
        <f t="shared" si="158"/>
        <v>WO-MD 575I0.110.11W</v>
      </c>
      <c r="B10122" s="195" t="s">
        <v>4436</v>
      </c>
      <c r="C10122" s="196">
        <v>0.11</v>
      </c>
      <c r="D10122" s="196">
        <v>0.11</v>
      </c>
      <c r="E10122" s="195" t="s">
        <v>593</v>
      </c>
      <c r="F10122" s="195" t="s">
        <v>432</v>
      </c>
    </row>
    <row r="10123" spans="1:6" x14ac:dyDescent="0.25">
      <c r="A10123" s="189" t="str">
        <f t="shared" si="158"/>
        <v>WO-MD 575J00.12E</v>
      </c>
      <c r="B10123" s="195" t="s">
        <v>4437</v>
      </c>
      <c r="C10123" s="196">
        <v>0</v>
      </c>
      <c r="D10123" s="196">
        <v>0.12</v>
      </c>
      <c r="E10123" s="195" t="s">
        <v>598</v>
      </c>
      <c r="F10123" s="195" t="s">
        <v>19</v>
      </c>
    </row>
    <row r="10124" spans="1:6" x14ac:dyDescent="0.25">
      <c r="A10124" s="189" t="str">
        <f t="shared" si="158"/>
        <v>WO-MD 575J00.12W</v>
      </c>
      <c r="B10124" s="195" t="s">
        <v>4437</v>
      </c>
      <c r="C10124" s="196">
        <v>0</v>
      </c>
      <c r="D10124" s="196">
        <v>0.12</v>
      </c>
      <c r="E10124" s="195" t="s">
        <v>593</v>
      </c>
      <c r="F10124" s="195" t="s">
        <v>432</v>
      </c>
    </row>
    <row r="10125" spans="1:6" x14ac:dyDescent="0.25">
      <c r="A10125" s="189" t="str">
        <f t="shared" si="158"/>
        <v>WO-MD 575J0.120.13E</v>
      </c>
      <c r="B10125" s="195" t="s">
        <v>4437</v>
      </c>
      <c r="C10125" s="196">
        <v>0.12</v>
      </c>
      <c r="D10125" s="196">
        <v>0.13</v>
      </c>
      <c r="E10125" s="195" t="s">
        <v>598</v>
      </c>
      <c r="F10125" s="195" t="s">
        <v>19</v>
      </c>
    </row>
    <row r="10126" spans="1:6" x14ac:dyDescent="0.25">
      <c r="A10126" s="189" t="str">
        <f t="shared" si="158"/>
        <v>WO-MD 575J0.120.13W</v>
      </c>
      <c r="B10126" s="195" t="s">
        <v>4437</v>
      </c>
      <c r="C10126" s="196">
        <v>0.12</v>
      </c>
      <c r="D10126" s="196">
        <v>0.13</v>
      </c>
      <c r="E10126" s="195" t="s">
        <v>593</v>
      </c>
      <c r="F10126" s="195" t="s">
        <v>432</v>
      </c>
    </row>
    <row r="10127" spans="1:6" x14ac:dyDescent="0.25">
      <c r="A10127" s="189" t="str">
        <f t="shared" si="158"/>
        <v>WO-MD 575K00.12E</v>
      </c>
      <c r="B10127" s="195" t="s">
        <v>4438</v>
      </c>
      <c r="C10127" s="196">
        <v>0</v>
      </c>
      <c r="D10127" s="196">
        <v>0.12</v>
      </c>
      <c r="E10127" s="195" t="s">
        <v>598</v>
      </c>
      <c r="F10127" s="195" t="s">
        <v>19</v>
      </c>
    </row>
    <row r="10128" spans="1:6" x14ac:dyDescent="0.25">
      <c r="A10128" s="189" t="str">
        <f t="shared" si="158"/>
        <v>WO-MD 575K00.12W</v>
      </c>
      <c r="B10128" s="195" t="s">
        <v>4438</v>
      </c>
      <c r="C10128" s="196">
        <v>0</v>
      </c>
      <c r="D10128" s="196">
        <v>0.12</v>
      </c>
      <c r="E10128" s="195" t="s">
        <v>593</v>
      </c>
      <c r="F10128" s="195" t="s">
        <v>432</v>
      </c>
    </row>
    <row r="10129" spans="1:6" x14ac:dyDescent="0.25">
      <c r="A10129" s="189" t="str">
        <f t="shared" si="158"/>
        <v>WO-MD 575L00.08E</v>
      </c>
      <c r="B10129" s="195" t="s">
        <v>4439</v>
      </c>
      <c r="C10129" s="196">
        <v>0</v>
      </c>
      <c r="D10129" s="196">
        <v>0.08</v>
      </c>
      <c r="E10129" s="195" t="s">
        <v>598</v>
      </c>
      <c r="F10129" s="195" t="s">
        <v>19</v>
      </c>
    </row>
    <row r="10130" spans="1:6" x14ac:dyDescent="0.25">
      <c r="A10130" s="189" t="str">
        <f t="shared" si="158"/>
        <v>WO-MD 575L00.08W</v>
      </c>
      <c r="B10130" s="195" t="s">
        <v>4439</v>
      </c>
      <c r="C10130" s="196">
        <v>0</v>
      </c>
      <c r="D10130" s="196">
        <v>0.08</v>
      </c>
      <c r="E10130" s="195" t="s">
        <v>593</v>
      </c>
      <c r="F10130" s="195" t="s">
        <v>432</v>
      </c>
    </row>
    <row r="10131" spans="1:6" x14ac:dyDescent="0.25">
      <c r="A10131" s="189" t="str">
        <f t="shared" si="158"/>
        <v>WO-MD 575M00.28E</v>
      </c>
      <c r="B10131" s="195" t="s">
        <v>4440</v>
      </c>
      <c r="C10131" s="196">
        <v>0</v>
      </c>
      <c r="D10131" s="196">
        <v>0.28000000000000003</v>
      </c>
      <c r="E10131" s="195" t="s">
        <v>598</v>
      </c>
      <c r="F10131" s="195" t="s">
        <v>19</v>
      </c>
    </row>
    <row r="10132" spans="1:6" x14ac:dyDescent="0.25">
      <c r="A10132" s="189" t="str">
        <f t="shared" si="158"/>
        <v>WO-MD 575M00.28W</v>
      </c>
      <c r="B10132" s="195" t="s">
        <v>4440</v>
      </c>
      <c r="C10132" s="196">
        <v>0</v>
      </c>
      <c r="D10132" s="196">
        <v>0.28000000000000003</v>
      </c>
      <c r="E10132" s="195" t="s">
        <v>593</v>
      </c>
      <c r="F10132" s="195" t="s">
        <v>432</v>
      </c>
    </row>
    <row r="10133" spans="1:6" x14ac:dyDescent="0.25">
      <c r="A10133" s="189" t="str">
        <f t="shared" si="158"/>
        <v>WO-MD 575N00.05E</v>
      </c>
      <c r="B10133" s="195" t="s">
        <v>4441</v>
      </c>
      <c r="C10133" s="196">
        <v>0</v>
      </c>
      <c r="D10133" s="196">
        <v>0.05</v>
      </c>
      <c r="E10133" s="195" t="s">
        <v>598</v>
      </c>
      <c r="F10133" s="195" t="s">
        <v>19</v>
      </c>
    </row>
    <row r="10134" spans="1:6" x14ac:dyDescent="0.25">
      <c r="A10134" s="189" t="str">
        <f t="shared" si="158"/>
        <v>WO-MD 575N00.05W</v>
      </c>
      <c r="B10134" s="195" t="s">
        <v>4441</v>
      </c>
      <c r="C10134" s="196">
        <v>0</v>
      </c>
      <c r="D10134" s="196">
        <v>0.05</v>
      </c>
      <c r="E10134" s="195" t="s">
        <v>593</v>
      </c>
      <c r="F10134" s="195" t="s">
        <v>432</v>
      </c>
    </row>
    <row r="10135" spans="1:6" x14ac:dyDescent="0.25">
      <c r="A10135" s="189" t="str">
        <f t="shared" si="158"/>
        <v>WO-MD 58900.05N</v>
      </c>
      <c r="B10135" s="195" t="s">
        <v>445</v>
      </c>
      <c r="C10135" s="196">
        <v>0</v>
      </c>
      <c r="D10135" s="196">
        <v>0.05</v>
      </c>
      <c r="E10135" s="195" t="s">
        <v>583</v>
      </c>
      <c r="F10135" s="195" t="s">
        <v>430</v>
      </c>
    </row>
    <row r="10136" spans="1:6" x14ac:dyDescent="0.25">
      <c r="A10136" s="189" t="str">
        <f t="shared" si="158"/>
        <v>WO-MD 58900.05S</v>
      </c>
      <c r="B10136" s="195" t="s">
        <v>445</v>
      </c>
      <c r="C10136" s="196">
        <v>0</v>
      </c>
      <c r="D10136" s="196">
        <v>0.05</v>
      </c>
      <c r="E10136" s="195" t="s">
        <v>583</v>
      </c>
      <c r="F10136" s="195" t="s">
        <v>438</v>
      </c>
    </row>
    <row r="10137" spans="1:6" x14ac:dyDescent="0.25">
      <c r="A10137" s="189" t="str">
        <f t="shared" si="158"/>
        <v>WO-MD 5890.050.57N</v>
      </c>
      <c r="B10137" s="195" t="s">
        <v>445</v>
      </c>
      <c r="C10137" s="196">
        <v>0.05</v>
      </c>
      <c r="D10137" s="196">
        <v>0.56999999999999995</v>
      </c>
      <c r="E10137" s="195" t="s">
        <v>589</v>
      </c>
      <c r="F10137" s="195" t="s">
        <v>430</v>
      </c>
    </row>
    <row r="10138" spans="1:6" x14ac:dyDescent="0.25">
      <c r="A10138" s="189" t="str">
        <f t="shared" si="158"/>
        <v>WO-MD 5890.050.83S</v>
      </c>
      <c r="B10138" s="195" t="s">
        <v>445</v>
      </c>
      <c r="C10138" s="196">
        <v>0.05</v>
      </c>
      <c r="D10138" s="196">
        <v>0.83</v>
      </c>
      <c r="E10138" s="195" t="s">
        <v>595</v>
      </c>
      <c r="F10138" s="195" t="s">
        <v>438</v>
      </c>
    </row>
    <row r="10139" spans="1:6" x14ac:dyDescent="0.25">
      <c r="A10139" s="189" t="str">
        <f t="shared" si="158"/>
        <v>WO-MD 5890.571.95N</v>
      </c>
      <c r="B10139" s="195" t="s">
        <v>445</v>
      </c>
      <c r="C10139" s="196">
        <v>0.56999999999999995</v>
      </c>
      <c r="D10139" s="196">
        <v>1.95</v>
      </c>
      <c r="E10139" s="195" t="s">
        <v>589</v>
      </c>
      <c r="F10139" s="195" t="s">
        <v>430</v>
      </c>
    </row>
    <row r="10140" spans="1:6" x14ac:dyDescent="0.25">
      <c r="A10140" s="189" t="str">
        <f t="shared" si="158"/>
        <v>WO-MD 5890.831.95S</v>
      </c>
      <c r="B10140" s="195" t="s">
        <v>445</v>
      </c>
      <c r="C10140" s="196">
        <v>0.83</v>
      </c>
      <c r="D10140" s="196">
        <v>1.95</v>
      </c>
      <c r="E10140" s="195" t="s">
        <v>595</v>
      </c>
      <c r="F10140" s="195" t="s">
        <v>438</v>
      </c>
    </row>
    <row r="10141" spans="1:6" x14ac:dyDescent="0.25">
      <c r="A10141" s="189" t="str">
        <f t="shared" si="158"/>
        <v>WO-MD 5891.953.25N</v>
      </c>
      <c r="B10141" s="195" t="s">
        <v>445</v>
      </c>
      <c r="C10141" s="196">
        <v>1.95</v>
      </c>
      <c r="D10141" s="196">
        <v>3.25</v>
      </c>
      <c r="E10141" s="195" t="s">
        <v>583</v>
      </c>
      <c r="F10141" s="195" t="s">
        <v>430</v>
      </c>
    </row>
    <row r="10142" spans="1:6" x14ac:dyDescent="0.25">
      <c r="A10142" s="189" t="str">
        <f t="shared" si="158"/>
        <v>WO-MD 5891.953.25S</v>
      </c>
      <c r="B10142" s="195" t="s">
        <v>445</v>
      </c>
      <c r="C10142" s="196">
        <v>1.95</v>
      </c>
      <c r="D10142" s="196">
        <v>3.25</v>
      </c>
      <c r="E10142" s="195" t="s">
        <v>583</v>
      </c>
      <c r="F10142" s="195" t="s">
        <v>438</v>
      </c>
    </row>
    <row r="10143" spans="1:6" x14ac:dyDescent="0.25">
      <c r="A10143" s="189" t="str">
        <f t="shared" si="158"/>
        <v>WO-MD 5893.253.6N</v>
      </c>
      <c r="B10143" s="195" t="s">
        <v>445</v>
      </c>
      <c r="C10143" s="196">
        <v>3.25</v>
      </c>
      <c r="D10143" s="196">
        <v>3.6</v>
      </c>
      <c r="E10143" s="195" t="s">
        <v>583</v>
      </c>
      <c r="F10143" s="195" t="s">
        <v>430</v>
      </c>
    </row>
    <row r="10144" spans="1:6" x14ac:dyDescent="0.25">
      <c r="A10144" s="189" t="str">
        <f t="shared" si="158"/>
        <v>WO-MD 5893.253.6S</v>
      </c>
      <c r="B10144" s="195" t="s">
        <v>445</v>
      </c>
      <c r="C10144" s="196">
        <v>3.25</v>
      </c>
      <c r="D10144" s="196">
        <v>3.6</v>
      </c>
      <c r="E10144" s="195" t="s">
        <v>583</v>
      </c>
      <c r="F10144" s="195" t="s">
        <v>438</v>
      </c>
    </row>
    <row r="10145" spans="1:6" x14ac:dyDescent="0.25">
      <c r="A10145" s="189" t="str">
        <f t="shared" si="158"/>
        <v>WO-MD 5893.854.56N</v>
      </c>
      <c r="B10145" s="195" t="s">
        <v>445</v>
      </c>
      <c r="C10145" s="196">
        <v>3.85</v>
      </c>
      <c r="D10145" s="196">
        <v>4.5599999999999996</v>
      </c>
      <c r="E10145" s="195" t="s">
        <v>583</v>
      </c>
      <c r="F10145" s="195" t="s">
        <v>430</v>
      </c>
    </row>
    <row r="10146" spans="1:6" x14ac:dyDescent="0.25">
      <c r="A10146" s="189" t="str">
        <f t="shared" si="158"/>
        <v>WO-MD 5893.854.56S</v>
      </c>
      <c r="B10146" s="195" t="s">
        <v>445</v>
      </c>
      <c r="C10146" s="196">
        <v>3.85</v>
      </c>
      <c r="D10146" s="196">
        <v>4.5599999999999996</v>
      </c>
      <c r="E10146" s="195" t="s">
        <v>583</v>
      </c>
      <c r="F10146" s="195" t="s">
        <v>438</v>
      </c>
    </row>
    <row r="10147" spans="1:6" x14ac:dyDescent="0.25">
      <c r="A10147" s="189" t="str">
        <f t="shared" si="158"/>
        <v>WO-MD 5894.644.65N</v>
      </c>
      <c r="B10147" s="195" t="s">
        <v>445</v>
      </c>
      <c r="C10147" s="196">
        <v>4.6399999999999997</v>
      </c>
      <c r="D10147" s="196">
        <v>4.6500000000000004</v>
      </c>
      <c r="E10147" s="195" t="s">
        <v>583</v>
      </c>
      <c r="F10147" s="195" t="s">
        <v>430</v>
      </c>
    </row>
    <row r="10148" spans="1:6" x14ac:dyDescent="0.25">
      <c r="A10148" s="189" t="str">
        <f t="shared" si="158"/>
        <v>WO-MD 5894.644.65S</v>
      </c>
      <c r="B10148" s="195" t="s">
        <v>445</v>
      </c>
      <c r="C10148" s="196">
        <v>4.6399999999999997</v>
      </c>
      <c r="D10148" s="196">
        <v>4.6500000000000004</v>
      </c>
      <c r="E10148" s="195" t="s">
        <v>583</v>
      </c>
      <c r="F10148" s="195" t="s">
        <v>438</v>
      </c>
    </row>
    <row r="10149" spans="1:6" x14ac:dyDescent="0.25">
      <c r="A10149" s="189" t="str">
        <f t="shared" si="158"/>
        <v>WO-MD 61000.2E</v>
      </c>
      <c r="B10149" s="195" t="s">
        <v>4442</v>
      </c>
      <c r="C10149" s="196">
        <v>0</v>
      </c>
      <c r="D10149" s="196">
        <v>0.2</v>
      </c>
      <c r="E10149" s="195" t="s">
        <v>583</v>
      </c>
      <c r="F10149" s="195" t="s">
        <v>19</v>
      </c>
    </row>
    <row r="10150" spans="1:6" x14ac:dyDescent="0.25">
      <c r="A10150" s="189" t="str">
        <f t="shared" si="158"/>
        <v>WO-MD 61000.2W</v>
      </c>
      <c r="B10150" s="195" t="s">
        <v>4442</v>
      </c>
      <c r="C10150" s="196">
        <v>0</v>
      </c>
      <c r="D10150" s="196">
        <v>0.2</v>
      </c>
      <c r="E10150" s="195" t="s">
        <v>583</v>
      </c>
      <c r="F10150" s="195" t="s">
        <v>432</v>
      </c>
    </row>
    <row r="10151" spans="1:6" x14ac:dyDescent="0.25">
      <c r="A10151" s="189" t="str">
        <f t="shared" si="158"/>
        <v>WO-MD 6100.26.53E</v>
      </c>
      <c r="B10151" s="195" t="s">
        <v>4442</v>
      </c>
      <c r="C10151" s="196">
        <v>0.2</v>
      </c>
      <c r="D10151" s="196">
        <v>6.53</v>
      </c>
      <c r="E10151" s="195" t="s">
        <v>583</v>
      </c>
      <c r="F10151" s="195" t="s">
        <v>19</v>
      </c>
    </row>
    <row r="10152" spans="1:6" x14ac:dyDescent="0.25">
      <c r="A10152" s="189" t="str">
        <f t="shared" si="158"/>
        <v>WO-MD 6100.26.53W</v>
      </c>
      <c r="B10152" s="195" t="s">
        <v>4442</v>
      </c>
      <c r="C10152" s="196">
        <v>0.2</v>
      </c>
      <c r="D10152" s="196">
        <v>6.53</v>
      </c>
      <c r="E10152" s="195" t="s">
        <v>583</v>
      </c>
      <c r="F10152" s="195" t="s">
        <v>432</v>
      </c>
    </row>
    <row r="10153" spans="1:6" x14ac:dyDescent="0.25">
      <c r="A10153" s="189" t="str">
        <f t="shared" si="158"/>
        <v>WO-MD 61100.72N</v>
      </c>
      <c r="B10153" s="195" t="s">
        <v>446</v>
      </c>
      <c r="C10153" s="196">
        <v>0</v>
      </c>
      <c r="D10153" s="196">
        <v>0.72</v>
      </c>
      <c r="E10153" s="195" t="s">
        <v>589</v>
      </c>
      <c r="F10153" s="195" t="s">
        <v>430</v>
      </c>
    </row>
    <row r="10154" spans="1:6" x14ac:dyDescent="0.25">
      <c r="A10154" s="189" t="str">
        <f t="shared" si="158"/>
        <v>WO-MD 61100.81S</v>
      </c>
      <c r="B10154" s="195" t="s">
        <v>446</v>
      </c>
      <c r="C10154" s="196">
        <v>0</v>
      </c>
      <c r="D10154" s="196">
        <v>0.81</v>
      </c>
      <c r="E10154" s="195" t="s">
        <v>595</v>
      </c>
      <c r="F10154" s="195" t="s">
        <v>438</v>
      </c>
    </row>
    <row r="10155" spans="1:6" x14ac:dyDescent="0.25">
      <c r="A10155" s="189" t="str">
        <f t="shared" si="158"/>
        <v>WO-MD 6110.721.03N</v>
      </c>
      <c r="B10155" s="195" t="s">
        <v>446</v>
      </c>
      <c r="C10155" s="196">
        <v>0.72</v>
      </c>
      <c r="D10155" s="196">
        <v>1.03</v>
      </c>
      <c r="E10155" s="195" t="s">
        <v>589</v>
      </c>
      <c r="F10155" s="195" t="s">
        <v>430</v>
      </c>
    </row>
    <row r="10156" spans="1:6" x14ac:dyDescent="0.25">
      <c r="A10156" s="189" t="str">
        <f t="shared" si="158"/>
        <v>WO-MD 6110.811.03S</v>
      </c>
      <c r="B10156" s="195" t="s">
        <v>446</v>
      </c>
      <c r="C10156" s="196">
        <v>0.81</v>
      </c>
      <c r="D10156" s="196">
        <v>1.03</v>
      </c>
      <c r="E10156" s="195" t="s">
        <v>595</v>
      </c>
      <c r="F10156" s="195" t="s">
        <v>438</v>
      </c>
    </row>
    <row r="10157" spans="1:6" x14ac:dyDescent="0.25">
      <c r="A10157" s="189" t="str">
        <f t="shared" si="158"/>
        <v>WO-MD 6111.031.03N</v>
      </c>
      <c r="B10157" s="195" t="s">
        <v>446</v>
      </c>
      <c r="C10157" s="196">
        <v>1.03</v>
      </c>
      <c r="D10157" s="196">
        <v>1.03</v>
      </c>
      <c r="E10157" s="195" t="s">
        <v>589</v>
      </c>
      <c r="F10157" s="195" t="s">
        <v>430</v>
      </c>
    </row>
    <row r="10158" spans="1:6" x14ac:dyDescent="0.25">
      <c r="A10158" s="189" t="str">
        <f t="shared" si="158"/>
        <v>WO-MD 6111.031.13S</v>
      </c>
      <c r="B10158" s="195" t="s">
        <v>446</v>
      </c>
      <c r="C10158" s="196">
        <v>1.03</v>
      </c>
      <c r="D10158" s="196">
        <v>1.1299999999999999</v>
      </c>
      <c r="E10158" s="195" t="s">
        <v>595</v>
      </c>
      <c r="F10158" s="195" t="s">
        <v>438</v>
      </c>
    </row>
    <row r="10159" spans="1:6" x14ac:dyDescent="0.25">
      <c r="A10159" s="189" t="str">
        <f t="shared" si="158"/>
        <v>WO-MD 6111.034.4N</v>
      </c>
      <c r="B10159" s="195" t="s">
        <v>446</v>
      </c>
      <c r="C10159" s="196">
        <v>1.03</v>
      </c>
      <c r="D10159" s="196">
        <v>4.4000000000000004</v>
      </c>
      <c r="E10159" s="195" t="s">
        <v>589</v>
      </c>
      <c r="F10159" s="195" t="s">
        <v>430</v>
      </c>
    </row>
    <row r="10160" spans="1:6" x14ac:dyDescent="0.25">
      <c r="A10160" s="189" t="str">
        <f t="shared" si="158"/>
        <v>WO-MD 6111.134.4S</v>
      </c>
      <c r="B10160" s="195" t="s">
        <v>446</v>
      </c>
      <c r="C10160" s="196">
        <v>1.1299999999999999</v>
      </c>
      <c r="D10160" s="196">
        <v>4.4000000000000004</v>
      </c>
      <c r="E10160" s="195" t="s">
        <v>595</v>
      </c>
      <c r="F10160" s="195" t="s">
        <v>438</v>
      </c>
    </row>
    <row r="10161" spans="1:6" x14ac:dyDescent="0.25">
      <c r="A10161" s="189" t="str">
        <f t="shared" si="158"/>
        <v>WO-MD 6114.47.01N</v>
      </c>
      <c r="B10161" s="195" t="s">
        <v>446</v>
      </c>
      <c r="C10161" s="196">
        <v>4.4000000000000004</v>
      </c>
      <c r="D10161" s="196">
        <v>7.01</v>
      </c>
      <c r="E10161" s="195" t="s">
        <v>583</v>
      </c>
      <c r="F10161" s="195" t="s">
        <v>430</v>
      </c>
    </row>
    <row r="10162" spans="1:6" x14ac:dyDescent="0.25">
      <c r="A10162" s="189" t="str">
        <f t="shared" si="158"/>
        <v>WO-MD 6114.47.01S</v>
      </c>
      <c r="B10162" s="195" t="s">
        <v>446</v>
      </c>
      <c r="C10162" s="196">
        <v>4.4000000000000004</v>
      </c>
      <c r="D10162" s="196">
        <v>7.01</v>
      </c>
      <c r="E10162" s="195" t="s">
        <v>583</v>
      </c>
      <c r="F10162" s="195" t="s">
        <v>438</v>
      </c>
    </row>
    <row r="10163" spans="1:6" x14ac:dyDescent="0.25">
      <c r="A10163" s="189" t="str">
        <f t="shared" si="158"/>
        <v>WO-MD 6117.018.51N</v>
      </c>
      <c r="B10163" s="195" t="s">
        <v>446</v>
      </c>
      <c r="C10163" s="196">
        <v>7.01</v>
      </c>
      <c r="D10163" s="196">
        <v>8.51</v>
      </c>
      <c r="E10163" s="195" t="s">
        <v>583</v>
      </c>
      <c r="F10163" s="195" t="s">
        <v>430</v>
      </c>
    </row>
    <row r="10164" spans="1:6" x14ac:dyDescent="0.25">
      <c r="A10164" s="189" t="str">
        <f t="shared" si="158"/>
        <v>WO-MD 6117.018.51S</v>
      </c>
      <c r="B10164" s="195" t="s">
        <v>446</v>
      </c>
      <c r="C10164" s="196">
        <v>7.01</v>
      </c>
      <c r="D10164" s="196">
        <v>8.51</v>
      </c>
      <c r="E10164" s="195" t="s">
        <v>583</v>
      </c>
      <c r="F10164" s="195" t="s">
        <v>438</v>
      </c>
    </row>
    <row r="10165" spans="1:6" x14ac:dyDescent="0.25">
      <c r="A10165" s="189" t="str">
        <f t="shared" si="158"/>
        <v>WO-MD 70300.08E</v>
      </c>
      <c r="B10165" s="195" t="s">
        <v>4443</v>
      </c>
      <c r="C10165" s="196">
        <v>0</v>
      </c>
      <c r="D10165" s="196">
        <v>0.08</v>
      </c>
      <c r="E10165" s="195" t="s">
        <v>598</v>
      </c>
      <c r="F10165" s="195" t="s">
        <v>19</v>
      </c>
    </row>
    <row r="10166" spans="1:6" x14ac:dyDescent="0.25">
      <c r="A10166" s="189" t="str">
        <f t="shared" si="158"/>
        <v>WO-MD 70300.08W</v>
      </c>
      <c r="B10166" s="195" t="s">
        <v>4443</v>
      </c>
      <c r="C10166" s="196">
        <v>0</v>
      </c>
      <c r="D10166" s="196">
        <v>0.08</v>
      </c>
      <c r="E10166" s="195" t="s">
        <v>593</v>
      </c>
      <c r="F10166" s="195" t="s">
        <v>432</v>
      </c>
    </row>
    <row r="10167" spans="1:6" x14ac:dyDescent="0.25">
      <c r="A10167" s="189" t="str">
        <f t="shared" si="158"/>
        <v>WO-MD 707A00.79E</v>
      </c>
      <c r="B10167" s="195" t="s">
        <v>4444</v>
      </c>
      <c r="C10167" s="196">
        <v>0</v>
      </c>
      <c r="D10167" s="196">
        <v>0.79</v>
      </c>
      <c r="E10167" s="195" t="s">
        <v>583</v>
      </c>
      <c r="F10167" s="195" t="s">
        <v>19</v>
      </c>
    </row>
    <row r="10168" spans="1:6" x14ac:dyDescent="0.25">
      <c r="A10168" s="189" t="str">
        <f t="shared" si="158"/>
        <v>WO-MD 707A00.79W</v>
      </c>
      <c r="B10168" s="195" t="s">
        <v>4444</v>
      </c>
      <c r="C10168" s="196">
        <v>0</v>
      </c>
      <c r="D10168" s="196">
        <v>0.79</v>
      </c>
      <c r="E10168" s="195" t="s">
        <v>583</v>
      </c>
      <c r="F10168" s="195" t="s">
        <v>432</v>
      </c>
    </row>
    <row r="10169" spans="1:6" x14ac:dyDescent="0.25">
      <c r="A10169" s="189" t="str">
        <f t="shared" si="158"/>
        <v>WO-MD 707B00.07E</v>
      </c>
      <c r="B10169" s="195" t="s">
        <v>4445</v>
      </c>
      <c r="C10169" s="196">
        <v>0</v>
      </c>
      <c r="D10169" s="196">
        <v>7.0000000000000007E-2</v>
      </c>
      <c r="E10169" s="195" t="s">
        <v>583</v>
      </c>
      <c r="F10169" s="195" t="s">
        <v>19</v>
      </c>
    </row>
    <row r="10170" spans="1:6" x14ac:dyDescent="0.25">
      <c r="A10170" s="189" t="str">
        <f t="shared" si="158"/>
        <v>WO-MD 707B00.07W</v>
      </c>
      <c r="B10170" s="195" t="s">
        <v>4445</v>
      </c>
      <c r="C10170" s="196">
        <v>0</v>
      </c>
      <c r="D10170" s="196">
        <v>7.0000000000000007E-2</v>
      </c>
      <c r="E10170" s="195" t="s">
        <v>583</v>
      </c>
      <c r="F10170" s="195" t="s">
        <v>432</v>
      </c>
    </row>
    <row r="10171" spans="1:6" x14ac:dyDescent="0.25">
      <c r="A10171" s="189" t="str">
        <f t="shared" si="158"/>
        <v>WO-MD 707B0.071.43W</v>
      </c>
      <c r="B10171" s="195" t="s">
        <v>4445</v>
      </c>
      <c r="C10171" s="196">
        <v>7.0000000000000007E-2</v>
      </c>
      <c r="D10171" s="196">
        <v>1.43</v>
      </c>
      <c r="E10171" s="195" t="s">
        <v>593</v>
      </c>
      <c r="F10171" s="195" t="s">
        <v>432</v>
      </c>
    </row>
    <row r="10172" spans="1:6" x14ac:dyDescent="0.25">
      <c r="A10172" s="189" t="str">
        <f t="shared" si="158"/>
        <v>WO-MD 707B0.071.44E</v>
      </c>
      <c r="B10172" s="195" t="s">
        <v>4445</v>
      </c>
      <c r="C10172" s="196">
        <v>7.0000000000000007E-2</v>
      </c>
      <c r="D10172" s="196">
        <v>1.44</v>
      </c>
      <c r="E10172" s="195" t="s">
        <v>598</v>
      </c>
      <c r="F10172" s="195" t="s">
        <v>19</v>
      </c>
    </row>
    <row r="10173" spans="1:6" x14ac:dyDescent="0.25">
      <c r="A10173" s="189" t="str">
        <f t="shared" si="158"/>
        <v>WO-MD 707D00.76E</v>
      </c>
      <c r="B10173" s="195" t="s">
        <v>4446</v>
      </c>
      <c r="C10173" s="196">
        <v>0</v>
      </c>
      <c r="D10173" s="196">
        <v>0.76</v>
      </c>
      <c r="E10173" s="195" t="s">
        <v>598</v>
      </c>
      <c r="F10173" s="195" t="s">
        <v>19</v>
      </c>
    </row>
    <row r="10174" spans="1:6" x14ac:dyDescent="0.25">
      <c r="A10174" s="189" t="str">
        <f t="shared" si="158"/>
        <v>WO-MD 707D00.76W</v>
      </c>
      <c r="B10174" s="195" t="s">
        <v>4446</v>
      </c>
      <c r="C10174" s="196">
        <v>0</v>
      </c>
      <c r="D10174" s="196">
        <v>0.76</v>
      </c>
      <c r="E10174" s="195" t="s">
        <v>593</v>
      </c>
      <c r="F10174" s="195" t="s">
        <v>432</v>
      </c>
    </row>
    <row r="10175" spans="1:6" x14ac:dyDescent="0.25">
      <c r="A10175" s="189" t="str">
        <f t="shared" si="158"/>
        <v>WO-MD 707E0.070.82E</v>
      </c>
      <c r="B10175" s="195" t="s">
        <v>4447</v>
      </c>
      <c r="C10175" s="196">
        <v>7.0000000000000007E-2</v>
      </c>
      <c r="D10175" s="196">
        <v>0.82</v>
      </c>
      <c r="E10175" s="195" t="s">
        <v>598</v>
      </c>
      <c r="F10175" s="195" t="s">
        <v>19</v>
      </c>
    </row>
    <row r="10176" spans="1:6" x14ac:dyDescent="0.25">
      <c r="A10176" s="189" t="str">
        <f t="shared" si="158"/>
        <v>WO-MD 707E0.070.83W</v>
      </c>
      <c r="B10176" s="195" t="s">
        <v>4447</v>
      </c>
      <c r="C10176" s="196">
        <v>7.0000000000000007E-2</v>
      </c>
      <c r="D10176" s="196">
        <v>0.83</v>
      </c>
      <c r="E10176" s="195" t="s">
        <v>593</v>
      </c>
      <c r="F10176" s="195" t="s">
        <v>432</v>
      </c>
    </row>
    <row r="10177" spans="1:6" x14ac:dyDescent="0.25">
      <c r="A10177" s="189" t="str">
        <f t="shared" si="158"/>
        <v>WO-MD 75601.17E</v>
      </c>
      <c r="B10177" s="195" t="s">
        <v>4448</v>
      </c>
      <c r="C10177" s="196">
        <v>0</v>
      </c>
      <c r="D10177" s="196">
        <v>1.17</v>
      </c>
      <c r="E10177" s="195" t="s">
        <v>583</v>
      </c>
      <c r="F10177" s="195" t="s">
        <v>19</v>
      </c>
    </row>
    <row r="10178" spans="1:6" x14ac:dyDescent="0.25">
      <c r="A10178" s="189" t="str">
        <f t="shared" si="158"/>
        <v>WO-MD 75601.17W</v>
      </c>
      <c r="B10178" s="195" t="s">
        <v>4448</v>
      </c>
      <c r="C10178" s="196">
        <v>0</v>
      </c>
      <c r="D10178" s="196">
        <v>1.17</v>
      </c>
      <c r="E10178" s="195" t="s">
        <v>583</v>
      </c>
      <c r="F10178" s="195" t="s">
        <v>432</v>
      </c>
    </row>
    <row r="10179" spans="1:6" x14ac:dyDescent="0.25">
      <c r="A10179" s="189" t="str">
        <f t="shared" si="158"/>
        <v>WO-MD 81801.47N</v>
      </c>
      <c r="B10179" s="195" t="s">
        <v>4449</v>
      </c>
      <c r="C10179" s="196">
        <v>0</v>
      </c>
      <c r="D10179" s="196">
        <v>1.47</v>
      </c>
      <c r="E10179" s="195" t="s">
        <v>583</v>
      </c>
      <c r="F10179" s="195" t="s">
        <v>430</v>
      </c>
    </row>
    <row r="10180" spans="1:6" x14ac:dyDescent="0.25">
      <c r="A10180" s="189" t="str">
        <f t="shared" si="158"/>
        <v>WO-MD 81801.47S</v>
      </c>
      <c r="B10180" s="195" t="s">
        <v>4449</v>
      </c>
      <c r="C10180" s="196">
        <v>0</v>
      </c>
      <c r="D10180" s="196">
        <v>1.47</v>
      </c>
      <c r="E10180" s="195" t="s">
        <v>583</v>
      </c>
      <c r="F10180" s="195" t="s">
        <v>438</v>
      </c>
    </row>
    <row r="10181" spans="1:6" x14ac:dyDescent="0.25">
      <c r="A10181" s="189" t="str">
        <f t="shared" si="158"/>
        <v>WO-MD 8181.472.16N</v>
      </c>
      <c r="B10181" s="195" t="s">
        <v>4449</v>
      </c>
      <c r="C10181" s="196">
        <v>1.47</v>
      </c>
      <c r="D10181" s="196">
        <v>2.16</v>
      </c>
      <c r="E10181" s="195" t="s">
        <v>583</v>
      </c>
      <c r="F10181" s="195" t="s">
        <v>430</v>
      </c>
    </row>
    <row r="10182" spans="1:6" x14ac:dyDescent="0.25">
      <c r="A10182" s="189" t="str">
        <f t="shared" si="158"/>
        <v>WO-MD 8181.472.16S</v>
      </c>
      <c r="B10182" s="195" t="s">
        <v>4449</v>
      </c>
      <c r="C10182" s="196">
        <v>1.47</v>
      </c>
      <c r="D10182" s="196">
        <v>2.16</v>
      </c>
      <c r="E10182" s="195" t="s">
        <v>583</v>
      </c>
      <c r="F10182" s="195" t="s">
        <v>438</v>
      </c>
    </row>
    <row r="10183" spans="1:6" x14ac:dyDescent="0.25">
      <c r="A10183" s="189" t="str">
        <f t="shared" si="158"/>
        <v>WO-MD 8182.162.62N</v>
      </c>
      <c r="B10183" s="195" t="s">
        <v>4449</v>
      </c>
      <c r="C10183" s="196">
        <v>2.16</v>
      </c>
      <c r="D10183" s="196">
        <v>2.62</v>
      </c>
      <c r="E10183" s="195" t="s">
        <v>583</v>
      </c>
      <c r="F10183" s="195" t="s">
        <v>430</v>
      </c>
    </row>
    <row r="10184" spans="1:6" x14ac:dyDescent="0.25">
      <c r="A10184" s="189" t="str">
        <f t="shared" ref="A10184:A10247" si="159">B10184&amp;C10184&amp;D10184&amp;F10184</f>
        <v>WO-MD 8182.162.62S</v>
      </c>
      <c r="B10184" s="195" t="s">
        <v>4449</v>
      </c>
      <c r="C10184" s="196">
        <v>2.16</v>
      </c>
      <c r="D10184" s="196">
        <v>2.62</v>
      </c>
      <c r="E10184" s="195" t="s">
        <v>583</v>
      </c>
      <c r="F10184" s="195" t="s">
        <v>438</v>
      </c>
    </row>
    <row r="10185" spans="1:6" x14ac:dyDescent="0.25">
      <c r="A10185" s="189" t="str">
        <f t="shared" si="159"/>
        <v>WO-MD 818A00.09S</v>
      </c>
      <c r="B10185" s="195" t="s">
        <v>4450</v>
      </c>
      <c r="C10185" s="196">
        <v>0</v>
      </c>
      <c r="D10185" s="196">
        <v>0.09</v>
      </c>
      <c r="E10185" s="195" t="s">
        <v>595</v>
      </c>
      <c r="F10185" s="195" t="s">
        <v>438</v>
      </c>
    </row>
    <row r="10186" spans="1:6" x14ac:dyDescent="0.25">
      <c r="A10186" s="189" t="str">
        <f t="shared" si="159"/>
        <v>WO-MD 9001.48E</v>
      </c>
      <c r="B10186" s="195" t="s">
        <v>447</v>
      </c>
      <c r="C10186" s="196">
        <v>0</v>
      </c>
      <c r="D10186" s="196">
        <v>1.48</v>
      </c>
      <c r="E10186" s="195" t="s">
        <v>583</v>
      </c>
      <c r="F10186" s="195" t="s">
        <v>19</v>
      </c>
    </row>
    <row r="10187" spans="1:6" x14ac:dyDescent="0.25">
      <c r="A10187" s="189" t="str">
        <f t="shared" si="159"/>
        <v>WO-MD 9001.48W</v>
      </c>
      <c r="B10187" s="195" t="s">
        <v>447</v>
      </c>
      <c r="C10187" s="196">
        <v>0</v>
      </c>
      <c r="D10187" s="196">
        <v>1.48</v>
      </c>
      <c r="E10187" s="195" t="s">
        <v>583</v>
      </c>
      <c r="F10187" s="195" t="s">
        <v>432</v>
      </c>
    </row>
    <row r="10188" spans="1:6" x14ac:dyDescent="0.25">
      <c r="A10188" s="189" t="str">
        <f t="shared" si="159"/>
        <v>WO-MD 901.486.01E</v>
      </c>
      <c r="B10188" s="195" t="s">
        <v>447</v>
      </c>
      <c r="C10188" s="196">
        <v>1.48</v>
      </c>
      <c r="D10188" s="196">
        <v>6.01</v>
      </c>
      <c r="E10188" s="195" t="s">
        <v>583</v>
      </c>
      <c r="F10188" s="195" t="s">
        <v>19</v>
      </c>
    </row>
    <row r="10189" spans="1:6" x14ac:dyDescent="0.25">
      <c r="A10189" s="189" t="str">
        <f t="shared" si="159"/>
        <v>WO-MD 901.486.01W</v>
      </c>
      <c r="B10189" s="195" t="s">
        <v>447</v>
      </c>
      <c r="C10189" s="196">
        <v>1.48</v>
      </c>
      <c r="D10189" s="196">
        <v>6.01</v>
      </c>
      <c r="E10189" s="195" t="s">
        <v>583</v>
      </c>
      <c r="F10189" s="195" t="s">
        <v>432</v>
      </c>
    </row>
    <row r="10190" spans="1:6" x14ac:dyDescent="0.25">
      <c r="A10190" s="189" t="str">
        <f t="shared" si="159"/>
        <v>WO-MD 908.428.42E</v>
      </c>
      <c r="B10190" s="195" t="s">
        <v>447</v>
      </c>
      <c r="C10190" s="196">
        <v>8.42</v>
      </c>
      <c r="D10190" s="196">
        <v>8.42</v>
      </c>
      <c r="E10190" s="195" t="s">
        <v>598</v>
      </c>
      <c r="F10190" s="195" t="s">
        <v>19</v>
      </c>
    </row>
    <row r="10191" spans="1:6" x14ac:dyDescent="0.25">
      <c r="A10191" s="189" t="str">
        <f t="shared" si="159"/>
        <v>WO-MD 908.428.43W</v>
      </c>
      <c r="B10191" s="195" t="s">
        <v>447</v>
      </c>
      <c r="C10191" s="196">
        <v>8.42</v>
      </c>
      <c r="D10191" s="196">
        <v>8.43</v>
      </c>
      <c r="E10191" s="195" t="s">
        <v>593</v>
      </c>
      <c r="F10191" s="195" t="s">
        <v>432</v>
      </c>
    </row>
    <row r="10192" spans="1:6" x14ac:dyDescent="0.25">
      <c r="A10192" s="189" t="str">
        <f t="shared" si="159"/>
        <v>WO-MD 908.429.21E</v>
      </c>
      <c r="B10192" s="195" t="s">
        <v>447</v>
      </c>
      <c r="C10192" s="196">
        <v>8.42</v>
      </c>
      <c r="D10192" s="196">
        <v>9.2100000000000009</v>
      </c>
      <c r="E10192" s="195" t="s">
        <v>598</v>
      </c>
      <c r="F10192" s="195" t="s">
        <v>19</v>
      </c>
    </row>
    <row r="10193" spans="1:6" x14ac:dyDescent="0.25">
      <c r="A10193" s="189" t="str">
        <f t="shared" si="159"/>
        <v>WO-MD 908.439.21W</v>
      </c>
      <c r="B10193" s="195" t="s">
        <v>447</v>
      </c>
      <c r="C10193" s="196">
        <v>8.43</v>
      </c>
      <c r="D10193" s="196">
        <v>9.2100000000000009</v>
      </c>
      <c r="E10193" s="195" t="s">
        <v>593</v>
      </c>
      <c r="F10193" s="195" t="s">
        <v>432</v>
      </c>
    </row>
    <row r="10194" spans="1:6" x14ac:dyDescent="0.25">
      <c r="A10194" s="189" t="str">
        <f t="shared" si="159"/>
        <v>WO-MD 909.219.21E</v>
      </c>
      <c r="B10194" s="195" t="s">
        <v>447</v>
      </c>
      <c r="C10194" s="196">
        <v>9.2100000000000009</v>
      </c>
      <c r="D10194" s="196">
        <v>9.2100000000000009</v>
      </c>
      <c r="E10194" s="195" t="s">
        <v>598</v>
      </c>
      <c r="F10194" s="195" t="s">
        <v>19</v>
      </c>
    </row>
    <row r="10195" spans="1:6" x14ac:dyDescent="0.25">
      <c r="A10195" s="189" t="str">
        <f t="shared" si="159"/>
        <v>WO-MD 909.949.95W</v>
      </c>
      <c r="B10195" s="195" t="s">
        <v>447</v>
      </c>
      <c r="C10195" s="196">
        <v>9.94</v>
      </c>
      <c r="D10195" s="196">
        <v>9.9499999999999993</v>
      </c>
      <c r="E10195" s="195" t="s">
        <v>593</v>
      </c>
      <c r="F10195" s="195" t="s">
        <v>432</v>
      </c>
    </row>
    <row r="10196" spans="1:6" x14ac:dyDescent="0.25">
      <c r="A10196" s="189" t="str">
        <f t="shared" si="159"/>
        <v>WO-MD 909.9411.37E</v>
      </c>
      <c r="B10196" s="195" t="s">
        <v>447</v>
      </c>
      <c r="C10196" s="196">
        <v>9.94</v>
      </c>
      <c r="D10196" s="196">
        <v>11.37</v>
      </c>
      <c r="E10196" s="195" t="s">
        <v>598</v>
      </c>
      <c r="F10196" s="195" t="s">
        <v>19</v>
      </c>
    </row>
    <row r="10197" spans="1:6" x14ac:dyDescent="0.25">
      <c r="A10197" s="189" t="str">
        <f t="shared" si="159"/>
        <v>WO-MD 909.9511.38W</v>
      </c>
      <c r="B10197" s="195" t="s">
        <v>447</v>
      </c>
      <c r="C10197" s="196">
        <v>9.9499999999999993</v>
      </c>
      <c r="D10197" s="196">
        <v>11.38</v>
      </c>
      <c r="E10197" s="195" t="s">
        <v>593</v>
      </c>
      <c r="F10197" s="195" t="s">
        <v>432</v>
      </c>
    </row>
    <row r="10198" spans="1:6" x14ac:dyDescent="0.25">
      <c r="A10198" s="189" t="str">
        <f t="shared" si="159"/>
        <v>WO-MD 9011.3811.38W</v>
      </c>
      <c r="B10198" s="195" t="s">
        <v>447</v>
      </c>
      <c r="C10198" s="196">
        <v>11.38</v>
      </c>
      <c r="D10198" s="196">
        <v>11.38</v>
      </c>
      <c r="E10198" s="195" t="s">
        <v>593</v>
      </c>
      <c r="F10198" s="195" t="s">
        <v>432</v>
      </c>
    </row>
    <row r="10199" spans="1:6" x14ac:dyDescent="0.25">
      <c r="A10199" s="189" t="str">
        <f t="shared" si="159"/>
        <v>WO-MD 90 RP1-400.09W</v>
      </c>
      <c r="B10199" s="195" t="s">
        <v>4451</v>
      </c>
      <c r="C10199" s="196">
        <v>0</v>
      </c>
      <c r="D10199" s="196">
        <v>0.09</v>
      </c>
      <c r="E10199" s="195" t="s">
        <v>593</v>
      </c>
      <c r="F10199" s="195" t="s">
        <v>432</v>
      </c>
    </row>
    <row r="10200" spans="1:6" x14ac:dyDescent="0.25">
      <c r="A10200" s="189" t="str">
        <f t="shared" si="159"/>
        <v>WO-MD 90 RP1-500.04S</v>
      </c>
      <c r="B10200" s="195" t="s">
        <v>4452</v>
      </c>
      <c r="C10200" s="196">
        <v>0</v>
      </c>
      <c r="D10200" s="196">
        <v>0.04</v>
      </c>
      <c r="E10200" s="195" t="s">
        <v>595</v>
      </c>
      <c r="F10200" s="195" t="s">
        <v>438</v>
      </c>
    </row>
    <row r="10201" spans="1:6" x14ac:dyDescent="0.25">
      <c r="A10201" s="189" t="str">
        <f t="shared" si="159"/>
        <v>WO-MD 90 RP2-400.5N</v>
      </c>
      <c r="B10201" s="195" t="s">
        <v>4453</v>
      </c>
      <c r="C10201" s="196">
        <v>0</v>
      </c>
      <c r="D10201" s="196">
        <v>0.5</v>
      </c>
      <c r="E10201" s="195" t="s">
        <v>589</v>
      </c>
      <c r="F10201" s="195" t="s">
        <v>430</v>
      </c>
    </row>
    <row r="10202" spans="1:6" x14ac:dyDescent="0.25">
      <c r="A10202" s="189" t="str">
        <f t="shared" si="159"/>
        <v>WO-MD 90 RP2-500.33E</v>
      </c>
      <c r="B10202" s="195" t="s">
        <v>4454</v>
      </c>
      <c r="C10202" s="196">
        <v>0</v>
      </c>
      <c r="D10202" s="196">
        <v>0.33</v>
      </c>
      <c r="E10202" s="195" t="s">
        <v>598</v>
      </c>
      <c r="F10202" s="195" t="s">
        <v>19</v>
      </c>
    </row>
    <row r="10203" spans="1:6" x14ac:dyDescent="0.25">
      <c r="A10203" s="189" t="str">
        <f t="shared" si="159"/>
        <v>WO-MD 90 RP3-400.08E</v>
      </c>
      <c r="B10203" s="195" t="s">
        <v>4455</v>
      </c>
      <c r="C10203" s="196">
        <v>0</v>
      </c>
      <c r="D10203" s="196">
        <v>0.08</v>
      </c>
      <c r="E10203" s="195" t="s">
        <v>598</v>
      </c>
      <c r="F10203" s="195" t="s">
        <v>19</v>
      </c>
    </row>
    <row r="10204" spans="1:6" x14ac:dyDescent="0.25">
      <c r="A10204" s="189" t="str">
        <f t="shared" si="159"/>
        <v>WO-MD 90 RP3-500.03E</v>
      </c>
      <c r="B10204" s="195" t="s">
        <v>4456</v>
      </c>
      <c r="C10204" s="196">
        <v>0</v>
      </c>
      <c r="D10204" s="196">
        <v>0.03</v>
      </c>
      <c r="E10204" s="195" t="s">
        <v>598</v>
      </c>
      <c r="F10204" s="195" t="s">
        <v>19</v>
      </c>
    </row>
    <row r="10205" spans="1:6" x14ac:dyDescent="0.25">
      <c r="A10205" s="189" t="str">
        <f t="shared" si="159"/>
        <v>WO-MD 90 RP4-400.4E</v>
      </c>
      <c r="B10205" s="195" t="s">
        <v>4457</v>
      </c>
      <c r="C10205" s="196">
        <v>0</v>
      </c>
      <c r="D10205" s="196">
        <v>0.4</v>
      </c>
      <c r="E10205" s="195" t="s">
        <v>598</v>
      </c>
      <c r="F10205" s="195" t="s">
        <v>19</v>
      </c>
    </row>
    <row r="10206" spans="1:6" x14ac:dyDescent="0.25">
      <c r="A10206" s="189" t="str">
        <f t="shared" si="159"/>
        <v>WO-MD 90 RP4-500.22N</v>
      </c>
      <c r="B10206" s="195" t="s">
        <v>4458</v>
      </c>
      <c r="C10206" s="196">
        <v>0</v>
      </c>
      <c r="D10206" s="196">
        <v>0.22</v>
      </c>
      <c r="E10206" s="195" t="s">
        <v>589</v>
      </c>
      <c r="F10206" s="195" t="s">
        <v>430</v>
      </c>
    </row>
    <row r="10207" spans="1:6" x14ac:dyDescent="0.25">
      <c r="A10207" s="189" t="str">
        <f t="shared" si="159"/>
        <v>WO-MD 90 RP5-400.19S</v>
      </c>
      <c r="B10207" s="195" t="s">
        <v>4459</v>
      </c>
      <c r="C10207" s="196">
        <v>0</v>
      </c>
      <c r="D10207" s="196">
        <v>0.19</v>
      </c>
      <c r="E10207" s="195" t="s">
        <v>595</v>
      </c>
      <c r="F10207" s="195" t="s">
        <v>438</v>
      </c>
    </row>
    <row r="10208" spans="1:6" x14ac:dyDescent="0.25">
      <c r="A10208" s="189" t="str">
        <f t="shared" si="159"/>
        <v>WO-MD 90 RP5-500.04E</v>
      </c>
      <c r="B10208" s="195" t="s">
        <v>4460</v>
      </c>
      <c r="C10208" s="196">
        <v>0</v>
      </c>
      <c r="D10208" s="196">
        <v>0.04</v>
      </c>
      <c r="E10208" s="195" t="s">
        <v>598</v>
      </c>
      <c r="F10208" s="195" t="s">
        <v>19</v>
      </c>
    </row>
    <row r="10209" spans="1:6" x14ac:dyDescent="0.25">
      <c r="A10209" s="189" t="str">
        <f t="shared" si="159"/>
        <v>WO-MD 90 RP6-400.37S</v>
      </c>
      <c r="B10209" s="195" t="s">
        <v>4461</v>
      </c>
      <c r="C10209" s="196">
        <v>0</v>
      </c>
      <c r="D10209" s="196">
        <v>0.37</v>
      </c>
      <c r="E10209" s="195" t="s">
        <v>595</v>
      </c>
      <c r="F10209" s="195" t="s">
        <v>438</v>
      </c>
    </row>
    <row r="10210" spans="1:6" x14ac:dyDescent="0.25">
      <c r="A10210" s="189" t="str">
        <f t="shared" si="159"/>
        <v>WO-MD 90 RP6-500.26W</v>
      </c>
      <c r="B10210" s="195" t="s">
        <v>4462</v>
      </c>
      <c r="C10210" s="196">
        <v>0</v>
      </c>
      <c r="D10210" s="196">
        <v>0.26</v>
      </c>
      <c r="E10210" s="195" t="s">
        <v>593</v>
      </c>
      <c r="F10210" s="195" t="s">
        <v>432</v>
      </c>
    </row>
    <row r="10211" spans="1:6" x14ac:dyDescent="0.25">
      <c r="A10211" s="189" t="str">
        <f t="shared" si="159"/>
        <v>WO-MD 90 RP7-400.21N</v>
      </c>
      <c r="B10211" s="195" t="s">
        <v>4463</v>
      </c>
      <c r="C10211" s="196">
        <v>0</v>
      </c>
      <c r="D10211" s="196">
        <v>0.21</v>
      </c>
      <c r="E10211" s="195" t="s">
        <v>589</v>
      </c>
      <c r="F10211" s="195" t="s">
        <v>430</v>
      </c>
    </row>
    <row r="10212" spans="1:6" x14ac:dyDescent="0.25">
      <c r="A10212" s="189" t="str">
        <f t="shared" si="159"/>
        <v>WO-MD 90 RP7-500.03S</v>
      </c>
      <c r="B10212" s="195" t="s">
        <v>4464</v>
      </c>
      <c r="C10212" s="196">
        <v>0</v>
      </c>
      <c r="D10212" s="196">
        <v>0.03</v>
      </c>
      <c r="E10212" s="195" t="s">
        <v>595</v>
      </c>
      <c r="F10212" s="195" t="s">
        <v>438</v>
      </c>
    </row>
    <row r="10213" spans="1:6" x14ac:dyDescent="0.25">
      <c r="A10213" s="189" t="str">
        <f t="shared" si="159"/>
        <v>WO-MD 90 RP8-400.4S</v>
      </c>
      <c r="B10213" s="195" t="s">
        <v>4465</v>
      </c>
      <c r="C10213" s="196">
        <v>0</v>
      </c>
      <c r="D10213" s="196">
        <v>0.4</v>
      </c>
      <c r="E10213" s="195" t="s">
        <v>595</v>
      </c>
      <c r="F10213" s="195" t="s">
        <v>438</v>
      </c>
    </row>
    <row r="10214" spans="1:6" x14ac:dyDescent="0.25">
      <c r="A10214" s="189" t="str">
        <f t="shared" si="159"/>
        <v>WO-MD 90 RP8-500.2S</v>
      </c>
      <c r="B10214" s="195" t="s">
        <v>4466</v>
      </c>
      <c r="C10214" s="196">
        <v>0</v>
      </c>
      <c r="D10214" s="196">
        <v>0.2</v>
      </c>
      <c r="E10214" s="195" t="s">
        <v>595</v>
      </c>
      <c r="F10214" s="195" t="s">
        <v>438</v>
      </c>
    </row>
    <row r="10215" spans="1:6" x14ac:dyDescent="0.25">
      <c r="A10215" s="189" t="str">
        <f t="shared" si="159"/>
        <v>WO-MD 921A00.02E</v>
      </c>
      <c r="B10215" s="195" t="s">
        <v>4467</v>
      </c>
      <c r="C10215" s="196">
        <v>0</v>
      </c>
      <c r="D10215" s="196">
        <v>0.02</v>
      </c>
      <c r="E10215" s="195" t="s">
        <v>598</v>
      </c>
      <c r="F10215" s="195" t="s">
        <v>19</v>
      </c>
    </row>
    <row r="10216" spans="1:6" x14ac:dyDescent="0.25">
      <c r="A10216" s="189" t="str">
        <f t="shared" si="159"/>
        <v>WO-MD 921A00.02W</v>
      </c>
      <c r="B10216" s="195" t="s">
        <v>4467</v>
      </c>
      <c r="C10216" s="196">
        <v>0</v>
      </c>
      <c r="D10216" s="196">
        <v>0.02</v>
      </c>
      <c r="E10216" s="195" t="s">
        <v>593</v>
      </c>
      <c r="F10216" s="195" t="s">
        <v>432</v>
      </c>
    </row>
    <row r="10217" spans="1:6" x14ac:dyDescent="0.25">
      <c r="A10217" s="189" t="str">
        <f t="shared" si="159"/>
        <v>WO-MD 921B00.04E</v>
      </c>
      <c r="B10217" s="195" t="s">
        <v>4468</v>
      </c>
      <c r="C10217" s="196">
        <v>0</v>
      </c>
      <c r="D10217" s="196">
        <v>0.04</v>
      </c>
      <c r="E10217" s="195" t="s">
        <v>598</v>
      </c>
      <c r="F10217" s="195" t="s">
        <v>19</v>
      </c>
    </row>
    <row r="10218" spans="1:6" x14ac:dyDescent="0.25">
      <c r="A10218" s="189" t="str">
        <f t="shared" si="159"/>
        <v>WO-MD 921B00.04W</v>
      </c>
      <c r="B10218" s="195" t="s">
        <v>4468</v>
      </c>
      <c r="C10218" s="196">
        <v>0</v>
      </c>
      <c r="D10218" s="196">
        <v>0.04</v>
      </c>
      <c r="E10218" s="195" t="s">
        <v>593</v>
      </c>
      <c r="F10218" s="195" t="s">
        <v>432</v>
      </c>
    </row>
    <row r="10219" spans="1:6" x14ac:dyDescent="0.25">
      <c r="A10219" s="189" t="str">
        <f t="shared" si="159"/>
        <v>WO-MD 921C00.14N</v>
      </c>
      <c r="B10219" s="195" t="s">
        <v>4469</v>
      </c>
      <c r="C10219" s="196">
        <v>0</v>
      </c>
      <c r="D10219" s="196">
        <v>0.14000000000000001</v>
      </c>
      <c r="E10219" s="195" t="s">
        <v>589</v>
      </c>
      <c r="F10219" s="195" t="s">
        <v>430</v>
      </c>
    </row>
    <row r="10220" spans="1:6" x14ac:dyDescent="0.25">
      <c r="A10220" s="189" t="str">
        <f t="shared" si="159"/>
        <v>WO-MD 921C00.14S</v>
      </c>
      <c r="B10220" s="195" t="s">
        <v>4469</v>
      </c>
      <c r="C10220" s="196">
        <v>0</v>
      </c>
      <c r="D10220" s="196">
        <v>0.14000000000000001</v>
      </c>
      <c r="E10220" s="195" t="s">
        <v>595</v>
      </c>
      <c r="F10220" s="195" t="s">
        <v>438</v>
      </c>
    </row>
    <row r="10221" spans="1:6" x14ac:dyDescent="0.25">
      <c r="A10221" s="189" t="str">
        <f t="shared" si="159"/>
        <v>WO-MD 921D00.22E</v>
      </c>
      <c r="B10221" s="195" t="s">
        <v>4470</v>
      </c>
      <c r="C10221" s="196">
        <v>0</v>
      </c>
      <c r="D10221" s="196">
        <v>0.22</v>
      </c>
      <c r="E10221" s="195" t="s">
        <v>598</v>
      </c>
      <c r="F10221" s="195" t="s">
        <v>19</v>
      </c>
    </row>
    <row r="10222" spans="1:6" x14ac:dyDescent="0.25">
      <c r="A10222" s="189" t="str">
        <f t="shared" si="159"/>
        <v>WO-MD 921D00.22W</v>
      </c>
      <c r="B10222" s="195" t="s">
        <v>4470</v>
      </c>
      <c r="C10222" s="196">
        <v>0</v>
      </c>
      <c r="D10222" s="196">
        <v>0.22</v>
      </c>
      <c r="E10222" s="195" t="s">
        <v>593</v>
      </c>
      <c r="F10222" s="195" t="s">
        <v>432</v>
      </c>
    </row>
    <row r="10223" spans="1:6" x14ac:dyDescent="0.25">
      <c r="A10223" s="189" t="str">
        <f t="shared" si="159"/>
        <v>WO-MD 921E00.04E</v>
      </c>
      <c r="B10223" s="195" t="s">
        <v>4471</v>
      </c>
      <c r="C10223" s="196">
        <v>0</v>
      </c>
      <c r="D10223" s="196">
        <v>0.04</v>
      </c>
      <c r="E10223" s="195" t="s">
        <v>598</v>
      </c>
      <c r="F10223" s="195" t="s">
        <v>19</v>
      </c>
    </row>
    <row r="10224" spans="1:6" x14ac:dyDescent="0.25">
      <c r="A10224" s="189" t="str">
        <f t="shared" si="159"/>
        <v>WO-MD 921E00.04W</v>
      </c>
      <c r="B10224" s="195" t="s">
        <v>4471</v>
      </c>
      <c r="C10224" s="196">
        <v>0</v>
      </c>
      <c r="D10224" s="196">
        <v>0.04</v>
      </c>
      <c r="E10224" s="195" t="s">
        <v>593</v>
      </c>
      <c r="F10224" s="195" t="s">
        <v>432</v>
      </c>
    </row>
    <row r="10225" spans="1:6" x14ac:dyDescent="0.25">
      <c r="A10225" s="189" t="str">
        <f t="shared" si="159"/>
        <v>WO-MD 921F00.04E</v>
      </c>
      <c r="B10225" s="195" t="s">
        <v>4472</v>
      </c>
      <c r="C10225" s="196">
        <v>0</v>
      </c>
      <c r="D10225" s="196">
        <v>0.04</v>
      </c>
      <c r="E10225" s="195" t="s">
        <v>598</v>
      </c>
      <c r="F10225" s="195" t="s">
        <v>19</v>
      </c>
    </row>
    <row r="10226" spans="1:6" x14ac:dyDescent="0.25">
      <c r="A10226" s="189" t="str">
        <f t="shared" si="159"/>
        <v>WO-MD 921F00.04W</v>
      </c>
      <c r="B10226" s="195" t="s">
        <v>4472</v>
      </c>
      <c r="C10226" s="196">
        <v>0</v>
      </c>
      <c r="D10226" s="196">
        <v>0.04</v>
      </c>
      <c r="E10226" s="195" t="s">
        <v>593</v>
      </c>
      <c r="F10226" s="195" t="s">
        <v>432</v>
      </c>
    </row>
    <row r="10227" spans="1:6" x14ac:dyDescent="0.25">
      <c r="A10227" s="189" t="str">
        <f t="shared" si="159"/>
        <v>WO-MD 921G00.28N</v>
      </c>
      <c r="B10227" s="195" t="s">
        <v>4473</v>
      </c>
      <c r="C10227" s="196">
        <v>0</v>
      </c>
      <c r="D10227" s="196">
        <v>0.28000000000000003</v>
      </c>
      <c r="E10227" s="195" t="s">
        <v>589</v>
      </c>
      <c r="F10227" s="195" t="s">
        <v>430</v>
      </c>
    </row>
    <row r="10228" spans="1:6" x14ac:dyDescent="0.25">
      <c r="A10228" s="189" t="str">
        <f t="shared" si="159"/>
        <v>WO-MD 921G00.28S</v>
      </c>
      <c r="B10228" s="195" t="s">
        <v>4473</v>
      </c>
      <c r="C10228" s="196">
        <v>0</v>
      </c>
      <c r="D10228" s="196">
        <v>0.28000000000000003</v>
      </c>
      <c r="E10228" s="195" t="s">
        <v>595</v>
      </c>
      <c r="F10228" s="195" t="s">
        <v>438</v>
      </c>
    </row>
    <row r="10229" spans="1:6" x14ac:dyDescent="0.25">
      <c r="A10229" s="189" t="str">
        <f t="shared" si="159"/>
        <v>WO-MD 921H00.12N</v>
      </c>
      <c r="B10229" s="195" t="s">
        <v>4474</v>
      </c>
      <c r="C10229" s="196">
        <v>0</v>
      </c>
      <c r="D10229" s="196">
        <v>0.12</v>
      </c>
      <c r="E10229" s="195" t="s">
        <v>589</v>
      </c>
      <c r="F10229" s="195" t="s">
        <v>430</v>
      </c>
    </row>
    <row r="10230" spans="1:6" x14ac:dyDescent="0.25">
      <c r="A10230" s="189" t="str">
        <f t="shared" si="159"/>
        <v>WO-MD 921H00.12S</v>
      </c>
      <c r="B10230" s="195" t="s">
        <v>4474</v>
      </c>
      <c r="C10230" s="196">
        <v>0</v>
      </c>
      <c r="D10230" s="196">
        <v>0.12</v>
      </c>
      <c r="E10230" s="195" t="s">
        <v>595</v>
      </c>
      <c r="F10230" s="195" t="s">
        <v>438</v>
      </c>
    </row>
    <row r="10231" spans="1:6" x14ac:dyDescent="0.25">
      <c r="A10231" s="189" t="str">
        <f t="shared" si="159"/>
        <v>WO-MD 921I00.44N</v>
      </c>
      <c r="B10231" s="195" t="s">
        <v>4475</v>
      </c>
      <c r="C10231" s="196">
        <v>0</v>
      </c>
      <c r="D10231" s="196">
        <v>0.44</v>
      </c>
      <c r="E10231" s="195" t="s">
        <v>589</v>
      </c>
      <c r="F10231" s="195" t="s">
        <v>430</v>
      </c>
    </row>
    <row r="10232" spans="1:6" x14ac:dyDescent="0.25">
      <c r="A10232" s="189" t="str">
        <f t="shared" si="159"/>
        <v>WO-MD 921I00.44S</v>
      </c>
      <c r="B10232" s="195" t="s">
        <v>4475</v>
      </c>
      <c r="C10232" s="196">
        <v>0</v>
      </c>
      <c r="D10232" s="196">
        <v>0.44</v>
      </c>
      <c r="E10232" s="195" t="s">
        <v>595</v>
      </c>
      <c r="F10232" s="195" t="s">
        <v>438</v>
      </c>
    </row>
    <row r="10233" spans="1:6" x14ac:dyDescent="0.25">
      <c r="A10233" s="189" t="str">
        <f t="shared" si="159"/>
        <v>WO-MD 921J00.03E</v>
      </c>
      <c r="B10233" s="195" t="s">
        <v>4476</v>
      </c>
      <c r="C10233" s="196">
        <v>0</v>
      </c>
      <c r="D10233" s="196">
        <v>0.03</v>
      </c>
      <c r="E10233" s="195" t="s">
        <v>598</v>
      </c>
      <c r="F10233" s="195" t="s">
        <v>19</v>
      </c>
    </row>
    <row r="10234" spans="1:6" x14ac:dyDescent="0.25">
      <c r="A10234" s="189" t="str">
        <f t="shared" si="159"/>
        <v>WO-MD 921J00.03W</v>
      </c>
      <c r="B10234" s="195" t="s">
        <v>4476</v>
      </c>
      <c r="C10234" s="196">
        <v>0</v>
      </c>
      <c r="D10234" s="196">
        <v>0.03</v>
      </c>
      <c r="E10234" s="195" t="s">
        <v>593</v>
      </c>
      <c r="F10234" s="195" t="s">
        <v>432</v>
      </c>
    </row>
    <row r="10235" spans="1:6" x14ac:dyDescent="0.25">
      <c r="A10235" s="189" t="str">
        <f t="shared" si="159"/>
        <v>WO-MD 921K00.08N</v>
      </c>
      <c r="B10235" s="195" t="s">
        <v>4477</v>
      </c>
      <c r="C10235" s="196">
        <v>0</v>
      </c>
      <c r="D10235" s="196">
        <v>0.08</v>
      </c>
      <c r="E10235" s="195" t="s">
        <v>589</v>
      </c>
      <c r="F10235" s="195" t="s">
        <v>430</v>
      </c>
    </row>
    <row r="10236" spans="1:6" x14ac:dyDescent="0.25">
      <c r="A10236" s="189" t="str">
        <f t="shared" si="159"/>
        <v>WO-MD 921K00.08S</v>
      </c>
      <c r="B10236" s="195" t="s">
        <v>4477</v>
      </c>
      <c r="C10236" s="196">
        <v>0</v>
      </c>
      <c r="D10236" s="196">
        <v>0.08</v>
      </c>
      <c r="E10236" s="195" t="s">
        <v>595</v>
      </c>
      <c r="F10236" s="195" t="s">
        <v>438</v>
      </c>
    </row>
    <row r="10237" spans="1:6" x14ac:dyDescent="0.25">
      <c r="A10237" s="189" t="str">
        <f t="shared" si="159"/>
        <v>WO-MD 921L00.02E</v>
      </c>
      <c r="B10237" s="195" t="s">
        <v>4478</v>
      </c>
      <c r="C10237" s="196">
        <v>0</v>
      </c>
      <c r="D10237" s="196">
        <v>0.02</v>
      </c>
      <c r="E10237" s="195" t="s">
        <v>598</v>
      </c>
      <c r="F10237" s="195" t="s">
        <v>19</v>
      </c>
    </row>
    <row r="10238" spans="1:6" x14ac:dyDescent="0.25">
      <c r="A10238" s="189" t="str">
        <f t="shared" si="159"/>
        <v>WO-MD 921L00.02W</v>
      </c>
      <c r="B10238" s="195" t="s">
        <v>4478</v>
      </c>
      <c r="C10238" s="196">
        <v>0</v>
      </c>
      <c r="D10238" s="196">
        <v>0.02</v>
      </c>
      <c r="E10238" s="195" t="s">
        <v>593</v>
      </c>
      <c r="F10238" s="195" t="s">
        <v>432</v>
      </c>
    </row>
    <row r="10239" spans="1:6" x14ac:dyDescent="0.25">
      <c r="A10239" s="189" t="str">
        <f t="shared" si="159"/>
        <v>WO-MD 921M00.13N</v>
      </c>
      <c r="B10239" s="195" t="s">
        <v>4479</v>
      </c>
      <c r="C10239" s="196">
        <v>0</v>
      </c>
      <c r="D10239" s="196">
        <v>0.13</v>
      </c>
      <c r="E10239" s="195" t="s">
        <v>589</v>
      </c>
      <c r="F10239" s="195" t="s">
        <v>430</v>
      </c>
    </row>
    <row r="10240" spans="1:6" x14ac:dyDescent="0.25">
      <c r="A10240" s="189" t="str">
        <f t="shared" si="159"/>
        <v>WO-MD 921M00.13S</v>
      </c>
      <c r="B10240" s="195" t="s">
        <v>4479</v>
      </c>
      <c r="C10240" s="196">
        <v>0</v>
      </c>
      <c r="D10240" s="196">
        <v>0.13</v>
      </c>
      <c r="E10240" s="195" t="s">
        <v>595</v>
      </c>
      <c r="F10240" s="195" t="s">
        <v>438</v>
      </c>
    </row>
    <row r="10241" spans="1:6" x14ac:dyDescent="0.25">
      <c r="A10241" s="189" t="str">
        <f t="shared" si="159"/>
        <v>WO-MD 921N00.13N</v>
      </c>
      <c r="B10241" s="195" t="s">
        <v>4480</v>
      </c>
      <c r="C10241" s="196">
        <v>0</v>
      </c>
      <c r="D10241" s="196">
        <v>0.13</v>
      </c>
      <c r="E10241" s="195" t="s">
        <v>589</v>
      </c>
      <c r="F10241" s="195" t="s">
        <v>430</v>
      </c>
    </row>
    <row r="10242" spans="1:6" x14ac:dyDescent="0.25">
      <c r="A10242" s="189" t="str">
        <f t="shared" si="159"/>
        <v>WO-MD 921N00.13S</v>
      </c>
      <c r="B10242" s="195" t="s">
        <v>4480</v>
      </c>
      <c r="C10242" s="196">
        <v>0</v>
      </c>
      <c r="D10242" s="196">
        <v>0.13</v>
      </c>
      <c r="E10242" s="195" t="s">
        <v>595</v>
      </c>
      <c r="F10242" s="195" t="s">
        <v>438</v>
      </c>
    </row>
    <row r="10243" spans="1:6" x14ac:dyDescent="0.25">
      <c r="A10243" s="189" t="str">
        <f t="shared" si="159"/>
        <v>WO-MD 921O00.07N</v>
      </c>
      <c r="B10243" s="195" t="s">
        <v>4481</v>
      </c>
      <c r="C10243" s="196">
        <v>0</v>
      </c>
      <c r="D10243" s="196">
        <v>7.0000000000000007E-2</v>
      </c>
      <c r="E10243" s="195" t="s">
        <v>589</v>
      </c>
      <c r="F10243" s="195" t="s">
        <v>430</v>
      </c>
    </row>
    <row r="10244" spans="1:6" x14ac:dyDescent="0.25">
      <c r="A10244" s="189" t="str">
        <f t="shared" si="159"/>
        <v>WO-MD 921O00.07S</v>
      </c>
      <c r="B10244" s="195" t="s">
        <v>4481</v>
      </c>
      <c r="C10244" s="196">
        <v>0</v>
      </c>
      <c r="D10244" s="196">
        <v>7.0000000000000007E-2</v>
      </c>
      <c r="E10244" s="195" t="s">
        <v>595</v>
      </c>
      <c r="F10244" s="195" t="s">
        <v>438</v>
      </c>
    </row>
    <row r="10245" spans="1:6" x14ac:dyDescent="0.25">
      <c r="A10245" s="189" t="str">
        <f t="shared" si="159"/>
        <v>WO-MD 921P00.03E</v>
      </c>
      <c r="B10245" s="195" t="s">
        <v>4482</v>
      </c>
      <c r="C10245" s="196">
        <v>0</v>
      </c>
      <c r="D10245" s="196">
        <v>0.03</v>
      </c>
      <c r="E10245" s="195" t="s">
        <v>598</v>
      </c>
      <c r="F10245" s="195" t="s">
        <v>19</v>
      </c>
    </row>
    <row r="10246" spans="1:6" x14ac:dyDescent="0.25">
      <c r="A10246" s="189" t="str">
        <f t="shared" si="159"/>
        <v>WO-MD 921P00.03W</v>
      </c>
      <c r="B10246" s="195" t="s">
        <v>4482</v>
      </c>
      <c r="C10246" s="196">
        <v>0</v>
      </c>
      <c r="D10246" s="196">
        <v>0.03</v>
      </c>
      <c r="E10246" s="195" t="s">
        <v>593</v>
      </c>
      <c r="F10246" s="195" t="s">
        <v>432</v>
      </c>
    </row>
    <row r="10247" spans="1:6" x14ac:dyDescent="0.25">
      <c r="A10247" s="189" t="str">
        <f t="shared" si="159"/>
        <v>WO-MD 921R00.06E</v>
      </c>
      <c r="B10247" s="195" t="s">
        <v>4483</v>
      </c>
      <c r="C10247" s="196">
        <v>0</v>
      </c>
      <c r="D10247" s="196">
        <v>0.06</v>
      </c>
      <c r="E10247" s="195" t="s">
        <v>598</v>
      </c>
      <c r="F10247" s="195" t="s">
        <v>19</v>
      </c>
    </row>
    <row r="10248" spans="1:6" x14ac:dyDescent="0.25">
      <c r="A10248" s="189" t="str">
        <f t="shared" ref="A10248:A10311" si="160">B10248&amp;C10248&amp;D10248&amp;F10248</f>
        <v>WO-MD 921R00.06W</v>
      </c>
      <c r="B10248" s="195" t="s">
        <v>4483</v>
      </c>
      <c r="C10248" s="196">
        <v>0</v>
      </c>
      <c r="D10248" s="196">
        <v>0.06</v>
      </c>
      <c r="E10248" s="195" t="s">
        <v>593</v>
      </c>
      <c r="F10248" s="195" t="s">
        <v>432</v>
      </c>
    </row>
    <row r="10249" spans="1:6" x14ac:dyDescent="0.25">
      <c r="A10249" s="189" t="str">
        <f t="shared" si="160"/>
        <v>WO-MD 992F00.25N</v>
      </c>
      <c r="B10249" s="195" t="s">
        <v>4484</v>
      </c>
      <c r="C10249" s="196">
        <v>0</v>
      </c>
      <c r="D10249" s="196">
        <v>0.25</v>
      </c>
      <c r="E10249" s="195" t="s">
        <v>589</v>
      </c>
      <c r="F10249" s="195" t="s">
        <v>430</v>
      </c>
    </row>
    <row r="10250" spans="1:6" x14ac:dyDescent="0.25">
      <c r="A10250" s="189" t="str">
        <f t="shared" si="160"/>
        <v>WO-MD 992F00.25S</v>
      </c>
      <c r="B10250" s="195" t="s">
        <v>4484</v>
      </c>
      <c r="C10250" s="196">
        <v>0</v>
      </c>
      <c r="D10250" s="196">
        <v>0.25</v>
      </c>
      <c r="E10250" s="195" t="s">
        <v>595</v>
      </c>
      <c r="F10250" s="195" t="s">
        <v>438</v>
      </c>
    </row>
    <row r="10251" spans="1:6" x14ac:dyDescent="0.25">
      <c r="A10251" s="189" t="str">
        <f t="shared" si="160"/>
        <v>WO-MD 992F0.250.28N</v>
      </c>
      <c r="B10251" s="195" t="s">
        <v>4484</v>
      </c>
      <c r="C10251" s="196">
        <v>0.25</v>
      </c>
      <c r="D10251" s="196">
        <v>0.28000000000000003</v>
      </c>
      <c r="E10251" s="195" t="s">
        <v>589</v>
      </c>
      <c r="F10251" s="195" t="s">
        <v>430</v>
      </c>
    </row>
    <row r="10252" spans="1:6" x14ac:dyDescent="0.25">
      <c r="A10252" s="189" t="str">
        <f t="shared" si="160"/>
        <v>WO-MD 992F0.250.28S</v>
      </c>
      <c r="B10252" s="195" t="s">
        <v>4484</v>
      </c>
      <c r="C10252" s="196">
        <v>0.25</v>
      </c>
      <c r="D10252" s="196">
        <v>0.28000000000000003</v>
      </c>
      <c r="E10252" s="195" t="s">
        <v>595</v>
      </c>
      <c r="F10252" s="195" t="s">
        <v>438</v>
      </c>
    </row>
    <row r="10253" spans="1:6" x14ac:dyDescent="0.25">
      <c r="A10253" s="189" t="str">
        <f t="shared" si="160"/>
        <v>WO-US 11313.5714.3N</v>
      </c>
      <c r="B10253" s="195" t="s">
        <v>4485</v>
      </c>
      <c r="C10253" s="196">
        <v>13.57</v>
      </c>
      <c r="D10253" s="196">
        <v>14.3</v>
      </c>
      <c r="E10253" s="195" t="s">
        <v>583</v>
      </c>
      <c r="F10253" s="195" t="s">
        <v>430</v>
      </c>
    </row>
    <row r="10254" spans="1:6" x14ac:dyDescent="0.25">
      <c r="A10254" s="189" t="str">
        <f t="shared" si="160"/>
        <v>WO-US 11313.5714.3S</v>
      </c>
      <c r="B10254" s="195" t="s">
        <v>4485</v>
      </c>
      <c r="C10254" s="196">
        <v>13.57</v>
      </c>
      <c r="D10254" s="196">
        <v>14.3</v>
      </c>
      <c r="E10254" s="195" t="s">
        <v>583</v>
      </c>
      <c r="F10254" s="195" t="s">
        <v>438</v>
      </c>
    </row>
    <row r="10255" spans="1:6" x14ac:dyDescent="0.25">
      <c r="A10255" s="189" t="str">
        <f t="shared" si="160"/>
        <v>WO-US 11314.314.57N</v>
      </c>
      <c r="B10255" s="195" t="s">
        <v>4485</v>
      </c>
      <c r="C10255" s="196">
        <v>14.3</v>
      </c>
      <c r="D10255" s="196">
        <v>14.57</v>
      </c>
      <c r="E10255" s="195" t="s">
        <v>583</v>
      </c>
      <c r="F10255" s="195" t="s">
        <v>430</v>
      </c>
    </row>
    <row r="10256" spans="1:6" x14ac:dyDescent="0.25">
      <c r="A10256" s="189" t="str">
        <f t="shared" si="160"/>
        <v>WO-US 11314.314.57S</v>
      </c>
      <c r="B10256" s="195" t="s">
        <v>4485</v>
      </c>
      <c r="C10256" s="196">
        <v>14.3</v>
      </c>
      <c r="D10256" s="196">
        <v>14.57</v>
      </c>
      <c r="E10256" s="195" t="s">
        <v>583</v>
      </c>
      <c r="F10256" s="195" t="s">
        <v>438</v>
      </c>
    </row>
    <row r="10257" spans="1:6" x14ac:dyDescent="0.25">
      <c r="A10257" s="189" t="str">
        <f t="shared" si="160"/>
        <v>WO-US 11314.5715.5N</v>
      </c>
      <c r="B10257" s="195" t="s">
        <v>4485</v>
      </c>
      <c r="C10257" s="196">
        <v>14.57</v>
      </c>
      <c r="D10257" s="196">
        <v>15.5</v>
      </c>
      <c r="E10257" s="195" t="s">
        <v>583</v>
      </c>
      <c r="F10257" s="195" t="s">
        <v>430</v>
      </c>
    </row>
    <row r="10258" spans="1:6" x14ac:dyDescent="0.25">
      <c r="A10258" s="189" t="str">
        <f t="shared" si="160"/>
        <v>WO-US 11314.5715.5S</v>
      </c>
      <c r="B10258" s="195" t="s">
        <v>4485</v>
      </c>
      <c r="C10258" s="196">
        <v>14.57</v>
      </c>
      <c r="D10258" s="196">
        <v>15.5</v>
      </c>
      <c r="E10258" s="195" t="s">
        <v>583</v>
      </c>
      <c r="F10258" s="195" t="s">
        <v>438</v>
      </c>
    </row>
    <row r="10259" spans="1:6" x14ac:dyDescent="0.25">
      <c r="A10259" s="189" t="str">
        <f t="shared" si="160"/>
        <v>WO-US 11315.516.2N</v>
      </c>
      <c r="B10259" s="195" t="s">
        <v>4485</v>
      </c>
      <c r="C10259" s="196">
        <v>15.5</v>
      </c>
      <c r="D10259" s="196">
        <v>16.2</v>
      </c>
      <c r="E10259" s="195" t="s">
        <v>583</v>
      </c>
      <c r="F10259" s="195" t="s">
        <v>430</v>
      </c>
    </row>
    <row r="10260" spans="1:6" x14ac:dyDescent="0.25">
      <c r="A10260" s="189" t="str">
        <f t="shared" si="160"/>
        <v>WO-US 11315.516.2S</v>
      </c>
      <c r="B10260" s="195" t="s">
        <v>4485</v>
      </c>
      <c r="C10260" s="196">
        <v>15.5</v>
      </c>
      <c r="D10260" s="196">
        <v>16.2</v>
      </c>
      <c r="E10260" s="195" t="s">
        <v>583</v>
      </c>
      <c r="F10260" s="195" t="s">
        <v>438</v>
      </c>
    </row>
    <row r="10261" spans="1:6" x14ac:dyDescent="0.25">
      <c r="A10261" s="189" t="str">
        <f t="shared" si="160"/>
        <v>WO-US 11317.818.31S</v>
      </c>
      <c r="B10261" s="195" t="s">
        <v>4485</v>
      </c>
      <c r="C10261" s="196">
        <v>17.8</v>
      </c>
      <c r="D10261" s="196">
        <v>18.309999999999999</v>
      </c>
      <c r="E10261" s="195" t="s">
        <v>595</v>
      </c>
      <c r="F10261" s="195" t="s">
        <v>438</v>
      </c>
    </row>
    <row r="10262" spans="1:6" x14ac:dyDescent="0.25">
      <c r="A10262" s="189" t="str">
        <f t="shared" si="160"/>
        <v>WO-US 11317.818.71N</v>
      </c>
      <c r="B10262" s="195" t="s">
        <v>4485</v>
      </c>
      <c r="C10262" s="196">
        <v>17.8</v>
      </c>
      <c r="D10262" s="196">
        <v>18.71</v>
      </c>
      <c r="E10262" s="195" t="s">
        <v>589</v>
      </c>
      <c r="F10262" s="195" t="s">
        <v>430</v>
      </c>
    </row>
    <row r="10263" spans="1:6" x14ac:dyDescent="0.25">
      <c r="A10263" s="189" t="str">
        <f t="shared" si="160"/>
        <v>WO-US 11318.3119S</v>
      </c>
      <c r="B10263" s="195" t="s">
        <v>4485</v>
      </c>
      <c r="C10263" s="196">
        <v>18.309999999999999</v>
      </c>
      <c r="D10263" s="196">
        <v>19</v>
      </c>
      <c r="E10263" s="195" t="s">
        <v>595</v>
      </c>
      <c r="F10263" s="195" t="s">
        <v>438</v>
      </c>
    </row>
    <row r="10264" spans="1:6" x14ac:dyDescent="0.25">
      <c r="A10264" s="189" t="str">
        <f t="shared" si="160"/>
        <v>WO-US 11318.7119N</v>
      </c>
      <c r="B10264" s="195" t="s">
        <v>4485</v>
      </c>
      <c r="C10264" s="196">
        <v>18.71</v>
      </c>
      <c r="D10264" s="196">
        <v>19</v>
      </c>
      <c r="E10264" s="195" t="s">
        <v>589</v>
      </c>
      <c r="F10264" s="195" t="s">
        <v>430</v>
      </c>
    </row>
    <row r="10265" spans="1:6" x14ac:dyDescent="0.25">
      <c r="A10265" s="189" t="str">
        <f t="shared" si="160"/>
        <v>WO-US 1131922N</v>
      </c>
      <c r="B10265" s="195" t="s">
        <v>4485</v>
      </c>
      <c r="C10265" s="196">
        <v>19</v>
      </c>
      <c r="D10265" s="196">
        <v>22</v>
      </c>
      <c r="E10265" s="195" t="s">
        <v>583</v>
      </c>
      <c r="F10265" s="195" t="s">
        <v>430</v>
      </c>
    </row>
    <row r="10266" spans="1:6" x14ac:dyDescent="0.25">
      <c r="A10266" s="189" t="str">
        <f t="shared" si="160"/>
        <v>WO-US 1131922S</v>
      </c>
      <c r="B10266" s="195" t="s">
        <v>4485</v>
      </c>
      <c r="C10266" s="196">
        <v>19</v>
      </c>
      <c r="D10266" s="196">
        <v>22</v>
      </c>
      <c r="E10266" s="195" t="s">
        <v>583</v>
      </c>
      <c r="F10266" s="195" t="s">
        <v>438</v>
      </c>
    </row>
    <row r="10267" spans="1:6" x14ac:dyDescent="0.25">
      <c r="A10267" s="189" t="str">
        <f t="shared" si="160"/>
        <v>WO-US 113 RP2-3200.17N</v>
      </c>
      <c r="B10267" s="195" t="s">
        <v>4486</v>
      </c>
      <c r="C10267" s="196">
        <v>0</v>
      </c>
      <c r="D10267" s="196">
        <v>0.17</v>
      </c>
      <c r="E10267" s="195" t="s">
        <v>589</v>
      </c>
      <c r="F10267" s="195" t="s">
        <v>430</v>
      </c>
    </row>
    <row r="10268" spans="1:6" x14ac:dyDescent="0.25">
      <c r="A10268" s="189" t="str">
        <f t="shared" si="160"/>
        <v>WO-US 113 RP3-3200.02N</v>
      </c>
      <c r="B10268" s="195" t="s">
        <v>4487</v>
      </c>
      <c r="C10268" s="196">
        <v>0</v>
      </c>
      <c r="D10268" s="196">
        <v>0.02</v>
      </c>
      <c r="E10268" s="195" t="s">
        <v>589</v>
      </c>
      <c r="F10268" s="195" t="s">
        <v>430</v>
      </c>
    </row>
    <row r="10269" spans="1:6" x14ac:dyDescent="0.25">
      <c r="A10269" s="189" t="str">
        <f t="shared" si="160"/>
        <v>WO-US 113 RP4-3200.1E</v>
      </c>
      <c r="B10269" s="195" t="s">
        <v>4488</v>
      </c>
      <c r="C10269" s="196">
        <v>0</v>
      </c>
      <c r="D10269" s="196">
        <v>0.1</v>
      </c>
      <c r="E10269" s="195" t="s">
        <v>598</v>
      </c>
      <c r="F10269" s="195" t="s">
        <v>19</v>
      </c>
    </row>
    <row r="10270" spans="1:6" x14ac:dyDescent="0.25">
      <c r="A10270" s="189" t="str">
        <f t="shared" si="160"/>
        <v>WO-US 113BU00.05N</v>
      </c>
      <c r="B10270" s="195" t="s">
        <v>4489</v>
      </c>
      <c r="C10270" s="196">
        <v>0</v>
      </c>
      <c r="D10270" s="196">
        <v>0.05</v>
      </c>
      <c r="E10270" s="195" t="s">
        <v>583</v>
      </c>
      <c r="F10270" s="195" t="s">
        <v>430</v>
      </c>
    </row>
    <row r="10271" spans="1:6" x14ac:dyDescent="0.25">
      <c r="A10271" s="189" t="str">
        <f t="shared" si="160"/>
        <v>WO-US 113BU00.05S</v>
      </c>
      <c r="B10271" s="195" t="s">
        <v>4489</v>
      </c>
      <c r="C10271" s="196">
        <v>0</v>
      </c>
      <c r="D10271" s="196">
        <v>0.05</v>
      </c>
      <c r="E10271" s="195" t="s">
        <v>583</v>
      </c>
      <c r="F10271" s="195" t="s">
        <v>438</v>
      </c>
    </row>
    <row r="10272" spans="1:6" x14ac:dyDescent="0.25">
      <c r="A10272" s="189" t="str">
        <f t="shared" si="160"/>
        <v>WO-US 113BU0.052N</v>
      </c>
      <c r="B10272" s="195" t="s">
        <v>4489</v>
      </c>
      <c r="C10272" s="196">
        <v>0.05</v>
      </c>
      <c r="D10272" s="196">
        <v>2</v>
      </c>
      <c r="E10272" s="195" t="s">
        <v>583</v>
      </c>
      <c r="F10272" s="195" t="s">
        <v>430</v>
      </c>
    </row>
    <row r="10273" spans="1:6" x14ac:dyDescent="0.25">
      <c r="A10273" s="189" t="str">
        <f t="shared" si="160"/>
        <v>WO-US 113BU0.052S</v>
      </c>
      <c r="B10273" s="195" t="s">
        <v>4489</v>
      </c>
      <c r="C10273" s="196">
        <v>0.05</v>
      </c>
      <c r="D10273" s="196">
        <v>2</v>
      </c>
      <c r="E10273" s="195" t="s">
        <v>583</v>
      </c>
      <c r="F10273" s="195" t="s">
        <v>438</v>
      </c>
    </row>
    <row r="10274" spans="1:6" x14ac:dyDescent="0.25">
      <c r="A10274" s="189" t="str">
        <f t="shared" si="160"/>
        <v>WO-US 113BU22.65N</v>
      </c>
      <c r="B10274" s="195" t="s">
        <v>4489</v>
      </c>
      <c r="C10274" s="196">
        <v>2</v>
      </c>
      <c r="D10274" s="196">
        <v>2.65</v>
      </c>
      <c r="E10274" s="195" t="s">
        <v>583</v>
      </c>
      <c r="F10274" s="195" t="s">
        <v>430</v>
      </c>
    </row>
    <row r="10275" spans="1:6" x14ac:dyDescent="0.25">
      <c r="A10275" s="189" t="str">
        <f t="shared" si="160"/>
        <v>WO-US 113BU22.65S</v>
      </c>
      <c r="B10275" s="195" t="s">
        <v>4489</v>
      </c>
      <c r="C10275" s="196">
        <v>2</v>
      </c>
      <c r="D10275" s="196">
        <v>2.65</v>
      </c>
      <c r="E10275" s="195" t="s">
        <v>583</v>
      </c>
      <c r="F10275" s="195" t="s">
        <v>438</v>
      </c>
    </row>
    <row r="10276" spans="1:6" x14ac:dyDescent="0.25">
      <c r="A10276" s="189" t="str">
        <f t="shared" si="160"/>
        <v>WO-US 113BU2.652.67N</v>
      </c>
      <c r="B10276" s="195" t="s">
        <v>4489</v>
      </c>
      <c r="C10276" s="196">
        <v>2.65</v>
      </c>
      <c r="D10276" s="196">
        <v>2.67</v>
      </c>
      <c r="E10276" s="195" t="s">
        <v>583</v>
      </c>
      <c r="F10276" s="195" t="s">
        <v>430</v>
      </c>
    </row>
    <row r="10277" spans="1:6" x14ac:dyDescent="0.25">
      <c r="A10277" s="189" t="str">
        <f t="shared" si="160"/>
        <v>WO-US 113BU2.652.67S</v>
      </c>
      <c r="B10277" s="195" t="s">
        <v>4489</v>
      </c>
      <c r="C10277" s="196">
        <v>2.65</v>
      </c>
      <c r="D10277" s="196">
        <v>2.67</v>
      </c>
      <c r="E10277" s="195" t="s">
        <v>583</v>
      </c>
      <c r="F10277" s="195" t="s">
        <v>438</v>
      </c>
    </row>
    <row r="10278" spans="1:6" x14ac:dyDescent="0.25">
      <c r="A10278" s="189" t="str">
        <f t="shared" si="160"/>
        <v>WO-US 113BU2.672.85N</v>
      </c>
      <c r="B10278" s="195" t="s">
        <v>4489</v>
      </c>
      <c r="C10278" s="196">
        <v>2.67</v>
      </c>
      <c r="D10278" s="196">
        <v>2.85</v>
      </c>
      <c r="E10278" s="195" t="s">
        <v>583</v>
      </c>
      <c r="F10278" s="195" t="s">
        <v>430</v>
      </c>
    </row>
    <row r="10279" spans="1:6" x14ac:dyDescent="0.25">
      <c r="A10279" s="189" t="str">
        <f t="shared" si="160"/>
        <v>WO-US 113BU2.672.85S</v>
      </c>
      <c r="B10279" s="195" t="s">
        <v>4489</v>
      </c>
      <c r="C10279" s="196">
        <v>2.67</v>
      </c>
      <c r="D10279" s="196">
        <v>2.85</v>
      </c>
      <c r="E10279" s="195" t="s">
        <v>583</v>
      </c>
      <c r="F10279" s="195" t="s">
        <v>438</v>
      </c>
    </row>
    <row r="10280" spans="1:6" x14ac:dyDescent="0.25">
      <c r="A10280" s="189" t="str">
        <f t="shared" si="160"/>
        <v>WO-US 113BU2.853N</v>
      </c>
      <c r="B10280" s="195" t="s">
        <v>4489</v>
      </c>
      <c r="C10280" s="196">
        <v>2.85</v>
      </c>
      <c r="D10280" s="196">
        <v>3</v>
      </c>
      <c r="E10280" s="195" t="s">
        <v>583</v>
      </c>
      <c r="F10280" s="195" t="s">
        <v>430</v>
      </c>
    </row>
    <row r="10281" spans="1:6" x14ac:dyDescent="0.25">
      <c r="A10281" s="189" t="str">
        <f t="shared" si="160"/>
        <v>WO-US 113BU2.853S</v>
      </c>
      <c r="B10281" s="195" t="s">
        <v>4489</v>
      </c>
      <c r="C10281" s="196">
        <v>2.85</v>
      </c>
      <c r="D10281" s="196">
        <v>3</v>
      </c>
      <c r="E10281" s="195" t="s">
        <v>583</v>
      </c>
      <c r="F10281" s="195" t="s">
        <v>438</v>
      </c>
    </row>
    <row r="10282" spans="1:6" x14ac:dyDescent="0.25">
      <c r="A10282" s="189" t="str">
        <f t="shared" si="160"/>
        <v>WO-US 113BU33.31N</v>
      </c>
      <c r="B10282" s="195" t="s">
        <v>4489</v>
      </c>
      <c r="C10282" s="196">
        <v>3</v>
      </c>
      <c r="D10282" s="196">
        <v>3.31</v>
      </c>
      <c r="E10282" s="195" t="s">
        <v>583</v>
      </c>
      <c r="F10282" s="195" t="s">
        <v>430</v>
      </c>
    </row>
    <row r="10283" spans="1:6" x14ac:dyDescent="0.25">
      <c r="A10283" s="189" t="str">
        <f t="shared" si="160"/>
        <v>WO-US 113BU33.31S</v>
      </c>
      <c r="B10283" s="195" t="s">
        <v>4489</v>
      </c>
      <c r="C10283" s="196">
        <v>3</v>
      </c>
      <c r="D10283" s="196">
        <v>3.31</v>
      </c>
      <c r="E10283" s="195" t="s">
        <v>583</v>
      </c>
      <c r="F10283" s="195" t="s">
        <v>438</v>
      </c>
    </row>
    <row r="10284" spans="1:6" x14ac:dyDescent="0.25">
      <c r="A10284" s="189" t="str">
        <f t="shared" si="160"/>
        <v>WO-US 113BU3.314.1N</v>
      </c>
      <c r="B10284" s="195" t="s">
        <v>4489</v>
      </c>
      <c r="C10284" s="196">
        <v>3.31</v>
      </c>
      <c r="D10284" s="196">
        <v>4.0999999999999996</v>
      </c>
      <c r="E10284" s="195" t="s">
        <v>583</v>
      </c>
      <c r="F10284" s="195" t="s">
        <v>430</v>
      </c>
    </row>
    <row r="10285" spans="1:6" x14ac:dyDescent="0.25">
      <c r="A10285" s="189" t="str">
        <f t="shared" si="160"/>
        <v>WO-US 113BU3.314.1S</v>
      </c>
      <c r="B10285" s="195" t="s">
        <v>4489</v>
      </c>
      <c r="C10285" s="196">
        <v>3.31</v>
      </c>
      <c r="D10285" s="196">
        <v>4.0999999999999996</v>
      </c>
      <c r="E10285" s="195" t="s">
        <v>583</v>
      </c>
      <c r="F10285" s="195" t="s">
        <v>438</v>
      </c>
    </row>
    <row r="10286" spans="1:6" x14ac:dyDescent="0.25">
      <c r="A10286" s="189" t="str">
        <f t="shared" si="160"/>
        <v>WO-US 113BU4.14.16N</v>
      </c>
      <c r="B10286" s="195" t="s">
        <v>4489</v>
      </c>
      <c r="C10286" s="196">
        <v>4.0999999999999996</v>
      </c>
      <c r="D10286" s="196">
        <v>4.16</v>
      </c>
      <c r="E10286" s="195" t="s">
        <v>583</v>
      </c>
      <c r="F10286" s="195" t="s">
        <v>430</v>
      </c>
    </row>
    <row r="10287" spans="1:6" x14ac:dyDescent="0.25">
      <c r="A10287" s="189" t="str">
        <f t="shared" si="160"/>
        <v>WO-US 113BU4.14.16S</v>
      </c>
      <c r="B10287" s="195" t="s">
        <v>4489</v>
      </c>
      <c r="C10287" s="196">
        <v>4.0999999999999996</v>
      </c>
      <c r="D10287" s="196">
        <v>4.16</v>
      </c>
      <c r="E10287" s="195" t="s">
        <v>583</v>
      </c>
      <c r="F10287" s="195" t="s">
        <v>438</v>
      </c>
    </row>
    <row r="10288" spans="1:6" x14ac:dyDescent="0.25">
      <c r="A10288" s="189" t="str">
        <f t="shared" si="160"/>
        <v>WO-US 13BU0.40.61N</v>
      </c>
      <c r="B10288" s="195" t="s">
        <v>4490</v>
      </c>
      <c r="C10288" s="196">
        <v>0.4</v>
      </c>
      <c r="D10288" s="196">
        <v>0.61</v>
      </c>
      <c r="E10288" s="195" t="s">
        <v>589</v>
      </c>
      <c r="F10288" s="195" t="s">
        <v>430</v>
      </c>
    </row>
    <row r="10289" spans="1:6" x14ac:dyDescent="0.25">
      <c r="A10289" s="189" t="str">
        <f t="shared" si="160"/>
        <v>WO-US 13BU0.611.85N</v>
      </c>
      <c r="B10289" s="195" t="s">
        <v>4490</v>
      </c>
      <c r="C10289" s="196">
        <v>0.61</v>
      </c>
      <c r="D10289" s="196">
        <v>1.85</v>
      </c>
      <c r="E10289" s="195" t="s">
        <v>583</v>
      </c>
      <c r="F10289" s="195" t="s">
        <v>430</v>
      </c>
    </row>
    <row r="10290" spans="1:6" x14ac:dyDescent="0.25">
      <c r="A10290" s="189" t="str">
        <f t="shared" si="160"/>
        <v>WO-US 13BU0.611.85S</v>
      </c>
      <c r="B10290" s="195" t="s">
        <v>4490</v>
      </c>
      <c r="C10290" s="196">
        <v>0.61</v>
      </c>
      <c r="D10290" s="196">
        <v>1.85</v>
      </c>
      <c r="E10290" s="195" t="s">
        <v>583</v>
      </c>
      <c r="F10290" s="195" t="s">
        <v>438</v>
      </c>
    </row>
    <row r="10291" spans="1:6" x14ac:dyDescent="0.25">
      <c r="A10291" s="189" t="str">
        <f t="shared" si="160"/>
        <v>WO-US 13BU1.852.06N</v>
      </c>
      <c r="B10291" s="195" t="s">
        <v>4490</v>
      </c>
      <c r="C10291" s="196">
        <v>1.85</v>
      </c>
      <c r="D10291" s="196">
        <v>2.06</v>
      </c>
      <c r="E10291" s="195" t="s">
        <v>583</v>
      </c>
      <c r="F10291" s="195" t="s">
        <v>430</v>
      </c>
    </row>
    <row r="10292" spans="1:6" x14ac:dyDescent="0.25">
      <c r="A10292" s="189" t="str">
        <f t="shared" si="160"/>
        <v>WO-US 13BU1.852.06S</v>
      </c>
      <c r="B10292" s="195" t="s">
        <v>4490</v>
      </c>
      <c r="C10292" s="196">
        <v>1.85</v>
      </c>
      <c r="D10292" s="196">
        <v>2.06</v>
      </c>
      <c r="E10292" s="195" t="s">
        <v>583</v>
      </c>
      <c r="F10292" s="195" t="s">
        <v>438</v>
      </c>
    </row>
    <row r="10293" spans="1:6" x14ac:dyDescent="0.25">
      <c r="A10293" s="189" t="str">
        <f t="shared" si="160"/>
        <v>WO-US 5013.6413.79E</v>
      </c>
      <c r="B10293" s="195" t="s">
        <v>4491</v>
      </c>
      <c r="C10293" s="196">
        <v>13.64</v>
      </c>
      <c r="D10293" s="196">
        <v>13.79</v>
      </c>
      <c r="E10293" s="195" t="s">
        <v>598</v>
      </c>
      <c r="F10293" s="195" t="s">
        <v>19</v>
      </c>
    </row>
    <row r="10294" spans="1:6" x14ac:dyDescent="0.25">
      <c r="A10294" s="189" t="str">
        <f t="shared" si="160"/>
        <v>WO-US 5013.7913.85W</v>
      </c>
      <c r="B10294" s="195" t="s">
        <v>4491</v>
      </c>
      <c r="C10294" s="196">
        <v>13.79</v>
      </c>
      <c r="D10294" s="196">
        <v>13.85</v>
      </c>
      <c r="E10294" s="195" t="s">
        <v>593</v>
      </c>
      <c r="F10294" s="195" t="s">
        <v>432</v>
      </c>
    </row>
    <row r="10295" spans="1:6" x14ac:dyDescent="0.25">
      <c r="A10295" s="189" t="str">
        <f t="shared" si="160"/>
        <v>WO-US 5013.7914.07E</v>
      </c>
      <c r="B10295" s="195" t="s">
        <v>4491</v>
      </c>
      <c r="C10295" s="196">
        <v>13.79</v>
      </c>
      <c r="D10295" s="196">
        <v>14.07</v>
      </c>
      <c r="E10295" s="195" t="s">
        <v>598</v>
      </c>
      <c r="F10295" s="195" t="s">
        <v>19</v>
      </c>
    </row>
    <row r="10296" spans="1:6" x14ac:dyDescent="0.25">
      <c r="A10296" s="189" t="str">
        <f t="shared" si="160"/>
        <v>WO-US 5013.8514.29W</v>
      </c>
      <c r="B10296" s="195" t="s">
        <v>4491</v>
      </c>
      <c r="C10296" s="196">
        <v>13.85</v>
      </c>
      <c r="D10296" s="196">
        <v>14.29</v>
      </c>
      <c r="E10296" s="195" t="s">
        <v>593</v>
      </c>
      <c r="F10296" s="195" t="s">
        <v>432</v>
      </c>
    </row>
    <row r="10297" spans="1:6" x14ac:dyDescent="0.25">
      <c r="A10297" s="189" t="str">
        <f t="shared" si="160"/>
        <v>WO-US 5014.0714.3E</v>
      </c>
      <c r="B10297" s="195" t="s">
        <v>4491</v>
      </c>
      <c r="C10297" s="196">
        <v>14.07</v>
      </c>
      <c r="D10297" s="196">
        <v>14.3</v>
      </c>
      <c r="E10297" s="195" t="s">
        <v>598</v>
      </c>
      <c r="F10297" s="195" t="s">
        <v>19</v>
      </c>
    </row>
    <row r="10298" spans="1:6" x14ac:dyDescent="0.25">
      <c r="A10298" s="189" t="str">
        <f t="shared" si="160"/>
        <v>WO-US 5014.2914.3W</v>
      </c>
      <c r="B10298" s="195" t="s">
        <v>4491</v>
      </c>
      <c r="C10298" s="196">
        <v>14.29</v>
      </c>
      <c r="D10298" s="196">
        <v>14.3</v>
      </c>
      <c r="E10298" s="195" t="s">
        <v>593</v>
      </c>
      <c r="F10298" s="195" t="s">
        <v>432</v>
      </c>
    </row>
    <row r="10299" spans="1:6" x14ac:dyDescent="0.25">
      <c r="A10299" s="189" t="str">
        <f t="shared" si="160"/>
        <v>WO-US 5014.314.4E</v>
      </c>
      <c r="B10299" s="195" t="s">
        <v>4491</v>
      </c>
      <c r="C10299" s="196">
        <v>14.3</v>
      </c>
      <c r="D10299" s="196">
        <v>14.4</v>
      </c>
      <c r="E10299" s="195" t="s">
        <v>598</v>
      </c>
      <c r="F10299" s="195" t="s">
        <v>19</v>
      </c>
    </row>
    <row r="10300" spans="1:6" x14ac:dyDescent="0.25">
      <c r="A10300" s="189" t="str">
        <f t="shared" si="160"/>
        <v>WO-US 50 RP1-13400.21N</v>
      </c>
      <c r="B10300" s="195" t="s">
        <v>4492</v>
      </c>
      <c r="C10300" s="196">
        <v>0</v>
      </c>
      <c r="D10300" s="196">
        <v>0.21</v>
      </c>
      <c r="E10300" s="195" t="s">
        <v>589</v>
      </c>
      <c r="F10300" s="195" t="s">
        <v>430</v>
      </c>
    </row>
    <row r="10301" spans="1:6" x14ac:dyDescent="0.25">
      <c r="A10301" s="189" t="str">
        <f t="shared" si="160"/>
        <v>WO-US 50 RP2-13400.4N</v>
      </c>
      <c r="B10301" s="195" t="s">
        <v>4493</v>
      </c>
      <c r="C10301" s="196">
        <v>0</v>
      </c>
      <c r="D10301" s="196">
        <v>0.4</v>
      </c>
      <c r="E10301" s="195" t="s">
        <v>589</v>
      </c>
      <c r="F10301" s="195" t="s">
        <v>430</v>
      </c>
    </row>
    <row r="10302" spans="1:6" x14ac:dyDescent="0.25">
      <c r="A10302" s="189" t="str">
        <f t="shared" si="160"/>
        <v>WO-US 50 RP3-13400.18S</v>
      </c>
      <c r="B10302" s="195" t="s">
        <v>4494</v>
      </c>
      <c r="C10302" s="196">
        <v>0</v>
      </c>
      <c r="D10302" s="196">
        <v>0.18</v>
      </c>
      <c r="E10302" s="195" t="s">
        <v>595</v>
      </c>
      <c r="F10302" s="195" t="s">
        <v>438</v>
      </c>
    </row>
    <row r="10303" spans="1:6" x14ac:dyDescent="0.25">
      <c r="A10303" s="189" t="str">
        <f t="shared" si="160"/>
        <v>WO-US 50 RP4-13400.32N</v>
      </c>
      <c r="B10303" s="195" t="s">
        <v>4495</v>
      </c>
      <c r="C10303" s="196">
        <v>0</v>
      </c>
      <c r="D10303" s="196">
        <v>0.32</v>
      </c>
      <c r="E10303" s="195" t="s">
        <v>589</v>
      </c>
      <c r="F10303" s="195" t="s">
        <v>430</v>
      </c>
    </row>
    <row r="10304" spans="1:6" x14ac:dyDescent="0.25">
      <c r="A10304" s="189" t="str">
        <f t="shared" si="160"/>
        <v>WO-US 50 RP5-13400.22S</v>
      </c>
      <c r="B10304" s="195" t="s">
        <v>4496</v>
      </c>
      <c r="C10304" s="196">
        <v>0</v>
      </c>
      <c r="D10304" s="196">
        <v>0.22</v>
      </c>
      <c r="E10304" s="195" t="s">
        <v>595</v>
      </c>
      <c r="F10304" s="195" t="s">
        <v>438</v>
      </c>
    </row>
    <row r="10305" spans="1:6" x14ac:dyDescent="0.25">
      <c r="A10305" s="189" t="str">
        <f t="shared" si="160"/>
        <v>WO-US 50 RP6-13400.39S</v>
      </c>
      <c r="B10305" s="195" t="s">
        <v>4497</v>
      </c>
      <c r="C10305" s="196">
        <v>0</v>
      </c>
      <c r="D10305" s="196">
        <v>0.39</v>
      </c>
      <c r="E10305" s="195" t="s">
        <v>595</v>
      </c>
      <c r="F10305" s="195" t="s">
        <v>438</v>
      </c>
    </row>
    <row r="10306" spans="1:6" x14ac:dyDescent="0.25">
      <c r="A10306" s="189" t="str">
        <f t="shared" si="160"/>
        <v>WO-US 50 RP7-13400.18N</v>
      </c>
      <c r="B10306" s="195" t="s">
        <v>4498</v>
      </c>
      <c r="C10306" s="196">
        <v>0</v>
      </c>
      <c r="D10306" s="196">
        <v>0.18</v>
      </c>
      <c r="E10306" s="195" t="s">
        <v>589</v>
      </c>
      <c r="F10306" s="195" t="s">
        <v>430</v>
      </c>
    </row>
    <row r="10307" spans="1:6" x14ac:dyDescent="0.25">
      <c r="A10307" s="189" t="str">
        <f t="shared" si="160"/>
        <v>WO-US 50 RP8-13400.31S</v>
      </c>
      <c r="B10307" s="195" t="s">
        <v>4499</v>
      </c>
      <c r="C10307" s="196">
        <v>0</v>
      </c>
      <c r="D10307" s="196">
        <v>0.31</v>
      </c>
      <c r="E10307" s="195" t="s">
        <v>595</v>
      </c>
      <c r="F10307" s="195" t="s">
        <v>438</v>
      </c>
    </row>
    <row r="10308" spans="1:6" x14ac:dyDescent="0.25">
      <c r="A10308" s="189" t="str">
        <f t="shared" si="160"/>
        <v>WO-US 50WB00.05N</v>
      </c>
      <c r="B10308" s="195" t="s">
        <v>4500</v>
      </c>
      <c r="C10308" s="196">
        <v>0</v>
      </c>
      <c r="D10308" s="196">
        <v>0.05</v>
      </c>
      <c r="E10308" s="195" t="s">
        <v>589</v>
      </c>
      <c r="F10308" s="195" t="s">
        <v>430</v>
      </c>
    </row>
    <row r="10309" spans="1:6" x14ac:dyDescent="0.25">
      <c r="A10309" s="189" t="str">
        <f t="shared" si="160"/>
        <v>WO-US 50WB00.05S</v>
      </c>
      <c r="B10309" s="195" t="s">
        <v>4500</v>
      </c>
      <c r="C10309" s="196">
        <v>0</v>
      </c>
      <c r="D10309" s="196">
        <v>0.05</v>
      </c>
      <c r="E10309" s="195" t="s">
        <v>595</v>
      </c>
      <c r="F10309" s="195" t="s">
        <v>438</v>
      </c>
    </row>
    <row r="10310" spans="1:6" x14ac:dyDescent="0.25">
      <c r="A10310" s="189" t="str">
        <f t="shared" si="160"/>
        <v>WO-US 50WC00.02N</v>
      </c>
      <c r="B10310" s="195" t="s">
        <v>4501</v>
      </c>
      <c r="C10310" s="196">
        <v>0</v>
      </c>
      <c r="D10310" s="196">
        <v>0.02</v>
      </c>
      <c r="E10310" s="195" t="s">
        <v>589</v>
      </c>
      <c r="F10310" s="195" t="s">
        <v>430</v>
      </c>
    </row>
    <row r="10311" spans="1:6" x14ac:dyDescent="0.25">
      <c r="A10311" s="189" t="str">
        <f t="shared" si="160"/>
        <v>WO-US 50WC00.02S</v>
      </c>
      <c r="B10311" s="195" t="s">
        <v>4501</v>
      </c>
      <c r="C10311" s="196">
        <v>0</v>
      </c>
      <c r="D10311" s="196">
        <v>0.02</v>
      </c>
      <c r="E10311" s="195" t="s">
        <v>595</v>
      </c>
      <c r="F10311" s="195" t="s">
        <v>438</v>
      </c>
    </row>
  </sheetData>
  <autoFilter ref="A1:F1031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5.28515625" bestFit="1" customWidth="1"/>
    <col min="2" max="2" width="14" bestFit="1" customWidth="1"/>
    <col min="3" max="3" width="7.85546875" bestFit="1" customWidth="1"/>
    <col min="4" max="4" width="17.7109375" bestFit="1" customWidth="1"/>
  </cols>
  <sheetData>
    <row r="1" spans="1:4" s="146" customFormat="1" x14ac:dyDescent="0.25">
      <c r="A1" s="203" t="s">
        <v>4573</v>
      </c>
      <c r="B1" s="208" t="s">
        <v>4574</v>
      </c>
      <c r="C1" s="203" t="s">
        <v>4575</v>
      </c>
      <c r="D1" s="203" t="s">
        <v>4576</v>
      </c>
    </row>
    <row r="2" spans="1:4" x14ac:dyDescent="0.25">
      <c r="A2" s="204" t="s">
        <v>4577</v>
      </c>
      <c r="B2" s="205" t="s">
        <v>4513</v>
      </c>
      <c r="C2" s="206">
        <v>89</v>
      </c>
      <c r="D2" s="205" t="s">
        <v>4514</v>
      </c>
    </row>
    <row r="3" spans="1:4" x14ac:dyDescent="0.25">
      <c r="A3" s="192" t="s">
        <v>4577</v>
      </c>
      <c r="B3" s="192" t="s">
        <v>4515</v>
      </c>
      <c r="C3" s="207">
        <v>89</v>
      </c>
      <c r="D3" s="192" t="s">
        <v>4516</v>
      </c>
    </row>
    <row r="4" spans="1:4" x14ac:dyDescent="0.25">
      <c r="A4" s="205" t="s">
        <v>4577</v>
      </c>
      <c r="B4" s="205" t="s">
        <v>4517</v>
      </c>
      <c r="C4" s="206">
        <v>87</v>
      </c>
      <c r="D4" s="205" t="s">
        <v>4518</v>
      </c>
    </row>
    <row r="5" spans="1:4" x14ac:dyDescent="0.25">
      <c r="A5" s="192" t="s">
        <v>4577</v>
      </c>
      <c r="B5" s="192" t="s">
        <v>4519</v>
      </c>
      <c r="C5" s="207">
        <v>85</v>
      </c>
      <c r="D5" s="192" t="s">
        <v>4520</v>
      </c>
    </row>
    <row r="6" spans="1:4" x14ac:dyDescent="0.25">
      <c r="A6" s="205" t="s">
        <v>4577</v>
      </c>
      <c r="B6" s="205" t="s">
        <v>4521</v>
      </c>
      <c r="C6" s="206">
        <v>83</v>
      </c>
      <c r="D6" s="205" t="s">
        <v>4522</v>
      </c>
    </row>
    <row r="7" spans="1:4" x14ac:dyDescent="0.25">
      <c r="A7" s="192" t="s">
        <v>4577</v>
      </c>
      <c r="B7" s="192" t="s">
        <v>4523</v>
      </c>
      <c r="C7" s="207">
        <v>83</v>
      </c>
      <c r="D7" s="192" t="s">
        <v>4524</v>
      </c>
    </row>
    <row r="8" spans="1:4" x14ac:dyDescent="0.25">
      <c r="A8" s="205" t="s">
        <v>4577</v>
      </c>
      <c r="B8" s="205" t="s">
        <v>4525</v>
      </c>
      <c r="C8" s="206">
        <v>81</v>
      </c>
      <c r="D8" s="205" t="s">
        <v>4526</v>
      </c>
    </row>
    <row r="9" spans="1:4" x14ac:dyDescent="0.25">
      <c r="A9" s="192" t="s">
        <v>4577</v>
      </c>
      <c r="B9" s="192" t="s">
        <v>4527</v>
      </c>
      <c r="C9" s="207">
        <v>87</v>
      </c>
      <c r="D9" s="192" t="s">
        <v>4528</v>
      </c>
    </row>
    <row r="10" spans="1:4" x14ac:dyDescent="0.25">
      <c r="A10" s="205" t="s">
        <v>4577</v>
      </c>
      <c r="B10" s="205" t="s">
        <v>4529</v>
      </c>
      <c r="C10" s="206">
        <v>85</v>
      </c>
      <c r="D10" s="205" t="s">
        <v>4530</v>
      </c>
    </row>
    <row r="11" spans="1:4" x14ac:dyDescent="0.25">
      <c r="A11" s="192" t="s">
        <v>4577</v>
      </c>
      <c r="B11" s="192" t="s">
        <v>4531</v>
      </c>
      <c r="C11" s="207">
        <v>83</v>
      </c>
      <c r="D11" s="192" t="s">
        <v>4532</v>
      </c>
    </row>
    <row r="12" spans="1:4" x14ac:dyDescent="0.25">
      <c r="A12" s="205" t="s">
        <v>4577</v>
      </c>
      <c r="B12" s="205" t="s">
        <v>4533</v>
      </c>
      <c r="C12" s="206">
        <v>83</v>
      </c>
      <c r="D12" s="205" t="s">
        <v>4534</v>
      </c>
    </row>
    <row r="13" spans="1:4" x14ac:dyDescent="0.25">
      <c r="A13" s="192" t="s">
        <v>4577</v>
      </c>
      <c r="B13" s="192" t="s">
        <v>4535</v>
      </c>
      <c r="C13" s="207">
        <v>81</v>
      </c>
      <c r="D13" s="192" t="s">
        <v>4536</v>
      </c>
    </row>
    <row r="14" spans="1:4" x14ac:dyDescent="0.25">
      <c r="A14" s="204" t="s">
        <v>4578</v>
      </c>
      <c r="B14" s="205" t="s">
        <v>4537</v>
      </c>
      <c r="C14" s="206">
        <v>72</v>
      </c>
      <c r="D14" s="205" t="s">
        <v>4514</v>
      </c>
    </row>
    <row r="15" spans="1:4" x14ac:dyDescent="0.25">
      <c r="A15" s="192" t="s">
        <v>4578</v>
      </c>
      <c r="B15" s="192" t="s">
        <v>4538</v>
      </c>
      <c r="C15" s="207">
        <v>72</v>
      </c>
      <c r="D15" s="192" t="s">
        <v>4516</v>
      </c>
    </row>
    <row r="16" spans="1:4" x14ac:dyDescent="0.25">
      <c r="A16" s="205" t="s">
        <v>4578</v>
      </c>
      <c r="B16" s="205" t="s">
        <v>4539</v>
      </c>
      <c r="C16" s="206">
        <v>78</v>
      </c>
      <c r="D16" s="205" t="s">
        <v>4518</v>
      </c>
    </row>
    <row r="17" spans="1:4" x14ac:dyDescent="0.25">
      <c r="A17" s="192" t="s">
        <v>4578</v>
      </c>
      <c r="B17" s="192" t="s">
        <v>4540</v>
      </c>
      <c r="C17" s="207">
        <v>97</v>
      </c>
      <c r="D17" s="192" t="s">
        <v>4520</v>
      </c>
    </row>
    <row r="18" spans="1:4" x14ac:dyDescent="0.25">
      <c r="A18" s="205" t="s">
        <v>4578</v>
      </c>
      <c r="B18" s="205" t="s">
        <v>4541</v>
      </c>
      <c r="C18" s="206">
        <v>104</v>
      </c>
      <c r="D18" s="205" t="s">
        <v>4522</v>
      </c>
    </row>
    <row r="19" spans="1:4" x14ac:dyDescent="0.25">
      <c r="A19" s="192" t="s">
        <v>4578</v>
      </c>
      <c r="B19" s="192" t="s">
        <v>4542</v>
      </c>
      <c r="C19" s="207">
        <v>116</v>
      </c>
      <c r="D19" s="192" t="s">
        <v>4524</v>
      </c>
    </row>
    <row r="20" spans="1:4" x14ac:dyDescent="0.25">
      <c r="A20" s="205" t="s">
        <v>4578</v>
      </c>
      <c r="B20" s="205" t="s">
        <v>4543</v>
      </c>
      <c r="C20" s="206">
        <v>125</v>
      </c>
      <c r="D20" s="205" t="s">
        <v>4526</v>
      </c>
    </row>
    <row r="21" spans="1:4" x14ac:dyDescent="0.25">
      <c r="A21" s="192" t="s">
        <v>4578</v>
      </c>
      <c r="B21" s="192" t="s">
        <v>4544</v>
      </c>
      <c r="C21" s="207">
        <v>78</v>
      </c>
      <c r="D21" s="192" t="s">
        <v>4528</v>
      </c>
    </row>
    <row r="22" spans="1:4" x14ac:dyDescent="0.25">
      <c r="A22" s="205" t="s">
        <v>4578</v>
      </c>
      <c r="B22" s="205" t="s">
        <v>4545</v>
      </c>
      <c r="C22" s="206">
        <v>97</v>
      </c>
      <c r="D22" s="205" t="s">
        <v>4530</v>
      </c>
    </row>
    <row r="23" spans="1:4" x14ac:dyDescent="0.25">
      <c r="A23" s="192" t="s">
        <v>4578</v>
      </c>
      <c r="B23" s="192" t="s">
        <v>4546</v>
      </c>
      <c r="C23" s="207">
        <v>104</v>
      </c>
      <c r="D23" s="192" t="s">
        <v>4532</v>
      </c>
    </row>
    <row r="24" spans="1:4" x14ac:dyDescent="0.25">
      <c r="A24" s="205" t="s">
        <v>4578</v>
      </c>
      <c r="B24" s="205" t="s">
        <v>4547</v>
      </c>
      <c r="C24" s="206">
        <v>116</v>
      </c>
      <c r="D24" s="205" t="s">
        <v>4534</v>
      </c>
    </row>
    <row r="25" spans="1:4" x14ac:dyDescent="0.25">
      <c r="A25" s="192" t="s">
        <v>4578</v>
      </c>
      <c r="B25" s="192" t="s">
        <v>4548</v>
      </c>
      <c r="C25" s="207">
        <v>125</v>
      </c>
      <c r="D25" s="192" t="s">
        <v>4536</v>
      </c>
    </row>
    <row r="26" spans="1:4" x14ac:dyDescent="0.25">
      <c r="A26" s="204" t="s">
        <v>4579</v>
      </c>
      <c r="B26" s="205" t="s">
        <v>4549</v>
      </c>
      <c r="C26" s="206">
        <v>93</v>
      </c>
      <c r="D26" s="205" t="s">
        <v>4514</v>
      </c>
    </row>
    <row r="27" spans="1:4" x14ac:dyDescent="0.25">
      <c r="A27" s="192" t="s">
        <v>4579</v>
      </c>
      <c r="B27" s="192" t="s">
        <v>4550</v>
      </c>
      <c r="C27" s="207">
        <v>93</v>
      </c>
      <c r="D27" s="192" t="s">
        <v>4516</v>
      </c>
    </row>
    <row r="28" spans="1:4" x14ac:dyDescent="0.25">
      <c r="A28" s="205" t="s">
        <v>4579</v>
      </c>
      <c r="B28" s="205" t="s">
        <v>4551</v>
      </c>
      <c r="C28" s="206">
        <v>89</v>
      </c>
      <c r="D28" s="205" t="s">
        <v>4518</v>
      </c>
    </row>
    <row r="29" spans="1:4" x14ac:dyDescent="0.25">
      <c r="A29" s="192" t="s">
        <v>4579</v>
      </c>
      <c r="B29" s="192" t="s">
        <v>4552</v>
      </c>
      <c r="C29" s="207">
        <v>88</v>
      </c>
      <c r="D29" s="192" t="s">
        <v>4520</v>
      </c>
    </row>
    <row r="30" spans="1:4" x14ac:dyDescent="0.25">
      <c r="A30" s="205" t="s">
        <v>4579</v>
      </c>
      <c r="B30" s="205" t="s">
        <v>4553</v>
      </c>
      <c r="C30" s="206">
        <v>87</v>
      </c>
      <c r="D30" s="205" t="s">
        <v>4522</v>
      </c>
    </row>
    <row r="31" spans="1:4" x14ac:dyDescent="0.25">
      <c r="A31" s="192" t="s">
        <v>4579</v>
      </c>
      <c r="B31" s="192" t="s">
        <v>4554</v>
      </c>
      <c r="C31" s="207">
        <v>86</v>
      </c>
      <c r="D31" s="192" t="s">
        <v>4524</v>
      </c>
    </row>
    <row r="32" spans="1:4" x14ac:dyDescent="0.25">
      <c r="A32" s="205" t="s">
        <v>4579</v>
      </c>
      <c r="B32" s="205" t="s">
        <v>4555</v>
      </c>
      <c r="C32" s="206">
        <v>86</v>
      </c>
      <c r="D32" s="205" t="s">
        <v>4526</v>
      </c>
    </row>
    <row r="33" spans="1:4" x14ac:dyDescent="0.25">
      <c r="A33" s="192" t="s">
        <v>4579</v>
      </c>
      <c r="B33" s="192" t="s">
        <v>4556</v>
      </c>
      <c r="C33" s="207">
        <v>89</v>
      </c>
      <c r="D33" s="192" t="s">
        <v>4528</v>
      </c>
    </row>
    <row r="34" spans="1:4" x14ac:dyDescent="0.25">
      <c r="A34" s="205" t="s">
        <v>4579</v>
      </c>
      <c r="B34" s="205" t="s">
        <v>4557</v>
      </c>
      <c r="C34" s="206">
        <v>88</v>
      </c>
      <c r="D34" s="205" t="s">
        <v>4530</v>
      </c>
    </row>
    <row r="35" spans="1:4" x14ac:dyDescent="0.25">
      <c r="A35" s="192" t="s">
        <v>4579</v>
      </c>
      <c r="B35" s="192" t="s">
        <v>4558</v>
      </c>
      <c r="C35" s="207">
        <v>87</v>
      </c>
      <c r="D35" s="192" t="s">
        <v>4532</v>
      </c>
    </row>
    <row r="36" spans="1:4" x14ac:dyDescent="0.25">
      <c r="A36" s="205" t="s">
        <v>4579</v>
      </c>
      <c r="B36" s="205" t="s">
        <v>4559</v>
      </c>
      <c r="C36" s="206">
        <v>86</v>
      </c>
      <c r="D36" s="205" t="s">
        <v>4534</v>
      </c>
    </row>
    <row r="37" spans="1:4" x14ac:dyDescent="0.25">
      <c r="A37" s="192" t="s">
        <v>4579</v>
      </c>
      <c r="B37" s="192" t="s">
        <v>4560</v>
      </c>
      <c r="C37" s="207">
        <v>86</v>
      </c>
      <c r="D37" s="192" t="s">
        <v>4536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Targets</vt:lpstr>
      <vt:lpstr>Suggested Projects</vt:lpstr>
      <vt:lpstr>Lookup &amp; Notes</vt:lpstr>
      <vt:lpstr>Treatment Categories</vt:lpstr>
      <vt:lpstr>SQL FY 17</vt:lpstr>
      <vt:lpstr>DIV_UNDIV</vt:lpstr>
      <vt:lpstr>Analysis Targets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2014-05-02T19:47:24Z</dcterms:created>
  <dcterms:modified xsi:type="dcterms:W3CDTF">2014-09-03T21:23:32Z</dcterms:modified>
</cp:coreProperties>
</file>